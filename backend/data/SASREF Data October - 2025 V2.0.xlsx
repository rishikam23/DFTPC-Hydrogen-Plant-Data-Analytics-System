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codeName="ThisWorkbook"/>
  <mc:AlternateContent xmlns:mc="http://schemas.openxmlformats.org/markup-compatibility/2006">
    <mc:Choice Requires="x15">
      <x15ac:absPath xmlns:x15ac="http://schemas.microsoft.com/office/spreadsheetml/2010/11/ac" url="D:\Adyasha\SASREF Project Technical Proposal\"/>
    </mc:Choice>
  </mc:AlternateContent>
  <bookViews>
    <workbookView xWindow="-120" yWindow="-120" windowWidth="29040" windowHeight="15720" activeTab="2"/>
  </bookViews>
  <sheets>
    <sheet name="Sheet1" sheetId="11" r:id="rId1"/>
    <sheet name="DCS Data" sheetId="8" r:id="rId2"/>
    <sheet name="Daily Report" sheetId="2" r:id="rId3"/>
    <sheet name="Analysis" sheetId="4" r:id="rId4"/>
    <sheet name="Finance Sheet" sheetId="6" r:id="rId5"/>
    <sheet name="Monthly Totalizer" sheetId="3" r:id="rId6"/>
    <sheet name="Short fall" sheetId="10" r:id="rId7"/>
  </sheets>
  <definedNames>
    <definedName name="_xlnm._FilterDatabase" localSheetId="2" hidden="1">'Daily Report'!$A$2:$F$161</definedName>
    <definedName name="_xlnm._FilterDatabase" localSheetId="1" hidden="1">'DCS Data'!$A$4:$P$1153</definedName>
    <definedName name="UNI_AA_VERSION" hidden="1">"322.3.0"</definedName>
    <definedName name="UNI_PRES_CLOSEST" hidden="1">512</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MRECORD" hidden="1">64</definedName>
    <definedName name="UNI_PRES_MSTIME" hidden="1">8192</definedName>
    <definedName name="UNI_PRES_POST" hidden="1">256</definedName>
    <definedName name="UNI_PRES_PRIOR" hidden="1">2048</definedName>
    <definedName name="UNI_PRES_RECENT" hidden="1">1024</definedName>
    <definedName name="UNI_PRES_STATIC" hidden="1">128</definedName>
    <definedName name="UNI_PRES_TRANSPOSE" hidden="1">4096</definedName>
    <definedName name="UNI_RET_ATTRIB" hidden="1">64</definedName>
    <definedName name="UNI_RET_CONF" hidden="1">32</definedName>
    <definedName name="UNI_RET_DESC" hidden="1">4</definedName>
    <definedName name="UNI_RET_TAG" hidden="1">1</definedName>
    <definedName name="UNI_RET_TIME" hidden="1">8</definedName>
    <definedName name="UNI_RET_UNIT" hidden="1">2</definedName>
    <definedName name="UNI_RET_VALUE" hidden="1">16</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4" i="10" l="1"/>
  <c r="I149" i="2" l="1"/>
  <c r="F3" i="11" l="1"/>
  <c r="F8" i="11"/>
  <c r="F45" i="11"/>
  <c r="F92" i="11"/>
  <c r="G99" i="11"/>
  <c r="G101" i="11"/>
  <c r="F102" i="11"/>
  <c r="G104" i="11"/>
  <c r="G106" i="11"/>
  <c r="G107" i="11"/>
  <c r="G108" i="11"/>
  <c r="G109" i="11"/>
  <c r="H110" i="11"/>
  <c r="G110" i="11" s="1"/>
  <c r="G112" i="11"/>
  <c r="G113" i="11"/>
  <c r="G114" i="11"/>
  <c r="H115" i="11"/>
  <c r="G115" i="11" s="1"/>
  <c r="K8" i="10"/>
  <c r="K11" i="10"/>
  <c r="K12" i="10"/>
  <c r="G14" i="10"/>
  <c r="G13" i="10"/>
  <c r="K13" i="10" s="1"/>
  <c r="M13" i="10" s="1"/>
  <c r="G12" i="10"/>
  <c r="G11" i="10"/>
  <c r="G10" i="10"/>
  <c r="K10" i="10" s="1"/>
  <c r="G9" i="10"/>
  <c r="G8" i="10"/>
  <c r="G7" i="10"/>
  <c r="K7" i="10" s="1"/>
  <c r="G6" i="10"/>
  <c r="G5" i="10"/>
  <c r="K5" i="10" l="1"/>
  <c r="M5" i="10" s="1"/>
  <c r="K9" i="10"/>
  <c r="M9" i="10" s="1"/>
  <c r="K14" i="10"/>
  <c r="K6" i="10"/>
  <c r="M6" i="10" s="1"/>
  <c r="M8" i="10"/>
  <c r="M10" i="10"/>
  <c r="M11" i="10"/>
  <c r="M12" i="10"/>
  <c r="M7" i="10"/>
  <c r="A10" i="6"/>
  <c r="AN128" i="2" l="1"/>
  <c r="AM128" i="2"/>
  <c r="AL128" i="2"/>
  <c r="AK128" i="2"/>
  <c r="AJ128" i="2"/>
  <c r="AI128" i="2"/>
  <c r="AH128" i="2"/>
  <c r="AG128" i="2"/>
  <c r="AF128" i="2"/>
  <c r="AE128" i="2"/>
  <c r="AD128" i="2"/>
  <c r="AC128" i="2"/>
  <c r="AB128" i="2"/>
  <c r="AA128" i="2"/>
  <c r="Z128" i="2"/>
  <c r="Y128" i="2"/>
  <c r="X128" i="2"/>
  <c r="W128" i="2"/>
  <c r="V128" i="2"/>
  <c r="U128" i="2"/>
  <c r="T128" i="2"/>
  <c r="S128" i="2"/>
  <c r="R128" i="2"/>
  <c r="Q128" i="2"/>
  <c r="P128" i="2"/>
  <c r="O128" i="2"/>
  <c r="N128" i="2"/>
  <c r="M128" i="2"/>
  <c r="L128" i="2"/>
  <c r="K128" i="2"/>
  <c r="I128" i="2"/>
  <c r="AN129" i="2"/>
  <c r="AM129" i="2"/>
  <c r="AL129" i="2"/>
  <c r="AK129" i="2"/>
  <c r="AJ129" i="2"/>
  <c r="AI129" i="2"/>
  <c r="AH129" i="2"/>
  <c r="AG129" i="2"/>
  <c r="AF129" i="2"/>
  <c r="AE129" i="2"/>
  <c r="AD129" i="2"/>
  <c r="AC129" i="2"/>
  <c r="AB129" i="2"/>
  <c r="AA129" i="2"/>
  <c r="Z129" i="2"/>
  <c r="Y129" i="2"/>
  <c r="X129" i="2"/>
  <c r="W129" i="2"/>
  <c r="V129" i="2"/>
  <c r="U129" i="2"/>
  <c r="T129" i="2"/>
  <c r="S129" i="2"/>
  <c r="R129" i="2"/>
  <c r="Q129" i="2"/>
  <c r="P129" i="2"/>
  <c r="O129" i="2"/>
  <c r="N129" i="2"/>
  <c r="M129" i="2"/>
  <c r="L129" i="2"/>
  <c r="K129" i="2"/>
  <c r="I129" i="2"/>
  <c r="H129" i="2" l="1"/>
  <c r="I114" i="2"/>
  <c r="AO11" i="4" l="1"/>
  <c r="AO13" i="4"/>
  <c r="AO14" i="4"/>
  <c r="AO15" i="4"/>
  <c r="AO16" i="4"/>
  <c r="AO18" i="4"/>
  <c r="AO19" i="4"/>
  <c r="AO20" i="4"/>
  <c r="AO21" i="4"/>
  <c r="AO22" i="4"/>
  <c r="AO23" i="4"/>
  <c r="AO24" i="4"/>
  <c r="AO25" i="4"/>
  <c r="AO26" i="4"/>
  <c r="AO27" i="4"/>
  <c r="AO28" i="4"/>
  <c r="AO29" i="4"/>
  <c r="AO30" i="4"/>
  <c r="AO31" i="4"/>
  <c r="AO32" i="4"/>
  <c r="AO33" i="4"/>
  <c r="AO34" i="4"/>
  <c r="AO35" i="4"/>
  <c r="AO36" i="4"/>
  <c r="AO37" i="4"/>
  <c r="AO39" i="4"/>
  <c r="AO40" i="4"/>
  <c r="AO41" i="4"/>
  <c r="AO42" i="4"/>
  <c r="AO43" i="4"/>
  <c r="AO45" i="4"/>
  <c r="AO46" i="4"/>
  <c r="AO47" i="4"/>
  <c r="AO48" i="4"/>
  <c r="AO49" i="4"/>
  <c r="AO61" i="4"/>
  <c r="AO62" i="4"/>
  <c r="AO63" i="4"/>
  <c r="AO64" i="4"/>
  <c r="AO65" i="4"/>
  <c r="AO66" i="4"/>
  <c r="AO67" i="4"/>
  <c r="AO68" i="4"/>
  <c r="AO69" i="4"/>
  <c r="AO70" i="4"/>
  <c r="AO71" i="4"/>
  <c r="AO83" i="4"/>
  <c r="AO84" i="4"/>
  <c r="AO85" i="4"/>
  <c r="AO86" i="4"/>
  <c r="AO87" i="4"/>
  <c r="AO88" i="4"/>
  <c r="AO90" i="4"/>
  <c r="AO91" i="4"/>
  <c r="AO92" i="4"/>
  <c r="AO93" i="4"/>
  <c r="AO94" i="4"/>
  <c r="AO95" i="4"/>
  <c r="AO96" i="4"/>
  <c r="AO97" i="4"/>
  <c r="AO98" i="4"/>
  <c r="AO99" i="4"/>
  <c r="AO101" i="4"/>
  <c r="AO102" i="4"/>
  <c r="AO103" i="4"/>
  <c r="AO104" i="4"/>
  <c r="AO105" i="4"/>
  <c r="AO106" i="4"/>
  <c r="AO107" i="4"/>
  <c r="AO108" i="4"/>
  <c r="AO109" i="4"/>
  <c r="AO110" i="4"/>
  <c r="AO111" i="4"/>
  <c r="AO44" i="4" l="1"/>
  <c r="AO89" i="4"/>
  <c r="AO100" i="4"/>
  <c r="AO50" i="4"/>
  <c r="AO38" i="4"/>
  <c r="L11" i="4" l="1"/>
  <c r="M11" i="4"/>
  <c r="N11" i="4"/>
  <c r="O11" i="4"/>
  <c r="P11" i="4"/>
  <c r="Q11" i="4"/>
  <c r="R11" i="4"/>
  <c r="S11" i="4"/>
  <c r="T11" i="4"/>
  <c r="U11" i="4"/>
  <c r="V11" i="4"/>
  <c r="W11" i="4"/>
  <c r="X11" i="4"/>
  <c r="Y11" i="4"/>
  <c r="Z11" i="4"/>
  <c r="AA11" i="4"/>
  <c r="AB11" i="4"/>
  <c r="AC11" i="4"/>
  <c r="AD11" i="4"/>
  <c r="AE11" i="4"/>
  <c r="AF11" i="4"/>
  <c r="AG11" i="4"/>
  <c r="AH11" i="4"/>
  <c r="AI11" i="4"/>
  <c r="AJ11" i="4"/>
  <c r="AK11" i="4"/>
  <c r="AL11" i="4"/>
  <c r="AM11" i="4"/>
  <c r="AN11" i="4"/>
  <c r="L13" i="4"/>
  <c r="M13" i="4"/>
  <c r="N13" i="4"/>
  <c r="O13" i="4"/>
  <c r="P13" i="4"/>
  <c r="Q13" i="4"/>
  <c r="R13" i="4"/>
  <c r="S13" i="4"/>
  <c r="T13" i="4"/>
  <c r="U13" i="4"/>
  <c r="V13" i="4"/>
  <c r="W13" i="4"/>
  <c r="X13" i="4"/>
  <c r="Y13" i="4"/>
  <c r="Z13" i="4"/>
  <c r="AA13" i="4"/>
  <c r="AB13" i="4"/>
  <c r="AC13" i="4"/>
  <c r="AD13" i="4"/>
  <c r="AE13" i="4"/>
  <c r="AF13" i="4"/>
  <c r="AG13" i="4"/>
  <c r="AH13" i="4"/>
  <c r="AI13" i="4"/>
  <c r="AJ13" i="4"/>
  <c r="AK13" i="4"/>
  <c r="AL13" i="4"/>
  <c r="AM13" i="4"/>
  <c r="AN13" i="4"/>
  <c r="L14" i="4"/>
  <c r="M14" i="4"/>
  <c r="N14" i="4"/>
  <c r="O14" i="4"/>
  <c r="P14" i="4"/>
  <c r="Q14" i="4"/>
  <c r="R14" i="4"/>
  <c r="S14" i="4"/>
  <c r="T14" i="4"/>
  <c r="U14" i="4"/>
  <c r="V14" i="4"/>
  <c r="W14" i="4"/>
  <c r="X14" i="4"/>
  <c r="Y14" i="4"/>
  <c r="Z14" i="4"/>
  <c r="AA14" i="4"/>
  <c r="AB14" i="4"/>
  <c r="AC14" i="4"/>
  <c r="AD14" i="4"/>
  <c r="AE14" i="4"/>
  <c r="AF14" i="4"/>
  <c r="AG14" i="4"/>
  <c r="AH14" i="4"/>
  <c r="AI14" i="4"/>
  <c r="AJ14" i="4"/>
  <c r="AK14" i="4"/>
  <c r="AL14" i="4"/>
  <c r="AM14" i="4"/>
  <c r="AN14" i="4"/>
  <c r="L15" i="4"/>
  <c r="M15" i="4"/>
  <c r="N15" i="4"/>
  <c r="O15" i="4"/>
  <c r="P15" i="4"/>
  <c r="Q15" i="4"/>
  <c r="R15" i="4"/>
  <c r="S15" i="4"/>
  <c r="T15" i="4"/>
  <c r="U15" i="4"/>
  <c r="V15" i="4"/>
  <c r="W15" i="4"/>
  <c r="X15" i="4"/>
  <c r="Y15" i="4"/>
  <c r="Z15" i="4"/>
  <c r="AA15" i="4"/>
  <c r="AB15" i="4"/>
  <c r="AC15" i="4"/>
  <c r="AD15" i="4"/>
  <c r="AE15" i="4"/>
  <c r="AF15" i="4"/>
  <c r="AG15" i="4"/>
  <c r="AH15" i="4"/>
  <c r="AI15" i="4"/>
  <c r="AJ15" i="4"/>
  <c r="AK15" i="4"/>
  <c r="AL15" i="4"/>
  <c r="AM15" i="4"/>
  <c r="AN15" i="4"/>
  <c r="L16" i="4"/>
  <c r="M16" i="4"/>
  <c r="N16" i="4"/>
  <c r="O16" i="4"/>
  <c r="P16" i="4"/>
  <c r="Q16" i="4"/>
  <c r="R16" i="4"/>
  <c r="S16" i="4"/>
  <c r="T16" i="4"/>
  <c r="U16" i="4"/>
  <c r="V16" i="4"/>
  <c r="W16" i="4"/>
  <c r="X16" i="4"/>
  <c r="Y16" i="4"/>
  <c r="Z16" i="4"/>
  <c r="AA16" i="4"/>
  <c r="AB16" i="4"/>
  <c r="AC16" i="4"/>
  <c r="AD16" i="4"/>
  <c r="AE16" i="4"/>
  <c r="AF16" i="4"/>
  <c r="AG16" i="4"/>
  <c r="AH16" i="4"/>
  <c r="AI16" i="4"/>
  <c r="AJ16" i="4"/>
  <c r="AK16" i="4"/>
  <c r="AL16" i="4"/>
  <c r="AM16" i="4"/>
  <c r="AN16" i="4"/>
  <c r="L18" i="4"/>
  <c r="M18" i="4"/>
  <c r="N18" i="4"/>
  <c r="O18" i="4"/>
  <c r="P18" i="4"/>
  <c r="Q18" i="4"/>
  <c r="R18" i="4"/>
  <c r="S18" i="4"/>
  <c r="T18" i="4"/>
  <c r="U18" i="4"/>
  <c r="V18" i="4"/>
  <c r="W18" i="4"/>
  <c r="X18" i="4"/>
  <c r="Y18" i="4"/>
  <c r="Z18" i="4"/>
  <c r="AA18" i="4"/>
  <c r="AB18" i="4"/>
  <c r="AC18" i="4"/>
  <c r="AD18" i="4"/>
  <c r="AE18" i="4"/>
  <c r="AF18" i="4"/>
  <c r="AG18" i="4"/>
  <c r="AH18" i="4"/>
  <c r="AI18" i="4"/>
  <c r="AJ18" i="4"/>
  <c r="AK18" i="4"/>
  <c r="AL18" i="4"/>
  <c r="AM18" i="4"/>
  <c r="AN18" i="4"/>
  <c r="L19" i="4"/>
  <c r="M19" i="4"/>
  <c r="N19" i="4"/>
  <c r="O19" i="4"/>
  <c r="P19" i="4"/>
  <c r="Q19" i="4"/>
  <c r="R19" i="4"/>
  <c r="S19" i="4"/>
  <c r="T19" i="4"/>
  <c r="U19" i="4"/>
  <c r="V19" i="4"/>
  <c r="W19" i="4"/>
  <c r="X19" i="4"/>
  <c r="Y19" i="4"/>
  <c r="Z19" i="4"/>
  <c r="AA19" i="4"/>
  <c r="AB19" i="4"/>
  <c r="AC19" i="4"/>
  <c r="AD19" i="4"/>
  <c r="AE19" i="4"/>
  <c r="AF19" i="4"/>
  <c r="AG19" i="4"/>
  <c r="AH19" i="4"/>
  <c r="AI19" i="4"/>
  <c r="AJ19" i="4"/>
  <c r="AK19" i="4"/>
  <c r="AL19" i="4"/>
  <c r="AM19" i="4"/>
  <c r="AN19" i="4"/>
  <c r="L20" i="4"/>
  <c r="M20" i="4"/>
  <c r="N20" i="4"/>
  <c r="O20" i="4"/>
  <c r="P20" i="4"/>
  <c r="Q20" i="4"/>
  <c r="R20" i="4"/>
  <c r="S20" i="4"/>
  <c r="T20" i="4"/>
  <c r="U20" i="4"/>
  <c r="V20" i="4"/>
  <c r="W20" i="4"/>
  <c r="X20" i="4"/>
  <c r="Y20" i="4"/>
  <c r="Z20" i="4"/>
  <c r="AA20" i="4"/>
  <c r="AB20" i="4"/>
  <c r="AC20" i="4"/>
  <c r="AD20" i="4"/>
  <c r="AE20" i="4"/>
  <c r="AF20" i="4"/>
  <c r="AG20" i="4"/>
  <c r="AH20" i="4"/>
  <c r="AI20" i="4"/>
  <c r="AJ20" i="4"/>
  <c r="AK20" i="4"/>
  <c r="AL20" i="4"/>
  <c r="AM20" i="4"/>
  <c r="AN20" i="4"/>
  <c r="L21" i="4"/>
  <c r="M21" i="4"/>
  <c r="N21" i="4"/>
  <c r="O21" i="4"/>
  <c r="P21" i="4"/>
  <c r="Q21" i="4"/>
  <c r="R21" i="4"/>
  <c r="S21" i="4"/>
  <c r="T21" i="4"/>
  <c r="U21" i="4"/>
  <c r="V21" i="4"/>
  <c r="W21" i="4"/>
  <c r="X21" i="4"/>
  <c r="Y21" i="4"/>
  <c r="Z21" i="4"/>
  <c r="AA21" i="4"/>
  <c r="AB21" i="4"/>
  <c r="AC21" i="4"/>
  <c r="AD21" i="4"/>
  <c r="AE21" i="4"/>
  <c r="AF21" i="4"/>
  <c r="AG21" i="4"/>
  <c r="AH21" i="4"/>
  <c r="AI21" i="4"/>
  <c r="AJ21" i="4"/>
  <c r="AK21" i="4"/>
  <c r="AL21" i="4"/>
  <c r="AM21" i="4"/>
  <c r="AN21" i="4"/>
  <c r="L22" i="4"/>
  <c r="M22" i="4"/>
  <c r="N22" i="4"/>
  <c r="O22" i="4"/>
  <c r="P22" i="4"/>
  <c r="Q22" i="4"/>
  <c r="R22" i="4"/>
  <c r="S22" i="4"/>
  <c r="T22" i="4"/>
  <c r="U22" i="4"/>
  <c r="V22" i="4"/>
  <c r="W22" i="4"/>
  <c r="X22" i="4"/>
  <c r="Y22" i="4"/>
  <c r="Z22" i="4"/>
  <c r="AA22" i="4"/>
  <c r="AB22" i="4"/>
  <c r="AC22" i="4"/>
  <c r="AD22" i="4"/>
  <c r="AE22" i="4"/>
  <c r="AF22" i="4"/>
  <c r="AG22" i="4"/>
  <c r="AH22" i="4"/>
  <c r="AI22" i="4"/>
  <c r="AJ22" i="4"/>
  <c r="AK22" i="4"/>
  <c r="AL22" i="4"/>
  <c r="AM22" i="4"/>
  <c r="AN22" i="4"/>
  <c r="L23" i="4"/>
  <c r="M23" i="4"/>
  <c r="N23" i="4"/>
  <c r="O23" i="4"/>
  <c r="P23" i="4"/>
  <c r="Q23" i="4"/>
  <c r="R23" i="4"/>
  <c r="S23" i="4"/>
  <c r="T23" i="4"/>
  <c r="U23" i="4"/>
  <c r="V23" i="4"/>
  <c r="W23" i="4"/>
  <c r="X23" i="4"/>
  <c r="Y23" i="4"/>
  <c r="Z23" i="4"/>
  <c r="AA23" i="4"/>
  <c r="AB23" i="4"/>
  <c r="AC23" i="4"/>
  <c r="AD23" i="4"/>
  <c r="AE23" i="4"/>
  <c r="AF23" i="4"/>
  <c r="AG23" i="4"/>
  <c r="AH23" i="4"/>
  <c r="AI23" i="4"/>
  <c r="AJ23" i="4"/>
  <c r="AK23" i="4"/>
  <c r="AL23" i="4"/>
  <c r="AM23" i="4"/>
  <c r="AN23" i="4"/>
  <c r="L24" i="4"/>
  <c r="M24" i="4"/>
  <c r="N24" i="4"/>
  <c r="O24" i="4"/>
  <c r="P24" i="4"/>
  <c r="Q24" i="4"/>
  <c r="R24" i="4"/>
  <c r="S24" i="4"/>
  <c r="T24" i="4"/>
  <c r="U24" i="4"/>
  <c r="V24" i="4"/>
  <c r="W24" i="4"/>
  <c r="X24" i="4"/>
  <c r="Y24" i="4"/>
  <c r="Z24" i="4"/>
  <c r="AA24" i="4"/>
  <c r="AB24" i="4"/>
  <c r="AC24" i="4"/>
  <c r="AD24" i="4"/>
  <c r="AE24" i="4"/>
  <c r="AF24" i="4"/>
  <c r="AG24" i="4"/>
  <c r="AH24" i="4"/>
  <c r="AI24" i="4"/>
  <c r="AJ24" i="4"/>
  <c r="AK24" i="4"/>
  <c r="AL24" i="4"/>
  <c r="AM24" i="4"/>
  <c r="AN24" i="4"/>
  <c r="L25" i="4"/>
  <c r="M25" i="4"/>
  <c r="N25" i="4"/>
  <c r="O25" i="4"/>
  <c r="P25" i="4"/>
  <c r="Q25" i="4"/>
  <c r="R25" i="4"/>
  <c r="S25" i="4"/>
  <c r="T25" i="4"/>
  <c r="U25" i="4"/>
  <c r="V25" i="4"/>
  <c r="W25" i="4"/>
  <c r="X25" i="4"/>
  <c r="Y25" i="4"/>
  <c r="Z25" i="4"/>
  <c r="AA25" i="4"/>
  <c r="AB25" i="4"/>
  <c r="AC25" i="4"/>
  <c r="AD25" i="4"/>
  <c r="AE25" i="4"/>
  <c r="AF25" i="4"/>
  <c r="AG25" i="4"/>
  <c r="AH25" i="4"/>
  <c r="AI25" i="4"/>
  <c r="AJ25" i="4"/>
  <c r="AK25" i="4"/>
  <c r="AL25" i="4"/>
  <c r="AM25" i="4"/>
  <c r="AN25" i="4"/>
  <c r="L26" i="4"/>
  <c r="M26" i="4"/>
  <c r="N26" i="4"/>
  <c r="O26" i="4"/>
  <c r="P26" i="4"/>
  <c r="Q26" i="4"/>
  <c r="R26" i="4"/>
  <c r="S26" i="4"/>
  <c r="T26" i="4"/>
  <c r="U26" i="4"/>
  <c r="V26" i="4"/>
  <c r="W26" i="4"/>
  <c r="X26" i="4"/>
  <c r="Y26" i="4"/>
  <c r="Z26" i="4"/>
  <c r="AA26" i="4"/>
  <c r="AB26" i="4"/>
  <c r="AC26" i="4"/>
  <c r="AD26" i="4"/>
  <c r="AE26" i="4"/>
  <c r="AF26" i="4"/>
  <c r="AG26" i="4"/>
  <c r="AH26" i="4"/>
  <c r="AI26" i="4"/>
  <c r="AJ26" i="4"/>
  <c r="AK26" i="4"/>
  <c r="AL26" i="4"/>
  <c r="AM26" i="4"/>
  <c r="AN26" i="4"/>
  <c r="L27" i="4"/>
  <c r="M27" i="4"/>
  <c r="N27" i="4"/>
  <c r="O27" i="4"/>
  <c r="P27" i="4"/>
  <c r="Q27" i="4"/>
  <c r="R27" i="4"/>
  <c r="S27" i="4"/>
  <c r="T27" i="4"/>
  <c r="U27" i="4"/>
  <c r="V27" i="4"/>
  <c r="W27" i="4"/>
  <c r="X27" i="4"/>
  <c r="Y27" i="4"/>
  <c r="Z27" i="4"/>
  <c r="AA27" i="4"/>
  <c r="AB27" i="4"/>
  <c r="AC27" i="4"/>
  <c r="AD27" i="4"/>
  <c r="AE27" i="4"/>
  <c r="AF27" i="4"/>
  <c r="AG27" i="4"/>
  <c r="AH27" i="4"/>
  <c r="AI27" i="4"/>
  <c r="AJ27" i="4"/>
  <c r="AK27" i="4"/>
  <c r="AL27" i="4"/>
  <c r="AM27" i="4"/>
  <c r="AN27" i="4"/>
  <c r="L28" i="4"/>
  <c r="M28" i="4"/>
  <c r="N28" i="4"/>
  <c r="O28" i="4"/>
  <c r="P28" i="4"/>
  <c r="Q28" i="4"/>
  <c r="R28" i="4"/>
  <c r="S28" i="4"/>
  <c r="T28" i="4"/>
  <c r="U28" i="4"/>
  <c r="V28" i="4"/>
  <c r="W28" i="4"/>
  <c r="X28" i="4"/>
  <c r="Y28" i="4"/>
  <c r="Z28" i="4"/>
  <c r="AA28" i="4"/>
  <c r="AB28" i="4"/>
  <c r="AC28" i="4"/>
  <c r="AD28" i="4"/>
  <c r="AE28" i="4"/>
  <c r="AF28" i="4"/>
  <c r="AG28" i="4"/>
  <c r="AH28" i="4"/>
  <c r="AI28" i="4"/>
  <c r="AJ28" i="4"/>
  <c r="AK28" i="4"/>
  <c r="AL28" i="4"/>
  <c r="AM28" i="4"/>
  <c r="AN28" i="4"/>
  <c r="L29" i="4"/>
  <c r="M29" i="4"/>
  <c r="N29" i="4"/>
  <c r="O29" i="4"/>
  <c r="P29" i="4"/>
  <c r="Q29" i="4"/>
  <c r="R29" i="4"/>
  <c r="S29" i="4"/>
  <c r="T29" i="4"/>
  <c r="U29" i="4"/>
  <c r="V29" i="4"/>
  <c r="W29" i="4"/>
  <c r="X29" i="4"/>
  <c r="Y29" i="4"/>
  <c r="Z29" i="4"/>
  <c r="AA29" i="4"/>
  <c r="AB29" i="4"/>
  <c r="AC29" i="4"/>
  <c r="AD29" i="4"/>
  <c r="AE29" i="4"/>
  <c r="AF29" i="4"/>
  <c r="AG29" i="4"/>
  <c r="AH29" i="4"/>
  <c r="AI29" i="4"/>
  <c r="AJ29" i="4"/>
  <c r="AK29" i="4"/>
  <c r="AL29" i="4"/>
  <c r="AM29" i="4"/>
  <c r="AN29" i="4"/>
  <c r="L30" i="4"/>
  <c r="M30" i="4"/>
  <c r="N30" i="4"/>
  <c r="O30" i="4"/>
  <c r="P30" i="4"/>
  <c r="Q30" i="4"/>
  <c r="R30" i="4"/>
  <c r="S30" i="4"/>
  <c r="T30" i="4"/>
  <c r="U30" i="4"/>
  <c r="V30" i="4"/>
  <c r="W30" i="4"/>
  <c r="X30" i="4"/>
  <c r="Y30" i="4"/>
  <c r="Z30" i="4"/>
  <c r="AA30" i="4"/>
  <c r="AB30" i="4"/>
  <c r="AC30" i="4"/>
  <c r="AD30" i="4"/>
  <c r="AE30" i="4"/>
  <c r="AF30" i="4"/>
  <c r="AG30" i="4"/>
  <c r="AH30" i="4"/>
  <c r="AI30" i="4"/>
  <c r="AJ30" i="4"/>
  <c r="AK30" i="4"/>
  <c r="AL30" i="4"/>
  <c r="AM30" i="4"/>
  <c r="AN30" i="4"/>
  <c r="L31" i="4"/>
  <c r="M31" i="4"/>
  <c r="N31" i="4"/>
  <c r="O31" i="4"/>
  <c r="P31" i="4"/>
  <c r="Q31" i="4"/>
  <c r="R31" i="4"/>
  <c r="S31" i="4"/>
  <c r="T31" i="4"/>
  <c r="U31" i="4"/>
  <c r="V31" i="4"/>
  <c r="W31" i="4"/>
  <c r="X31" i="4"/>
  <c r="Y31" i="4"/>
  <c r="Z31" i="4"/>
  <c r="AA31" i="4"/>
  <c r="AB31" i="4"/>
  <c r="AC31" i="4"/>
  <c r="AD31" i="4"/>
  <c r="AE31" i="4"/>
  <c r="AF31" i="4"/>
  <c r="AG31" i="4"/>
  <c r="AH31" i="4"/>
  <c r="AI31" i="4"/>
  <c r="AJ31" i="4"/>
  <c r="AK31" i="4"/>
  <c r="AL31" i="4"/>
  <c r="AM31" i="4"/>
  <c r="AN31" i="4"/>
  <c r="L32" i="4"/>
  <c r="M32" i="4"/>
  <c r="N32" i="4"/>
  <c r="O32" i="4"/>
  <c r="P32" i="4"/>
  <c r="Q32" i="4"/>
  <c r="R32" i="4"/>
  <c r="S32" i="4"/>
  <c r="T32" i="4"/>
  <c r="U32" i="4"/>
  <c r="V32" i="4"/>
  <c r="W32" i="4"/>
  <c r="X32" i="4"/>
  <c r="Y32" i="4"/>
  <c r="Z32" i="4"/>
  <c r="AA32" i="4"/>
  <c r="AB32" i="4"/>
  <c r="AC32" i="4"/>
  <c r="AD32" i="4"/>
  <c r="AE32" i="4"/>
  <c r="AF32" i="4"/>
  <c r="AG32" i="4"/>
  <c r="AH32" i="4"/>
  <c r="AI32" i="4"/>
  <c r="AJ32" i="4"/>
  <c r="AK32" i="4"/>
  <c r="AL32" i="4"/>
  <c r="AM32" i="4"/>
  <c r="AN32" i="4"/>
  <c r="L33" i="4"/>
  <c r="M33" i="4"/>
  <c r="N33" i="4"/>
  <c r="O33" i="4"/>
  <c r="P33" i="4"/>
  <c r="Q33" i="4"/>
  <c r="R33" i="4"/>
  <c r="S33" i="4"/>
  <c r="T33" i="4"/>
  <c r="U33" i="4"/>
  <c r="V33" i="4"/>
  <c r="V38" i="4" s="1"/>
  <c r="W33" i="4"/>
  <c r="X33" i="4"/>
  <c r="Y33" i="4"/>
  <c r="Z33" i="4"/>
  <c r="AA33" i="4"/>
  <c r="AB33" i="4"/>
  <c r="AC33" i="4"/>
  <c r="AD33" i="4"/>
  <c r="AE33" i="4"/>
  <c r="AF33" i="4"/>
  <c r="AG33" i="4"/>
  <c r="AH33" i="4"/>
  <c r="AI33" i="4"/>
  <c r="AJ33" i="4"/>
  <c r="AK33" i="4"/>
  <c r="AL33" i="4"/>
  <c r="AM33" i="4"/>
  <c r="AN33" i="4"/>
  <c r="L34" i="4"/>
  <c r="M34" i="4"/>
  <c r="N34" i="4"/>
  <c r="O34" i="4"/>
  <c r="P34" i="4"/>
  <c r="Q34" i="4"/>
  <c r="R34" i="4"/>
  <c r="S34" i="4"/>
  <c r="T34" i="4"/>
  <c r="U34" i="4"/>
  <c r="V34" i="4"/>
  <c r="W34" i="4"/>
  <c r="X34" i="4"/>
  <c r="Y34" i="4"/>
  <c r="Z34" i="4"/>
  <c r="AA34" i="4"/>
  <c r="AB34" i="4"/>
  <c r="AC34" i="4"/>
  <c r="AD34" i="4"/>
  <c r="AE34" i="4"/>
  <c r="AF34" i="4"/>
  <c r="AG34" i="4"/>
  <c r="AH34" i="4"/>
  <c r="AI34" i="4"/>
  <c r="AJ34" i="4"/>
  <c r="AK34" i="4"/>
  <c r="AL34" i="4"/>
  <c r="AM34" i="4"/>
  <c r="AN34" i="4"/>
  <c r="L35" i="4"/>
  <c r="M35" i="4"/>
  <c r="N35" i="4"/>
  <c r="O35" i="4"/>
  <c r="P35" i="4"/>
  <c r="Q35" i="4"/>
  <c r="R35" i="4"/>
  <c r="S35" i="4"/>
  <c r="T35" i="4"/>
  <c r="U35" i="4"/>
  <c r="V35" i="4"/>
  <c r="W35" i="4"/>
  <c r="X35" i="4"/>
  <c r="Y35" i="4"/>
  <c r="Z35" i="4"/>
  <c r="AA35" i="4"/>
  <c r="AB35" i="4"/>
  <c r="AC35" i="4"/>
  <c r="AD35" i="4"/>
  <c r="AE35" i="4"/>
  <c r="AF35" i="4"/>
  <c r="AG35" i="4"/>
  <c r="AH35" i="4"/>
  <c r="AI35" i="4"/>
  <c r="AJ35" i="4"/>
  <c r="AK35" i="4"/>
  <c r="AL35" i="4"/>
  <c r="AM35" i="4"/>
  <c r="AN35" i="4"/>
  <c r="L36" i="4"/>
  <c r="M36" i="4"/>
  <c r="N36" i="4"/>
  <c r="O36" i="4"/>
  <c r="P36" i="4"/>
  <c r="Q36" i="4"/>
  <c r="R36" i="4"/>
  <c r="S36" i="4"/>
  <c r="T36" i="4"/>
  <c r="U36" i="4"/>
  <c r="V36" i="4"/>
  <c r="W36" i="4"/>
  <c r="X36" i="4"/>
  <c r="Y36" i="4"/>
  <c r="Z36" i="4"/>
  <c r="AA36" i="4"/>
  <c r="AB36" i="4"/>
  <c r="AC36" i="4"/>
  <c r="AD36" i="4"/>
  <c r="AE36" i="4"/>
  <c r="AF36" i="4"/>
  <c r="AG36" i="4"/>
  <c r="AH36" i="4"/>
  <c r="AI36" i="4"/>
  <c r="AJ36" i="4"/>
  <c r="AK36" i="4"/>
  <c r="AL36" i="4"/>
  <c r="AM36" i="4"/>
  <c r="AN36" i="4"/>
  <c r="L37" i="4"/>
  <c r="M37" i="4"/>
  <c r="N37" i="4"/>
  <c r="O37" i="4"/>
  <c r="P37" i="4"/>
  <c r="Q37" i="4"/>
  <c r="R37" i="4"/>
  <c r="S37" i="4"/>
  <c r="T37" i="4"/>
  <c r="U37" i="4"/>
  <c r="V37" i="4"/>
  <c r="W37" i="4"/>
  <c r="X37" i="4"/>
  <c r="Y37" i="4"/>
  <c r="Z37" i="4"/>
  <c r="AA37" i="4"/>
  <c r="AB37" i="4"/>
  <c r="AC37" i="4"/>
  <c r="AD37" i="4"/>
  <c r="AE37" i="4"/>
  <c r="AF37" i="4"/>
  <c r="AG37" i="4"/>
  <c r="AH37" i="4"/>
  <c r="AI37" i="4"/>
  <c r="AJ37" i="4"/>
  <c r="AK37" i="4"/>
  <c r="AL37" i="4"/>
  <c r="AM37" i="4"/>
  <c r="AN37" i="4"/>
  <c r="L39" i="4"/>
  <c r="M39" i="4"/>
  <c r="N39" i="4"/>
  <c r="O39" i="4"/>
  <c r="P39" i="4"/>
  <c r="Q39" i="4"/>
  <c r="R39" i="4"/>
  <c r="S39" i="4"/>
  <c r="T39" i="4"/>
  <c r="U39" i="4"/>
  <c r="V39" i="4"/>
  <c r="W39" i="4"/>
  <c r="X39" i="4"/>
  <c r="Y39" i="4"/>
  <c r="Z39" i="4"/>
  <c r="AA39" i="4"/>
  <c r="AB39" i="4"/>
  <c r="AC39" i="4"/>
  <c r="AD39" i="4"/>
  <c r="AE39" i="4"/>
  <c r="AF39" i="4"/>
  <c r="AG39" i="4"/>
  <c r="AH39" i="4"/>
  <c r="AI39" i="4"/>
  <c r="AJ39" i="4"/>
  <c r="AK39" i="4"/>
  <c r="AL39" i="4"/>
  <c r="AM39" i="4"/>
  <c r="AN39" i="4"/>
  <c r="L40" i="4"/>
  <c r="M40" i="4"/>
  <c r="N40" i="4"/>
  <c r="O40" i="4"/>
  <c r="P40" i="4"/>
  <c r="Q40" i="4"/>
  <c r="R40" i="4"/>
  <c r="S40" i="4"/>
  <c r="T40" i="4"/>
  <c r="U40" i="4"/>
  <c r="V40" i="4"/>
  <c r="W40" i="4"/>
  <c r="X40" i="4"/>
  <c r="Y40" i="4"/>
  <c r="Z40" i="4"/>
  <c r="AA40" i="4"/>
  <c r="AB40" i="4"/>
  <c r="AC40" i="4"/>
  <c r="AD40" i="4"/>
  <c r="AE40" i="4"/>
  <c r="AF40" i="4"/>
  <c r="AG40" i="4"/>
  <c r="AH40" i="4"/>
  <c r="AI40" i="4"/>
  <c r="AJ40" i="4"/>
  <c r="AK40" i="4"/>
  <c r="AL40" i="4"/>
  <c r="AM40" i="4"/>
  <c r="AN40" i="4"/>
  <c r="L41" i="4"/>
  <c r="M41" i="4"/>
  <c r="N41" i="4"/>
  <c r="O41" i="4"/>
  <c r="P41" i="4"/>
  <c r="Q41" i="4"/>
  <c r="R41" i="4"/>
  <c r="S41" i="4"/>
  <c r="T41" i="4"/>
  <c r="U41" i="4"/>
  <c r="V41" i="4"/>
  <c r="W41" i="4"/>
  <c r="X41" i="4"/>
  <c r="Y41" i="4"/>
  <c r="Z41" i="4"/>
  <c r="AA41" i="4"/>
  <c r="AB41" i="4"/>
  <c r="AC41" i="4"/>
  <c r="AD41" i="4"/>
  <c r="AE41" i="4"/>
  <c r="AF41" i="4"/>
  <c r="AG41" i="4"/>
  <c r="AH41" i="4"/>
  <c r="AI41" i="4"/>
  <c r="AJ41" i="4"/>
  <c r="AK41" i="4"/>
  <c r="AL41" i="4"/>
  <c r="AM41" i="4"/>
  <c r="AN41" i="4"/>
  <c r="L42" i="4"/>
  <c r="M42" i="4"/>
  <c r="N42" i="4"/>
  <c r="O42" i="4"/>
  <c r="P42" i="4"/>
  <c r="Q42" i="4"/>
  <c r="R42" i="4"/>
  <c r="S42" i="4"/>
  <c r="T42" i="4"/>
  <c r="U42" i="4"/>
  <c r="V42" i="4"/>
  <c r="W42" i="4"/>
  <c r="X42" i="4"/>
  <c r="Y42" i="4"/>
  <c r="Z42" i="4"/>
  <c r="AA42" i="4"/>
  <c r="AB42" i="4"/>
  <c r="AC42" i="4"/>
  <c r="AD42" i="4"/>
  <c r="AE42" i="4"/>
  <c r="AF42" i="4"/>
  <c r="AG42" i="4"/>
  <c r="AH42" i="4"/>
  <c r="AI42" i="4"/>
  <c r="AJ42" i="4"/>
  <c r="AK42" i="4"/>
  <c r="AL42" i="4"/>
  <c r="AM42" i="4"/>
  <c r="AN42" i="4"/>
  <c r="L43" i="4"/>
  <c r="M43" i="4"/>
  <c r="N43" i="4"/>
  <c r="O43" i="4"/>
  <c r="P43" i="4"/>
  <c r="Q43" i="4"/>
  <c r="R43" i="4"/>
  <c r="S43" i="4"/>
  <c r="T43" i="4"/>
  <c r="U43" i="4"/>
  <c r="V43" i="4"/>
  <c r="W43" i="4"/>
  <c r="X43" i="4"/>
  <c r="Y43" i="4"/>
  <c r="Z43" i="4"/>
  <c r="AA43" i="4"/>
  <c r="AB43" i="4"/>
  <c r="AC43" i="4"/>
  <c r="AD43" i="4"/>
  <c r="AE43" i="4"/>
  <c r="AF43" i="4"/>
  <c r="AG43" i="4"/>
  <c r="AH43" i="4"/>
  <c r="AI43" i="4"/>
  <c r="AJ43" i="4"/>
  <c r="AK43" i="4"/>
  <c r="AL43" i="4"/>
  <c r="AM43" i="4"/>
  <c r="AN43" i="4"/>
  <c r="L45" i="4"/>
  <c r="M45" i="4"/>
  <c r="N45" i="4"/>
  <c r="O45" i="4"/>
  <c r="P45" i="4"/>
  <c r="Q45" i="4"/>
  <c r="R45" i="4"/>
  <c r="S45" i="4"/>
  <c r="T45" i="4"/>
  <c r="U45" i="4"/>
  <c r="V45" i="4"/>
  <c r="W45" i="4"/>
  <c r="X45" i="4"/>
  <c r="Y45" i="4"/>
  <c r="Z45" i="4"/>
  <c r="AA45" i="4"/>
  <c r="AB45" i="4"/>
  <c r="AC45" i="4"/>
  <c r="AD45" i="4"/>
  <c r="AE45" i="4"/>
  <c r="AF45" i="4"/>
  <c r="AG45" i="4"/>
  <c r="AH45" i="4"/>
  <c r="AI45" i="4"/>
  <c r="AJ45" i="4"/>
  <c r="AK45" i="4"/>
  <c r="AL45" i="4"/>
  <c r="AM45" i="4"/>
  <c r="AN45" i="4"/>
  <c r="L46" i="4"/>
  <c r="M46" i="4"/>
  <c r="N46" i="4"/>
  <c r="O46" i="4"/>
  <c r="P46" i="4"/>
  <c r="Q46" i="4"/>
  <c r="R46" i="4"/>
  <c r="S46" i="4"/>
  <c r="T46" i="4"/>
  <c r="U46" i="4"/>
  <c r="V46" i="4"/>
  <c r="W46" i="4"/>
  <c r="X46" i="4"/>
  <c r="Y46" i="4"/>
  <c r="Z46" i="4"/>
  <c r="AA46" i="4"/>
  <c r="AB46" i="4"/>
  <c r="AC46" i="4"/>
  <c r="AD46" i="4"/>
  <c r="AE46" i="4"/>
  <c r="AF46" i="4"/>
  <c r="AG46" i="4"/>
  <c r="AH46" i="4"/>
  <c r="AI46" i="4"/>
  <c r="AJ46" i="4"/>
  <c r="AK46" i="4"/>
  <c r="AL46" i="4"/>
  <c r="AM46" i="4"/>
  <c r="AN46" i="4"/>
  <c r="L47" i="4"/>
  <c r="M47" i="4"/>
  <c r="N47" i="4"/>
  <c r="O47" i="4"/>
  <c r="P47" i="4"/>
  <c r="Q47" i="4"/>
  <c r="R47" i="4"/>
  <c r="S47" i="4"/>
  <c r="T47" i="4"/>
  <c r="U47" i="4"/>
  <c r="V47" i="4"/>
  <c r="W47" i="4"/>
  <c r="X47" i="4"/>
  <c r="Y47" i="4"/>
  <c r="Z47" i="4"/>
  <c r="AA47" i="4"/>
  <c r="AB47" i="4"/>
  <c r="AC47" i="4"/>
  <c r="AD47" i="4"/>
  <c r="AE47" i="4"/>
  <c r="AF47" i="4"/>
  <c r="AG47" i="4"/>
  <c r="AH47" i="4"/>
  <c r="AI47" i="4"/>
  <c r="AJ47" i="4"/>
  <c r="AK47" i="4"/>
  <c r="AL47" i="4"/>
  <c r="AM47" i="4"/>
  <c r="AN47" i="4"/>
  <c r="L48" i="4"/>
  <c r="M48" i="4"/>
  <c r="N48" i="4"/>
  <c r="O48" i="4"/>
  <c r="P48" i="4"/>
  <c r="Q48" i="4"/>
  <c r="R48" i="4"/>
  <c r="S48" i="4"/>
  <c r="T48" i="4"/>
  <c r="U48" i="4"/>
  <c r="V48" i="4"/>
  <c r="W48" i="4"/>
  <c r="X48" i="4"/>
  <c r="Y48" i="4"/>
  <c r="Z48" i="4"/>
  <c r="AA48" i="4"/>
  <c r="AB48" i="4"/>
  <c r="AC48" i="4"/>
  <c r="AD48" i="4"/>
  <c r="AE48" i="4"/>
  <c r="AF48" i="4"/>
  <c r="AG48" i="4"/>
  <c r="AH48" i="4"/>
  <c r="AI48" i="4"/>
  <c r="AJ48" i="4"/>
  <c r="AK48" i="4"/>
  <c r="AL48" i="4"/>
  <c r="AM48" i="4"/>
  <c r="AN48" i="4"/>
  <c r="L49" i="4"/>
  <c r="M49" i="4"/>
  <c r="N49" i="4"/>
  <c r="O49" i="4"/>
  <c r="P49" i="4"/>
  <c r="Q49" i="4"/>
  <c r="R49" i="4"/>
  <c r="S49" i="4"/>
  <c r="T49" i="4"/>
  <c r="U49" i="4"/>
  <c r="V49" i="4"/>
  <c r="W49" i="4"/>
  <c r="X49" i="4"/>
  <c r="Y49" i="4"/>
  <c r="Z49" i="4"/>
  <c r="AA49" i="4"/>
  <c r="AB49" i="4"/>
  <c r="AC49" i="4"/>
  <c r="AD49" i="4"/>
  <c r="AE49" i="4"/>
  <c r="AF49" i="4"/>
  <c r="AG49" i="4"/>
  <c r="AH49" i="4"/>
  <c r="AI49" i="4"/>
  <c r="AJ49" i="4"/>
  <c r="AK49" i="4"/>
  <c r="AL49" i="4"/>
  <c r="AM49" i="4"/>
  <c r="AN49" i="4"/>
  <c r="L61" i="4"/>
  <c r="M61" i="4"/>
  <c r="N61" i="4"/>
  <c r="O61" i="4"/>
  <c r="P61" i="4"/>
  <c r="Q61" i="4"/>
  <c r="R61" i="4"/>
  <c r="S61" i="4"/>
  <c r="T61" i="4"/>
  <c r="U61" i="4"/>
  <c r="V61" i="4"/>
  <c r="W61" i="4"/>
  <c r="X61" i="4"/>
  <c r="Y61" i="4"/>
  <c r="Z61" i="4"/>
  <c r="AA61" i="4"/>
  <c r="AB61" i="4"/>
  <c r="AC61" i="4"/>
  <c r="AD61" i="4"/>
  <c r="AE61" i="4"/>
  <c r="AF61" i="4"/>
  <c r="AG61" i="4"/>
  <c r="AH61" i="4"/>
  <c r="AI61" i="4"/>
  <c r="AJ61" i="4"/>
  <c r="AK61" i="4"/>
  <c r="AL61" i="4"/>
  <c r="AM61" i="4"/>
  <c r="AN61" i="4"/>
  <c r="L62" i="4"/>
  <c r="M62" i="4"/>
  <c r="N62" i="4"/>
  <c r="O62" i="4"/>
  <c r="P62" i="4"/>
  <c r="Q62" i="4"/>
  <c r="R62" i="4"/>
  <c r="S62" i="4"/>
  <c r="T62" i="4"/>
  <c r="U62" i="4"/>
  <c r="V62" i="4"/>
  <c r="W62" i="4"/>
  <c r="X62" i="4"/>
  <c r="Y62" i="4"/>
  <c r="Z62" i="4"/>
  <c r="AA62" i="4"/>
  <c r="AB62" i="4"/>
  <c r="AC62" i="4"/>
  <c r="AD62" i="4"/>
  <c r="AE62" i="4"/>
  <c r="AF62" i="4"/>
  <c r="AG62" i="4"/>
  <c r="AH62" i="4"/>
  <c r="AI62" i="4"/>
  <c r="AJ62" i="4"/>
  <c r="AK62" i="4"/>
  <c r="AL62" i="4"/>
  <c r="AM62" i="4"/>
  <c r="AN62" i="4"/>
  <c r="L63" i="4"/>
  <c r="M63" i="4"/>
  <c r="N63" i="4"/>
  <c r="O63" i="4"/>
  <c r="P63" i="4"/>
  <c r="Q63" i="4"/>
  <c r="R63" i="4"/>
  <c r="S63" i="4"/>
  <c r="T63" i="4"/>
  <c r="U63" i="4"/>
  <c r="V63" i="4"/>
  <c r="W63" i="4"/>
  <c r="X63" i="4"/>
  <c r="Y63" i="4"/>
  <c r="Z63" i="4"/>
  <c r="AA63" i="4"/>
  <c r="AB63" i="4"/>
  <c r="AC63" i="4"/>
  <c r="AD63" i="4"/>
  <c r="AE63" i="4"/>
  <c r="AF63" i="4"/>
  <c r="AG63" i="4"/>
  <c r="AH63" i="4"/>
  <c r="AI63" i="4"/>
  <c r="AJ63" i="4"/>
  <c r="AK63" i="4"/>
  <c r="AL63" i="4"/>
  <c r="AM63" i="4"/>
  <c r="AN63" i="4"/>
  <c r="L64" i="4"/>
  <c r="M64" i="4"/>
  <c r="N64" i="4"/>
  <c r="O64" i="4"/>
  <c r="P64" i="4"/>
  <c r="Q64" i="4"/>
  <c r="R64" i="4"/>
  <c r="S64" i="4"/>
  <c r="T64" i="4"/>
  <c r="U64" i="4"/>
  <c r="V64" i="4"/>
  <c r="W64" i="4"/>
  <c r="X64" i="4"/>
  <c r="Y64" i="4"/>
  <c r="Z64" i="4"/>
  <c r="AA64" i="4"/>
  <c r="AB64" i="4"/>
  <c r="AC64" i="4"/>
  <c r="AD64" i="4"/>
  <c r="AE64" i="4"/>
  <c r="AF64" i="4"/>
  <c r="AG64" i="4"/>
  <c r="AH64" i="4"/>
  <c r="AI64" i="4"/>
  <c r="AJ64" i="4"/>
  <c r="AK64" i="4"/>
  <c r="AL64" i="4"/>
  <c r="AM64" i="4"/>
  <c r="AN64" i="4"/>
  <c r="L65" i="4"/>
  <c r="M65" i="4"/>
  <c r="N65" i="4"/>
  <c r="O65" i="4"/>
  <c r="P65" i="4"/>
  <c r="Q65" i="4"/>
  <c r="R65" i="4"/>
  <c r="S65" i="4"/>
  <c r="T65" i="4"/>
  <c r="U65" i="4"/>
  <c r="V65" i="4"/>
  <c r="W65" i="4"/>
  <c r="X65" i="4"/>
  <c r="Y65" i="4"/>
  <c r="Z65" i="4"/>
  <c r="AA65" i="4"/>
  <c r="AB65" i="4"/>
  <c r="AC65" i="4"/>
  <c r="AD65" i="4"/>
  <c r="AE65" i="4"/>
  <c r="AF65" i="4"/>
  <c r="AG65" i="4"/>
  <c r="AH65" i="4"/>
  <c r="AI65" i="4"/>
  <c r="AJ65" i="4"/>
  <c r="AK65" i="4"/>
  <c r="AL65" i="4"/>
  <c r="AM65" i="4"/>
  <c r="AN65" i="4"/>
  <c r="L66" i="4"/>
  <c r="M66" i="4"/>
  <c r="N66" i="4"/>
  <c r="O66" i="4"/>
  <c r="P66" i="4"/>
  <c r="Q66" i="4"/>
  <c r="R66" i="4"/>
  <c r="S66" i="4"/>
  <c r="T66" i="4"/>
  <c r="U66" i="4"/>
  <c r="V66" i="4"/>
  <c r="W66" i="4"/>
  <c r="X66" i="4"/>
  <c r="Y66" i="4"/>
  <c r="Z66" i="4"/>
  <c r="AA66" i="4"/>
  <c r="AB66" i="4"/>
  <c r="AC66" i="4"/>
  <c r="AD66" i="4"/>
  <c r="AE66" i="4"/>
  <c r="AF66" i="4"/>
  <c r="AG66" i="4"/>
  <c r="AH66" i="4"/>
  <c r="AI66" i="4"/>
  <c r="AJ66" i="4"/>
  <c r="AK66" i="4"/>
  <c r="AL66" i="4"/>
  <c r="AM66" i="4"/>
  <c r="AN66" i="4"/>
  <c r="L67" i="4"/>
  <c r="M67" i="4"/>
  <c r="N67" i="4"/>
  <c r="O67" i="4"/>
  <c r="P67" i="4"/>
  <c r="Q67" i="4"/>
  <c r="R67" i="4"/>
  <c r="S67" i="4"/>
  <c r="T67" i="4"/>
  <c r="U67" i="4"/>
  <c r="V67" i="4"/>
  <c r="W67" i="4"/>
  <c r="X67" i="4"/>
  <c r="Y67" i="4"/>
  <c r="Z67" i="4"/>
  <c r="AA67" i="4"/>
  <c r="AB67" i="4"/>
  <c r="AC67" i="4"/>
  <c r="AD67" i="4"/>
  <c r="AE67" i="4"/>
  <c r="AF67" i="4"/>
  <c r="AG67" i="4"/>
  <c r="AH67" i="4"/>
  <c r="AI67" i="4"/>
  <c r="AJ67" i="4"/>
  <c r="AK67" i="4"/>
  <c r="AL67" i="4"/>
  <c r="AM67" i="4"/>
  <c r="AN67" i="4"/>
  <c r="L68" i="4"/>
  <c r="M68" i="4"/>
  <c r="N68" i="4"/>
  <c r="O68" i="4"/>
  <c r="P68" i="4"/>
  <c r="Q68" i="4"/>
  <c r="R68" i="4"/>
  <c r="S68" i="4"/>
  <c r="T68" i="4"/>
  <c r="U68" i="4"/>
  <c r="V68" i="4"/>
  <c r="W68" i="4"/>
  <c r="X68" i="4"/>
  <c r="Y68" i="4"/>
  <c r="Z68" i="4"/>
  <c r="AA68" i="4"/>
  <c r="AB68" i="4"/>
  <c r="AC68" i="4"/>
  <c r="AD68" i="4"/>
  <c r="AE68" i="4"/>
  <c r="AF68" i="4"/>
  <c r="AG68" i="4"/>
  <c r="AH68" i="4"/>
  <c r="AI68" i="4"/>
  <c r="AJ68" i="4"/>
  <c r="AK68" i="4"/>
  <c r="AL68" i="4"/>
  <c r="AM68" i="4"/>
  <c r="AN68" i="4"/>
  <c r="L69" i="4"/>
  <c r="M69" i="4"/>
  <c r="N69" i="4"/>
  <c r="O69" i="4"/>
  <c r="P69" i="4"/>
  <c r="Q69" i="4"/>
  <c r="R69" i="4"/>
  <c r="S69" i="4"/>
  <c r="T69" i="4"/>
  <c r="U69" i="4"/>
  <c r="V69" i="4"/>
  <c r="W69" i="4"/>
  <c r="X69" i="4"/>
  <c r="Y69" i="4"/>
  <c r="Z69" i="4"/>
  <c r="AA69" i="4"/>
  <c r="AB69" i="4"/>
  <c r="AC69" i="4"/>
  <c r="AD69" i="4"/>
  <c r="AE69" i="4"/>
  <c r="AF69" i="4"/>
  <c r="AG69" i="4"/>
  <c r="AH69" i="4"/>
  <c r="AI69" i="4"/>
  <c r="AJ69" i="4"/>
  <c r="AK69" i="4"/>
  <c r="AL69" i="4"/>
  <c r="AM69" i="4"/>
  <c r="AN69" i="4"/>
  <c r="L70" i="4"/>
  <c r="M70" i="4"/>
  <c r="N70" i="4"/>
  <c r="O70" i="4"/>
  <c r="P70" i="4"/>
  <c r="Q70" i="4"/>
  <c r="R70" i="4"/>
  <c r="S70" i="4"/>
  <c r="T70" i="4"/>
  <c r="U70" i="4"/>
  <c r="V70" i="4"/>
  <c r="W70" i="4"/>
  <c r="X70" i="4"/>
  <c r="Y70" i="4"/>
  <c r="Z70" i="4"/>
  <c r="AA70" i="4"/>
  <c r="AB70" i="4"/>
  <c r="AC70" i="4"/>
  <c r="AD70" i="4"/>
  <c r="AE70" i="4"/>
  <c r="AF70" i="4"/>
  <c r="AG70" i="4"/>
  <c r="AH70" i="4"/>
  <c r="AI70" i="4"/>
  <c r="AJ70" i="4"/>
  <c r="AK70" i="4"/>
  <c r="AL70" i="4"/>
  <c r="AM70" i="4"/>
  <c r="AN70" i="4"/>
  <c r="L71" i="4"/>
  <c r="M71" i="4"/>
  <c r="N71" i="4"/>
  <c r="O71" i="4"/>
  <c r="P71" i="4"/>
  <c r="Q71" i="4"/>
  <c r="R71" i="4"/>
  <c r="S71" i="4"/>
  <c r="T71" i="4"/>
  <c r="U71" i="4"/>
  <c r="V71" i="4"/>
  <c r="W71" i="4"/>
  <c r="X71" i="4"/>
  <c r="Y71" i="4"/>
  <c r="Z71" i="4"/>
  <c r="AA71" i="4"/>
  <c r="AB71" i="4"/>
  <c r="AC71" i="4"/>
  <c r="AD71" i="4"/>
  <c r="AE71" i="4"/>
  <c r="AF71" i="4"/>
  <c r="AG71" i="4"/>
  <c r="AH71" i="4"/>
  <c r="AI71" i="4"/>
  <c r="AJ71" i="4"/>
  <c r="AK71" i="4"/>
  <c r="AL71" i="4"/>
  <c r="AM71" i="4"/>
  <c r="AN71" i="4"/>
  <c r="L83" i="4"/>
  <c r="M83" i="4"/>
  <c r="N83" i="4"/>
  <c r="O83" i="4"/>
  <c r="P83" i="4"/>
  <c r="Q83" i="4"/>
  <c r="R83" i="4"/>
  <c r="S83" i="4"/>
  <c r="T83" i="4"/>
  <c r="U83" i="4"/>
  <c r="V83" i="4"/>
  <c r="W83" i="4"/>
  <c r="X83" i="4"/>
  <c r="Y83" i="4"/>
  <c r="Z83" i="4"/>
  <c r="AA83" i="4"/>
  <c r="AB83" i="4"/>
  <c r="AC83" i="4"/>
  <c r="AD83" i="4"/>
  <c r="AE83" i="4"/>
  <c r="AF83" i="4"/>
  <c r="AG83" i="4"/>
  <c r="AH83" i="4"/>
  <c r="AI83" i="4"/>
  <c r="AJ83" i="4"/>
  <c r="AK83" i="4"/>
  <c r="AL83" i="4"/>
  <c r="AM83" i="4"/>
  <c r="AN83" i="4"/>
  <c r="L84" i="4"/>
  <c r="M84" i="4"/>
  <c r="N84" i="4"/>
  <c r="O84" i="4"/>
  <c r="P84" i="4"/>
  <c r="Q84" i="4"/>
  <c r="R84" i="4"/>
  <c r="S84" i="4"/>
  <c r="T84" i="4"/>
  <c r="U84" i="4"/>
  <c r="V84" i="4"/>
  <c r="W84" i="4"/>
  <c r="X84" i="4"/>
  <c r="Y84" i="4"/>
  <c r="Z84" i="4"/>
  <c r="AA84" i="4"/>
  <c r="AB84" i="4"/>
  <c r="AC84" i="4"/>
  <c r="AD84" i="4"/>
  <c r="AE84" i="4"/>
  <c r="AF84" i="4"/>
  <c r="AG84" i="4"/>
  <c r="AH84" i="4"/>
  <c r="AI84" i="4"/>
  <c r="AJ84" i="4"/>
  <c r="AK84" i="4"/>
  <c r="AL84" i="4"/>
  <c r="AM84" i="4"/>
  <c r="AN84" i="4"/>
  <c r="L85" i="4"/>
  <c r="M85" i="4"/>
  <c r="N85" i="4"/>
  <c r="O85" i="4"/>
  <c r="P85" i="4"/>
  <c r="Q85" i="4"/>
  <c r="R85" i="4"/>
  <c r="S85" i="4"/>
  <c r="T85" i="4"/>
  <c r="U85" i="4"/>
  <c r="V85" i="4"/>
  <c r="W85" i="4"/>
  <c r="X85" i="4"/>
  <c r="Y85" i="4"/>
  <c r="Z85" i="4"/>
  <c r="AA85" i="4"/>
  <c r="AB85" i="4"/>
  <c r="AC85" i="4"/>
  <c r="AD85" i="4"/>
  <c r="AE85" i="4"/>
  <c r="AF85" i="4"/>
  <c r="AG85" i="4"/>
  <c r="AH85" i="4"/>
  <c r="AI85" i="4"/>
  <c r="AJ85" i="4"/>
  <c r="AK85" i="4"/>
  <c r="AL85" i="4"/>
  <c r="AM85" i="4"/>
  <c r="AN85" i="4"/>
  <c r="L86" i="4"/>
  <c r="M86" i="4"/>
  <c r="N86" i="4"/>
  <c r="O86" i="4"/>
  <c r="P86" i="4"/>
  <c r="Q86" i="4"/>
  <c r="R86" i="4"/>
  <c r="S86" i="4"/>
  <c r="T86" i="4"/>
  <c r="U86" i="4"/>
  <c r="V86" i="4"/>
  <c r="W86" i="4"/>
  <c r="X86" i="4"/>
  <c r="Y86" i="4"/>
  <c r="Z86" i="4"/>
  <c r="AA86" i="4"/>
  <c r="AB86" i="4"/>
  <c r="AC86" i="4"/>
  <c r="AD86" i="4"/>
  <c r="AE86" i="4"/>
  <c r="AF86" i="4"/>
  <c r="AG86" i="4"/>
  <c r="AH86" i="4"/>
  <c r="AI86" i="4"/>
  <c r="AJ86" i="4"/>
  <c r="AK86" i="4"/>
  <c r="AL86" i="4"/>
  <c r="AM86" i="4"/>
  <c r="AN86" i="4"/>
  <c r="L87" i="4"/>
  <c r="M87" i="4"/>
  <c r="N87" i="4"/>
  <c r="O87" i="4"/>
  <c r="P87" i="4"/>
  <c r="Q87" i="4"/>
  <c r="R87" i="4"/>
  <c r="S87" i="4"/>
  <c r="T87" i="4"/>
  <c r="U87" i="4"/>
  <c r="V87" i="4"/>
  <c r="W87" i="4"/>
  <c r="X87" i="4"/>
  <c r="Y87" i="4"/>
  <c r="Z87" i="4"/>
  <c r="AA87" i="4"/>
  <c r="AB87" i="4"/>
  <c r="AC87" i="4"/>
  <c r="AD87" i="4"/>
  <c r="AE87" i="4"/>
  <c r="AF87" i="4"/>
  <c r="AG87" i="4"/>
  <c r="AH87" i="4"/>
  <c r="AI87" i="4"/>
  <c r="AJ87" i="4"/>
  <c r="AK87" i="4"/>
  <c r="AL87" i="4"/>
  <c r="AM87" i="4"/>
  <c r="AN87" i="4"/>
  <c r="L88" i="4"/>
  <c r="M88" i="4"/>
  <c r="N88" i="4"/>
  <c r="O88" i="4"/>
  <c r="P88" i="4"/>
  <c r="Q88" i="4"/>
  <c r="R88" i="4"/>
  <c r="S88" i="4"/>
  <c r="T88" i="4"/>
  <c r="U88" i="4"/>
  <c r="V88" i="4"/>
  <c r="W88" i="4"/>
  <c r="X88" i="4"/>
  <c r="Y88" i="4"/>
  <c r="Z88" i="4"/>
  <c r="AA88" i="4"/>
  <c r="AB88" i="4"/>
  <c r="AC88" i="4"/>
  <c r="AD88" i="4"/>
  <c r="AE88" i="4"/>
  <c r="AF88" i="4"/>
  <c r="AG88" i="4"/>
  <c r="AH88" i="4"/>
  <c r="AI88" i="4"/>
  <c r="AJ88" i="4"/>
  <c r="AK88" i="4"/>
  <c r="AL88" i="4"/>
  <c r="AM88" i="4"/>
  <c r="AN88" i="4"/>
  <c r="L90" i="4"/>
  <c r="M90" i="4"/>
  <c r="N90" i="4"/>
  <c r="O90" i="4"/>
  <c r="P90" i="4"/>
  <c r="Q90" i="4"/>
  <c r="R90" i="4"/>
  <c r="S90" i="4"/>
  <c r="T90" i="4"/>
  <c r="U90" i="4"/>
  <c r="V90" i="4"/>
  <c r="W90" i="4"/>
  <c r="X90" i="4"/>
  <c r="Y90" i="4"/>
  <c r="Z90" i="4"/>
  <c r="AA90" i="4"/>
  <c r="AB90" i="4"/>
  <c r="AC90" i="4"/>
  <c r="AD90" i="4"/>
  <c r="AE90" i="4"/>
  <c r="AF90" i="4"/>
  <c r="AG90" i="4"/>
  <c r="AH90" i="4"/>
  <c r="AI90" i="4"/>
  <c r="AJ90" i="4"/>
  <c r="AK90" i="4"/>
  <c r="AL90" i="4"/>
  <c r="AM90" i="4"/>
  <c r="AN90" i="4"/>
  <c r="L91" i="4"/>
  <c r="M91" i="4"/>
  <c r="N91" i="4"/>
  <c r="O91" i="4"/>
  <c r="P91" i="4"/>
  <c r="Q91" i="4"/>
  <c r="R91" i="4"/>
  <c r="S91" i="4"/>
  <c r="T91" i="4"/>
  <c r="U91" i="4"/>
  <c r="V91" i="4"/>
  <c r="W91" i="4"/>
  <c r="X91" i="4"/>
  <c r="Y91" i="4"/>
  <c r="Z91" i="4"/>
  <c r="AA91" i="4"/>
  <c r="AB91" i="4"/>
  <c r="AC91" i="4"/>
  <c r="AD91" i="4"/>
  <c r="AE91" i="4"/>
  <c r="AF91" i="4"/>
  <c r="AG91" i="4"/>
  <c r="AH91" i="4"/>
  <c r="AI91" i="4"/>
  <c r="AJ91" i="4"/>
  <c r="AK91" i="4"/>
  <c r="AL91" i="4"/>
  <c r="AM91" i="4"/>
  <c r="AN91" i="4"/>
  <c r="L92" i="4"/>
  <c r="M92" i="4"/>
  <c r="N92" i="4"/>
  <c r="O92" i="4"/>
  <c r="P92" i="4"/>
  <c r="Q92" i="4"/>
  <c r="R92" i="4"/>
  <c r="S92" i="4"/>
  <c r="T92" i="4"/>
  <c r="U92" i="4"/>
  <c r="V92" i="4"/>
  <c r="W92" i="4"/>
  <c r="X92" i="4"/>
  <c r="Y92" i="4"/>
  <c r="Z92" i="4"/>
  <c r="AA92" i="4"/>
  <c r="AB92" i="4"/>
  <c r="AC92" i="4"/>
  <c r="AD92" i="4"/>
  <c r="AE92" i="4"/>
  <c r="AF92" i="4"/>
  <c r="AG92" i="4"/>
  <c r="AH92" i="4"/>
  <c r="AI92" i="4"/>
  <c r="AJ92" i="4"/>
  <c r="AK92" i="4"/>
  <c r="AL92" i="4"/>
  <c r="AM92" i="4"/>
  <c r="AN92" i="4"/>
  <c r="L93" i="4"/>
  <c r="M93" i="4"/>
  <c r="N93" i="4"/>
  <c r="O93" i="4"/>
  <c r="P93" i="4"/>
  <c r="Q93" i="4"/>
  <c r="R93" i="4"/>
  <c r="S93" i="4"/>
  <c r="T93" i="4"/>
  <c r="U93" i="4"/>
  <c r="V93" i="4"/>
  <c r="W93" i="4"/>
  <c r="X93" i="4"/>
  <c r="Y93" i="4"/>
  <c r="Z93" i="4"/>
  <c r="AA93" i="4"/>
  <c r="AB93" i="4"/>
  <c r="AC93" i="4"/>
  <c r="AD93" i="4"/>
  <c r="AE93" i="4"/>
  <c r="AF93" i="4"/>
  <c r="AG93" i="4"/>
  <c r="AH93" i="4"/>
  <c r="AI93" i="4"/>
  <c r="AJ93" i="4"/>
  <c r="AK93" i="4"/>
  <c r="AL93" i="4"/>
  <c r="AM93" i="4"/>
  <c r="AN93" i="4"/>
  <c r="L94" i="4"/>
  <c r="M94" i="4"/>
  <c r="N94" i="4"/>
  <c r="O94" i="4"/>
  <c r="P94" i="4"/>
  <c r="Q94" i="4"/>
  <c r="R94" i="4"/>
  <c r="S94" i="4"/>
  <c r="T94" i="4"/>
  <c r="U94" i="4"/>
  <c r="V94" i="4"/>
  <c r="W94" i="4"/>
  <c r="X94" i="4"/>
  <c r="Y94" i="4"/>
  <c r="Z94" i="4"/>
  <c r="AA94" i="4"/>
  <c r="AB94" i="4"/>
  <c r="AC94" i="4"/>
  <c r="AD94" i="4"/>
  <c r="AE94" i="4"/>
  <c r="AF94" i="4"/>
  <c r="AG94" i="4"/>
  <c r="AH94" i="4"/>
  <c r="AI94" i="4"/>
  <c r="AJ94" i="4"/>
  <c r="AK94" i="4"/>
  <c r="AL94" i="4"/>
  <c r="AM94" i="4"/>
  <c r="AN94" i="4"/>
  <c r="L95" i="4"/>
  <c r="M95" i="4"/>
  <c r="N95" i="4"/>
  <c r="O95" i="4"/>
  <c r="P95" i="4"/>
  <c r="Q95" i="4"/>
  <c r="R95" i="4"/>
  <c r="S95" i="4"/>
  <c r="T95" i="4"/>
  <c r="U95" i="4"/>
  <c r="V95" i="4"/>
  <c r="W95" i="4"/>
  <c r="X95" i="4"/>
  <c r="Y95" i="4"/>
  <c r="Z95" i="4"/>
  <c r="AA95" i="4"/>
  <c r="AB95" i="4"/>
  <c r="AC95" i="4"/>
  <c r="AD95" i="4"/>
  <c r="AE95" i="4"/>
  <c r="AF95" i="4"/>
  <c r="AG95" i="4"/>
  <c r="AH95" i="4"/>
  <c r="AI95" i="4"/>
  <c r="AJ95" i="4"/>
  <c r="AK95" i="4"/>
  <c r="AL95" i="4"/>
  <c r="AM95" i="4"/>
  <c r="AN95" i="4"/>
  <c r="L96" i="4"/>
  <c r="M96" i="4"/>
  <c r="N96" i="4"/>
  <c r="O96" i="4"/>
  <c r="P96" i="4"/>
  <c r="Q96" i="4"/>
  <c r="R96" i="4"/>
  <c r="S96" i="4"/>
  <c r="T96" i="4"/>
  <c r="U96" i="4"/>
  <c r="V96" i="4"/>
  <c r="W96" i="4"/>
  <c r="X96" i="4"/>
  <c r="Y96" i="4"/>
  <c r="Z96" i="4"/>
  <c r="AA96" i="4"/>
  <c r="AB96" i="4"/>
  <c r="AC96" i="4"/>
  <c r="AD96" i="4"/>
  <c r="AE96" i="4"/>
  <c r="AF96" i="4"/>
  <c r="AG96" i="4"/>
  <c r="AH96" i="4"/>
  <c r="AI96" i="4"/>
  <c r="AJ96" i="4"/>
  <c r="AK96" i="4"/>
  <c r="AL96" i="4"/>
  <c r="AM96" i="4"/>
  <c r="AN96" i="4"/>
  <c r="L97" i="4"/>
  <c r="M97" i="4"/>
  <c r="N97" i="4"/>
  <c r="O97" i="4"/>
  <c r="P97" i="4"/>
  <c r="Q97" i="4"/>
  <c r="R97" i="4"/>
  <c r="S97" i="4"/>
  <c r="T97" i="4"/>
  <c r="U97" i="4"/>
  <c r="V97" i="4"/>
  <c r="W97" i="4"/>
  <c r="X97" i="4"/>
  <c r="Y97" i="4"/>
  <c r="Z97" i="4"/>
  <c r="AA97" i="4"/>
  <c r="AB97" i="4"/>
  <c r="AC97" i="4"/>
  <c r="AD97" i="4"/>
  <c r="AE97" i="4"/>
  <c r="AF97" i="4"/>
  <c r="AG97" i="4"/>
  <c r="AH97" i="4"/>
  <c r="AI97" i="4"/>
  <c r="AJ97" i="4"/>
  <c r="AK97" i="4"/>
  <c r="AL97" i="4"/>
  <c r="AM97" i="4"/>
  <c r="AN97" i="4"/>
  <c r="L98" i="4"/>
  <c r="M98" i="4"/>
  <c r="N98" i="4"/>
  <c r="O98" i="4"/>
  <c r="P98" i="4"/>
  <c r="Q98" i="4"/>
  <c r="R98" i="4"/>
  <c r="S98" i="4"/>
  <c r="T98" i="4"/>
  <c r="U98" i="4"/>
  <c r="V98" i="4"/>
  <c r="W98" i="4"/>
  <c r="X98" i="4"/>
  <c r="Y98" i="4"/>
  <c r="Z98" i="4"/>
  <c r="AA98" i="4"/>
  <c r="AB98" i="4"/>
  <c r="AC98" i="4"/>
  <c r="AD98" i="4"/>
  <c r="AE98" i="4"/>
  <c r="AF98" i="4"/>
  <c r="AG98" i="4"/>
  <c r="AH98" i="4"/>
  <c r="AI98" i="4"/>
  <c r="AJ98" i="4"/>
  <c r="AK98" i="4"/>
  <c r="AL98" i="4"/>
  <c r="AM98" i="4"/>
  <c r="AN98" i="4"/>
  <c r="L99" i="4"/>
  <c r="M99" i="4"/>
  <c r="N99" i="4"/>
  <c r="O99" i="4"/>
  <c r="P99" i="4"/>
  <c r="Q99" i="4"/>
  <c r="R99" i="4"/>
  <c r="S99" i="4"/>
  <c r="T99" i="4"/>
  <c r="U99" i="4"/>
  <c r="V99" i="4"/>
  <c r="W99" i="4"/>
  <c r="X99" i="4"/>
  <c r="Y99" i="4"/>
  <c r="Z99" i="4"/>
  <c r="AA99" i="4"/>
  <c r="AB99" i="4"/>
  <c r="AC99" i="4"/>
  <c r="AD99" i="4"/>
  <c r="AE99" i="4"/>
  <c r="AF99" i="4"/>
  <c r="AG99" i="4"/>
  <c r="AH99" i="4"/>
  <c r="AI99" i="4"/>
  <c r="AJ99" i="4"/>
  <c r="AK99" i="4"/>
  <c r="AL99" i="4"/>
  <c r="AM99" i="4"/>
  <c r="AN99" i="4"/>
  <c r="L101" i="4"/>
  <c r="M101" i="4"/>
  <c r="N101" i="4"/>
  <c r="O101" i="4"/>
  <c r="P101" i="4"/>
  <c r="Q101" i="4"/>
  <c r="R101" i="4"/>
  <c r="S101" i="4"/>
  <c r="T101" i="4"/>
  <c r="U101" i="4"/>
  <c r="V101" i="4"/>
  <c r="W101" i="4"/>
  <c r="X101" i="4"/>
  <c r="Y101" i="4"/>
  <c r="Z101" i="4"/>
  <c r="AA101" i="4"/>
  <c r="AB101" i="4"/>
  <c r="AC101" i="4"/>
  <c r="AD101" i="4"/>
  <c r="AE101" i="4"/>
  <c r="AF101" i="4"/>
  <c r="AG101" i="4"/>
  <c r="AH101" i="4"/>
  <c r="AI101" i="4"/>
  <c r="AJ101" i="4"/>
  <c r="AK101" i="4"/>
  <c r="AL101" i="4"/>
  <c r="AM101" i="4"/>
  <c r="AN101" i="4"/>
  <c r="L102" i="4"/>
  <c r="M102" i="4"/>
  <c r="N102" i="4"/>
  <c r="O102" i="4"/>
  <c r="P102" i="4"/>
  <c r="Q102" i="4"/>
  <c r="R102" i="4"/>
  <c r="S102" i="4"/>
  <c r="T102" i="4"/>
  <c r="U102" i="4"/>
  <c r="V102" i="4"/>
  <c r="W102" i="4"/>
  <c r="X102" i="4"/>
  <c r="Y102" i="4"/>
  <c r="Z102" i="4"/>
  <c r="AA102" i="4"/>
  <c r="AB102" i="4"/>
  <c r="AC102" i="4"/>
  <c r="AD102" i="4"/>
  <c r="AE102" i="4"/>
  <c r="AF102" i="4"/>
  <c r="AG102" i="4"/>
  <c r="AH102" i="4"/>
  <c r="AI102" i="4"/>
  <c r="AJ102" i="4"/>
  <c r="AK102" i="4"/>
  <c r="AL102" i="4"/>
  <c r="AM102" i="4"/>
  <c r="AN102" i="4"/>
  <c r="L103" i="4"/>
  <c r="M103" i="4"/>
  <c r="N103" i="4"/>
  <c r="O103" i="4"/>
  <c r="P103" i="4"/>
  <c r="Q103" i="4"/>
  <c r="R103" i="4"/>
  <c r="S103" i="4"/>
  <c r="T103" i="4"/>
  <c r="U103" i="4"/>
  <c r="V103" i="4"/>
  <c r="W103" i="4"/>
  <c r="X103" i="4"/>
  <c r="Y103" i="4"/>
  <c r="Z103" i="4"/>
  <c r="AA103" i="4"/>
  <c r="AB103" i="4"/>
  <c r="AC103" i="4"/>
  <c r="AD103" i="4"/>
  <c r="AE103" i="4"/>
  <c r="AF103" i="4"/>
  <c r="AG103" i="4"/>
  <c r="AH103" i="4"/>
  <c r="AI103" i="4"/>
  <c r="AJ103" i="4"/>
  <c r="AK103" i="4"/>
  <c r="AL103" i="4"/>
  <c r="AM103" i="4"/>
  <c r="AN103" i="4"/>
  <c r="L104" i="4"/>
  <c r="M104" i="4"/>
  <c r="N104" i="4"/>
  <c r="O104" i="4"/>
  <c r="P104" i="4"/>
  <c r="Q104" i="4"/>
  <c r="R104" i="4"/>
  <c r="S104" i="4"/>
  <c r="T104" i="4"/>
  <c r="U104" i="4"/>
  <c r="V104" i="4"/>
  <c r="W104" i="4"/>
  <c r="X104" i="4"/>
  <c r="Y104" i="4"/>
  <c r="Z104" i="4"/>
  <c r="AA104" i="4"/>
  <c r="AB104" i="4"/>
  <c r="AC104" i="4"/>
  <c r="AD104" i="4"/>
  <c r="AE104" i="4"/>
  <c r="AF104" i="4"/>
  <c r="AG104" i="4"/>
  <c r="AH104" i="4"/>
  <c r="AI104" i="4"/>
  <c r="AJ104" i="4"/>
  <c r="AK104" i="4"/>
  <c r="AL104" i="4"/>
  <c r="AM104" i="4"/>
  <c r="AN104" i="4"/>
  <c r="L105" i="4"/>
  <c r="M105" i="4"/>
  <c r="N105" i="4"/>
  <c r="O105" i="4"/>
  <c r="P105" i="4"/>
  <c r="Q105" i="4"/>
  <c r="R105" i="4"/>
  <c r="S105" i="4"/>
  <c r="T105" i="4"/>
  <c r="U105" i="4"/>
  <c r="V105" i="4"/>
  <c r="W105" i="4"/>
  <c r="X105" i="4"/>
  <c r="Y105" i="4"/>
  <c r="Z105" i="4"/>
  <c r="AA105" i="4"/>
  <c r="AB105" i="4"/>
  <c r="AC105" i="4"/>
  <c r="AD105" i="4"/>
  <c r="AE105" i="4"/>
  <c r="AF105" i="4"/>
  <c r="AG105" i="4"/>
  <c r="AH105" i="4"/>
  <c r="AI105" i="4"/>
  <c r="AJ105" i="4"/>
  <c r="AK105" i="4"/>
  <c r="AL105" i="4"/>
  <c r="AM105" i="4"/>
  <c r="AN105" i="4"/>
  <c r="L106" i="4"/>
  <c r="M106" i="4"/>
  <c r="N106" i="4"/>
  <c r="O106" i="4"/>
  <c r="P106" i="4"/>
  <c r="Q106" i="4"/>
  <c r="R106" i="4"/>
  <c r="S106" i="4"/>
  <c r="T106" i="4"/>
  <c r="U106" i="4"/>
  <c r="V106" i="4"/>
  <c r="W106" i="4"/>
  <c r="X106" i="4"/>
  <c r="Y106" i="4"/>
  <c r="Z106" i="4"/>
  <c r="AA106" i="4"/>
  <c r="AB106" i="4"/>
  <c r="AC106" i="4"/>
  <c r="AD106" i="4"/>
  <c r="AE106" i="4"/>
  <c r="AF106" i="4"/>
  <c r="AG106" i="4"/>
  <c r="AH106" i="4"/>
  <c r="AI106" i="4"/>
  <c r="AJ106" i="4"/>
  <c r="AK106" i="4"/>
  <c r="AL106" i="4"/>
  <c r="AM106" i="4"/>
  <c r="AN106" i="4"/>
  <c r="L107" i="4"/>
  <c r="M107" i="4"/>
  <c r="N107" i="4"/>
  <c r="O107" i="4"/>
  <c r="P107" i="4"/>
  <c r="Q107" i="4"/>
  <c r="R107" i="4"/>
  <c r="S107" i="4"/>
  <c r="T107" i="4"/>
  <c r="U107" i="4"/>
  <c r="V107" i="4"/>
  <c r="W107" i="4"/>
  <c r="X107" i="4"/>
  <c r="Y107" i="4"/>
  <c r="Z107" i="4"/>
  <c r="AA107" i="4"/>
  <c r="AB107" i="4"/>
  <c r="AC107" i="4"/>
  <c r="AD107" i="4"/>
  <c r="AE107" i="4"/>
  <c r="AF107" i="4"/>
  <c r="AG107" i="4"/>
  <c r="AH107" i="4"/>
  <c r="AI107" i="4"/>
  <c r="AJ107" i="4"/>
  <c r="AK107" i="4"/>
  <c r="AL107" i="4"/>
  <c r="AM107" i="4"/>
  <c r="AN107" i="4"/>
  <c r="L108" i="4"/>
  <c r="M108" i="4"/>
  <c r="N108" i="4"/>
  <c r="O108" i="4"/>
  <c r="P108" i="4"/>
  <c r="Q108" i="4"/>
  <c r="R108" i="4"/>
  <c r="S108" i="4"/>
  <c r="T108" i="4"/>
  <c r="U108" i="4"/>
  <c r="V108" i="4"/>
  <c r="W108" i="4"/>
  <c r="X108" i="4"/>
  <c r="Y108" i="4"/>
  <c r="Z108" i="4"/>
  <c r="AA108" i="4"/>
  <c r="AB108" i="4"/>
  <c r="AC108" i="4"/>
  <c r="AD108" i="4"/>
  <c r="AE108" i="4"/>
  <c r="AF108" i="4"/>
  <c r="AG108" i="4"/>
  <c r="AH108" i="4"/>
  <c r="AI108" i="4"/>
  <c r="AJ108" i="4"/>
  <c r="AK108" i="4"/>
  <c r="AL108" i="4"/>
  <c r="AM108" i="4"/>
  <c r="AN108" i="4"/>
  <c r="L109" i="4"/>
  <c r="M109" i="4"/>
  <c r="N109" i="4"/>
  <c r="O109" i="4"/>
  <c r="P109" i="4"/>
  <c r="Q109" i="4"/>
  <c r="R109" i="4"/>
  <c r="S109" i="4"/>
  <c r="T109" i="4"/>
  <c r="U109" i="4"/>
  <c r="V109" i="4"/>
  <c r="W109" i="4"/>
  <c r="X109" i="4"/>
  <c r="Y109" i="4"/>
  <c r="Z109" i="4"/>
  <c r="AA109" i="4"/>
  <c r="AB109" i="4"/>
  <c r="AC109" i="4"/>
  <c r="AD109" i="4"/>
  <c r="AE109" i="4"/>
  <c r="AF109" i="4"/>
  <c r="AG109" i="4"/>
  <c r="AH109" i="4"/>
  <c r="AI109" i="4"/>
  <c r="AJ109" i="4"/>
  <c r="AK109" i="4"/>
  <c r="AL109" i="4"/>
  <c r="AM109" i="4"/>
  <c r="AN109" i="4"/>
  <c r="L110" i="4"/>
  <c r="M110" i="4"/>
  <c r="N110" i="4"/>
  <c r="O110" i="4"/>
  <c r="P110" i="4"/>
  <c r="Q110" i="4"/>
  <c r="R110" i="4"/>
  <c r="S110" i="4"/>
  <c r="T110" i="4"/>
  <c r="U110" i="4"/>
  <c r="V110" i="4"/>
  <c r="W110" i="4"/>
  <c r="X110" i="4"/>
  <c r="Y110" i="4"/>
  <c r="Z110" i="4"/>
  <c r="AA110" i="4"/>
  <c r="AB110" i="4"/>
  <c r="AC110" i="4"/>
  <c r="AD110" i="4"/>
  <c r="AE110" i="4"/>
  <c r="AF110" i="4"/>
  <c r="AG110" i="4"/>
  <c r="AH110" i="4"/>
  <c r="AI110" i="4"/>
  <c r="AJ110" i="4"/>
  <c r="AK110" i="4"/>
  <c r="AL110" i="4"/>
  <c r="AM110" i="4"/>
  <c r="AN110" i="4"/>
  <c r="L111" i="4"/>
  <c r="M111" i="4"/>
  <c r="N111" i="4"/>
  <c r="O111" i="4"/>
  <c r="P111" i="4"/>
  <c r="Q111" i="4"/>
  <c r="R111" i="4"/>
  <c r="S111" i="4"/>
  <c r="T111" i="4"/>
  <c r="U111" i="4"/>
  <c r="V111" i="4"/>
  <c r="W111" i="4"/>
  <c r="X111" i="4"/>
  <c r="Y111" i="4"/>
  <c r="Z111" i="4"/>
  <c r="AA111" i="4"/>
  <c r="AB111" i="4"/>
  <c r="AC111" i="4"/>
  <c r="AD111" i="4"/>
  <c r="AE111" i="4"/>
  <c r="AF111" i="4"/>
  <c r="AG111" i="4"/>
  <c r="AH111" i="4"/>
  <c r="AI111" i="4"/>
  <c r="AJ111" i="4"/>
  <c r="AK111" i="4"/>
  <c r="AL111" i="4"/>
  <c r="AM111" i="4"/>
  <c r="AN111" i="4"/>
  <c r="J11" i="4"/>
  <c r="J13" i="4"/>
  <c r="J14" i="4"/>
  <c r="J15" i="4"/>
  <c r="J16" i="4"/>
  <c r="J18" i="4"/>
  <c r="J19" i="4"/>
  <c r="J20" i="4"/>
  <c r="J21" i="4"/>
  <c r="J22" i="4"/>
  <c r="J23" i="4"/>
  <c r="I23" i="4" s="1"/>
  <c r="J24" i="4"/>
  <c r="J25" i="4"/>
  <c r="J26" i="4"/>
  <c r="J27" i="4"/>
  <c r="J28" i="4"/>
  <c r="J29" i="4"/>
  <c r="J30" i="4"/>
  <c r="J31" i="4"/>
  <c r="J32" i="4"/>
  <c r="J33" i="4"/>
  <c r="J34" i="4"/>
  <c r="J35" i="4"/>
  <c r="J36" i="4"/>
  <c r="J37" i="4"/>
  <c r="J39" i="4"/>
  <c r="J40" i="4"/>
  <c r="I40" i="4" s="1"/>
  <c r="J41" i="4"/>
  <c r="J42" i="4"/>
  <c r="J43" i="4"/>
  <c r="J45" i="4"/>
  <c r="J46" i="4"/>
  <c r="J47" i="4"/>
  <c r="J48" i="4"/>
  <c r="J49" i="4"/>
  <c r="J61" i="4"/>
  <c r="J62" i="4"/>
  <c r="J63" i="4"/>
  <c r="J64" i="4"/>
  <c r="J65" i="4"/>
  <c r="J66" i="4"/>
  <c r="J67" i="4"/>
  <c r="J68" i="4"/>
  <c r="I68" i="4" s="1"/>
  <c r="J69" i="4"/>
  <c r="J70" i="4"/>
  <c r="J83" i="4"/>
  <c r="J84" i="4"/>
  <c r="J85" i="4"/>
  <c r="J86" i="4"/>
  <c r="J87" i="4"/>
  <c r="J88" i="4"/>
  <c r="J90" i="4"/>
  <c r="J91" i="4"/>
  <c r="J92" i="4"/>
  <c r="J93" i="4"/>
  <c r="J94" i="4"/>
  <c r="J95" i="4"/>
  <c r="J96" i="4"/>
  <c r="J97" i="4"/>
  <c r="I97" i="4" s="1"/>
  <c r="J98" i="4"/>
  <c r="J99" i="4"/>
  <c r="J101" i="4"/>
  <c r="J102" i="4"/>
  <c r="J103" i="4"/>
  <c r="J104" i="4"/>
  <c r="J105" i="4"/>
  <c r="J106" i="4"/>
  <c r="J107" i="4"/>
  <c r="J108" i="4"/>
  <c r="J109" i="4"/>
  <c r="J110" i="4"/>
  <c r="J111" i="4"/>
  <c r="I106" i="4" l="1"/>
  <c r="I88" i="4"/>
  <c r="I49" i="4"/>
  <c r="I31" i="4"/>
  <c r="I14" i="4"/>
  <c r="I96" i="4"/>
  <c r="I13" i="4"/>
  <c r="AD100" i="4"/>
  <c r="L89" i="4"/>
  <c r="I104" i="4"/>
  <c r="I95" i="4"/>
  <c r="I86" i="4"/>
  <c r="I66" i="4"/>
  <c r="I47" i="4"/>
  <c r="I37" i="4"/>
  <c r="I29" i="4"/>
  <c r="I21" i="4"/>
  <c r="I11" i="4"/>
  <c r="I67" i="4"/>
  <c r="AJ89" i="4"/>
  <c r="I111" i="4"/>
  <c r="I103" i="4"/>
  <c r="I94" i="4"/>
  <c r="I85" i="4"/>
  <c r="I65" i="4"/>
  <c r="I46" i="4"/>
  <c r="I36" i="4"/>
  <c r="I28" i="4"/>
  <c r="I20" i="4"/>
  <c r="I22" i="4"/>
  <c r="I48" i="4"/>
  <c r="I84" i="4"/>
  <c r="I35" i="4"/>
  <c r="I109" i="4"/>
  <c r="I101" i="4"/>
  <c r="I92" i="4"/>
  <c r="I83" i="4"/>
  <c r="I63" i="4"/>
  <c r="I43" i="4"/>
  <c r="I34" i="4"/>
  <c r="I26" i="4"/>
  <c r="I18" i="4"/>
  <c r="I87" i="4"/>
  <c r="I39" i="4"/>
  <c r="I110" i="4"/>
  <c r="I93" i="4"/>
  <c r="I45" i="4"/>
  <c r="I19" i="4"/>
  <c r="I99" i="4"/>
  <c r="I16" i="4"/>
  <c r="I105" i="4"/>
  <c r="I30" i="4"/>
  <c r="I102" i="4"/>
  <c r="I64" i="4"/>
  <c r="I27" i="4"/>
  <c r="I108" i="4"/>
  <c r="I91" i="4"/>
  <c r="I70" i="4"/>
  <c r="I62" i="4"/>
  <c r="I42" i="4"/>
  <c r="I33" i="4"/>
  <c r="I25" i="4"/>
  <c r="I107" i="4"/>
  <c r="I98" i="4"/>
  <c r="I90" i="4"/>
  <c r="I69" i="4"/>
  <c r="I61" i="4"/>
  <c r="I41" i="4"/>
  <c r="I32" i="4"/>
  <c r="I24" i="4"/>
  <c r="I15" i="4"/>
  <c r="AJ100" i="4"/>
  <c r="L100" i="4"/>
  <c r="R89" i="4"/>
  <c r="AI100" i="4"/>
  <c r="Q89" i="4"/>
  <c r="AC100" i="4"/>
  <c r="AI89" i="4"/>
  <c r="AB100" i="4"/>
  <c r="AH89" i="4"/>
  <c r="AA100" i="4"/>
  <c r="AG89" i="4"/>
  <c r="AM100" i="4"/>
  <c r="O100" i="4"/>
  <c r="U89" i="4"/>
  <c r="AL100" i="4"/>
  <c r="N100" i="4"/>
  <c r="T89" i="4"/>
  <c r="AK100" i="4"/>
  <c r="M100" i="4"/>
  <c r="S89" i="4"/>
  <c r="AH100" i="4"/>
  <c r="AN89" i="4"/>
  <c r="P89" i="4"/>
  <c r="AG100" i="4"/>
  <c r="AM89" i="4"/>
  <c r="O89" i="4"/>
  <c r="AF100" i="4"/>
  <c r="AL89" i="4"/>
  <c r="N89" i="4"/>
  <c r="AE100" i="4"/>
  <c r="AK89" i="4"/>
  <c r="M89" i="4"/>
  <c r="W100" i="4"/>
  <c r="AC89" i="4"/>
  <c r="AE89" i="4"/>
  <c r="X100" i="4"/>
  <c r="V100" i="4"/>
  <c r="AB89" i="4"/>
  <c r="U100" i="4"/>
  <c r="AA89" i="4"/>
  <c r="AF89" i="4"/>
  <c r="T100" i="4"/>
  <c r="Z89" i="4"/>
  <c r="S100" i="4"/>
  <c r="Y89" i="4"/>
  <c r="J89" i="4"/>
  <c r="H74" i="11" s="1"/>
  <c r="G74" i="11" s="1"/>
  <c r="R100" i="4"/>
  <c r="X89" i="4"/>
  <c r="Y100" i="4"/>
  <c r="J100" i="4"/>
  <c r="Q100" i="4"/>
  <c r="W89" i="4"/>
  <c r="Z100" i="4"/>
  <c r="AD89" i="4"/>
  <c r="AN100" i="4"/>
  <c r="P100" i="4"/>
  <c r="V89" i="4"/>
  <c r="AE38" i="4"/>
  <c r="Z38" i="4"/>
  <c r="Y38" i="4"/>
  <c r="X38" i="4"/>
  <c r="W38" i="4"/>
  <c r="AC50" i="4"/>
  <c r="AD44" i="4"/>
  <c r="AB50" i="4"/>
  <c r="AC44" i="4"/>
  <c r="AD38" i="4"/>
  <c r="J50" i="4"/>
  <c r="AA50" i="4"/>
  <c r="AB44" i="4"/>
  <c r="AC38" i="4"/>
  <c r="Z50" i="4"/>
  <c r="AA44" i="4"/>
  <c r="AB38" i="4"/>
  <c r="Y50" i="4"/>
  <c r="Z44" i="4"/>
  <c r="AA38" i="4"/>
  <c r="T44" i="4"/>
  <c r="U38" i="4"/>
  <c r="R50" i="4"/>
  <c r="S44" i="4"/>
  <c r="T38" i="4"/>
  <c r="J38" i="4"/>
  <c r="Q50" i="4"/>
  <c r="R44" i="4"/>
  <c r="S38" i="4"/>
  <c r="Q44" i="4"/>
  <c r="R38" i="4"/>
  <c r="AK50" i="4"/>
  <c r="M50" i="4"/>
  <c r="AL44" i="4"/>
  <c r="N44" i="4"/>
  <c r="AM38" i="4"/>
  <c r="O38" i="4"/>
  <c r="W44" i="4"/>
  <c r="V44" i="4"/>
  <c r="AN38" i="4"/>
  <c r="AJ50" i="4"/>
  <c r="L50" i="4"/>
  <c r="AK44" i="4"/>
  <c r="M44" i="4"/>
  <c r="AL38" i="4"/>
  <c r="N38" i="4"/>
  <c r="X50" i="4"/>
  <c r="P50" i="4"/>
  <c r="AN44" i="4"/>
  <c r="Q38" i="4"/>
  <c r="AM44" i="4"/>
  <c r="AI50" i="4"/>
  <c r="AJ44" i="4"/>
  <c r="L44" i="4"/>
  <c r="AK38" i="4"/>
  <c r="M38" i="4"/>
  <c r="J44" i="4"/>
  <c r="S50" i="4"/>
  <c r="AL50" i="4"/>
  <c r="O44" i="4"/>
  <c r="AH50" i="4"/>
  <c r="AI44" i="4"/>
  <c r="AJ38" i="4"/>
  <c r="L38" i="4"/>
  <c r="AG50" i="4"/>
  <c r="AH44" i="4"/>
  <c r="AI38" i="4"/>
  <c r="W50" i="4"/>
  <c r="V50" i="4"/>
  <c r="U50" i="4"/>
  <c r="U44" i="4"/>
  <c r="P38" i="4"/>
  <c r="J71" i="4"/>
  <c r="I71" i="4" s="1"/>
  <c r="AF50" i="4"/>
  <c r="AG44" i="4"/>
  <c r="AH38" i="4"/>
  <c r="AN50" i="4"/>
  <c r="AM50" i="4"/>
  <c r="N50" i="4"/>
  <c r="AE50" i="4"/>
  <c r="AF44" i="4"/>
  <c r="AG38" i="4"/>
  <c r="Y44" i="4"/>
  <c r="X44" i="4"/>
  <c r="T50" i="4"/>
  <c r="O50" i="4"/>
  <c r="P44" i="4"/>
  <c r="AD50" i="4"/>
  <c r="AE44" i="4"/>
  <c r="AF38" i="4"/>
  <c r="H132" i="2"/>
  <c r="E12" i="6"/>
  <c r="E25" i="6"/>
  <c r="E27" i="6"/>
  <c r="E31" i="6"/>
  <c r="E33" i="6"/>
  <c r="E34" i="6"/>
  <c r="E35" i="6"/>
  <c r="E37" i="6"/>
  <c r="E39" i="6"/>
  <c r="E45" i="6"/>
  <c r="E48" i="6"/>
  <c r="E68" i="6"/>
  <c r="E69" i="6"/>
  <c r="E70" i="6"/>
  <c r="E86" i="6"/>
  <c r="E88" i="6"/>
  <c r="E89" i="6"/>
  <c r="E90" i="6"/>
  <c r="E94" i="6"/>
  <c r="E98" i="6"/>
  <c r="E123" i="6"/>
  <c r="E124" i="6"/>
  <c r="E125" i="6"/>
  <c r="E126" i="6"/>
  <c r="E127" i="6"/>
  <c r="E128" i="6"/>
  <c r="E129" i="6"/>
  <c r="E132" i="6"/>
  <c r="AN14" i="2"/>
  <c r="AN13" i="2" s="1"/>
  <c r="AN15" i="2" s="1"/>
  <c r="AM14" i="2"/>
  <c r="AM13" i="2" s="1"/>
  <c r="AM15" i="2" s="1"/>
  <c r="AL14" i="2"/>
  <c r="AL13" i="2" s="1"/>
  <c r="AL15" i="2" s="1"/>
  <c r="AK14" i="2"/>
  <c r="AK13" i="2" s="1"/>
  <c r="AK15" i="2" s="1"/>
  <c r="AJ14" i="2"/>
  <c r="AJ13" i="2" s="1"/>
  <c r="AJ15" i="2" s="1"/>
  <c r="AI14" i="2"/>
  <c r="AI13" i="2" s="1"/>
  <c r="AI15" i="2" s="1"/>
  <c r="AH14" i="2"/>
  <c r="AH13" i="2" s="1"/>
  <c r="AH15" i="2" s="1"/>
  <c r="AG14" i="2"/>
  <c r="AG13" i="2" s="1"/>
  <c r="AG15" i="2" s="1"/>
  <c r="AF14" i="2"/>
  <c r="AF13" i="2" s="1"/>
  <c r="AF15" i="2" s="1"/>
  <c r="AE14" i="2"/>
  <c r="AE13" i="2" s="1"/>
  <c r="AE15" i="2" s="1"/>
  <c r="AD14" i="2"/>
  <c r="AD13" i="2" s="1"/>
  <c r="AD15" i="2" s="1"/>
  <c r="AC14" i="2"/>
  <c r="AC13" i="2" s="1"/>
  <c r="AC15" i="2" s="1"/>
  <c r="AB14" i="2"/>
  <c r="AB13" i="2" s="1"/>
  <c r="AB15" i="2" s="1"/>
  <c r="AA14" i="2"/>
  <c r="AA13" i="2" s="1"/>
  <c r="AA15" i="2" s="1"/>
  <c r="Z14" i="2"/>
  <c r="Z13" i="2" s="1"/>
  <c r="Z15" i="2" s="1"/>
  <c r="Y14" i="2"/>
  <c r="Y13" i="2" s="1"/>
  <c r="Y15" i="2" s="1"/>
  <c r="X14" i="2"/>
  <c r="X13" i="2" s="1"/>
  <c r="X15" i="2" s="1"/>
  <c r="W14" i="2"/>
  <c r="W13" i="2" s="1"/>
  <c r="W15" i="2" s="1"/>
  <c r="V14" i="2"/>
  <c r="V13" i="2" s="1"/>
  <c r="V15" i="2" s="1"/>
  <c r="U14" i="2"/>
  <c r="U13" i="2" s="1"/>
  <c r="U15" i="2" s="1"/>
  <c r="T14" i="2"/>
  <c r="T13" i="2" s="1"/>
  <c r="T15" i="2" s="1"/>
  <c r="S14" i="2"/>
  <c r="S13" i="2" s="1"/>
  <c r="S15" i="2" s="1"/>
  <c r="R14" i="2"/>
  <c r="R13" i="2" s="1"/>
  <c r="R15" i="2" s="1"/>
  <c r="Q14" i="2"/>
  <c r="Q13" i="2" s="1"/>
  <c r="Q15" i="2" s="1"/>
  <c r="P14" i="2"/>
  <c r="P13" i="2" s="1"/>
  <c r="P15" i="2" s="1"/>
  <c r="O14" i="2"/>
  <c r="O13" i="2" s="1"/>
  <c r="O15" i="2" s="1"/>
  <c r="N14" i="2"/>
  <c r="N13" i="2" s="1"/>
  <c r="N15" i="2" s="1"/>
  <c r="M14" i="2"/>
  <c r="M13" i="2" s="1"/>
  <c r="M15" i="2" s="1"/>
  <c r="L14" i="2"/>
  <c r="L13" i="2" s="1"/>
  <c r="L15" i="2" s="1"/>
  <c r="K14" i="2"/>
  <c r="K13" i="2" s="1"/>
  <c r="K15" i="2" s="1"/>
  <c r="I14" i="2"/>
  <c r="K77" i="2"/>
  <c r="K79" i="2" s="1"/>
  <c r="L77" i="2"/>
  <c r="L79" i="2" s="1"/>
  <c r="M77" i="2"/>
  <c r="M79" i="2" s="1"/>
  <c r="N77" i="2"/>
  <c r="N79" i="2" s="1"/>
  <c r="O77" i="2"/>
  <c r="O79" i="2" s="1"/>
  <c r="P77" i="2"/>
  <c r="P79" i="2" s="1"/>
  <c r="Q77" i="2"/>
  <c r="Q79" i="2" s="1"/>
  <c r="R77" i="2"/>
  <c r="R79" i="2" s="1"/>
  <c r="S77" i="2"/>
  <c r="S79" i="2" s="1"/>
  <c r="T77" i="2"/>
  <c r="T79" i="2" s="1"/>
  <c r="U77" i="2"/>
  <c r="U79" i="2" s="1"/>
  <c r="V77" i="2"/>
  <c r="V79" i="2" s="1"/>
  <c r="W77" i="2"/>
  <c r="W79" i="2" s="1"/>
  <c r="X77" i="2"/>
  <c r="X79" i="2" s="1"/>
  <c r="Y77" i="2"/>
  <c r="Y79" i="2" s="1"/>
  <c r="Z77" i="2"/>
  <c r="Z79" i="2" s="1"/>
  <c r="AA77" i="2"/>
  <c r="AA79" i="2" s="1"/>
  <c r="AB77" i="2"/>
  <c r="AB79" i="2" s="1"/>
  <c r="AC77" i="2"/>
  <c r="AC79" i="2" s="1"/>
  <c r="AD77" i="2"/>
  <c r="AD79" i="2" s="1"/>
  <c r="AE77" i="2"/>
  <c r="AE79" i="2" s="1"/>
  <c r="AF77" i="2"/>
  <c r="AF79" i="2" s="1"/>
  <c r="AG77" i="2"/>
  <c r="AG79" i="2" s="1"/>
  <c r="AH77" i="2"/>
  <c r="AH79" i="2" s="1"/>
  <c r="AI77" i="2"/>
  <c r="AI79" i="2" s="1"/>
  <c r="AJ77" i="2"/>
  <c r="AJ79" i="2" s="1"/>
  <c r="AK77" i="2"/>
  <c r="AK79" i="2" s="1"/>
  <c r="AL77" i="2"/>
  <c r="AL79" i="2" s="1"/>
  <c r="AM77" i="2"/>
  <c r="AM79" i="2" s="1"/>
  <c r="AN77" i="2"/>
  <c r="AN79" i="2" s="1"/>
  <c r="K78" i="2"/>
  <c r="L78" i="2"/>
  <c r="M78" i="2"/>
  <c r="N78" i="2"/>
  <c r="O78" i="2"/>
  <c r="P78" i="2"/>
  <c r="Q78" i="2"/>
  <c r="R78" i="2"/>
  <c r="S78" i="2"/>
  <c r="T78" i="2"/>
  <c r="U78" i="2"/>
  <c r="V78" i="2"/>
  <c r="W78" i="2"/>
  <c r="X78" i="2"/>
  <c r="Y78" i="2"/>
  <c r="Z78" i="2"/>
  <c r="AA78" i="2"/>
  <c r="AB78" i="2"/>
  <c r="AC78" i="2"/>
  <c r="AD78" i="2"/>
  <c r="AE78" i="2"/>
  <c r="AF78" i="2"/>
  <c r="AG78" i="2"/>
  <c r="AH78" i="2"/>
  <c r="AI78" i="2"/>
  <c r="AJ78" i="2"/>
  <c r="AK78" i="2"/>
  <c r="AL78" i="2"/>
  <c r="AM78" i="2"/>
  <c r="AN78" i="2"/>
  <c r="K114" i="2"/>
  <c r="L114" i="2"/>
  <c r="M114" i="2"/>
  <c r="N114" i="2"/>
  <c r="O114" i="2"/>
  <c r="P114" i="2"/>
  <c r="Q114" i="2"/>
  <c r="R114" i="2"/>
  <c r="S114" i="2"/>
  <c r="T114" i="2"/>
  <c r="U114" i="2"/>
  <c r="V114" i="2"/>
  <c r="W114" i="2"/>
  <c r="X114" i="2"/>
  <c r="Y114" i="2"/>
  <c r="Z114" i="2"/>
  <c r="AA114" i="2"/>
  <c r="AB114" i="2"/>
  <c r="AC114" i="2"/>
  <c r="AD114" i="2"/>
  <c r="AE114" i="2"/>
  <c r="AF114" i="2"/>
  <c r="AG114" i="2"/>
  <c r="AH114" i="2"/>
  <c r="AI114" i="2"/>
  <c r="AJ114" i="2"/>
  <c r="AK114" i="2"/>
  <c r="AL114" i="2"/>
  <c r="AM114" i="2"/>
  <c r="AN114" i="2"/>
  <c r="K119" i="2"/>
  <c r="L119" i="2"/>
  <c r="M119" i="2"/>
  <c r="N119" i="2"/>
  <c r="O119" i="2"/>
  <c r="P119" i="2"/>
  <c r="Q119" i="2"/>
  <c r="R119" i="2"/>
  <c r="S119" i="2"/>
  <c r="T119" i="2"/>
  <c r="U119" i="2"/>
  <c r="V119" i="2"/>
  <c r="W119" i="2"/>
  <c r="X119" i="2"/>
  <c r="Y119" i="2"/>
  <c r="Z119" i="2"/>
  <c r="AA119" i="2"/>
  <c r="AB119" i="2"/>
  <c r="AC119" i="2"/>
  <c r="AD119" i="2"/>
  <c r="AE119" i="2"/>
  <c r="AF119" i="2"/>
  <c r="AG119" i="2"/>
  <c r="AH119" i="2"/>
  <c r="AI119" i="2"/>
  <c r="AJ119" i="2"/>
  <c r="AK119" i="2"/>
  <c r="AL119" i="2"/>
  <c r="AM119" i="2"/>
  <c r="AN119" i="2"/>
  <c r="K143" i="2"/>
  <c r="L143" i="2"/>
  <c r="M143" i="2"/>
  <c r="N143" i="2"/>
  <c r="O143" i="2"/>
  <c r="P143" i="2"/>
  <c r="Q143" i="2"/>
  <c r="R143" i="2"/>
  <c r="S143" i="2"/>
  <c r="T143" i="2"/>
  <c r="U143" i="2"/>
  <c r="V143" i="2"/>
  <c r="W143" i="2"/>
  <c r="X143" i="2"/>
  <c r="Y143" i="2"/>
  <c r="Z143" i="2"/>
  <c r="AA143" i="2"/>
  <c r="AB143" i="2"/>
  <c r="AC143" i="2"/>
  <c r="AD143" i="2"/>
  <c r="AE143" i="2"/>
  <c r="AF143" i="2"/>
  <c r="AG143" i="2"/>
  <c r="AH143" i="2"/>
  <c r="AI143" i="2"/>
  <c r="AJ143" i="2"/>
  <c r="AK143" i="2"/>
  <c r="AL143" i="2"/>
  <c r="AM143" i="2"/>
  <c r="AN143" i="2"/>
  <c r="K144" i="2"/>
  <c r="L144" i="2"/>
  <c r="M144" i="2"/>
  <c r="N144" i="2"/>
  <c r="O144" i="2"/>
  <c r="P144" i="2"/>
  <c r="Q144" i="2"/>
  <c r="R144" i="2"/>
  <c r="S144" i="2"/>
  <c r="T144" i="2"/>
  <c r="U144" i="2"/>
  <c r="V144" i="2"/>
  <c r="W144" i="2"/>
  <c r="X144" i="2"/>
  <c r="Y144" i="2"/>
  <c r="Z144" i="2"/>
  <c r="AA144" i="2"/>
  <c r="AB144" i="2"/>
  <c r="AC144" i="2"/>
  <c r="AD144" i="2"/>
  <c r="AE144" i="2"/>
  <c r="AF144" i="2"/>
  <c r="AG144" i="2"/>
  <c r="AH144" i="2"/>
  <c r="AI144" i="2"/>
  <c r="AJ144" i="2"/>
  <c r="AK144" i="2"/>
  <c r="AL144" i="2"/>
  <c r="AM144" i="2"/>
  <c r="AN144" i="2"/>
  <c r="K145" i="2"/>
  <c r="L145" i="2"/>
  <c r="M145" i="2"/>
  <c r="N145" i="2"/>
  <c r="O145" i="2"/>
  <c r="P145" i="2"/>
  <c r="Q145" i="2"/>
  <c r="R145" i="2"/>
  <c r="S145" i="2"/>
  <c r="T145" i="2"/>
  <c r="U145" i="2"/>
  <c r="V145" i="2"/>
  <c r="W145" i="2"/>
  <c r="X145" i="2"/>
  <c r="Y145" i="2"/>
  <c r="Z145" i="2"/>
  <c r="AA145" i="2"/>
  <c r="AB145" i="2"/>
  <c r="AC145" i="2"/>
  <c r="AD145" i="2"/>
  <c r="AE145" i="2"/>
  <c r="AF145" i="2"/>
  <c r="AG145" i="2"/>
  <c r="AH145" i="2"/>
  <c r="AI145" i="2"/>
  <c r="AJ145" i="2"/>
  <c r="AK145" i="2"/>
  <c r="AL145" i="2"/>
  <c r="AM145" i="2"/>
  <c r="AN145" i="2"/>
  <c r="K146" i="2"/>
  <c r="L146" i="2"/>
  <c r="M146" i="2"/>
  <c r="N146" i="2"/>
  <c r="O146" i="2"/>
  <c r="P146" i="2"/>
  <c r="Q146" i="2"/>
  <c r="R146" i="2"/>
  <c r="S146" i="2"/>
  <c r="T146" i="2"/>
  <c r="U146" i="2"/>
  <c r="V146" i="2"/>
  <c r="W146" i="2"/>
  <c r="X146" i="2"/>
  <c r="Y146" i="2"/>
  <c r="Z146" i="2"/>
  <c r="AA146" i="2"/>
  <c r="AB146" i="2"/>
  <c r="AC146" i="2"/>
  <c r="AD146" i="2"/>
  <c r="AE146" i="2"/>
  <c r="AF146" i="2"/>
  <c r="AG146" i="2"/>
  <c r="AH146" i="2"/>
  <c r="AI146" i="2"/>
  <c r="AJ146" i="2"/>
  <c r="AK146" i="2"/>
  <c r="AL146" i="2"/>
  <c r="AM146" i="2"/>
  <c r="AN146" i="2"/>
  <c r="K147" i="2"/>
  <c r="L147" i="2"/>
  <c r="M147" i="2"/>
  <c r="N147" i="2"/>
  <c r="O147" i="2"/>
  <c r="P147" i="2"/>
  <c r="Q147" i="2"/>
  <c r="R147" i="2"/>
  <c r="S147" i="2"/>
  <c r="T147" i="2"/>
  <c r="U147" i="2"/>
  <c r="V147" i="2"/>
  <c r="W147" i="2"/>
  <c r="X147" i="2"/>
  <c r="Y147" i="2"/>
  <c r="Z147" i="2"/>
  <c r="AA147" i="2"/>
  <c r="AB147" i="2"/>
  <c r="AC147" i="2"/>
  <c r="AD147" i="2"/>
  <c r="AE147" i="2"/>
  <c r="AF147" i="2"/>
  <c r="AG147" i="2"/>
  <c r="AH147" i="2"/>
  <c r="AI147" i="2"/>
  <c r="AJ147" i="2"/>
  <c r="AK147" i="2"/>
  <c r="AL147" i="2"/>
  <c r="AM147" i="2"/>
  <c r="AN147" i="2"/>
  <c r="K149" i="2"/>
  <c r="L149" i="2"/>
  <c r="M149" i="2"/>
  <c r="N149" i="2"/>
  <c r="O149" i="2"/>
  <c r="P149" i="2"/>
  <c r="Q149" i="2"/>
  <c r="R149" i="2"/>
  <c r="S149" i="2"/>
  <c r="T149" i="2"/>
  <c r="U149" i="2"/>
  <c r="V149" i="2"/>
  <c r="W149" i="2"/>
  <c r="X149" i="2"/>
  <c r="Y149" i="2"/>
  <c r="Z149" i="2"/>
  <c r="AA149" i="2"/>
  <c r="AB149" i="2"/>
  <c r="AC149" i="2"/>
  <c r="AD149" i="2"/>
  <c r="AE149" i="2"/>
  <c r="AF149" i="2"/>
  <c r="AG149" i="2"/>
  <c r="AH149" i="2"/>
  <c r="AI149" i="2"/>
  <c r="AJ149" i="2"/>
  <c r="AK149" i="2"/>
  <c r="AL149" i="2"/>
  <c r="AM149" i="2"/>
  <c r="AN149" i="2"/>
  <c r="K150" i="2"/>
  <c r="L150" i="2"/>
  <c r="M150" i="2"/>
  <c r="N150" i="2"/>
  <c r="O150" i="2"/>
  <c r="P150" i="2"/>
  <c r="Q150" i="2"/>
  <c r="R150" i="2"/>
  <c r="S150" i="2"/>
  <c r="T150" i="2"/>
  <c r="U150" i="2"/>
  <c r="V150" i="2"/>
  <c r="W150" i="2"/>
  <c r="X150" i="2"/>
  <c r="Y150" i="2"/>
  <c r="Z150" i="2"/>
  <c r="AA150" i="2"/>
  <c r="AB150" i="2"/>
  <c r="AC150" i="2"/>
  <c r="AD150" i="2"/>
  <c r="AE150" i="2"/>
  <c r="AF150" i="2"/>
  <c r="AG150" i="2"/>
  <c r="AH150" i="2"/>
  <c r="AI150" i="2"/>
  <c r="AJ150" i="2"/>
  <c r="AK150" i="2"/>
  <c r="AL150" i="2"/>
  <c r="AM150" i="2"/>
  <c r="AN150" i="2"/>
  <c r="K152" i="2"/>
  <c r="L152" i="2"/>
  <c r="M152" i="2"/>
  <c r="N152" i="2"/>
  <c r="O152" i="2"/>
  <c r="P152" i="2"/>
  <c r="Q152" i="2"/>
  <c r="R152" i="2"/>
  <c r="S152" i="2"/>
  <c r="T152" i="2"/>
  <c r="U152" i="2"/>
  <c r="V152" i="2"/>
  <c r="W152" i="2"/>
  <c r="X152" i="2"/>
  <c r="Y152" i="2"/>
  <c r="Z152" i="2"/>
  <c r="AA152" i="2"/>
  <c r="AB152" i="2"/>
  <c r="AC152" i="2"/>
  <c r="AD152" i="2"/>
  <c r="AE152" i="2"/>
  <c r="AF152" i="2"/>
  <c r="AG152" i="2"/>
  <c r="AH152" i="2"/>
  <c r="AI152" i="2"/>
  <c r="AJ152" i="2"/>
  <c r="AK152" i="2"/>
  <c r="AL152" i="2"/>
  <c r="AM152" i="2"/>
  <c r="AN152" i="2"/>
  <c r="I89" i="4" l="1"/>
  <c r="I50" i="4"/>
  <c r="I38" i="4"/>
  <c r="I44" i="4"/>
  <c r="I100" i="4"/>
  <c r="D131" i="6"/>
  <c r="D130" i="6"/>
  <c r="D108" i="6"/>
  <c r="D98" i="6"/>
  <c r="D49" i="6"/>
  <c r="D12" i="6"/>
  <c r="D7" i="6"/>
  <c r="H133" i="2"/>
  <c r="E135" i="6" s="1"/>
  <c r="H131" i="2"/>
  <c r="E133" i="6" s="1"/>
  <c r="H120" i="2"/>
  <c r="E122" i="6" s="1"/>
  <c r="H121" i="2"/>
  <c r="H122" i="2"/>
  <c r="H123" i="2"/>
  <c r="H124" i="2"/>
  <c r="H125" i="2"/>
  <c r="H126" i="2"/>
  <c r="H127" i="2"/>
  <c r="H116" i="2"/>
  <c r="E118" i="6" s="1"/>
  <c r="H117" i="2"/>
  <c r="E119" i="6" s="1"/>
  <c r="H118" i="2"/>
  <c r="E120" i="6" s="1"/>
  <c r="H108" i="2"/>
  <c r="E110" i="6" s="1"/>
  <c r="H110" i="2"/>
  <c r="E112" i="6" s="1"/>
  <c r="H111" i="2"/>
  <c r="E113" i="6" s="1"/>
  <c r="H112" i="2"/>
  <c r="E114" i="6" s="1"/>
  <c r="H113" i="2"/>
  <c r="E115" i="6" s="1"/>
  <c r="H105" i="2"/>
  <c r="E107" i="6" s="1"/>
  <c r="H103" i="2"/>
  <c r="E105" i="6" s="1"/>
  <c r="H4" i="2"/>
  <c r="E4" i="6" s="1"/>
  <c r="AB2" i="8" l="1"/>
  <c r="AF1" i="2" s="1"/>
  <c r="AE2" i="8"/>
  <c r="AI1" i="2" s="1"/>
  <c r="H2" i="8"/>
  <c r="L1" i="2" s="1"/>
  <c r="AF2" i="8"/>
  <c r="AJ1" i="2" s="1"/>
  <c r="I2" i="8"/>
  <c r="M1" i="2" s="1"/>
  <c r="J2" i="8"/>
  <c r="N1" i="2" s="1"/>
  <c r="K2" i="8"/>
  <c r="O1" i="2" s="1"/>
  <c r="AI2" i="8"/>
  <c r="AM1" i="2" s="1"/>
  <c r="S2" i="8"/>
  <c r="W1" i="2" s="1"/>
  <c r="M2" i="8"/>
  <c r="Q1" i="2" s="1"/>
  <c r="Q2" i="8"/>
  <c r="U1" i="2" s="1"/>
  <c r="R2" i="8"/>
  <c r="V1" i="2" s="1"/>
  <c r="V2" i="8"/>
  <c r="Z1" i="2" s="1"/>
  <c r="Y2" i="8"/>
  <c r="AC1" i="2" s="1"/>
  <c r="W2" i="8"/>
  <c r="AA1" i="2" s="1"/>
  <c r="X2" i="8"/>
  <c r="AB1" i="2" s="1"/>
  <c r="AA2" i="8"/>
  <c r="AE1" i="2" s="1"/>
  <c r="AJ2" i="8"/>
  <c r="AN1" i="2" s="1"/>
  <c r="E154" i="6"/>
  <c r="AC2" i="8"/>
  <c r="AG1" i="2" s="1"/>
  <c r="AG2" i="8"/>
  <c r="AK1" i="2" s="1"/>
  <c r="O2" i="8"/>
  <c r="S1" i="2" s="1"/>
  <c r="N2" i="8"/>
  <c r="R1" i="2" s="1"/>
  <c r="P2" i="8"/>
  <c r="T1" i="2" s="1"/>
  <c r="L2" i="8"/>
  <c r="P1" i="2" s="1"/>
  <c r="T2" i="8"/>
  <c r="X1" i="2" s="1"/>
  <c r="U2" i="8"/>
  <c r="Y1" i="2" s="1"/>
  <c r="Z2" i="8"/>
  <c r="AD1" i="2" s="1"/>
  <c r="AD2" i="8"/>
  <c r="AH1" i="2" s="1"/>
  <c r="F2" i="8"/>
  <c r="I1" i="2" s="1"/>
  <c r="G2" i="8"/>
  <c r="K1" i="2" s="1"/>
  <c r="AH2" i="8"/>
  <c r="AL1" i="2" s="1"/>
  <c r="E95" i="6"/>
  <c r="E145" i="6"/>
  <c r="E152" i="6"/>
  <c r="E148" i="6"/>
  <c r="E147" i="6"/>
  <c r="E139" i="6"/>
  <c r="E149" i="6"/>
  <c r="E146" i="6"/>
  <c r="E151" i="6"/>
  <c r="H18" i="11" l="1"/>
  <c r="G18" i="11" s="1"/>
  <c r="H63" i="11"/>
  <c r="G63" i="11" s="1"/>
  <c r="H77" i="11"/>
  <c r="G77" i="11" s="1"/>
  <c r="H42" i="11"/>
  <c r="H71" i="11"/>
  <c r="G71" i="11" s="1"/>
  <c r="H53" i="11"/>
  <c r="G53" i="11" s="1"/>
  <c r="H19" i="11"/>
  <c r="G19" i="11" s="1"/>
  <c r="H37" i="11"/>
  <c r="H78" i="11"/>
  <c r="G78" i="11" s="1"/>
  <c r="H94" i="11"/>
  <c r="H22" i="11"/>
  <c r="G22" i="11" s="1"/>
  <c r="H95" i="11"/>
  <c r="G95" i="11" s="1"/>
  <c r="H44" i="11"/>
  <c r="G44" i="11" s="1"/>
  <c r="H47" i="11"/>
  <c r="G47" i="11" s="1"/>
  <c r="H87" i="11"/>
  <c r="G87" i="11" s="1"/>
  <c r="H30" i="11"/>
  <c r="G30" i="11" s="1"/>
  <c r="H61" i="11"/>
  <c r="G61" i="11" s="1"/>
  <c r="H76" i="11"/>
  <c r="G76" i="11" s="1"/>
  <c r="H1" i="11"/>
  <c r="G1" i="11" s="1"/>
  <c r="H20" i="11"/>
  <c r="H64" i="11"/>
  <c r="G64" i="11" s="1"/>
  <c r="H79" i="11"/>
  <c r="G79" i="11" s="1"/>
  <c r="H93" i="11"/>
  <c r="G93" i="11" s="1"/>
  <c r="H65" i="11"/>
  <c r="G65" i="11" s="1"/>
  <c r="H66" i="11"/>
  <c r="G66" i="11" s="1"/>
  <c r="H80" i="11"/>
  <c r="G80" i="11" s="1"/>
  <c r="H111" i="11"/>
  <c r="G111" i="11" s="1"/>
  <c r="H82" i="11"/>
  <c r="G82" i="11" s="1"/>
  <c r="H45" i="11"/>
  <c r="G45" i="11" s="1"/>
  <c r="H97" i="11"/>
  <c r="G97" i="11" s="1"/>
  <c r="H26" i="11"/>
  <c r="G26" i="11" s="1"/>
  <c r="H72" i="11"/>
  <c r="G72" i="11" s="1"/>
  <c r="H88" i="11"/>
  <c r="G88" i="11" s="1"/>
  <c r="H90" i="11"/>
  <c r="H62" i="11"/>
  <c r="G62" i="11" s="1"/>
  <c r="H91" i="11"/>
  <c r="G91" i="11" s="1"/>
  <c r="H2" i="11"/>
  <c r="G2" i="11" s="1"/>
  <c r="H21" i="11"/>
  <c r="G21" i="11" s="1"/>
  <c r="H40" i="11"/>
  <c r="H46" i="11"/>
  <c r="G46" i="11" s="1"/>
  <c r="H100" i="11"/>
  <c r="G100" i="11" s="1"/>
  <c r="H16" i="11"/>
  <c r="G16" i="11" s="1"/>
  <c r="H3" i="11"/>
  <c r="G3" i="11" s="1"/>
  <c r="H43" i="11"/>
  <c r="H67" i="11"/>
  <c r="G67" i="11" s="1"/>
  <c r="H81" i="11"/>
  <c r="G81" i="11" s="1"/>
  <c r="H68" i="11"/>
  <c r="G68" i="11" s="1"/>
  <c r="H96" i="11"/>
  <c r="G96" i="11" s="1"/>
  <c r="H70" i="11"/>
  <c r="G70" i="11" s="1"/>
  <c r="H84" i="11"/>
  <c r="G84" i="11" s="1"/>
  <c r="H7" i="11"/>
  <c r="H85" i="11"/>
  <c r="G85" i="11" s="1"/>
  <c r="H86" i="11"/>
  <c r="G86" i="11" s="1"/>
  <c r="H28" i="11"/>
  <c r="H103" i="11"/>
  <c r="G103" i="11" s="1"/>
  <c r="H34" i="11"/>
  <c r="H4" i="11"/>
  <c r="G4" i="11" s="1"/>
  <c r="H5" i="11"/>
  <c r="G5" i="11" s="1"/>
  <c r="H24" i="11"/>
  <c r="G24" i="11" s="1"/>
  <c r="H69" i="11"/>
  <c r="G69" i="11" s="1"/>
  <c r="H83" i="11"/>
  <c r="G83" i="11" s="1"/>
  <c r="H25" i="11"/>
  <c r="G25" i="11" s="1"/>
  <c r="H98" i="11"/>
  <c r="G98" i="11" s="1"/>
  <c r="H15" i="11"/>
  <c r="H59" i="11"/>
  <c r="G59" i="11" s="1"/>
  <c r="H60" i="11"/>
  <c r="G60" i="11" s="1"/>
  <c r="H31" i="11"/>
  <c r="G31" i="11" s="1"/>
  <c r="H17" i="11"/>
  <c r="G17" i="11" s="1"/>
  <c r="X92" i="2"/>
  <c r="AL92" i="2"/>
  <c r="Y92" i="2"/>
  <c r="U92" i="2"/>
  <c r="Q92" i="2"/>
  <c r="L92" i="2"/>
  <c r="AI92" i="2"/>
  <c r="P92" i="2"/>
  <c r="AE92" i="2"/>
  <c r="W92" i="2"/>
  <c r="AF92" i="2"/>
  <c r="T92" i="2"/>
  <c r="AB92" i="2"/>
  <c r="AM92" i="2"/>
  <c r="K92" i="2"/>
  <c r="R92" i="2"/>
  <c r="AA92" i="2"/>
  <c r="O92" i="2"/>
  <c r="AN92" i="2"/>
  <c r="AO1" i="4"/>
  <c r="I92" i="2"/>
  <c r="H92" i="2" s="1"/>
  <c r="I107" i="2"/>
  <c r="S92" i="2"/>
  <c r="AC92" i="2"/>
  <c r="N92" i="2"/>
  <c r="AH92" i="2"/>
  <c r="AK92" i="2"/>
  <c r="Z92" i="2"/>
  <c r="M92" i="2"/>
  <c r="AD92" i="2"/>
  <c r="AG92" i="2"/>
  <c r="V32" i="2"/>
  <c r="V33" i="2" s="1"/>
  <c r="V92" i="2"/>
  <c r="AJ92" i="2"/>
  <c r="AA34" i="2"/>
  <c r="AA107" i="2"/>
  <c r="AA70" i="2"/>
  <c r="AA91" i="2"/>
  <c r="AA82" i="2"/>
  <c r="AA66" i="2"/>
  <c r="AA25" i="2"/>
  <c r="AA26" i="2"/>
  <c r="AA30" i="2"/>
  <c r="AA38" i="2"/>
  <c r="AA39" i="2" s="1"/>
  <c r="AA46" i="2"/>
  <c r="AA50" i="2"/>
  <c r="AA74" i="2"/>
  <c r="AA90" i="2"/>
  <c r="AA86" i="2"/>
  <c r="AA76" i="2"/>
  <c r="W34" i="2"/>
  <c r="W38" i="2"/>
  <c r="W39" i="2" s="1"/>
  <c r="W23" i="2"/>
  <c r="W35" i="2"/>
  <c r="O101" i="2"/>
  <c r="O5" i="2"/>
  <c r="O51" i="2"/>
  <c r="O102" i="2"/>
  <c r="O90" i="2"/>
  <c r="O69" i="2"/>
  <c r="O67" i="2"/>
  <c r="O64" i="2"/>
  <c r="O87" i="2"/>
  <c r="M8" i="2"/>
  <c r="M26" i="2"/>
  <c r="AF81" i="2"/>
  <c r="AF85" i="2"/>
  <c r="AF107" i="2"/>
  <c r="AF84" i="2"/>
  <c r="AF74" i="2"/>
  <c r="AF89" i="2"/>
  <c r="AF91" i="2"/>
  <c r="AF70" i="2"/>
  <c r="AF95" i="2"/>
  <c r="AF75" i="2"/>
  <c r="AF94" i="2"/>
  <c r="AF83" i="2"/>
  <c r="AF87" i="2"/>
  <c r="AF7" i="2"/>
  <c r="AF97" i="2"/>
  <c r="AF101" i="2"/>
  <c r="AF11" i="2"/>
  <c r="AF12" i="2" s="1"/>
  <c r="AF102" i="2"/>
  <c r="AF9" i="2"/>
  <c r="AF90" i="2"/>
  <c r="T51" i="2"/>
  <c r="T66" i="2"/>
  <c r="T64" i="2"/>
  <c r="T88" i="2"/>
  <c r="T44" i="2"/>
  <c r="T45" i="2" s="1"/>
  <c r="T70" i="2"/>
  <c r="T72" i="2"/>
  <c r="T86" i="2"/>
  <c r="T63" i="2"/>
  <c r="T38" i="2"/>
  <c r="T39" i="2" s="1"/>
  <c r="T49" i="2"/>
  <c r="T104" i="2"/>
  <c r="T82" i="2"/>
  <c r="T7" i="2"/>
  <c r="T5" i="2"/>
  <c r="T107" i="2"/>
  <c r="T76" i="2"/>
  <c r="Q29" i="2"/>
  <c r="Q63" i="2"/>
  <c r="Q49" i="2"/>
  <c r="Q89" i="2"/>
  <c r="Q73" i="2"/>
  <c r="Q66" i="2"/>
  <c r="Q41" i="2"/>
  <c r="Q25" i="2"/>
  <c r="Q84" i="2"/>
  <c r="Q88" i="2"/>
  <c r="Q65" i="2"/>
  <c r="Q80" i="2"/>
  <c r="Q75" i="2"/>
  <c r="Q99" i="2"/>
  <c r="Q83" i="2"/>
  <c r="Q98" i="2"/>
  <c r="Q44" i="2"/>
  <c r="Q45" i="2" s="1"/>
  <c r="AB57" i="2"/>
  <c r="AB85" i="2"/>
  <c r="AB75" i="2"/>
  <c r="AB83" i="2"/>
  <c r="AB67" i="2"/>
  <c r="AB32" i="2"/>
  <c r="AB33" i="2" s="1"/>
  <c r="AB63" i="2"/>
  <c r="AB73" i="2"/>
  <c r="AB71" i="2"/>
  <c r="AB7" i="2"/>
  <c r="AB51" i="2"/>
  <c r="AB66" i="2"/>
  <c r="AB47" i="2"/>
  <c r="AB87" i="2"/>
  <c r="AB91" i="2"/>
  <c r="AB97" i="2"/>
  <c r="AB101" i="2"/>
  <c r="U63" i="2"/>
  <c r="U50" i="2"/>
  <c r="U68" i="2"/>
  <c r="U102" i="2"/>
  <c r="U100" i="2"/>
  <c r="U84" i="2"/>
  <c r="U22" i="2"/>
  <c r="U82" i="2"/>
  <c r="U46" i="2"/>
  <c r="U47" i="2"/>
  <c r="U51" i="2"/>
  <c r="U67" i="2"/>
  <c r="U81" i="2"/>
  <c r="U65" i="2"/>
  <c r="U66" i="2"/>
  <c r="U72" i="2"/>
  <c r="AE44" i="2"/>
  <c r="AE45" i="2" s="1"/>
  <c r="AE64" i="2"/>
  <c r="AE76" i="2"/>
  <c r="AE29" i="2"/>
  <c r="AE75" i="2"/>
  <c r="AE72" i="2"/>
  <c r="AE88" i="2"/>
  <c r="AE19" i="2"/>
  <c r="AE25" i="2"/>
  <c r="AE9" i="2"/>
  <c r="AE7" i="2"/>
  <c r="AE8" i="2"/>
  <c r="AE74" i="2"/>
  <c r="AE68" i="2"/>
  <c r="AE91" i="2"/>
  <c r="AE107" i="2"/>
  <c r="AE32" i="2"/>
  <c r="AE33" i="2" s="1"/>
  <c r="AE21" i="2"/>
  <c r="AE41" i="2"/>
  <c r="AE104" i="2"/>
  <c r="AE99" i="2"/>
  <c r="AJ6" i="2"/>
  <c r="AJ3" i="2" s="1"/>
  <c r="AJ137" i="2" s="1"/>
  <c r="AJ23" i="2"/>
  <c r="AJ69" i="2"/>
  <c r="AJ99" i="2"/>
  <c r="AJ64" i="2"/>
  <c r="AJ44" i="2"/>
  <c r="AJ45" i="2" s="1"/>
  <c r="AJ68" i="2"/>
  <c r="AJ63" i="2"/>
  <c r="AJ86" i="2"/>
  <c r="AJ91" i="2"/>
  <c r="AJ94" i="2"/>
  <c r="AJ9" i="2"/>
  <c r="AJ21" i="2"/>
  <c r="V35" i="2"/>
  <c r="L8" i="2"/>
  <c r="L7" i="2"/>
  <c r="L6" i="2"/>
  <c r="L3" i="2" s="1"/>
  <c r="L137" i="2" s="1"/>
  <c r="L57" i="2"/>
  <c r="L22" i="2"/>
  <c r="L26" i="2"/>
  <c r="L85" i="2"/>
  <c r="L24" i="2"/>
  <c r="L115" i="2"/>
  <c r="L88" i="2"/>
  <c r="L65" i="2"/>
  <c r="L83" i="2"/>
  <c r="L68" i="2"/>
  <c r="L29" i="2"/>
  <c r="X6" i="2"/>
  <c r="X3" i="2" s="1"/>
  <c r="X137" i="2" s="1"/>
  <c r="X99" i="2"/>
  <c r="X104" i="2"/>
  <c r="X97" i="2"/>
  <c r="X74" i="2"/>
  <c r="X86" i="2"/>
  <c r="X66" i="2"/>
  <c r="X7" i="2"/>
  <c r="X70" i="2"/>
  <c r="X82" i="2"/>
  <c r="X19" i="2"/>
  <c r="X23" i="2"/>
  <c r="X89" i="2"/>
  <c r="X95" i="2"/>
  <c r="P9" i="2"/>
  <c r="P47" i="2"/>
  <c r="P76" i="2"/>
  <c r="P25" i="2"/>
  <c r="P84" i="2"/>
  <c r="P107" i="2"/>
  <c r="P5" i="2"/>
  <c r="P102" i="2"/>
  <c r="P67" i="2"/>
  <c r="P90" i="2"/>
  <c r="P73" i="2"/>
  <c r="P41" i="2"/>
  <c r="P21" i="2"/>
  <c r="P26" i="2"/>
  <c r="P88" i="2"/>
  <c r="P50" i="2"/>
  <c r="P32" i="2"/>
  <c r="P33" i="2" s="1"/>
  <c r="AK6" i="2"/>
  <c r="AK3" i="2" s="1"/>
  <c r="AK137" i="2" s="1"/>
  <c r="AC34" i="2"/>
  <c r="AC67" i="2"/>
  <c r="AC44" i="2"/>
  <c r="AC45" i="2" s="1"/>
  <c r="AC83" i="2"/>
  <c r="AC68" i="2"/>
  <c r="AC50" i="2"/>
  <c r="AC20" i="2"/>
  <c r="AC38" i="2"/>
  <c r="AC39" i="2" s="1"/>
  <c r="AC22" i="2"/>
  <c r="AC26" i="2"/>
  <c r="AC30" i="2"/>
  <c r="AC46" i="2"/>
  <c r="AC101" i="2"/>
  <c r="AC48" i="2"/>
  <c r="AG86" i="2"/>
  <c r="AG49" i="2"/>
  <c r="AG50" i="2"/>
  <c r="AG94" i="2"/>
  <c r="AG71" i="2"/>
  <c r="AG25" i="2"/>
  <c r="AG67" i="2"/>
  <c r="AG48" i="2"/>
  <c r="AG80" i="2"/>
  <c r="AG23" i="2"/>
  <c r="AG100" i="2"/>
  <c r="AG64" i="2"/>
  <c r="AG74" i="2"/>
  <c r="AG83" i="2"/>
  <c r="AG44" i="2"/>
  <c r="AG45" i="2" s="1"/>
  <c r="AG29" i="2"/>
  <c r="AG41" i="2"/>
  <c r="AG57" i="2"/>
  <c r="AG107" i="2"/>
  <c r="AG51" i="2"/>
  <c r="AG24" i="2"/>
  <c r="AG101" i="2"/>
  <c r="AG82" i="2"/>
  <c r="AG70" i="2"/>
  <c r="AG84" i="2"/>
  <c r="S91" i="2"/>
  <c r="S97" i="2"/>
  <c r="S11" i="2"/>
  <c r="S12" i="2" s="1"/>
  <c r="S85" i="2"/>
  <c r="S64" i="2"/>
  <c r="S81" i="2"/>
  <c r="S101" i="2"/>
  <c r="S107" i="2"/>
  <c r="S28" i="2"/>
  <c r="S20" i="2"/>
  <c r="S68" i="2"/>
  <c r="S98" i="2"/>
  <c r="S82" i="2"/>
  <c r="S5" i="2"/>
  <c r="S48" i="2"/>
  <c r="S32" i="2"/>
  <c r="S33" i="2" s="1"/>
  <c r="S29" i="2"/>
  <c r="S89" i="2"/>
  <c r="S9" i="2"/>
  <c r="S22" i="2"/>
  <c r="S21" i="2"/>
  <c r="S6" i="2"/>
  <c r="S3" i="2" s="1"/>
  <c r="S137" i="2" s="1"/>
  <c r="S19" i="2"/>
  <c r="S87" i="2"/>
  <c r="AN100" i="2"/>
  <c r="AN21" i="2"/>
  <c r="AN85" i="2"/>
  <c r="AN41" i="2"/>
  <c r="AN87" i="2"/>
  <c r="AN38" i="2"/>
  <c r="AN39" i="2" s="1"/>
  <c r="AN74" i="2"/>
  <c r="AN88" i="2"/>
  <c r="AN50" i="2"/>
  <c r="AN32" i="2"/>
  <c r="AN33" i="2" s="1"/>
  <c r="AN24" i="2"/>
  <c r="AN6" i="2"/>
  <c r="AN3" i="2" s="1"/>
  <c r="AN137" i="2" s="1"/>
  <c r="AN71" i="2"/>
  <c r="AN115" i="2"/>
  <c r="AN98" i="2"/>
  <c r="AN28" i="2"/>
  <c r="AH20" i="2"/>
  <c r="AH28" i="2"/>
  <c r="AH80" i="2"/>
  <c r="AH89" i="2"/>
  <c r="AH71" i="2"/>
  <c r="AH63" i="2"/>
  <c r="AH67" i="2"/>
  <c r="AH69" i="2"/>
  <c r="AH51" i="2"/>
  <c r="AH91" i="2"/>
  <c r="AH73" i="2"/>
  <c r="AH85" i="2"/>
  <c r="AH24" i="2"/>
  <c r="AH81" i="2"/>
  <c r="AH83" i="2"/>
  <c r="AH44" i="2"/>
  <c r="AH45" i="2" s="1"/>
  <c r="AH101" i="2"/>
  <c r="AH75" i="2"/>
  <c r="AH107" i="2"/>
  <c r="AH64" i="2"/>
  <c r="AH94" i="2"/>
  <c r="AH95" i="2"/>
  <c r="AH5" i="2"/>
  <c r="AH9" i="2"/>
  <c r="AD98" i="2"/>
  <c r="AD35" i="2"/>
  <c r="AD48" i="2"/>
  <c r="AD72" i="2"/>
  <c r="AD71" i="2"/>
  <c r="AD104" i="2"/>
  <c r="AD67" i="2"/>
  <c r="AD38" i="2"/>
  <c r="AD39" i="2" s="1"/>
  <c r="AD26" i="2"/>
  <c r="AD76" i="2"/>
  <c r="AD21" i="2"/>
  <c r="AD85" i="2"/>
  <c r="R34" i="2"/>
  <c r="R44" i="2"/>
  <c r="R45" i="2" s="1"/>
  <c r="R99" i="2"/>
  <c r="R41" i="2"/>
  <c r="R19" i="2"/>
  <c r="R100" i="2"/>
  <c r="R94" i="2"/>
  <c r="R5" i="2"/>
  <c r="R83" i="2"/>
  <c r="R91" i="2"/>
  <c r="R26" i="2"/>
  <c r="R85" i="2"/>
  <c r="R50" i="2"/>
  <c r="R115" i="2"/>
  <c r="R46" i="2"/>
  <c r="R8" i="2"/>
  <c r="R29" i="2"/>
  <c r="R20" i="2"/>
  <c r="R68" i="2"/>
  <c r="R74" i="2"/>
  <c r="R65" i="2"/>
  <c r="R98" i="2"/>
  <c r="R76" i="2"/>
  <c r="R23" i="2"/>
  <c r="Y115" i="2"/>
  <c r="Y85" i="2"/>
  <c r="Y71" i="2"/>
  <c r="Y80" i="2"/>
  <c r="Y73" i="2"/>
  <c r="Y8" i="2"/>
  <c r="Y89" i="2"/>
  <c r="Y101" i="2"/>
  <c r="Y6" i="2"/>
  <c r="Y3" i="2" s="1"/>
  <c r="Y137" i="2" s="1"/>
  <c r="Y88" i="2"/>
  <c r="Y87" i="2"/>
  <c r="Y84" i="2"/>
  <c r="Y67" i="2"/>
  <c r="Y57" i="2"/>
  <c r="AM26" i="2"/>
  <c r="AM50" i="2"/>
  <c r="AM34" i="2"/>
  <c r="AM71" i="2"/>
  <c r="AM95" i="2"/>
  <c r="AM73" i="2"/>
  <c r="AM1" i="4"/>
  <c r="AL19" i="2"/>
  <c r="AL21" i="2"/>
  <c r="AL28" i="2"/>
  <c r="AL50" i="2"/>
  <c r="AL57" i="2"/>
  <c r="AL68" i="2"/>
  <c r="AL100" i="2"/>
  <c r="AL64" i="2"/>
  <c r="AL97" i="2"/>
  <c r="AL66" i="2"/>
  <c r="AL70" i="2"/>
  <c r="AL72" i="2"/>
  <c r="AL81" i="2"/>
  <c r="AL83" i="2"/>
  <c r="AL94" i="2"/>
  <c r="AL98" i="2"/>
  <c r="AL104" i="2"/>
  <c r="AL89" i="2"/>
  <c r="AL34" i="2"/>
  <c r="AL87" i="2"/>
  <c r="AL8" i="2"/>
  <c r="AL38" i="2"/>
  <c r="AL39" i="2" s="1"/>
  <c r="AL85" i="2"/>
  <c r="AL74" i="2"/>
  <c r="AL6" i="2"/>
  <c r="AL3" i="2" s="1"/>
  <c r="AL137" i="2" s="1"/>
  <c r="AL47" i="2"/>
  <c r="AL44" i="2"/>
  <c r="AL45" i="2" s="1"/>
  <c r="AL32" i="2"/>
  <c r="AL33" i="2" s="1"/>
  <c r="AL115" i="2"/>
  <c r="AL24" i="2"/>
  <c r="AL29" i="2"/>
  <c r="AL49" i="2"/>
  <c r="AL63" i="2"/>
  <c r="AL67" i="2"/>
  <c r="AL71" i="2"/>
  <c r="AL76" i="2"/>
  <c r="AL102" i="2"/>
  <c r="AL9" i="2"/>
  <c r="AL11" i="2"/>
  <c r="AL12" i="2" s="1"/>
  <c r="AL82" i="2"/>
  <c r="AL84" i="2"/>
  <c r="AL86" i="2"/>
  <c r="AL73" i="2"/>
  <c r="AL80" i="2"/>
  <c r="AL48" i="2"/>
  <c r="AL90" i="2"/>
  <c r="AL25" i="2"/>
  <c r="AL69" i="2"/>
  <c r="AL5" i="2"/>
  <c r="AL101" i="2"/>
  <c r="AL99" i="2"/>
  <c r="AL35" i="2"/>
  <c r="AL51" i="2"/>
  <c r="AL95" i="2"/>
  <c r="AL107" i="2"/>
  <c r="AL30" i="2"/>
  <c r="AL26" i="2"/>
  <c r="AL88" i="2"/>
  <c r="AL20" i="2"/>
  <c r="AL91" i="2"/>
  <c r="AL22" i="2"/>
  <c r="AL7" i="2"/>
  <c r="AL23" i="2"/>
  <c r="AL65" i="2"/>
  <c r="AL46" i="2"/>
  <c r="AL75" i="2"/>
  <c r="AL41" i="2"/>
  <c r="L1" i="4"/>
  <c r="K32" i="2"/>
  <c r="K33" i="2" s="1"/>
  <c r="K115" i="2"/>
  <c r="K6" i="2"/>
  <c r="K3" i="2" s="1"/>
  <c r="K22" i="2"/>
  <c r="K49" i="2"/>
  <c r="K51" i="2"/>
  <c r="K7" i="2"/>
  <c r="K20" i="2"/>
  <c r="K26" i="2"/>
  <c r="K29" i="2"/>
  <c r="K63" i="2"/>
  <c r="K69" i="2"/>
  <c r="K11" i="2"/>
  <c r="K12" i="2" s="1"/>
  <c r="K65" i="2"/>
  <c r="K80" i="2"/>
  <c r="K67" i="2"/>
  <c r="K71" i="2"/>
  <c r="K73" i="2"/>
  <c r="K84" i="2"/>
  <c r="K35" i="2"/>
  <c r="K82" i="2"/>
  <c r="K95" i="2"/>
  <c r="K99" i="2"/>
  <c r="K86" i="2"/>
  <c r="K88" i="2"/>
  <c r="K107" i="2"/>
  <c r="K9" i="2"/>
  <c r="K41" i="2"/>
  <c r="K75" i="2"/>
  <c r="K94" i="2"/>
  <c r="K21" i="2"/>
  <c r="K66" i="2"/>
  <c r="K70" i="2"/>
  <c r="K34" i="2"/>
  <c r="K44" i="2"/>
  <c r="K45" i="2" s="1"/>
  <c r="K68" i="2"/>
  <c r="K104" i="2"/>
  <c r="K64" i="2"/>
  <c r="K97" i="2"/>
  <c r="K72" i="2"/>
  <c r="K76" i="2"/>
  <c r="K81" i="2"/>
  <c r="K101" i="2"/>
  <c r="K57" i="2"/>
  <c r="K19" i="2"/>
  <c r="K30" i="2"/>
  <c r="K25" i="2"/>
  <c r="K91" i="2"/>
  <c r="K50" i="2"/>
  <c r="K28" i="2"/>
  <c r="K46" i="2"/>
  <c r="K90" i="2"/>
  <c r="K24" i="2"/>
  <c r="K87" i="2"/>
  <c r="K74" i="2"/>
  <c r="K38" i="2"/>
  <c r="K39" i="2" s="1"/>
  <c r="K98" i="2"/>
  <c r="K102" i="2"/>
  <c r="K85" i="2"/>
  <c r="K23" i="2"/>
  <c r="K100" i="2"/>
  <c r="K83" i="2"/>
  <c r="K47" i="2"/>
  <c r="K48" i="2"/>
  <c r="K8" i="2"/>
  <c r="K5" i="2"/>
  <c r="K89" i="2"/>
  <c r="X1" i="4"/>
  <c r="W65" i="2"/>
  <c r="W44" i="2"/>
  <c r="W45" i="2" s="1"/>
  <c r="W76" i="2"/>
  <c r="W89" i="2"/>
  <c r="W97" i="2"/>
  <c r="W24" i="2"/>
  <c r="W32" i="2"/>
  <c r="W33" i="2" s="1"/>
  <c r="W91" i="2"/>
  <c r="W102" i="2"/>
  <c r="W20" i="2"/>
  <c r="W115" i="2"/>
  <c r="W11" i="2"/>
  <c r="W12" i="2" s="1"/>
  <c r="W29" i="2"/>
  <c r="W49" i="2"/>
  <c r="W69" i="2"/>
  <c r="W80" i="2"/>
  <c r="W88" i="2"/>
  <c r="W95" i="2"/>
  <c r="W99" i="2"/>
  <c r="W41" i="2"/>
  <c r="W101" i="2"/>
  <c r="W28" i="2"/>
  <c r="W48" i="2"/>
  <c r="W98" i="2"/>
  <c r="W72" i="2"/>
  <c r="W107" i="2"/>
  <c r="W94" i="2"/>
  <c r="W57" i="2"/>
  <c r="W84" i="2"/>
  <c r="W68" i="2"/>
  <c r="W85" i="2"/>
  <c r="W104" i="2"/>
  <c r="W81" i="2"/>
  <c r="W64" i="2"/>
  <c r="W8" i="2"/>
  <c r="W25" i="2"/>
  <c r="W21" i="2"/>
  <c r="W73" i="2"/>
  <c r="W51" i="2"/>
  <c r="W63" i="2"/>
  <c r="W67" i="2"/>
  <c r="W5" i="2"/>
  <c r="W71" i="2"/>
  <c r="W30" i="2"/>
  <c r="W9" i="2"/>
  <c r="W75" i="2"/>
  <c r="W22" i="2"/>
  <c r="W83" i="2"/>
  <c r="W26" i="2"/>
  <c r="W87" i="2"/>
  <c r="W47" i="2"/>
  <c r="W46" i="2"/>
  <c r="W7" i="2"/>
  <c r="W50" i="2"/>
  <c r="W66" i="2"/>
  <c r="W19" i="2"/>
  <c r="W70" i="2"/>
  <c r="W74" i="2"/>
  <c r="W90" i="2"/>
  <c r="W6" i="2"/>
  <c r="W3" i="2" s="1"/>
  <c r="W137" i="2" s="1"/>
  <c r="W82" i="2"/>
  <c r="W86" i="2"/>
  <c r="W100" i="2"/>
  <c r="AI1" i="4"/>
  <c r="AH76" i="2"/>
  <c r="AH8" i="2"/>
  <c r="AH70" i="2"/>
  <c r="AH84" i="2"/>
  <c r="AH21" i="2"/>
  <c r="AH74" i="2"/>
  <c r="AH68" i="2"/>
  <c r="AH25" i="2"/>
  <c r="AH82" i="2"/>
  <c r="AH104" i="2"/>
  <c r="AH48" i="2"/>
  <c r="AH29" i="2"/>
  <c r="AH86" i="2"/>
  <c r="AH7" i="2"/>
  <c r="AH41" i="2"/>
  <c r="AH90" i="2"/>
  <c r="AH72" i="2"/>
  <c r="AH23" i="2"/>
  <c r="AH49" i="2"/>
  <c r="AH100" i="2"/>
  <c r="AH88" i="2"/>
  <c r="AH57" i="2"/>
  <c r="AH115" i="2"/>
  <c r="AH97" i="2"/>
  <c r="AH66" i="2"/>
  <c r="AH102" i="2"/>
  <c r="AH65" i="2"/>
  <c r="AH22" i="2"/>
  <c r="AH99" i="2"/>
  <c r="AH26" i="2"/>
  <c r="AH30" i="2"/>
  <c r="AH19" i="2"/>
  <c r="AH34" i="2"/>
  <c r="AH47" i="2"/>
  <c r="AH38" i="2"/>
  <c r="AH39" i="2" s="1"/>
  <c r="AH98" i="2"/>
  <c r="AH46" i="2"/>
  <c r="AH6" i="2"/>
  <c r="AH3" i="2" s="1"/>
  <c r="AH137" i="2" s="1"/>
  <c r="AH11" i="2"/>
  <c r="AH12" i="2" s="1"/>
  <c r="AH87" i="2"/>
  <c r="AH32" i="2"/>
  <c r="AH33" i="2" s="1"/>
  <c r="AH50" i="2"/>
  <c r="AH35" i="2"/>
  <c r="AE1" i="4"/>
  <c r="AD34" i="2"/>
  <c r="AD81" i="2"/>
  <c r="AD83" i="2"/>
  <c r="AD87" i="2"/>
  <c r="AD8" i="2"/>
  <c r="AD74" i="2"/>
  <c r="AD47" i="2"/>
  <c r="AD100" i="2"/>
  <c r="AD89" i="2"/>
  <c r="AD51" i="2"/>
  <c r="AD115" i="2"/>
  <c r="AD102" i="2"/>
  <c r="AD65" i="2"/>
  <c r="AD82" i="2"/>
  <c r="AD11" i="2"/>
  <c r="AD12" i="2" s="1"/>
  <c r="AD46" i="2"/>
  <c r="AD75" i="2"/>
  <c r="AD88" i="2"/>
  <c r="AD41" i="2"/>
  <c r="AD107" i="2"/>
  <c r="AD57" i="2"/>
  <c r="AD28" i="2"/>
  <c r="AD66" i="2"/>
  <c r="AD32" i="2"/>
  <c r="AD33" i="2" s="1"/>
  <c r="AD90" i="2"/>
  <c r="AD50" i="2"/>
  <c r="AD24" i="2"/>
  <c r="AD101" i="2"/>
  <c r="AD63" i="2"/>
  <c r="AD19" i="2"/>
  <c r="AD68" i="2"/>
  <c r="AD70" i="2"/>
  <c r="AD86" i="2"/>
  <c r="AD91" i="2"/>
  <c r="AD94" i="2"/>
  <c r="AD22" i="2"/>
  <c r="AD29" i="2"/>
  <c r="AD44" i="2"/>
  <c r="AD45" i="2" s="1"/>
  <c r="AD7" i="2"/>
  <c r="AD9" i="2"/>
  <c r="AD20" i="2"/>
  <c r="AD5" i="2"/>
  <c r="AD80" i="2"/>
  <c r="AD6" i="2"/>
  <c r="AD3" i="2" s="1"/>
  <c r="AD137" i="2" s="1"/>
  <c r="AD25" i="2"/>
  <c r="AD95" i="2"/>
  <c r="AD64" i="2"/>
  <c r="AD84" i="2"/>
  <c r="AD73" i="2"/>
  <c r="AD23" i="2"/>
  <c r="AD97" i="2"/>
  <c r="AD69" i="2"/>
  <c r="AD30" i="2"/>
  <c r="AD49" i="2"/>
  <c r="AD99" i="2"/>
  <c r="AB1" i="4"/>
  <c r="AA8" i="2"/>
  <c r="AA85" i="2"/>
  <c r="AA47" i="2"/>
  <c r="AA89" i="2"/>
  <c r="AA32" i="2"/>
  <c r="AA33" i="2" s="1"/>
  <c r="AA24" i="2"/>
  <c r="AA11" i="2"/>
  <c r="AA12" i="2" s="1"/>
  <c r="AA69" i="2"/>
  <c r="AA73" i="2"/>
  <c r="AA7" i="2"/>
  <c r="AA41" i="2"/>
  <c r="AA75" i="2"/>
  <c r="AA99" i="2"/>
  <c r="AA20" i="2"/>
  <c r="AA23" i="2"/>
  <c r="AA28" i="2"/>
  <c r="AA72" i="2"/>
  <c r="AA88" i="2"/>
  <c r="AA95" i="2"/>
  <c r="AA57" i="2"/>
  <c r="AA98" i="2"/>
  <c r="AA19" i="2"/>
  <c r="AA35" i="2"/>
  <c r="AA104" i="2"/>
  <c r="AA94" i="2"/>
  <c r="AA63" i="2"/>
  <c r="AA97" i="2"/>
  <c r="AA51" i="2"/>
  <c r="AA44" i="2"/>
  <c r="AA45" i="2" s="1"/>
  <c r="AA64" i="2"/>
  <c r="AA80" i="2"/>
  <c r="AA67" i="2"/>
  <c r="AA102" i="2"/>
  <c r="AA83" i="2"/>
  <c r="AA115" i="2"/>
  <c r="AA6" i="2"/>
  <c r="AA3" i="2" s="1"/>
  <c r="AA137" i="2" s="1"/>
  <c r="AA101" i="2"/>
  <c r="AA5" i="2"/>
  <c r="AA100" i="2"/>
  <c r="AA87" i="2"/>
  <c r="AA84" i="2"/>
  <c r="AA65" i="2"/>
  <c r="AA71" i="2"/>
  <c r="AA9" i="2"/>
  <c r="AA22" i="2"/>
  <c r="AA68" i="2"/>
  <c r="AA49" i="2"/>
  <c r="AA48" i="2"/>
  <c r="AA21" i="2"/>
  <c r="AA81" i="2"/>
  <c r="AA29" i="2"/>
  <c r="Y19" i="2"/>
  <c r="Z1" i="4"/>
  <c r="Y47" i="2"/>
  <c r="Y44" i="2"/>
  <c r="Y45" i="2" s="1"/>
  <c r="Y76" i="2"/>
  <c r="Y51" i="2"/>
  <c r="Y24" i="2"/>
  <c r="Y32" i="2"/>
  <c r="Y33" i="2" s="1"/>
  <c r="Y91" i="2"/>
  <c r="Y29" i="2"/>
  <c r="Y20" i="2"/>
  <c r="Y63" i="2"/>
  <c r="Y35" i="2"/>
  <c r="Y95" i="2"/>
  <c r="Y99" i="2"/>
  <c r="Y23" i="2"/>
  <c r="Y107" i="2"/>
  <c r="Y98" i="2"/>
  <c r="Y28" i="2"/>
  <c r="Y11" i="2"/>
  <c r="Y12" i="2" s="1"/>
  <c r="Y69" i="2"/>
  <c r="Y83" i="2"/>
  <c r="Y41" i="2"/>
  <c r="Y94" i="2"/>
  <c r="Y104" i="2"/>
  <c r="Y48" i="2"/>
  <c r="Y21" i="2"/>
  <c r="Y102" i="2"/>
  <c r="Y5" i="2"/>
  <c r="Y81" i="2"/>
  <c r="Y9" i="2"/>
  <c r="Y22" i="2"/>
  <c r="Y26" i="2"/>
  <c r="Y7" i="2"/>
  <c r="Y68" i="2"/>
  <c r="Y30" i="2"/>
  <c r="Y34" i="2"/>
  <c r="Y97" i="2"/>
  <c r="Y100" i="2"/>
  <c r="Y38" i="2"/>
  <c r="Y39" i="2" s="1"/>
  <c r="Y72" i="2"/>
  <c r="Y46" i="2"/>
  <c r="Y90" i="2"/>
  <c r="Y50" i="2"/>
  <c r="Y65" i="2"/>
  <c r="Y64" i="2"/>
  <c r="Y66" i="2"/>
  <c r="Y82" i="2"/>
  <c r="Y70" i="2"/>
  <c r="Y75" i="2"/>
  <c r="Y25" i="2"/>
  <c r="Y86" i="2"/>
  <c r="Y74" i="2"/>
  <c r="Y49" i="2"/>
  <c r="X11" i="2"/>
  <c r="X12" i="2" s="1"/>
  <c r="Y1" i="4"/>
  <c r="X100" i="2"/>
  <c r="X44" i="2"/>
  <c r="X45" i="2" s="1"/>
  <c r="X76" i="2"/>
  <c r="X24" i="2"/>
  <c r="X32" i="2"/>
  <c r="X33" i="2" s="1"/>
  <c r="X91" i="2"/>
  <c r="X102" i="2"/>
  <c r="X20" i="2"/>
  <c r="X80" i="2"/>
  <c r="X90" i="2"/>
  <c r="X101" i="2"/>
  <c r="X28" i="2"/>
  <c r="X98" i="2"/>
  <c r="X107" i="2"/>
  <c r="X48" i="2"/>
  <c r="X68" i="2"/>
  <c r="X94" i="2"/>
  <c r="X9" i="2"/>
  <c r="X8" i="2"/>
  <c r="X87" i="2"/>
  <c r="X64" i="2"/>
  <c r="X50" i="2"/>
  <c r="X22" i="2"/>
  <c r="X21" i="2"/>
  <c r="X26" i="2"/>
  <c r="X25" i="2"/>
  <c r="X84" i="2"/>
  <c r="X30" i="2"/>
  <c r="X29" i="2"/>
  <c r="X34" i="2"/>
  <c r="X41" i="2"/>
  <c r="X38" i="2"/>
  <c r="X39" i="2" s="1"/>
  <c r="X49" i="2"/>
  <c r="X115" i="2"/>
  <c r="X46" i="2"/>
  <c r="X57" i="2"/>
  <c r="X5" i="2"/>
  <c r="X83" i="2"/>
  <c r="X65" i="2"/>
  <c r="X35" i="2"/>
  <c r="X47" i="2"/>
  <c r="X51" i="2"/>
  <c r="X63" i="2"/>
  <c r="X67" i="2"/>
  <c r="X73" i="2"/>
  <c r="X71" i="2"/>
  <c r="X88" i="2"/>
  <c r="X69" i="2"/>
  <c r="X75" i="2"/>
  <c r="X72" i="2"/>
  <c r="X85" i="2"/>
  <c r="X81" i="2"/>
  <c r="Q1" i="4"/>
  <c r="P100" i="2"/>
  <c r="P91" i="2"/>
  <c r="P80" i="2"/>
  <c r="P74" i="2"/>
  <c r="P35" i="2"/>
  <c r="P68" i="2"/>
  <c r="P71" i="2"/>
  <c r="P115" i="2"/>
  <c r="P66" i="2"/>
  <c r="P97" i="2"/>
  <c r="P20" i="2"/>
  <c r="P38" i="2"/>
  <c r="P39" i="2" s="1"/>
  <c r="P8" i="2"/>
  <c r="P81" i="2"/>
  <c r="P63" i="2"/>
  <c r="P19" i="2"/>
  <c r="P75" i="2"/>
  <c r="P72" i="2"/>
  <c r="P49" i="2"/>
  <c r="P101" i="2"/>
  <c r="P89" i="2"/>
  <c r="P65" i="2"/>
  <c r="P24" i="2"/>
  <c r="P46" i="2"/>
  <c r="P51" i="2"/>
  <c r="P70" i="2"/>
  <c r="P44" i="2"/>
  <c r="P45" i="2" s="1"/>
  <c r="P85" i="2"/>
  <c r="P48" i="2"/>
  <c r="P34" i="2"/>
  <c r="P7" i="2"/>
  <c r="P6" i="2"/>
  <c r="P3" i="2" s="1"/>
  <c r="P137" i="2" s="1"/>
  <c r="P22" i="2"/>
  <c r="P83" i="2"/>
  <c r="P98" i="2"/>
  <c r="P86" i="2"/>
  <c r="P57" i="2"/>
  <c r="P29" i="2"/>
  <c r="P99" i="2"/>
  <c r="P28" i="2"/>
  <c r="P64" i="2"/>
  <c r="P23" i="2"/>
  <c r="P82" i="2"/>
  <c r="P69" i="2"/>
  <c r="P94" i="2"/>
  <c r="P11" i="2"/>
  <c r="P12" i="2" s="1"/>
  <c r="P95" i="2"/>
  <c r="P30" i="2"/>
  <c r="P87" i="2"/>
  <c r="P104" i="2"/>
  <c r="T102" i="2"/>
  <c r="U1" i="4"/>
  <c r="T80" i="2"/>
  <c r="T28" i="2"/>
  <c r="T30" i="2"/>
  <c r="T68" i="2"/>
  <c r="T48" i="2"/>
  <c r="T50" i="2"/>
  <c r="T100" i="2"/>
  <c r="T65" i="2"/>
  <c r="T98" i="2"/>
  <c r="T69" i="2"/>
  <c r="T20" i="2"/>
  <c r="T94" i="2"/>
  <c r="T73" i="2"/>
  <c r="T34" i="2"/>
  <c r="T6" i="2"/>
  <c r="T3" i="2" s="1"/>
  <c r="T137" i="2" s="1"/>
  <c r="T81" i="2"/>
  <c r="T24" i="2"/>
  <c r="T19" i="2"/>
  <c r="T85" i="2"/>
  <c r="T26" i="2"/>
  <c r="T46" i="2"/>
  <c r="T23" i="2"/>
  <c r="T89" i="2"/>
  <c r="T35" i="2"/>
  <c r="T95" i="2"/>
  <c r="T84" i="2"/>
  <c r="T57" i="2"/>
  <c r="T32" i="2"/>
  <c r="T33" i="2" s="1"/>
  <c r="T47" i="2"/>
  <c r="T99" i="2"/>
  <c r="T22" i="2"/>
  <c r="T67" i="2"/>
  <c r="T9" i="2"/>
  <c r="T115" i="2"/>
  <c r="T71" i="2"/>
  <c r="T74" i="2"/>
  <c r="T75" i="2"/>
  <c r="T90" i="2"/>
  <c r="T11" i="2"/>
  <c r="T12" i="2" s="1"/>
  <c r="T25" i="2"/>
  <c r="T83" i="2"/>
  <c r="T87" i="2"/>
  <c r="T8" i="2"/>
  <c r="T29" i="2"/>
  <c r="T91" i="2"/>
  <c r="T21" i="2"/>
  <c r="T97" i="2"/>
  <c r="T41" i="2"/>
  <c r="T101" i="2"/>
  <c r="R57" i="2"/>
  <c r="S1" i="4"/>
  <c r="R69" i="2"/>
  <c r="R107" i="2"/>
  <c r="R47" i="2"/>
  <c r="R64" i="2"/>
  <c r="R87" i="2"/>
  <c r="R97" i="2"/>
  <c r="R71" i="2"/>
  <c r="R73" i="2"/>
  <c r="R63" i="2"/>
  <c r="R80" i="2"/>
  <c r="R30" i="2"/>
  <c r="R81" i="2"/>
  <c r="R82" i="2"/>
  <c r="R51" i="2"/>
  <c r="R48" i="2"/>
  <c r="R70" i="2"/>
  <c r="R25" i="2"/>
  <c r="R28" i="2"/>
  <c r="R66" i="2"/>
  <c r="R95" i="2"/>
  <c r="R35" i="2"/>
  <c r="R84" i="2"/>
  <c r="R72" i="2"/>
  <c r="R7" i="2"/>
  <c r="R38" i="2"/>
  <c r="R39" i="2" s="1"/>
  <c r="R6" i="2"/>
  <c r="R3" i="2" s="1"/>
  <c r="R137" i="2" s="1"/>
  <c r="R11" i="2"/>
  <c r="R12" i="2" s="1"/>
  <c r="R32" i="2"/>
  <c r="R33" i="2" s="1"/>
  <c r="R102" i="2"/>
  <c r="R89" i="2"/>
  <c r="R90" i="2"/>
  <c r="R49" i="2"/>
  <c r="R101" i="2"/>
  <c r="R22" i="2"/>
  <c r="R24" i="2"/>
  <c r="R21" i="2"/>
  <c r="R86" i="2"/>
  <c r="R9" i="2"/>
  <c r="R88" i="2"/>
  <c r="R104" i="2"/>
  <c r="R67" i="2"/>
  <c r="R75" i="2"/>
  <c r="O9" i="2"/>
  <c r="P1" i="4"/>
  <c r="O44" i="2"/>
  <c r="O45" i="2" s="1"/>
  <c r="O97" i="2"/>
  <c r="O91" i="2"/>
  <c r="O84" i="2"/>
  <c r="O24" i="2"/>
  <c r="O73" i="2"/>
  <c r="O6" i="2"/>
  <c r="O3" i="2" s="1"/>
  <c r="O137" i="2" s="1"/>
  <c r="O32" i="2"/>
  <c r="O33" i="2" s="1"/>
  <c r="O115" i="2"/>
  <c r="O22" i="2"/>
  <c r="O26" i="2"/>
  <c r="O29" i="2"/>
  <c r="O49" i="2"/>
  <c r="O63" i="2"/>
  <c r="O65" i="2"/>
  <c r="O82" i="2"/>
  <c r="O11" i="2"/>
  <c r="O12" i="2" s="1"/>
  <c r="O57" i="2"/>
  <c r="O25" i="2"/>
  <c r="O50" i="2"/>
  <c r="O68" i="2"/>
  <c r="O94" i="2"/>
  <c r="O104" i="2"/>
  <c r="O85" i="2"/>
  <c r="O95" i="2"/>
  <c r="O98" i="2"/>
  <c r="O41" i="2"/>
  <c r="O89" i="2"/>
  <c r="O107" i="2"/>
  <c r="O83" i="2"/>
  <c r="O70" i="2"/>
  <c r="O88" i="2"/>
  <c r="O75" i="2"/>
  <c r="O66" i="2"/>
  <c r="O19" i="2"/>
  <c r="O48" i="2"/>
  <c r="O28" i="2"/>
  <c r="O35" i="2"/>
  <c r="O86" i="2"/>
  <c r="O100" i="2"/>
  <c r="O74" i="2"/>
  <c r="O99" i="2"/>
  <c r="O72" i="2"/>
  <c r="O47" i="2"/>
  <c r="O81" i="2"/>
  <c r="O34" i="2"/>
  <c r="O7" i="2"/>
  <c r="O76" i="2"/>
  <c r="O21" i="2"/>
  <c r="O46" i="2"/>
  <c r="O80" i="2"/>
  <c r="O71" i="2"/>
  <c r="O30" i="2"/>
  <c r="O23" i="2"/>
  <c r="O38" i="2"/>
  <c r="O39" i="2" s="1"/>
  <c r="O20" i="2"/>
  <c r="O8" i="2"/>
  <c r="O1" i="4"/>
  <c r="N76" i="2"/>
  <c r="N91" i="2"/>
  <c r="N24" i="2"/>
  <c r="N35" i="2"/>
  <c r="N6" i="2"/>
  <c r="N3" i="2" s="1"/>
  <c r="N137" i="2" s="1"/>
  <c r="N32" i="2"/>
  <c r="N33" i="2" s="1"/>
  <c r="N102" i="2"/>
  <c r="N115" i="2"/>
  <c r="N20" i="2"/>
  <c r="N22" i="2"/>
  <c r="N26" i="2"/>
  <c r="N51" i="2"/>
  <c r="N29" i="2"/>
  <c r="N49" i="2"/>
  <c r="N63" i="2"/>
  <c r="N99" i="2"/>
  <c r="N65" i="2"/>
  <c r="N69" i="2"/>
  <c r="N80" i="2"/>
  <c r="N95" i="2"/>
  <c r="N11" i="2"/>
  <c r="N12" i="2" s="1"/>
  <c r="N71" i="2"/>
  <c r="N67" i="2"/>
  <c r="N73" i="2"/>
  <c r="N82" i="2"/>
  <c r="N84" i="2"/>
  <c r="N88" i="2"/>
  <c r="N46" i="2"/>
  <c r="N48" i="2"/>
  <c r="N25" i="2"/>
  <c r="N50" i="2"/>
  <c r="N68" i="2"/>
  <c r="N94" i="2"/>
  <c r="N19" i="2"/>
  <c r="N30" i="2"/>
  <c r="N72" i="2"/>
  <c r="N23" i="2"/>
  <c r="N85" i="2"/>
  <c r="N101" i="2"/>
  <c r="N89" i="2"/>
  <c r="N104" i="2"/>
  <c r="N66" i="2"/>
  <c r="N34" i="2"/>
  <c r="N44" i="2"/>
  <c r="N45" i="2" s="1"/>
  <c r="N75" i="2"/>
  <c r="N64" i="2"/>
  <c r="N81" i="2"/>
  <c r="N100" i="2"/>
  <c r="N87" i="2"/>
  <c r="N83" i="2"/>
  <c r="N57" i="2"/>
  <c r="N7" i="2"/>
  <c r="N107" i="2"/>
  <c r="N38" i="2"/>
  <c r="N39" i="2" s="1"/>
  <c r="N5" i="2"/>
  <c r="N28" i="2"/>
  <c r="N86" i="2"/>
  <c r="N90" i="2"/>
  <c r="N74" i="2"/>
  <c r="N70" i="2"/>
  <c r="N98" i="2"/>
  <c r="N21" i="2"/>
  <c r="N8" i="2"/>
  <c r="N97" i="2"/>
  <c r="N47" i="2"/>
  <c r="N9" i="2"/>
  <c r="N41" i="2"/>
  <c r="S38" i="2"/>
  <c r="S39" i="2" s="1"/>
  <c r="T1" i="4"/>
  <c r="S80" i="2"/>
  <c r="S50" i="2"/>
  <c r="S35" i="2"/>
  <c r="S104" i="2"/>
  <c r="S30" i="2"/>
  <c r="S24" i="2"/>
  <c r="S47" i="2"/>
  <c r="S86" i="2"/>
  <c r="S51" i="2"/>
  <c r="S83" i="2"/>
  <c r="S44" i="2"/>
  <c r="S45" i="2" s="1"/>
  <c r="S63" i="2"/>
  <c r="S76" i="2"/>
  <c r="S99" i="2"/>
  <c r="S57" i="2"/>
  <c r="S8" i="2"/>
  <c r="S67" i="2"/>
  <c r="S69" i="2"/>
  <c r="S84" i="2"/>
  <c r="S71" i="2"/>
  <c r="S102" i="2"/>
  <c r="S75" i="2"/>
  <c r="S41" i="2"/>
  <c r="S88" i="2"/>
  <c r="S100" i="2"/>
  <c r="S23" i="2"/>
  <c r="S66" i="2"/>
  <c r="S34" i="2"/>
  <c r="S73" i="2"/>
  <c r="S70" i="2"/>
  <c r="S26" i="2"/>
  <c r="S72" i="2"/>
  <c r="S115" i="2"/>
  <c r="S49" i="2"/>
  <c r="S65" i="2"/>
  <c r="S46" i="2"/>
  <c r="S25" i="2"/>
  <c r="S90" i="2"/>
  <c r="S74" i="2"/>
  <c r="S7" i="2"/>
  <c r="S95" i="2"/>
  <c r="S94" i="2"/>
  <c r="AK32" i="2"/>
  <c r="AK33" i="2" s="1"/>
  <c r="AL1" i="4"/>
  <c r="AK64" i="2"/>
  <c r="AK26" i="2"/>
  <c r="AK66" i="2"/>
  <c r="AK70" i="2"/>
  <c r="AK72" i="2"/>
  <c r="AK22" i="2"/>
  <c r="AK81" i="2"/>
  <c r="AK83" i="2"/>
  <c r="AK94" i="2"/>
  <c r="AK98" i="2"/>
  <c r="AK104" i="2"/>
  <c r="AK34" i="2"/>
  <c r="AK87" i="2"/>
  <c r="AK8" i="2"/>
  <c r="AK38" i="2"/>
  <c r="AK39" i="2" s="1"/>
  <c r="AK85" i="2"/>
  <c r="AK74" i="2"/>
  <c r="AK47" i="2"/>
  <c r="AK44" i="2"/>
  <c r="AK45" i="2" s="1"/>
  <c r="AK89" i="2"/>
  <c r="AK97" i="2"/>
  <c r="AK100" i="2"/>
  <c r="AK24" i="2"/>
  <c r="AK29" i="2"/>
  <c r="AK49" i="2"/>
  <c r="AK63" i="2"/>
  <c r="AK71" i="2"/>
  <c r="AK76" i="2"/>
  <c r="AK102" i="2"/>
  <c r="AK20" i="2"/>
  <c r="AK73" i="2"/>
  <c r="AK80" i="2"/>
  <c r="AK7" i="2"/>
  <c r="AK99" i="2"/>
  <c r="AK19" i="2"/>
  <c r="AK50" i="2"/>
  <c r="AK21" i="2"/>
  <c r="AK91" i="2"/>
  <c r="AK75" i="2"/>
  <c r="AK84" i="2"/>
  <c r="AK65" i="2"/>
  <c r="AK107" i="2"/>
  <c r="AK25" i="2"/>
  <c r="AK9" i="2"/>
  <c r="AK57" i="2"/>
  <c r="AK35" i="2"/>
  <c r="AK82" i="2"/>
  <c r="AK41" i="2"/>
  <c r="AK11" i="2"/>
  <c r="AK12" i="2" s="1"/>
  <c r="AK23" i="2"/>
  <c r="AK95" i="2"/>
  <c r="AK115" i="2"/>
  <c r="AK69" i="2"/>
  <c r="AK51" i="2"/>
  <c r="AK28" i="2"/>
  <c r="AK86" i="2"/>
  <c r="AK101" i="2"/>
  <c r="AK88" i="2"/>
  <c r="AK68" i="2"/>
  <c r="AK90" i="2"/>
  <c r="AK48" i="2"/>
  <c r="AK5" i="2"/>
  <c r="AK67" i="2"/>
  <c r="AK46" i="2"/>
  <c r="AK30" i="2"/>
  <c r="M5" i="2"/>
  <c r="N1" i="4"/>
  <c r="M24" i="2"/>
  <c r="M102" i="2"/>
  <c r="M115" i="2"/>
  <c r="M22" i="2"/>
  <c r="M51" i="2"/>
  <c r="M41" i="2"/>
  <c r="M29" i="2"/>
  <c r="M49" i="2"/>
  <c r="M63" i="2"/>
  <c r="M65" i="2"/>
  <c r="M69" i="2"/>
  <c r="M80" i="2"/>
  <c r="M86" i="2"/>
  <c r="M11" i="2"/>
  <c r="M12" i="2" s="1"/>
  <c r="M71" i="2"/>
  <c r="M75" i="2"/>
  <c r="M67" i="2"/>
  <c r="M73" i="2"/>
  <c r="M82" i="2"/>
  <c r="M84" i="2"/>
  <c r="M107" i="2"/>
  <c r="M35" i="2"/>
  <c r="M88" i="2"/>
  <c r="M95" i="2"/>
  <c r="M99" i="2"/>
  <c r="M48" i="2"/>
  <c r="M23" i="2"/>
  <c r="M28" i="2"/>
  <c r="M90" i="2"/>
  <c r="M98" i="2"/>
  <c r="M101" i="2"/>
  <c r="M19" i="2"/>
  <c r="M30" i="2"/>
  <c r="M72" i="2"/>
  <c r="M21" i="2"/>
  <c r="M64" i="2"/>
  <c r="M104" i="2"/>
  <c r="M89" i="2"/>
  <c r="M87" i="2"/>
  <c r="M34" i="2"/>
  <c r="M44" i="2"/>
  <c r="M45" i="2" s="1"/>
  <c r="M81" i="2"/>
  <c r="M70" i="2"/>
  <c r="M91" i="2"/>
  <c r="M38" i="2"/>
  <c r="M39" i="2" s="1"/>
  <c r="M7" i="2"/>
  <c r="M76" i="2"/>
  <c r="M47" i="2"/>
  <c r="M9" i="2"/>
  <c r="M94" i="2"/>
  <c r="M100" i="2"/>
  <c r="M97" i="2"/>
  <c r="M25" i="2"/>
  <c r="M74" i="2"/>
  <c r="M83" i="2"/>
  <c r="M66" i="2"/>
  <c r="M85" i="2"/>
  <c r="M50" i="2"/>
  <c r="M32" i="2"/>
  <c r="M33" i="2" s="1"/>
  <c r="M57" i="2"/>
  <c r="M68" i="2"/>
  <c r="M6" i="2"/>
  <c r="M3" i="2" s="1"/>
  <c r="M137" i="2" s="1"/>
  <c r="M46" i="2"/>
  <c r="M20" i="2"/>
  <c r="AJ1" i="4"/>
  <c r="AI66" i="2"/>
  <c r="AI98" i="2"/>
  <c r="AI104" i="2"/>
  <c r="AI34" i="2"/>
  <c r="AI81" i="2"/>
  <c r="AI83" i="2"/>
  <c r="AI94" i="2"/>
  <c r="AI8" i="2"/>
  <c r="AI38" i="2"/>
  <c r="AI39" i="2" s="1"/>
  <c r="AI85" i="2"/>
  <c r="AI87" i="2"/>
  <c r="AI91" i="2"/>
  <c r="AI115" i="2"/>
  <c r="AI74" i="2"/>
  <c r="AI51" i="2"/>
  <c r="AI47" i="2"/>
  <c r="AI97" i="2"/>
  <c r="AI100" i="2"/>
  <c r="AI6" i="2"/>
  <c r="AI3" i="2" s="1"/>
  <c r="AI137" i="2" s="1"/>
  <c r="AI44" i="2"/>
  <c r="AI45" i="2" s="1"/>
  <c r="AI89" i="2"/>
  <c r="AI22" i="2"/>
  <c r="AI26" i="2"/>
  <c r="AI20" i="2"/>
  <c r="AI65" i="2"/>
  <c r="AI69" i="2"/>
  <c r="AI82" i="2"/>
  <c r="AI84" i="2"/>
  <c r="AI9" i="2"/>
  <c r="AI11" i="2"/>
  <c r="AI12" i="2" s="1"/>
  <c r="AI95" i="2"/>
  <c r="AI99" i="2"/>
  <c r="AI35" i="2"/>
  <c r="AI46" i="2"/>
  <c r="AI75" i="2"/>
  <c r="AI88" i="2"/>
  <c r="AI5" i="2"/>
  <c r="AI63" i="2"/>
  <c r="AI64" i="2"/>
  <c r="AI49" i="2"/>
  <c r="AI30" i="2"/>
  <c r="AI29" i="2"/>
  <c r="AI73" i="2"/>
  <c r="AI90" i="2"/>
  <c r="AI107" i="2"/>
  <c r="AI32" i="2"/>
  <c r="AI33" i="2" s="1"/>
  <c r="AI71" i="2"/>
  <c r="AI102" i="2"/>
  <c r="AI19" i="2"/>
  <c r="AI50" i="2"/>
  <c r="AI70" i="2"/>
  <c r="AI23" i="2"/>
  <c r="AI68" i="2"/>
  <c r="AI24" i="2"/>
  <c r="AI21" i="2"/>
  <c r="AI41" i="2"/>
  <c r="AI57" i="2"/>
  <c r="AI67" i="2"/>
  <c r="AI7" i="2"/>
  <c r="AI28" i="2"/>
  <c r="AI72" i="2"/>
  <c r="AI76" i="2"/>
  <c r="AI25" i="2"/>
  <c r="AI101" i="2"/>
  <c r="AI86" i="2"/>
  <c r="AI48" i="2"/>
  <c r="AI80" i="2"/>
  <c r="AG19" i="2"/>
  <c r="AH1" i="4"/>
  <c r="AG76" i="2"/>
  <c r="AG35" i="2"/>
  <c r="AG47" i="2"/>
  <c r="AG75" i="2"/>
  <c r="AG91" i="2"/>
  <c r="AG98" i="2"/>
  <c r="AG102" i="2"/>
  <c r="AG22" i="2"/>
  <c r="AG9" i="2"/>
  <c r="AG66" i="2"/>
  <c r="AG30" i="2"/>
  <c r="AG7" i="2"/>
  <c r="AG20" i="2"/>
  <c r="AG72" i="2"/>
  <c r="AG28" i="2"/>
  <c r="AG88" i="2"/>
  <c r="AG34" i="2"/>
  <c r="AG8" i="2"/>
  <c r="AG38" i="2"/>
  <c r="AG39" i="2" s="1"/>
  <c r="AG90" i="2"/>
  <c r="AG32" i="2"/>
  <c r="AG33" i="2" s="1"/>
  <c r="AG68" i="2"/>
  <c r="AG115" i="2"/>
  <c r="AG21" i="2"/>
  <c r="AG46" i="2"/>
  <c r="AG65" i="2"/>
  <c r="AG5" i="2"/>
  <c r="AG69" i="2"/>
  <c r="AG87" i="2"/>
  <c r="AG73" i="2"/>
  <c r="AG97" i="2"/>
  <c r="AG63" i="2"/>
  <c r="AG26" i="2"/>
  <c r="AG81" i="2"/>
  <c r="AG85" i="2"/>
  <c r="AG99" i="2"/>
  <c r="AG89" i="2"/>
  <c r="AG11" i="2"/>
  <c r="AG12" i="2" s="1"/>
  <c r="AG6" i="2"/>
  <c r="AG3" i="2" s="1"/>
  <c r="AG137" i="2" s="1"/>
  <c r="AG95" i="2"/>
  <c r="AG104" i="2"/>
  <c r="AF72" i="2"/>
  <c r="AG1" i="4"/>
  <c r="AF76" i="2"/>
  <c r="AF64" i="2"/>
  <c r="AF19" i="2"/>
  <c r="AF99" i="2"/>
  <c r="AF23" i="2"/>
  <c r="AF26" i="2"/>
  <c r="AF82" i="2"/>
  <c r="AF35" i="2"/>
  <c r="AF24" i="2"/>
  <c r="AF86" i="2"/>
  <c r="AF47" i="2"/>
  <c r="AF100" i="2"/>
  <c r="AF51" i="2"/>
  <c r="AF44" i="2"/>
  <c r="AF45" i="2" s="1"/>
  <c r="AF71" i="2"/>
  <c r="AF63" i="2"/>
  <c r="AF50" i="2"/>
  <c r="AF67" i="2"/>
  <c r="AF48" i="2"/>
  <c r="AF6" i="2"/>
  <c r="AF3" i="2" s="1"/>
  <c r="AF137" i="2" s="1"/>
  <c r="AF46" i="2"/>
  <c r="AF88" i="2"/>
  <c r="AF32" i="2"/>
  <c r="AF33" i="2" s="1"/>
  <c r="AF98" i="2"/>
  <c r="AF8" i="2"/>
  <c r="AF22" i="2"/>
  <c r="AF21" i="2"/>
  <c r="AF69" i="2"/>
  <c r="AF30" i="2"/>
  <c r="AF104" i="2"/>
  <c r="AF115" i="2"/>
  <c r="AF34" i="2"/>
  <c r="AF25" i="2"/>
  <c r="AF20" i="2"/>
  <c r="AF66" i="2"/>
  <c r="AF65" i="2"/>
  <c r="AF73" i="2"/>
  <c r="AF29" i="2"/>
  <c r="AF28" i="2"/>
  <c r="AF49" i="2"/>
  <c r="AF57" i="2"/>
  <c r="AF5" i="2"/>
  <c r="AF41" i="2"/>
  <c r="AF38" i="2"/>
  <c r="AF39" i="2" s="1"/>
  <c r="AF80" i="2"/>
  <c r="AF68" i="2"/>
  <c r="AN104" i="2"/>
  <c r="AN25" i="2"/>
  <c r="AN64" i="2"/>
  <c r="AN51" i="2"/>
  <c r="AN65" i="2"/>
  <c r="AN75" i="2"/>
  <c r="AN35" i="2"/>
  <c r="AN11" i="2"/>
  <c r="AN12" i="2" s="1"/>
  <c r="AN47" i="2"/>
  <c r="AN102" i="2"/>
  <c r="AN84" i="2"/>
  <c r="AN63" i="2"/>
  <c r="AN57" i="2"/>
  <c r="AN89" i="2"/>
  <c r="AN68" i="2"/>
  <c r="AN82" i="2"/>
  <c r="AN86" i="2"/>
  <c r="AN80" i="2"/>
  <c r="AN91" i="2"/>
  <c r="AN8" i="2"/>
  <c r="AN94" i="2"/>
  <c r="AN7" i="2"/>
  <c r="AN9" i="2"/>
  <c r="AN72" i="2"/>
  <c r="AN19" i="2"/>
  <c r="AN22" i="2"/>
  <c r="AN83" i="2"/>
  <c r="AN44" i="2"/>
  <c r="AN45" i="2" s="1"/>
  <c r="AN67" i="2"/>
  <c r="AN66" i="2"/>
  <c r="AN70" i="2"/>
  <c r="AN29" i="2"/>
  <c r="AN20" i="2"/>
  <c r="AN23" i="2"/>
  <c r="AN26" i="2"/>
  <c r="AN97" i="2"/>
  <c r="AN69" i="2"/>
  <c r="AN99" i="2"/>
  <c r="AN30" i="2"/>
  <c r="AN34" i="2"/>
  <c r="AN90" i="2"/>
  <c r="AN49" i="2"/>
  <c r="AN73" i="2"/>
  <c r="AN5" i="2"/>
  <c r="AN107" i="2"/>
  <c r="AN48" i="2"/>
  <c r="AN76" i="2"/>
  <c r="AN95" i="2"/>
  <c r="AN81" i="2"/>
  <c r="AN101" i="2"/>
  <c r="AN46" i="2"/>
  <c r="AF1" i="4"/>
  <c r="AE87" i="2"/>
  <c r="AE97" i="2"/>
  <c r="AE98" i="2"/>
  <c r="AE90" i="2"/>
  <c r="AE57" i="2"/>
  <c r="AE83" i="2"/>
  <c r="AE5" i="2"/>
  <c r="AE65" i="2"/>
  <c r="AE48" i="2"/>
  <c r="AE35" i="2"/>
  <c r="AE94" i="2"/>
  <c r="AE69" i="2"/>
  <c r="AE67" i="2"/>
  <c r="AE34" i="2"/>
  <c r="AE73" i="2"/>
  <c r="AE82" i="2"/>
  <c r="AE81" i="2"/>
  <c r="AE101" i="2"/>
  <c r="AE85" i="2"/>
  <c r="AE66" i="2"/>
  <c r="AE89" i="2"/>
  <c r="AE80" i="2"/>
  <c r="AE71" i="2"/>
  <c r="AE23" i="2"/>
  <c r="AE115" i="2"/>
  <c r="AE6" i="2"/>
  <c r="AE3" i="2" s="1"/>
  <c r="AE137" i="2" s="1"/>
  <c r="AE102" i="2"/>
  <c r="AE49" i="2"/>
  <c r="AE50" i="2"/>
  <c r="AE95" i="2"/>
  <c r="AE22" i="2"/>
  <c r="AE30" i="2"/>
  <c r="AE70" i="2"/>
  <c r="AE47" i="2"/>
  <c r="AE100" i="2"/>
  <c r="AE20" i="2"/>
  <c r="AE86" i="2"/>
  <c r="AE63" i="2"/>
  <c r="AE51" i="2"/>
  <c r="AE28" i="2"/>
  <c r="AE11" i="2"/>
  <c r="AE12" i="2" s="1"/>
  <c r="AE38" i="2"/>
  <c r="AE39" i="2" s="1"/>
  <c r="AE26" i="2"/>
  <c r="AE84" i="2"/>
  <c r="AE46" i="2"/>
  <c r="AE24" i="2"/>
  <c r="AB89" i="2"/>
  <c r="AC1" i="4"/>
  <c r="AB94" i="2"/>
  <c r="AB88" i="2"/>
  <c r="AB72" i="2"/>
  <c r="AB98" i="2"/>
  <c r="AB65" i="2"/>
  <c r="AB20" i="2"/>
  <c r="AB74" i="2"/>
  <c r="AB44" i="2"/>
  <c r="AB45" i="2" s="1"/>
  <c r="AB82" i="2"/>
  <c r="AB21" i="2"/>
  <c r="AB95" i="2"/>
  <c r="AB86" i="2"/>
  <c r="AB29" i="2"/>
  <c r="AB90" i="2"/>
  <c r="AB48" i="2"/>
  <c r="AB6" i="2"/>
  <c r="AB3" i="2" s="1"/>
  <c r="AB137" i="2" s="1"/>
  <c r="AB25" i="2"/>
  <c r="AB19" i="2"/>
  <c r="AB64" i="2"/>
  <c r="AB115" i="2"/>
  <c r="AB23" i="2"/>
  <c r="AB49" i="2"/>
  <c r="AB70" i="2"/>
  <c r="AB80" i="2"/>
  <c r="AB35" i="2"/>
  <c r="AB84" i="2"/>
  <c r="AB107" i="2"/>
  <c r="AB76" i="2"/>
  <c r="AB24" i="2"/>
  <c r="AB99" i="2"/>
  <c r="AB50" i="2"/>
  <c r="AB5" i="2"/>
  <c r="AB100" i="2"/>
  <c r="AB8" i="2"/>
  <c r="AB9" i="2"/>
  <c r="AB68" i="2"/>
  <c r="AB30" i="2"/>
  <c r="AB38" i="2"/>
  <c r="AB39" i="2" s="1"/>
  <c r="AB22" i="2"/>
  <c r="AB81" i="2"/>
  <c r="AB28" i="2"/>
  <c r="AB41" i="2"/>
  <c r="AB69" i="2"/>
  <c r="AB26" i="2"/>
  <c r="AB102" i="2"/>
  <c r="AB11" i="2"/>
  <c r="AB12" i="2" s="1"/>
  <c r="AB34" i="2"/>
  <c r="AB104" i="2"/>
  <c r="AB46" i="2"/>
  <c r="AD1" i="4"/>
  <c r="AC94" i="2"/>
  <c r="AC76" i="2"/>
  <c r="AC102" i="2"/>
  <c r="AC98" i="2"/>
  <c r="AC23" i="2"/>
  <c r="AC75" i="2"/>
  <c r="AC35" i="2"/>
  <c r="AC21" i="2"/>
  <c r="AC70" i="2"/>
  <c r="AC90" i="2"/>
  <c r="AC28" i="2"/>
  <c r="AC25" i="2"/>
  <c r="AC74" i="2"/>
  <c r="AC104" i="2"/>
  <c r="AC29" i="2"/>
  <c r="AC82" i="2"/>
  <c r="AC107" i="2"/>
  <c r="AC11" i="2"/>
  <c r="AC12" i="2" s="1"/>
  <c r="AC69" i="2"/>
  <c r="AC41" i="2"/>
  <c r="AC86" i="2"/>
  <c r="AC97" i="2"/>
  <c r="AC49" i="2"/>
  <c r="AC63" i="2"/>
  <c r="AC57" i="2"/>
  <c r="AC24" i="2"/>
  <c r="AC100" i="2"/>
  <c r="AC65" i="2"/>
  <c r="AC51" i="2"/>
  <c r="AC8" i="2"/>
  <c r="AC66" i="2"/>
  <c r="AC91" i="2"/>
  <c r="AC80" i="2"/>
  <c r="AC88" i="2"/>
  <c r="AC115" i="2"/>
  <c r="AC64" i="2"/>
  <c r="AC6" i="2"/>
  <c r="AC3" i="2" s="1"/>
  <c r="AC137" i="2" s="1"/>
  <c r="AC5" i="2"/>
  <c r="AC73" i="2"/>
  <c r="AC71" i="2"/>
  <c r="AC19" i="2"/>
  <c r="AC89" i="2"/>
  <c r="AC81" i="2"/>
  <c r="AC87" i="2"/>
  <c r="AC47" i="2"/>
  <c r="AC7" i="2"/>
  <c r="AC95" i="2"/>
  <c r="AC9" i="2"/>
  <c r="AC85" i="2"/>
  <c r="AC84" i="2"/>
  <c r="AC32" i="2"/>
  <c r="AC33" i="2" s="1"/>
  <c r="AC72" i="2"/>
  <c r="AC99" i="2"/>
  <c r="Z5" i="2"/>
  <c r="AA1" i="4"/>
  <c r="Z85" i="2"/>
  <c r="Z38" i="2"/>
  <c r="Z39" i="2" s="1"/>
  <c r="Z74" i="2"/>
  <c r="Z63" i="2"/>
  <c r="Z47" i="2"/>
  <c r="Z89" i="2"/>
  <c r="Z97" i="2"/>
  <c r="Z100" i="2"/>
  <c r="Z20" i="2"/>
  <c r="Z49" i="2"/>
  <c r="Z71" i="2"/>
  <c r="Z6" i="2"/>
  <c r="Z3" i="2" s="1"/>
  <c r="Z137" i="2" s="1"/>
  <c r="Z44" i="2"/>
  <c r="Z45" i="2" s="1"/>
  <c r="Z76" i="2"/>
  <c r="Z22" i="2"/>
  <c r="Z26" i="2"/>
  <c r="Z51" i="2"/>
  <c r="Z102" i="2"/>
  <c r="Z115" i="2"/>
  <c r="Z24" i="2"/>
  <c r="Z32" i="2"/>
  <c r="Z33" i="2" s="1"/>
  <c r="Z91" i="2"/>
  <c r="Z73" i="2"/>
  <c r="Z84" i="2"/>
  <c r="Z7" i="2"/>
  <c r="Z9" i="2"/>
  <c r="Z35" i="2"/>
  <c r="Z75" i="2"/>
  <c r="Z86" i="2"/>
  <c r="Z88" i="2"/>
  <c r="Z23" i="2"/>
  <c r="Z90" i="2"/>
  <c r="Z107" i="2"/>
  <c r="Z65" i="2"/>
  <c r="Z98" i="2"/>
  <c r="Z99" i="2"/>
  <c r="Z28" i="2"/>
  <c r="Z72" i="2"/>
  <c r="Z8" i="2"/>
  <c r="Z83" i="2"/>
  <c r="Z95" i="2"/>
  <c r="Z21" i="2"/>
  <c r="Z66" i="2"/>
  <c r="Z11" i="2"/>
  <c r="Z12" i="2" s="1"/>
  <c r="Z34" i="2"/>
  <c r="Z81" i="2"/>
  <c r="Z30" i="2"/>
  <c r="Z101" i="2"/>
  <c r="Z41" i="2"/>
  <c r="Z48" i="2"/>
  <c r="Z80" i="2"/>
  <c r="Z94" i="2"/>
  <c r="Z68" i="2"/>
  <c r="Z104" i="2"/>
  <c r="Z57" i="2"/>
  <c r="Z19" i="2"/>
  <c r="Z46" i="2"/>
  <c r="Z25" i="2"/>
  <c r="Z87" i="2"/>
  <c r="Z70" i="2"/>
  <c r="Z67" i="2"/>
  <c r="Z29" i="2"/>
  <c r="Z50" i="2"/>
  <c r="Z64" i="2"/>
  <c r="Z82" i="2"/>
  <c r="Z69" i="2"/>
  <c r="V29" i="2"/>
  <c r="W1" i="4"/>
  <c r="V38" i="2"/>
  <c r="V39" i="2" s="1"/>
  <c r="V47" i="2"/>
  <c r="V74" i="2"/>
  <c r="V44" i="2"/>
  <c r="V45" i="2" s="1"/>
  <c r="V76" i="2"/>
  <c r="V89" i="2"/>
  <c r="V97" i="2"/>
  <c r="V100" i="2"/>
  <c r="V24" i="2"/>
  <c r="V91" i="2"/>
  <c r="V102" i="2"/>
  <c r="V6" i="2"/>
  <c r="V3" i="2" s="1"/>
  <c r="V137" i="2" s="1"/>
  <c r="V20" i="2"/>
  <c r="V51" i="2"/>
  <c r="V115" i="2"/>
  <c r="V22" i="2"/>
  <c r="V26" i="2"/>
  <c r="V49" i="2"/>
  <c r="V63" i="2"/>
  <c r="V67" i="2"/>
  <c r="V65" i="2"/>
  <c r="V69" i="2"/>
  <c r="V71" i="2"/>
  <c r="V7" i="2"/>
  <c r="V9" i="2"/>
  <c r="V41" i="2"/>
  <c r="V75" i="2"/>
  <c r="V86" i="2"/>
  <c r="V107" i="2"/>
  <c r="V48" i="2"/>
  <c r="V98" i="2"/>
  <c r="V57" i="2"/>
  <c r="V72" i="2"/>
  <c r="V99" i="2"/>
  <c r="V95" i="2"/>
  <c r="V30" i="2"/>
  <c r="V101" i="2"/>
  <c r="V70" i="2"/>
  <c r="V66" i="2"/>
  <c r="V23" i="2"/>
  <c r="V104" i="2"/>
  <c r="V25" i="2"/>
  <c r="V88" i="2"/>
  <c r="V68" i="2"/>
  <c r="V8" i="2"/>
  <c r="V34" i="2"/>
  <c r="V85" i="2"/>
  <c r="V81" i="2"/>
  <c r="V83" i="2"/>
  <c r="V84" i="2"/>
  <c r="V5" i="2"/>
  <c r="V19" i="2"/>
  <c r="V46" i="2"/>
  <c r="V64" i="2"/>
  <c r="V50" i="2"/>
  <c r="V90" i="2"/>
  <c r="V94" i="2"/>
  <c r="V73" i="2"/>
  <c r="V87" i="2"/>
  <c r="V82" i="2"/>
  <c r="V21" i="2"/>
  <c r="V80" i="2"/>
  <c r="V28" i="2"/>
  <c r="V11" i="2"/>
  <c r="V12" i="2" s="1"/>
  <c r="U57" i="2"/>
  <c r="V1" i="4"/>
  <c r="U89" i="2"/>
  <c r="U29" i="2"/>
  <c r="U30" i="2"/>
  <c r="U80" i="2"/>
  <c r="U75" i="2"/>
  <c r="U76" i="2"/>
  <c r="U90" i="2"/>
  <c r="U83" i="2"/>
  <c r="U8" i="2"/>
  <c r="U21" i="2"/>
  <c r="U87" i="2"/>
  <c r="U5" i="2"/>
  <c r="U91" i="2"/>
  <c r="U9" i="2"/>
  <c r="U99" i="2"/>
  <c r="U97" i="2"/>
  <c r="U11" i="2"/>
  <c r="U12" i="2" s="1"/>
  <c r="U49" i="2"/>
  <c r="U101" i="2"/>
  <c r="U32" i="2"/>
  <c r="U33" i="2" s="1"/>
  <c r="U38" i="2"/>
  <c r="U39" i="2" s="1"/>
  <c r="U107" i="2"/>
  <c r="U98" i="2"/>
  <c r="U71" i="2"/>
  <c r="U104" i="2"/>
  <c r="U115" i="2"/>
  <c r="U20" i="2"/>
  <c r="U73" i="2"/>
  <c r="U88" i="2"/>
  <c r="U26" i="2"/>
  <c r="U35" i="2"/>
  <c r="U7" i="2"/>
  <c r="U24" i="2"/>
  <c r="U85" i="2"/>
  <c r="U44" i="2"/>
  <c r="U45" i="2" s="1"/>
  <c r="U23" i="2"/>
  <c r="U86" i="2"/>
  <c r="U94" i="2"/>
  <c r="U41" i="2"/>
  <c r="U74" i="2"/>
  <c r="U34" i="2"/>
  <c r="U69" i="2"/>
  <c r="U48" i="2"/>
  <c r="U28" i="2"/>
  <c r="U64" i="2"/>
  <c r="U6" i="2"/>
  <c r="U3" i="2" s="1"/>
  <c r="U137" i="2" s="1"/>
  <c r="U25" i="2"/>
  <c r="U70" i="2"/>
  <c r="U95" i="2"/>
  <c r="U19" i="2"/>
  <c r="Q70" i="2"/>
  <c r="R1" i="4"/>
  <c r="Q85" i="2"/>
  <c r="Q74" i="2"/>
  <c r="Q107" i="2"/>
  <c r="Q87" i="2"/>
  <c r="Q115" i="2"/>
  <c r="Q5" i="2"/>
  <c r="Q94" i="2"/>
  <c r="Q91" i="2"/>
  <c r="Q102" i="2"/>
  <c r="Q50" i="2"/>
  <c r="Q21" i="2"/>
  <c r="Q95" i="2"/>
  <c r="Q34" i="2"/>
  <c r="Q81" i="2"/>
  <c r="Q20" i="2"/>
  <c r="Q100" i="2"/>
  <c r="Q51" i="2"/>
  <c r="Q26" i="2"/>
  <c r="Q46" i="2"/>
  <c r="Q23" i="2"/>
  <c r="Q48" i="2"/>
  <c r="Q8" i="2"/>
  <c r="Q19" i="2"/>
  <c r="Q82" i="2"/>
  <c r="Q101" i="2"/>
  <c r="Q76" i="2"/>
  <c r="Q69" i="2"/>
  <c r="Q32" i="2"/>
  <c r="Q33" i="2" s="1"/>
  <c r="Q6" i="2"/>
  <c r="Q3" i="2" s="1"/>
  <c r="Q137" i="2" s="1"/>
  <c r="Q64" i="2"/>
  <c r="Q28" i="2"/>
  <c r="Q57" i="2"/>
  <c r="Q68" i="2"/>
  <c r="Q35" i="2"/>
  <c r="Q7" i="2"/>
  <c r="Q38" i="2"/>
  <c r="Q39" i="2" s="1"/>
  <c r="Q67" i="2"/>
  <c r="Q72" i="2"/>
  <c r="Q71" i="2"/>
  <c r="Q11" i="2"/>
  <c r="Q12" i="2" s="1"/>
  <c r="Q22" i="2"/>
  <c r="Q97" i="2"/>
  <c r="Q30" i="2"/>
  <c r="Q104" i="2"/>
  <c r="Q24" i="2"/>
  <c r="Q9" i="2"/>
  <c r="Q86" i="2"/>
  <c r="Q90" i="2"/>
  <c r="Q47" i="2"/>
  <c r="AM41" i="2"/>
  <c r="AN1" i="4"/>
  <c r="AM5" i="2"/>
  <c r="AM25" i="2"/>
  <c r="AM48" i="2"/>
  <c r="AM19" i="2"/>
  <c r="AM28" i="2"/>
  <c r="AM57" i="2"/>
  <c r="AM68" i="2"/>
  <c r="AM66" i="2"/>
  <c r="AM70" i="2"/>
  <c r="AM72" i="2"/>
  <c r="AM81" i="2"/>
  <c r="AM94" i="2"/>
  <c r="AM98" i="2"/>
  <c r="AM104" i="2"/>
  <c r="AM87" i="2"/>
  <c r="AM47" i="2"/>
  <c r="AM8" i="2"/>
  <c r="AM51" i="2"/>
  <c r="AM91" i="2"/>
  <c r="AM32" i="2"/>
  <c r="AM33" i="2" s="1"/>
  <c r="AM69" i="2"/>
  <c r="AM11" i="2"/>
  <c r="AM12" i="2" s="1"/>
  <c r="AM82" i="2"/>
  <c r="AM84" i="2"/>
  <c r="AM86" i="2"/>
  <c r="AM80" i="2"/>
  <c r="AM46" i="2"/>
  <c r="AM63" i="2"/>
  <c r="AM44" i="2"/>
  <c r="AM45" i="2" s="1"/>
  <c r="AM89" i="2"/>
  <c r="AM99" i="2"/>
  <c r="AM35" i="2"/>
  <c r="AM90" i="2"/>
  <c r="AM101" i="2"/>
  <c r="AM20" i="2"/>
  <c r="AM107" i="2"/>
  <c r="AM76" i="2"/>
  <c r="AM100" i="2"/>
  <c r="AM7" i="2"/>
  <c r="AM23" i="2"/>
  <c r="AM97" i="2"/>
  <c r="AM67" i="2"/>
  <c r="AM75" i="2"/>
  <c r="AM83" i="2"/>
  <c r="AM29" i="2"/>
  <c r="AM88" i="2"/>
  <c r="AM115" i="2"/>
  <c r="AM22" i="2"/>
  <c r="AM65" i="2"/>
  <c r="AM74" i="2"/>
  <c r="AM102" i="2"/>
  <c r="AM9" i="2"/>
  <c r="AM85" i="2"/>
  <c r="AM24" i="2"/>
  <c r="AM6" i="2"/>
  <c r="AM3" i="2" s="1"/>
  <c r="AM137" i="2" s="1"/>
  <c r="AM64" i="2"/>
  <c r="AM49" i="2"/>
  <c r="AM30" i="2"/>
  <c r="AM21" i="2"/>
  <c r="AM38" i="2"/>
  <c r="AM39" i="2" s="1"/>
  <c r="AJ26" i="2"/>
  <c r="AK1" i="4"/>
  <c r="AJ70" i="2"/>
  <c r="AJ72" i="2"/>
  <c r="AJ98" i="2"/>
  <c r="AJ104" i="2"/>
  <c r="AJ34" i="2"/>
  <c r="AJ8" i="2"/>
  <c r="AJ38" i="2"/>
  <c r="AJ39" i="2" s="1"/>
  <c r="AJ85" i="2"/>
  <c r="AJ74" i="2"/>
  <c r="AJ97" i="2"/>
  <c r="AJ100" i="2"/>
  <c r="AJ67" i="2"/>
  <c r="AJ7" i="2"/>
  <c r="AJ95" i="2"/>
  <c r="AJ5" i="2"/>
  <c r="AJ49" i="2"/>
  <c r="AJ19" i="2"/>
  <c r="AJ73" i="2"/>
  <c r="AJ25" i="2"/>
  <c r="AJ48" i="2"/>
  <c r="AJ82" i="2"/>
  <c r="AJ30" i="2"/>
  <c r="AJ115" i="2"/>
  <c r="AJ71" i="2"/>
  <c r="AJ84" i="2"/>
  <c r="AJ88" i="2"/>
  <c r="AJ57" i="2"/>
  <c r="AJ102" i="2"/>
  <c r="AJ41" i="2"/>
  <c r="AJ50" i="2"/>
  <c r="AJ107" i="2"/>
  <c r="AJ11" i="2"/>
  <c r="AJ12" i="2" s="1"/>
  <c r="AJ28" i="2"/>
  <c r="AJ35" i="2"/>
  <c r="AJ47" i="2"/>
  <c r="AJ90" i="2"/>
  <c r="AJ24" i="2"/>
  <c r="AJ81" i="2"/>
  <c r="AJ75" i="2"/>
  <c r="AJ65" i="2"/>
  <c r="AJ46" i="2"/>
  <c r="AJ83" i="2"/>
  <c r="AJ29" i="2"/>
  <c r="AJ22" i="2"/>
  <c r="AJ76" i="2"/>
  <c r="AJ51" i="2"/>
  <c r="AJ87" i="2"/>
  <c r="AJ66" i="2"/>
  <c r="AJ32" i="2"/>
  <c r="AJ33" i="2" s="1"/>
  <c r="AJ89" i="2"/>
  <c r="AJ101" i="2"/>
  <c r="AJ80" i="2"/>
  <c r="AJ20" i="2"/>
  <c r="M1" i="4"/>
  <c r="L102" i="2"/>
  <c r="L32" i="2"/>
  <c r="L33" i="2" s="1"/>
  <c r="L49" i="2"/>
  <c r="L69" i="2"/>
  <c r="L11" i="2"/>
  <c r="L12" i="2" s="1"/>
  <c r="L67" i="2"/>
  <c r="L73" i="2"/>
  <c r="L84" i="2"/>
  <c r="L35" i="2"/>
  <c r="L95" i="2"/>
  <c r="L99" i="2"/>
  <c r="L86" i="2"/>
  <c r="L107" i="2"/>
  <c r="L9" i="2"/>
  <c r="L23" i="2"/>
  <c r="L28" i="2"/>
  <c r="L46" i="2"/>
  <c r="L90" i="2"/>
  <c r="L98" i="2"/>
  <c r="L101" i="2"/>
  <c r="L64" i="2"/>
  <c r="L104" i="2"/>
  <c r="L76" i="2"/>
  <c r="L30" i="2"/>
  <c r="L87" i="2"/>
  <c r="L19" i="2"/>
  <c r="L70" i="2"/>
  <c r="L94" i="2"/>
  <c r="L50" i="2"/>
  <c r="L47" i="2"/>
  <c r="L74" i="2"/>
  <c r="L100" i="2"/>
  <c r="L72" i="2"/>
  <c r="L66" i="2"/>
  <c r="L38" i="2"/>
  <c r="L39" i="2" s="1"/>
  <c r="L71" i="2"/>
  <c r="L80" i="2"/>
  <c r="L41" i="2"/>
  <c r="L75" i="2"/>
  <c r="L89" i="2"/>
  <c r="L51" i="2"/>
  <c r="L25" i="2"/>
  <c r="L20" i="2"/>
  <c r="L44" i="2"/>
  <c r="L45" i="2" s="1"/>
  <c r="L48" i="2"/>
  <c r="L91" i="2"/>
  <c r="L21" i="2"/>
  <c r="L97" i="2"/>
  <c r="L63" i="2"/>
  <c r="L82" i="2"/>
  <c r="L81" i="2"/>
  <c r="L34" i="2"/>
  <c r="L5" i="2"/>
  <c r="I28" i="2"/>
  <c r="I82" i="2"/>
  <c r="I44" i="2"/>
  <c r="I41" i="2"/>
  <c r="I81" i="2"/>
  <c r="I80" i="2"/>
  <c r="I38" i="2"/>
  <c r="I35" i="2"/>
  <c r="I115" i="2"/>
  <c r="I76" i="2"/>
  <c r="I8" i="2"/>
  <c r="I74" i="2"/>
  <c r="I32" i="2"/>
  <c r="I7" i="2"/>
  <c r="I102" i="2"/>
  <c r="I72" i="2"/>
  <c r="I29" i="2"/>
  <c r="I101" i="2"/>
  <c r="I26" i="2"/>
  <c r="I71" i="2"/>
  <c r="I98" i="2"/>
  <c r="I68" i="2"/>
  <c r="I23" i="2"/>
  <c r="I90" i="2"/>
  <c r="I63" i="2"/>
  <c r="I11" i="2"/>
  <c r="I89" i="2"/>
  <c r="I57" i="2"/>
  <c r="I9" i="2"/>
  <c r="I95" i="2"/>
  <c r="I30" i="2"/>
  <c r="I94" i="2"/>
  <c r="I25" i="2"/>
  <c r="I91" i="2"/>
  <c r="I24" i="2"/>
  <c r="I88" i="2"/>
  <c r="I22" i="2"/>
  <c r="I85" i="2"/>
  <c r="I83" i="2"/>
  <c r="I5" i="2"/>
  <c r="I87" i="2"/>
  <c r="I21" i="2"/>
  <c r="I84" i="2"/>
  <c r="I70" i="2"/>
  <c r="I86" i="2"/>
  <c r="I20" i="2"/>
  <c r="I19" i="2"/>
  <c r="I73" i="2"/>
  <c r="I6" i="2"/>
  <c r="I3" i="2" s="1"/>
  <c r="I75" i="2"/>
  <c r="I65" i="2"/>
  <c r="I64" i="2"/>
  <c r="I51" i="2"/>
  <c r="I50" i="2"/>
  <c r="I97" i="2"/>
  <c r="H97" i="2" s="1"/>
  <c r="E99" i="6" s="1"/>
  <c r="I69" i="2"/>
  <c r="I67" i="2"/>
  <c r="I66" i="2"/>
  <c r="E111" i="6"/>
  <c r="I49" i="2"/>
  <c r="I104" i="2"/>
  <c r="I48" i="2"/>
  <c r="I100" i="2"/>
  <c r="I47" i="2"/>
  <c r="I99" i="2"/>
  <c r="I46" i="2"/>
  <c r="I34" i="2"/>
  <c r="J1" i="4"/>
  <c r="H48" i="11" l="1"/>
  <c r="G43" i="11"/>
  <c r="G94" i="11"/>
  <c r="H102" i="11"/>
  <c r="G102" i="11" s="1"/>
  <c r="I37" i="2"/>
  <c r="G34" i="11"/>
  <c r="H35" i="11"/>
  <c r="G35" i="11" s="1"/>
  <c r="H52" i="11"/>
  <c r="G52" i="11" s="1"/>
  <c r="G37" i="11"/>
  <c r="H36" i="11"/>
  <c r="G36" i="11" s="1"/>
  <c r="H41" i="11"/>
  <c r="G41" i="11" s="1"/>
  <c r="G40" i="11"/>
  <c r="G28" i="11"/>
  <c r="H29" i="11"/>
  <c r="H33" i="11"/>
  <c r="G33" i="11" s="1"/>
  <c r="G15" i="11"/>
  <c r="G20" i="11"/>
  <c r="H23" i="11"/>
  <c r="G23" i="11" s="1"/>
  <c r="G42" i="11"/>
  <c r="H50" i="11"/>
  <c r="H8" i="11"/>
  <c r="G8" i="11" s="1"/>
  <c r="G7" i="11"/>
  <c r="G90" i="11"/>
  <c r="H92" i="11"/>
  <c r="G92" i="11" s="1"/>
  <c r="I106" i="2"/>
  <c r="N96" i="2"/>
  <c r="I27" i="2"/>
  <c r="K61" i="2"/>
  <c r="K148" i="2" s="1"/>
  <c r="AF96" i="2"/>
  <c r="AD96" i="2"/>
  <c r="AL96" i="2"/>
  <c r="M27" i="2"/>
  <c r="AJ54" i="2"/>
  <c r="AJ55" i="2" s="1"/>
  <c r="Z61" i="2"/>
  <c r="Z148" i="2" s="1"/>
  <c r="P37" i="2"/>
  <c r="Q55" i="4" s="1"/>
  <c r="O61" i="2"/>
  <c r="O148" i="2" s="1"/>
  <c r="T54" i="2"/>
  <c r="T55" i="2" s="1"/>
  <c r="R61" i="2"/>
  <c r="R148" i="2" s="1"/>
  <c r="L54" i="2"/>
  <c r="L55" i="2" s="1"/>
  <c r="U61" i="2"/>
  <c r="U148" i="2" s="1"/>
  <c r="AC27" i="2"/>
  <c r="X61" i="2"/>
  <c r="X148" i="2" s="1"/>
  <c r="W54" i="2"/>
  <c r="W55" i="2" s="1"/>
  <c r="AK96" i="2"/>
  <c r="X27" i="2"/>
  <c r="AO3" i="4"/>
  <c r="AO51" i="4"/>
  <c r="AO7" i="4"/>
  <c r="AO17" i="4"/>
  <c r="AN142" i="2" s="1"/>
  <c r="AO52" i="4"/>
  <c r="AO9" i="4"/>
  <c r="AO10" i="4"/>
  <c r="AO54" i="4"/>
  <c r="AO53" i="4"/>
  <c r="AO8" i="4"/>
  <c r="AO6" i="4"/>
  <c r="AO4" i="4"/>
  <c r="AO5" i="4"/>
  <c r="AN141" i="2" s="1"/>
  <c r="S61" i="2"/>
  <c r="S148" i="2" s="1"/>
  <c r="S54" i="2"/>
  <c r="S55" i="2" s="1"/>
  <c r="X54" i="2"/>
  <c r="X55" i="2" s="1"/>
  <c r="AD37" i="2"/>
  <c r="AE58" i="4" s="1"/>
  <c r="K96" i="2"/>
  <c r="R54" i="2"/>
  <c r="R55" i="2" s="1"/>
  <c r="Q56" i="4"/>
  <c r="AB54" i="2"/>
  <c r="AB55" i="2" s="1"/>
  <c r="AL54" i="2"/>
  <c r="AL55" i="2" s="1"/>
  <c r="Q61" i="2"/>
  <c r="Q148" i="2" s="1"/>
  <c r="M61" i="2"/>
  <c r="M148" i="2" s="1"/>
  <c r="S96" i="2"/>
  <c r="AH37" i="2"/>
  <c r="AI57" i="4" s="1"/>
  <c r="S54" i="4"/>
  <c r="S51" i="4"/>
  <c r="S17" i="4"/>
  <c r="S53" i="4"/>
  <c r="S52" i="4"/>
  <c r="S6" i="4"/>
  <c r="S8" i="4"/>
  <c r="S9" i="4"/>
  <c r="S4" i="4"/>
  <c r="S7" i="4"/>
  <c r="S3" i="4"/>
  <c r="S5" i="4"/>
  <c r="S10" i="4"/>
  <c r="M17" i="4"/>
  <c r="M52" i="4"/>
  <c r="M51" i="4"/>
  <c r="M54" i="4"/>
  <c r="M53" i="4"/>
  <c r="M5" i="4"/>
  <c r="M3" i="4"/>
  <c r="M9" i="4"/>
  <c r="M8" i="4"/>
  <c r="M4" i="4"/>
  <c r="M10" i="4"/>
  <c r="M6" i="4"/>
  <c r="M7" i="4"/>
  <c r="R17" i="4"/>
  <c r="R51" i="4"/>
  <c r="R52" i="4"/>
  <c r="R53" i="4"/>
  <c r="R54" i="4"/>
  <c r="R5" i="4"/>
  <c r="R6" i="4"/>
  <c r="R8" i="4"/>
  <c r="R9" i="4"/>
  <c r="R3" i="4"/>
  <c r="R7" i="4"/>
  <c r="R4" i="4"/>
  <c r="R10" i="4"/>
  <c r="W54" i="4"/>
  <c r="W51" i="4"/>
  <c r="W52" i="4"/>
  <c r="W53" i="4"/>
  <c r="W17" i="4"/>
  <c r="W10" i="4"/>
  <c r="W8" i="4"/>
  <c r="W6" i="4"/>
  <c r="W7" i="4"/>
  <c r="W3" i="4"/>
  <c r="W4" i="4"/>
  <c r="W5" i="4"/>
  <c r="W9" i="4"/>
  <c r="N17" i="4"/>
  <c r="N52" i="4"/>
  <c r="N51" i="4"/>
  <c r="N54" i="4"/>
  <c r="N53" i="4"/>
  <c r="N7" i="4"/>
  <c r="N4" i="4"/>
  <c r="N9" i="4"/>
  <c r="N3" i="4"/>
  <c r="N8" i="4"/>
  <c r="N5" i="4"/>
  <c r="N10" i="4"/>
  <c r="N6" i="4"/>
  <c r="X53" i="4"/>
  <c r="X54" i="4"/>
  <c r="X52" i="4"/>
  <c r="X17" i="4"/>
  <c r="X51" i="4"/>
  <c r="X5" i="4"/>
  <c r="X7" i="4"/>
  <c r="X10" i="4"/>
  <c r="X3" i="4"/>
  <c r="X8" i="4"/>
  <c r="X6" i="4"/>
  <c r="X4" i="4"/>
  <c r="X9" i="4"/>
  <c r="P17" i="4"/>
  <c r="P51" i="4"/>
  <c r="P52" i="4"/>
  <c r="P54" i="4"/>
  <c r="P53" i="4"/>
  <c r="P7" i="4"/>
  <c r="P5" i="4"/>
  <c r="P10" i="4"/>
  <c r="P3" i="4"/>
  <c r="P8" i="4"/>
  <c r="P4" i="4"/>
  <c r="P9" i="4"/>
  <c r="P6" i="4"/>
  <c r="U54" i="4"/>
  <c r="U51" i="4"/>
  <c r="U17" i="4"/>
  <c r="U53" i="4"/>
  <c r="U52" i="4"/>
  <c r="U6" i="4"/>
  <c r="U4" i="4"/>
  <c r="U7" i="4"/>
  <c r="U10" i="4"/>
  <c r="U3" i="4"/>
  <c r="U8" i="4"/>
  <c r="U9" i="4"/>
  <c r="U5" i="4"/>
  <c r="AB54" i="4"/>
  <c r="AB53" i="4"/>
  <c r="AB17" i="4"/>
  <c r="AB51" i="4"/>
  <c r="AB52" i="4"/>
  <c r="AB9" i="4"/>
  <c r="AB7" i="4"/>
  <c r="AB10" i="4"/>
  <c r="AB6" i="4"/>
  <c r="AB3" i="4"/>
  <c r="AB5" i="4"/>
  <c r="AB4" i="4"/>
  <c r="AB8" i="4"/>
  <c r="AI51" i="4"/>
  <c r="AI17" i="4"/>
  <c r="AI52" i="4"/>
  <c r="AI53" i="4"/>
  <c r="AI54" i="4"/>
  <c r="AI3" i="4"/>
  <c r="AI8" i="4"/>
  <c r="AI4" i="4"/>
  <c r="AI9" i="4"/>
  <c r="AI6" i="4"/>
  <c r="AI5" i="4"/>
  <c r="AI10" i="4"/>
  <c r="AI7" i="4"/>
  <c r="AC52" i="4"/>
  <c r="AC53" i="4"/>
  <c r="AC51" i="4"/>
  <c r="AC17" i="4"/>
  <c r="AC54" i="4"/>
  <c r="AC4" i="4"/>
  <c r="AC9" i="4"/>
  <c r="AC10" i="4"/>
  <c r="AC5" i="4"/>
  <c r="AC7" i="4"/>
  <c r="AC6" i="4"/>
  <c r="AC3" i="4"/>
  <c r="AC8" i="4"/>
  <c r="AH51" i="4"/>
  <c r="AH17" i="4"/>
  <c r="AH52" i="4"/>
  <c r="AH53" i="4"/>
  <c r="AH54" i="4"/>
  <c r="AH3" i="4"/>
  <c r="AH8" i="4"/>
  <c r="AH6" i="4"/>
  <c r="AH9" i="4"/>
  <c r="AH4" i="4"/>
  <c r="AH5" i="4"/>
  <c r="AH10" i="4"/>
  <c r="AH7" i="4"/>
  <c r="AK51" i="4"/>
  <c r="AK17" i="4"/>
  <c r="AK52" i="4"/>
  <c r="AK53" i="4"/>
  <c r="AK54" i="4"/>
  <c r="AK9" i="4"/>
  <c r="AK6" i="4"/>
  <c r="AK3" i="4"/>
  <c r="AK8" i="4"/>
  <c r="AK5" i="4"/>
  <c r="AK7" i="4"/>
  <c r="AK4" i="4"/>
  <c r="AK10" i="4"/>
  <c r="AF52" i="4"/>
  <c r="AF53" i="4"/>
  <c r="AF17" i="4"/>
  <c r="AF51" i="4"/>
  <c r="AF54" i="4"/>
  <c r="AF5" i="4"/>
  <c r="AF7" i="4"/>
  <c r="AF8" i="4"/>
  <c r="AF4" i="4"/>
  <c r="AF9" i="4"/>
  <c r="AF10" i="4"/>
  <c r="AF6" i="4"/>
  <c r="AF3" i="4"/>
  <c r="V54" i="4"/>
  <c r="V51" i="4"/>
  <c r="V17" i="4"/>
  <c r="V53" i="4"/>
  <c r="V52" i="4"/>
  <c r="V7" i="4"/>
  <c r="V8" i="4"/>
  <c r="V4" i="4"/>
  <c r="V6" i="4"/>
  <c r="V9" i="4"/>
  <c r="V5" i="4"/>
  <c r="V3" i="4"/>
  <c r="V10" i="4"/>
  <c r="AD52" i="4"/>
  <c r="AD53" i="4"/>
  <c r="AD54" i="4"/>
  <c r="AD51" i="4"/>
  <c r="AD17" i="4"/>
  <c r="AD4" i="4"/>
  <c r="AD9" i="4"/>
  <c r="AD10" i="4"/>
  <c r="AD7" i="4"/>
  <c r="AD5" i="4"/>
  <c r="AD6" i="4"/>
  <c r="AD3" i="4"/>
  <c r="AD8" i="4"/>
  <c r="Q17" i="4"/>
  <c r="Q51" i="4"/>
  <c r="Q52" i="4"/>
  <c r="Q53" i="4"/>
  <c r="Q54" i="4"/>
  <c r="Q3" i="4"/>
  <c r="Q9" i="4"/>
  <c r="Q7" i="4"/>
  <c r="Q10" i="4"/>
  <c r="Q8" i="4"/>
  <c r="Q5" i="4"/>
  <c r="Q4" i="4"/>
  <c r="Q6" i="4"/>
  <c r="AJ17" i="4"/>
  <c r="AJ51" i="4"/>
  <c r="AJ52" i="4"/>
  <c r="AJ53" i="4"/>
  <c r="AJ54" i="4"/>
  <c r="AJ7" i="4"/>
  <c r="AJ9" i="4"/>
  <c r="AJ3" i="4"/>
  <c r="AJ4" i="4"/>
  <c r="AJ8" i="4"/>
  <c r="AJ10" i="4"/>
  <c r="AJ5" i="4"/>
  <c r="AJ6" i="4"/>
  <c r="AE53" i="4"/>
  <c r="AE52" i="4"/>
  <c r="AE54" i="4"/>
  <c r="AE51" i="4"/>
  <c r="AE17" i="4"/>
  <c r="AE7" i="4"/>
  <c r="AE4" i="4"/>
  <c r="AE9" i="4"/>
  <c r="AE10" i="4"/>
  <c r="AE5" i="4"/>
  <c r="AE6" i="4"/>
  <c r="AE8" i="4"/>
  <c r="AE3" i="4"/>
  <c r="O51" i="4"/>
  <c r="O17" i="4"/>
  <c r="O54" i="4"/>
  <c r="O52" i="4"/>
  <c r="O53" i="4"/>
  <c r="O7" i="4"/>
  <c r="O4" i="4"/>
  <c r="O3" i="4"/>
  <c r="O8" i="4"/>
  <c r="O5" i="4"/>
  <c r="O9" i="4"/>
  <c r="O10" i="4"/>
  <c r="O6" i="4"/>
  <c r="Y53" i="4"/>
  <c r="Y54" i="4"/>
  <c r="Y52" i="4"/>
  <c r="Y17" i="4"/>
  <c r="Y51" i="4"/>
  <c r="Y5" i="4"/>
  <c r="Y10" i="4"/>
  <c r="Y6" i="4"/>
  <c r="Y7" i="4"/>
  <c r="Y3" i="4"/>
  <c r="Y8" i="4"/>
  <c r="Y4" i="4"/>
  <c r="Y9" i="4"/>
  <c r="T54" i="4"/>
  <c r="T53" i="4"/>
  <c r="T51" i="4"/>
  <c r="T52" i="4"/>
  <c r="T17" i="4"/>
  <c r="T6" i="4"/>
  <c r="T3" i="4"/>
  <c r="T4" i="4"/>
  <c r="T9" i="4"/>
  <c r="T7" i="4"/>
  <c r="T8" i="4"/>
  <c r="T5" i="4"/>
  <c r="T10" i="4"/>
  <c r="AM51" i="4"/>
  <c r="AM17" i="4"/>
  <c r="AM54" i="4"/>
  <c r="AM53" i="4"/>
  <c r="AM52" i="4"/>
  <c r="AM5" i="4"/>
  <c r="AM7" i="4"/>
  <c r="AM4" i="4"/>
  <c r="AM10" i="4"/>
  <c r="AM3" i="4"/>
  <c r="AM8" i="4"/>
  <c r="AM9" i="4"/>
  <c r="AM6" i="4"/>
  <c r="Z53" i="4"/>
  <c r="Z54" i="4"/>
  <c r="Z52" i="4"/>
  <c r="Z17" i="4"/>
  <c r="Z51" i="4"/>
  <c r="Z3" i="4"/>
  <c r="Z8" i="4"/>
  <c r="Z5" i="4"/>
  <c r="Z9" i="4"/>
  <c r="Z10" i="4"/>
  <c r="Z6" i="4"/>
  <c r="Z7" i="4"/>
  <c r="Z4" i="4"/>
  <c r="J54" i="4"/>
  <c r="J51" i="4"/>
  <c r="J17" i="4"/>
  <c r="J52" i="4"/>
  <c r="J53" i="4"/>
  <c r="J10" i="4"/>
  <c r="J8" i="4"/>
  <c r="H6" i="11" s="1"/>
  <c r="G6" i="11" s="1"/>
  <c r="J3" i="4"/>
  <c r="J9" i="4"/>
  <c r="J4" i="4"/>
  <c r="J5" i="4"/>
  <c r="J6" i="4"/>
  <c r="J7" i="4"/>
  <c r="AL51" i="4"/>
  <c r="AL17" i="4"/>
  <c r="AL52" i="4"/>
  <c r="AL54" i="4"/>
  <c r="AL53" i="4"/>
  <c r="AL7" i="4"/>
  <c r="AL5" i="4"/>
  <c r="AL9" i="4"/>
  <c r="AL4" i="4"/>
  <c r="AL3" i="4"/>
  <c r="AL8" i="4"/>
  <c r="AL10" i="4"/>
  <c r="AL6" i="4"/>
  <c r="AG52" i="4"/>
  <c r="AG53" i="4"/>
  <c r="AG51" i="4"/>
  <c r="AG54" i="4"/>
  <c r="AG17" i="4"/>
  <c r="AG8" i="4"/>
  <c r="AG10" i="4"/>
  <c r="AG3" i="4"/>
  <c r="AG4" i="4"/>
  <c r="AG6" i="4"/>
  <c r="AG9" i="4"/>
  <c r="AG5" i="4"/>
  <c r="AG7" i="4"/>
  <c r="AN51" i="4"/>
  <c r="AN17" i="4"/>
  <c r="AN52" i="4"/>
  <c r="AN53" i="4"/>
  <c r="AN54" i="4"/>
  <c r="AN5" i="4"/>
  <c r="AN7" i="4"/>
  <c r="AN8" i="4"/>
  <c r="AN10" i="4"/>
  <c r="AN3" i="4"/>
  <c r="AN4" i="4"/>
  <c r="AN9" i="4"/>
  <c r="AN6" i="4"/>
  <c r="AA53" i="4"/>
  <c r="AA54" i="4"/>
  <c r="AA17" i="4"/>
  <c r="AA51" i="4"/>
  <c r="AA52" i="4"/>
  <c r="AA6" i="4"/>
  <c r="AA4" i="4"/>
  <c r="AA5" i="4"/>
  <c r="AA10" i="4"/>
  <c r="AA7" i="4"/>
  <c r="AA3" i="4"/>
  <c r="AA8" i="4"/>
  <c r="AA9" i="4"/>
  <c r="L51" i="4"/>
  <c r="L17" i="4"/>
  <c r="L52" i="4"/>
  <c r="L53" i="4"/>
  <c r="L54" i="4"/>
  <c r="L10" i="4"/>
  <c r="L4" i="4"/>
  <c r="L3" i="4"/>
  <c r="L9" i="4"/>
  <c r="L8" i="4"/>
  <c r="L7" i="4"/>
  <c r="L6" i="4"/>
  <c r="L5" i="4"/>
  <c r="U106" i="2"/>
  <c r="AA106" i="2"/>
  <c r="AE61" i="2"/>
  <c r="AE148" i="2" s="1"/>
  <c r="X96" i="2"/>
  <c r="M37" i="2"/>
  <c r="N57" i="4" s="1"/>
  <c r="N54" i="2"/>
  <c r="N55" i="2" s="1"/>
  <c r="V54" i="2"/>
  <c r="V55" i="2" s="1"/>
  <c r="H87" i="2"/>
  <c r="H21" i="2"/>
  <c r="E21" i="6" s="1"/>
  <c r="H102" i="2"/>
  <c r="E104" i="6" s="1"/>
  <c r="O54" i="2"/>
  <c r="O55" i="2" s="1"/>
  <c r="H71" i="2"/>
  <c r="E71" i="6" s="1"/>
  <c r="Z27" i="2"/>
  <c r="AI27" i="2"/>
  <c r="AA96" i="2"/>
  <c r="AM61" i="2"/>
  <c r="AM148" i="2" s="1"/>
  <c r="Q37" i="2"/>
  <c r="R58" i="4" s="1"/>
  <c r="K37" i="2"/>
  <c r="L55" i="4" s="1"/>
  <c r="AC54" i="2"/>
  <c r="AC55" i="2" s="1"/>
  <c r="AB27" i="2"/>
  <c r="AB61" i="2"/>
  <c r="AB148" i="2" s="1"/>
  <c r="Q27" i="2"/>
  <c r="Y54" i="2"/>
  <c r="Y55" i="2" s="1"/>
  <c r="Y106" i="2"/>
  <c r="AL106" i="2"/>
  <c r="L27" i="2"/>
  <c r="H69" i="2"/>
  <c r="AA61" i="2"/>
  <c r="AA148" i="2" s="1"/>
  <c r="H70" i="2"/>
  <c r="H75" i="2"/>
  <c r="E75" i="6" s="1"/>
  <c r="V61" i="2"/>
  <c r="V148" i="2" s="1"/>
  <c r="AE54" i="2"/>
  <c r="AE55" i="2" s="1"/>
  <c r="H101" i="2"/>
  <c r="E103" i="6" s="1"/>
  <c r="H83" i="2"/>
  <c r="E83" i="6" s="1"/>
  <c r="H63" i="2"/>
  <c r="E63" i="6" s="1"/>
  <c r="H82" i="2"/>
  <c r="E82" i="6" s="1"/>
  <c r="AH61" i="2"/>
  <c r="AH148" i="2" s="1"/>
  <c r="H99" i="2"/>
  <c r="E101" i="6" s="1"/>
  <c r="H100" i="2"/>
  <c r="E102" i="6" s="1"/>
  <c r="H7" i="2"/>
  <c r="E7" i="6" s="1"/>
  <c r="H22" i="2"/>
  <c r="E22" i="6" s="1"/>
  <c r="H90" i="2"/>
  <c r="E92" i="6" s="1"/>
  <c r="H48" i="2"/>
  <c r="H73" i="2"/>
  <c r="E73" i="6" s="1"/>
  <c r="H29" i="2"/>
  <c r="E29" i="6" s="1"/>
  <c r="H104" i="2"/>
  <c r="E106" i="6" s="1"/>
  <c r="H26" i="2"/>
  <c r="E26" i="6" s="1"/>
  <c r="H72" i="2"/>
  <c r="E72" i="6" s="1"/>
  <c r="H47" i="2"/>
  <c r="E47" i="6" s="1"/>
  <c r="AH54" i="2"/>
  <c r="AH55" i="2" s="1"/>
  <c r="H85" i="2"/>
  <c r="E85" i="6" s="1"/>
  <c r="H32" i="2"/>
  <c r="E32" i="6" s="1"/>
  <c r="H64" i="2"/>
  <c r="E64" i="6" s="1"/>
  <c r="H5" i="2"/>
  <c r="E5" i="6" s="1"/>
  <c r="H86" i="2"/>
  <c r="E87" i="6" s="1"/>
  <c r="D19" i="3" s="1"/>
  <c r="H84" i="2"/>
  <c r="H34" i="2"/>
  <c r="Q52" i="2"/>
  <c r="Q53" i="2" s="1"/>
  <c r="Q56" i="2"/>
  <c r="AA52" i="2"/>
  <c r="AA53" i="2" s="1"/>
  <c r="AA56" i="2"/>
  <c r="H49" i="2"/>
  <c r="E49" i="6" s="1"/>
  <c r="L37" i="2"/>
  <c r="M55" i="4" s="1"/>
  <c r="AD106" i="2"/>
  <c r="AJ61" i="2"/>
  <c r="AJ148" i="2" s="1"/>
  <c r="AB106" i="2"/>
  <c r="AN52" i="2"/>
  <c r="AN53" i="2" s="1"/>
  <c r="AN56" i="2"/>
  <c r="AD52" i="2"/>
  <c r="AD53" i="2" s="1"/>
  <c r="AD56" i="2"/>
  <c r="H94" i="2"/>
  <c r="E96" i="6" s="1"/>
  <c r="AI106" i="2"/>
  <c r="X42" i="2"/>
  <c r="X43" i="2" s="1"/>
  <c r="X40" i="2"/>
  <c r="Y77" i="4" s="1"/>
  <c r="AN106" i="2"/>
  <c r="P54" i="2"/>
  <c r="P55" i="2" s="1"/>
  <c r="AH96" i="2"/>
  <c r="L40" i="2"/>
  <c r="M72" i="4" s="1"/>
  <c r="L62" i="2" s="1"/>
  <c r="L42" i="2"/>
  <c r="L43" i="2" s="1"/>
  <c r="AM106" i="2"/>
  <c r="AC42" i="2"/>
  <c r="AC43" i="2" s="1"/>
  <c r="AC40" i="2"/>
  <c r="AD80" i="4" s="1"/>
  <c r="T37" i="2"/>
  <c r="U56" i="4" s="1"/>
  <c r="H81" i="2"/>
  <c r="M54" i="2"/>
  <c r="M55" i="2" s="1"/>
  <c r="AK37" i="2"/>
  <c r="AL59" i="4" s="1"/>
  <c r="N61" i="2"/>
  <c r="N148" i="2" s="1"/>
  <c r="T27" i="2"/>
  <c r="P96" i="2"/>
  <c r="W106" i="2"/>
  <c r="R96" i="2"/>
  <c r="Q106" i="2"/>
  <c r="H65" i="2"/>
  <c r="E65" i="6" s="1"/>
  <c r="H89" i="2"/>
  <c r="E91" i="6" s="1"/>
  <c r="AE27" i="2"/>
  <c r="AN54" i="2"/>
  <c r="AN55" i="2" s="1"/>
  <c r="AF37" i="2"/>
  <c r="AG55" i="4" s="1"/>
  <c r="AG37" i="2"/>
  <c r="AH55" i="4" s="1"/>
  <c r="S56" i="2"/>
  <c r="S52" i="2"/>
  <c r="S53" i="2" s="1"/>
  <c r="P106" i="2"/>
  <c r="AD61" i="2"/>
  <c r="AD148" i="2" s="1"/>
  <c r="AN27" i="2"/>
  <c r="S106" i="2"/>
  <c r="X37" i="2"/>
  <c r="Y55" i="4" s="1"/>
  <c r="H11" i="2"/>
  <c r="E11" i="6" s="1"/>
  <c r="H44" i="2"/>
  <c r="E44" i="6" s="1"/>
  <c r="Z54" i="2"/>
  <c r="Z55" i="2" s="1"/>
  <c r="AC37" i="2"/>
  <c r="AD57" i="4" s="1"/>
  <c r="AG61" i="2"/>
  <c r="AG148" i="2" s="1"/>
  <c r="AK106" i="2"/>
  <c r="S27" i="2"/>
  <c r="R27" i="2"/>
  <c r="R37" i="2"/>
  <c r="S57" i="4" s="1"/>
  <c r="AN61" i="2"/>
  <c r="AN148" i="2" s="1"/>
  <c r="AC61" i="2"/>
  <c r="AC148" i="2" s="1"/>
  <c r="AF52" i="2"/>
  <c r="AF53" i="2" s="1"/>
  <c r="AF56" i="2"/>
  <c r="AG27" i="2"/>
  <c r="L106" i="2"/>
  <c r="U56" i="2"/>
  <c r="U52" i="2"/>
  <c r="U53" i="2" s="1"/>
  <c r="H19" i="2"/>
  <c r="E19" i="6" s="1"/>
  <c r="H23" i="2"/>
  <c r="E23" i="6" s="1"/>
  <c r="AM27" i="2"/>
  <c r="U96" i="2"/>
  <c r="V96" i="2"/>
  <c r="AF61" i="2"/>
  <c r="AF148" i="2" s="1"/>
  <c r="O37" i="2"/>
  <c r="P55" i="4" s="1"/>
  <c r="T96" i="2"/>
  <c r="Y61" i="2"/>
  <c r="Y148" i="2" s="1"/>
  <c r="P61" i="2"/>
  <c r="P148" i="2" s="1"/>
  <c r="AJ96" i="2"/>
  <c r="AE37" i="2"/>
  <c r="AF57" i="4" s="1"/>
  <c r="H115" i="2"/>
  <c r="E117" i="6" s="1"/>
  <c r="AC96" i="2"/>
  <c r="AI37" i="2"/>
  <c r="AJ56" i="4" s="1"/>
  <c r="N27" i="2"/>
  <c r="AF106" i="2"/>
  <c r="AI52" i="2"/>
  <c r="AI53" i="2" s="1"/>
  <c r="AI56" i="2"/>
  <c r="AA42" i="2"/>
  <c r="AA43" i="2" s="1"/>
  <c r="AA40" i="2"/>
  <c r="AB81" i="4" s="1"/>
  <c r="AL61" i="2"/>
  <c r="AL148" i="2" s="1"/>
  <c r="AH27" i="2"/>
  <c r="AJ40" i="2"/>
  <c r="AK75" i="4" s="1"/>
  <c r="AJ42" i="2"/>
  <c r="AJ43" i="2" s="1"/>
  <c r="AE40" i="2"/>
  <c r="AF80" i="4" s="1"/>
  <c r="AE42" i="2"/>
  <c r="AE43" i="2" s="1"/>
  <c r="P56" i="2"/>
  <c r="P52" i="2"/>
  <c r="P53" i="2" s="1"/>
  <c r="H35" i="2"/>
  <c r="AB40" i="2"/>
  <c r="AC78" i="4" s="1"/>
  <c r="AB42" i="2"/>
  <c r="AB43" i="2" s="1"/>
  <c r="H68" i="2"/>
  <c r="V106" i="2"/>
  <c r="Z96" i="2"/>
  <c r="AN96" i="2"/>
  <c r="AF54" i="2"/>
  <c r="AF55" i="2" s="1"/>
  <c r="W37" i="2"/>
  <c r="X58" i="4" s="1"/>
  <c r="K27" i="2"/>
  <c r="AA27" i="2"/>
  <c r="AC106" i="2"/>
  <c r="O52" i="2"/>
  <c r="O53" i="2" s="1"/>
  <c r="O56" i="2"/>
  <c r="AG52" i="2"/>
  <c r="AG53" i="2" s="1"/>
  <c r="AG56" i="2"/>
  <c r="H57" i="2"/>
  <c r="E57" i="6" s="1"/>
  <c r="U42" i="2"/>
  <c r="U43" i="2" s="1"/>
  <c r="U40" i="2"/>
  <c r="V79" i="4" s="1"/>
  <c r="V27" i="2"/>
  <c r="AM37" i="2"/>
  <c r="AN59" i="4" s="1"/>
  <c r="Q96" i="2"/>
  <c r="AF42" i="2"/>
  <c r="AF43" i="2" s="1"/>
  <c r="AF40" i="2"/>
  <c r="AG74" i="4" s="1"/>
  <c r="T106" i="2"/>
  <c r="AH40" i="2"/>
  <c r="AI79" i="4" s="1"/>
  <c r="AH42" i="2"/>
  <c r="AH43" i="2" s="1"/>
  <c r="AL52" i="2"/>
  <c r="AL53" i="2" s="1"/>
  <c r="AL56" i="2"/>
  <c r="AN40" i="2"/>
  <c r="AO80" i="4" s="1"/>
  <c r="AN42" i="2"/>
  <c r="AN43" i="2" s="1"/>
  <c r="H88" i="2"/>
  <c r="H107" i="2"/>
  <c r="E109" i="6" s="1"/>
  <c r="H66" i="2"/>
  <c r="E66" i="6" s="1"/>
  <c r="H25" i="2"/>
  <c r="AF27" i="2"/>
  <c r="Q54" i="2"/>
  <c r="Q55" i="2" s="1"/>
  <c r="H80" i="2"/>
  <c r="E80" i="6" s="1"/>
  <c r="K106" i="2"/>
  <c r="M106" i="2"/>
  <c r="S42" i="2"/>
  <c r="S43" i="2" s="1"/>
  <c r="S40" i="2"/>
  <c r="T75" i="4" s="1"/>
  <c r="Y27" i="2"/>
  <c r="AD54" i="2"/>
  <c r="AD55" i="2" s="1"/>
  <c r="W61" i="2"/>
  <c r="W148" i="2" s="1"/>
  <c r="K40" i="2"/>
  <c r="L78" i="4" s="1"/>
  <c r="K42" i="2"/>
  <c r="K43" i="2" s="1"/>
  <c r="N106" i="2"/>
  <c r="AM52" i="2"/>
  <c r="AM53" i="2" s="1"/>
  <c r="AM56" i="2"/>
  <c r="N37" i="2"/>
  <c r="O58" i="4" s="1"/>
  <c r="H9" i="2"/>
  <c r="Z106" i="2"/>
  <c r="L52" i="2"/>
  <c r="L53" i="2" s="1"/>
  <c r="L56" i="2"/>
  <c r="U27" i="2"/>
  <c r="V37" i="2"/>
  <c r="W56" i="4" s="1"/>
  <c r="X52" i="2"/>
  <c r="X53" i="2" s="1"/>
  <c r="X56" i="2"/>
  <c r="Y52" i="2"/>
  <c r="Y53" i="2" s="1"/>
  <c r="Y56" i="2"/>
  <c r="W27" i="2"/>
  <c r="AL27" i="2"/>
  <c r="AG96" i="2"/>
  <c r="P40" i="2"/>
  <c r="Q74" i="4" s="1"/>
  <c r="P42" i="2"/>
  <c r="P43" i="2" s="1"/>
  <c r="X106" i="2"/>
  <c r="AB52" i="2"/>
  <c r="AB53" i="2" s="1"/>
  <c r="AB56" i="2"/>
  <c r="Q42" i="2"/>
  <c r="Q43" i="2" s="1"/>
  <c r="Q40" i="2"/>
  <c r="R74" i="4" s="1"/>
  <c r="M56" i="2"/>
  <c r="M52" i="2"/>
  <c r="M53" i="2" s="1"/>
  <c r="U37" i="2"/>
  <c r="V59" i="4" s="1"/>
  <c r="T42" i="2"/>
  <c r="T43" i="2" s="1"/>
  <c r="T40" i="2"/>
  <c r="U81" i="4" s="1"/>
  <c r="H67" i="2"/>
  <c r="E67" i="6" s="1"/>
  <c r="AK54" i="2"/>
  <c r="AK55" i="2" s="1"/>
  <c r="AG40" i="2"/>
  <c r="AH77" i="4" s="1"/>
  <c r="AG42" i="2"/>
  <c r="AG43" i="2" s="1"/>
  <c r="H50" i="2"/>
  <c r="E50" i="6" s="1"/>
  <c r="P27" i="2"/>
  <c r="H20" i="2"/>
  <c r="E20" i="6" s="1"/>
  <c r="D23" i="3" s="1"/>
  <c r="AJ27" i="2"/>
  <c r="AJ52" i="2"/>
  <c r="AJ53" i="2" s="1"/>
  <c r="AJ56" i="2"/>
  <c r="L61" i="2"/>
  <c r="L148" i="2" s="1"/>
  <c r="AB96" i="2"/>
  <c r="R52" i="2"/>
  <c r="R53" i="2" s="1"/>
  <c r="R56" i="2"/>
  <c r="AH106" i="2"/>
  <c r="H41" i="2"/>
  <c r="E41" i="6" s="1"/>
  <c r="D44" i="3" s="1"/>
  <c r="U54" i="2"/>
  <c r="U55" i="2" s="1"/>
  <c r="H30" i="2"/>
  <c r="E30" i="6" s="1"/>
  <c r="H38" i="2"/>
  <c r="E38" i="6" s="1"/>
  <c r="H51" i="2"/>
  <c r="E51" i="6" s="1"/>
  <c r="Z37" i="2"/>
  <c r="AA56" i="4" s="1"/>
  <c r="AN37" i="2"/>
  <c r="AO56" i="4" s="1"/>
  <c r="AB37" i="2"/>
  <c r="AC56" i="4" s="1"/>
  <c r="AM54" i="2"/>
  <c r="AM55" i="2" s="1"/>
  <c r="N52" i="2"/>
  <c r="N53" i="2" s="1"/>
  <c r="N56" i="2"/>
  <c r="O27" i="2"/>
  <c r="T52" i="2"/>
  <c r="T53" i="2" s="1"/>
  <c r="T56" i="2"/>
  <c r="Y96" i="2"/>
  <c r="Y37" i="2"/>
  <c r="Z55" i="4" s="1"/>
  <c r="W52" i="2"/>
  <c r="W53" i="2" s="1"/>
  <c r="W56" i="2"/>
  <c r="W96" i="2"/>
  <c r="AM96" i="2"/>
  <c r="AJ106" i="2"/>
  <c r="AJ37" i="2"/>
  <c r="AK56" i="4" s="1"/>
  <c r="AI96" i="2"/>
  <c r="H74" i="2"/>
  <c r="E74" i="6" s="1"/>
  <c r="AG106" i="2"/>
  <c r="O106" i="2"/>
  <c r="H8" i="2"/>
  <c r="E8" i="6" s="1"/>
  <c r="O96" i="2"/>
  <c r="H76" i="2"/>
  <c r="E76" i="6" s="1"/>
  <c r="AA37" i="2"/>
  <c r="AB56" i="4" s="1"/>
  <c r="AE106" i="2"/>
  <c r="H95" i="2"/>
  <c r="E97" i="6" s="1"/>
  <c r="AC52" i="2"/>
  <c r="AC53" i="2" s="1"/>
  <c r="AC56" i="2"/>
  <c r="AG54" i="2"/>
  <c r="AG55" i="2" s="1"/>
  <c r="AL37" i="2"/>
  <c r="AM59" i="4" s="1"/>
  <c r="AI61" i="2"/>
  <c r="AI148" i="2" s="1"/>
  <c r="R42" i="2"/>
  <c r="R43" i="2" s="1"/>
  <c r="R40" i="2"/>
  <c r="S79" i="4" s="1"/>
  <c r="AA54" i="2"/>
  <c r="AA55" i="2" s="1"/>
  <c r="AD27" i="2"/>
  <c r="R106" i="2"/>
  <c r="H46" i="2"/>
  <c r="E46" i="6" s="1"/>
  <c r="Z56" i="2"/>
  <c r="Z52" i="2"/>
  <c r="Z53" i="2" s="1"/>
  <c r="L96" i="2"/>
  <c r="AI54" i="2"/>
  <c r="AI55" i="2" s="1"/>
  <c r="AM42" i="2"/>
  <c r="AM43" i="2" s="1"/>
  <c r="AM40" i="2"/>
  <c r="AN80" i="4" s="1"/>
  <c r="AE52" i="2"/>
  <c r="AE53" i="2" s="1"/>
  <c r="AE56" i="2"/>
  <c r="AE96" i="2"/>
  <c r="M96" i="2"/>
  <c r="AK27" i="2"/>
  <c r="AK61" i="2"/>
  <c r="AK148" i="2" s="1"/>
  <c r="O40" i="2"/>
  <c r="P73" i="4" s="1"/>
  <c r="O42" i="2"/>
  <c r="O43" i="2" s="1"/>
  <c r="T61" i="2"/>
  <c r="T148" i="2" s="1"/>
  <c r="AH52" i="2"/>
  <c r="AH53" i="2" s="1"/>
  <c r="AH56" i="2"/>
  <c r="S37" i="2"/>
  <c r="T56" i="4" s="1"/>
  <c r="V42" i="2"/>
  <c r="V43" i="2" s="1"/>
  <c r="V40" i="2"/>
  <c r="W75" i="4" s="1"/>
  <c r="V56" i="2"/>
  <c r="V52" i="2"/>
  <c r="V53" i="2" s="1"/>
  <c r="Z42" i="2"/>
  <c r="Z43" i="2" s="1"/>
  <c r="Z40" i="2"/>
  <c r="AA81" i="4" s="1"/>
  <c r="AI40" i="2"/>
  <c r="AJ72" i="4" s="1"/>
  <c r="AI62" i="2" s="1"/>
  <c r="AI42" i="2"/>
  <c r="AI43" i="2" s="1"/>
  <c r="M40" i="2"/>
  <c r="N76" i="4" s="1"/>
  <c r="M42" i="2"/>
  <c r="M43" i="2" s="1"/>
  <c r="AK42" i="2"/>
  <c r="AK43" i="2" s="1"/>
  <c r="AK40" i="2"/>
  <c r="AL80" i="4" s="1"/>
  <c r="AK52" i="2"/>
  <c r="AK53" i="2" s="1"/>
  <c r="AK56" i="2"/>
  <c r="N40" i="2"/>
  <c r="O79" i="4" s="1"/>
  <c r="N42" i="2"/>
  <c r="N43" i="2" s="1"/>
  <c r="Y42" i="2"/>
  <c r="Y43" i="2" s="1"/>
  <c r="Y40" i="2"/>
  <c r="Z73" i="4" s="1"/>
  <c r="AD40" i="2"/>
  <c r="AE77" i="4" s="1"/>
  <c r="AD42" i="2"/>
  <c r="AD43" i="2" s="1"/>
  <c r="W42" i="2"/>
  <c r="W43" i="2" s="1"/>
  <c r="W40" i="2"/>
  <c r="X72" i="4" s="1"/>
  <c r="K54" i="2"/>
  <c r="K55" i="2" s="1"/>
  <c r="K52" i="2"/>
  <c r="K53" i="2" s="1"/>
  <c r="K56" i="2"/>
  <c r="AL40" i="2"/>
  <c r="AM75" i="4" s="1"/>
  <c r="AL42" i="2"/>
  <c r="AL43" i="2" s="1"/>
  <c r="H28" i="2"/>
  <c r="E28" i="6" s="1"/>
  <c r="H24" i="2"/>
  <c r="E24" i="6" s="1"/>
  <c r="H98" i="2"/>
  <c r="E100" i="6" s="1"/>
  <c r="H6" i="2"/>
  <c r="G29" i="11" l="1"/>
  <c r="H57" i="11"/>
  <c r="G57" i="11" s="1"/>
  <c r="G50" i="11"/>
  <c r="G48" i="11"/>
  <c r="H49" i="11"/>
  <c r="G49" i="11" s="1"/>
  <c r="I3" i="4"/>
  <c r="E84" i="6"/>
  <c r="I8" i="4"/>
  <c r="I10" i="4"/>
  <c r="I7" i="4"/>
  <c r="I53" i="4"/>
  <c r="I6" i="4"/>
  <c r="I52" i="4"/>
  <c r="I5" i="4"/>
  <c r="I17" i="4"/>
  <c r="AE56" i="4"/>
  <c r="I4" i="4"/>
  <c r="I51" i="4"/>
  <c r="I9" i="4"/>
  <c r="I54" i="4"/>
  <c r="R76" i="4"/>
  <c r="Q59" i="4"/>
  <c r="Y57" i="4"/>
  <c r="L57" i="4"/>
  <c r="U72" i="4"/>
  <c r="T62" i="2" s="1"/>
  <c r="AD75" i="4"/>
  <c r="R78" i="4"/>
  <c r="Q57" i="4"/>
  <c r="AN56" i="4"/>
  <c r="M76" i="4"/>
  <c r="AM79" i="4"/>
  <c r="W79" i="4"/>
  <c r="AE81" i="4"/>
  <c r="AN74" i="4"/>
  <c r="S73" i="4"/>
  <c r="Z77" i="4"/>
  <c r="Q78" i="4"/>
  <c r="O74" i="4"/>
  <c r="Q58" i="4"/>
  <c r="N74" i="4"/>
  <c r="AC58" i="4"/>
  <c r="S74" i="4"/>
  <c r="S55" i="4"/>
  <c r="T77" i="4"/>
  <c r="P75" i="4"/>
  <c r="Y76" i="4"/>
  <c r="AO57" i="4"/>
  <c r="N80" i="4"/>
  <c r="AM56" i="4"/>
  <c r="T79" i="4"/>
  <c r="P77" i="4"/>
  <c r="N59" i="4"/>
  <c r="X57" i="4"/>
  <c r="AF74" i="4"/>
  <c r="AI73" i="4"/>
  <c r="L72" i="4"/>
  <c r="K62" i="2" s="1"/>
  <c r="O57" i="4"/>
  <c r="AD55" i="4"/>
  <c r="AH81" i="4"/>
  <c r="AL75" i="4"/>
  <c r="T58" i="4"/>
  <c r="AI78" i="4"/>
  <c r="AK78" i="4"/>
  <c r="AJ80" i="4"/>
  <c r="V81" i="4"/>
  <c r="AC73" i="4"/>
  <c r="AK79" i="4"/>
  <c r="AO75" i="4"/>
  <c r="M56" i="4"/>
  <c r="AA57" i="4"/>
  <c r="W62" i="2"/>
  <c r="AB72" i="4"/>
  <c r="AA62" i="2" s="1"/>
  <c r="AF55" i="4"/>
  <c r="AD79" i="4"/>
  <c r="Q73" i="4"/>
  <c r="Q77" i="4"/>
  <c r="R72" i="4"/>
  <c r="Q62" i="2" s="1"/>
  <c r="AE72" i="4"/>
  <c r="AD62" i="2" s="1"/>
  <c r="O78" i="4"/>
  <c r="AO59" i="4"/>
  <c r="AI58" i="4"/>
  <c r="AL57" i="4"/>
  <c r="AL79" i="4"/>
  <c r="P58" i="4"/>
  <c r="N75" i="4"/>
  <c r="AG73" i="4"/>
  <c r="AG77" i="4"/>
  <c r="AF78" i="4"/>
  <c r="T55" i="4"/>
  <c r="AB76" i="4"/>
  <c r="X80" i="4"/>
  <c r="AI77" i="4"/>
  <c r="AA76" i="4"/>
  <c r="AN58" i="4"/>
  <c r="AN78" i="4"/>
  <c r="AC55" i="4"/>
  <c r="AM55" i="4"/>
  <c r="L76" i="4"/>
  <c r="AE59" i="4"/>
  <c r="S77" i="4"/>
  <c r="S78" i="4"/>
  <c r="V58" i="4"/>
  <c r="AK73" i="4"/>
  <c r="M80" i="4"/>
  <c r="Z81" i="4"/>
  <c r="S56" i="4"/>
  <c r="AJ77" i="4"/>
  <c r="AJ75" i="4"/>
  <c r="AO79" i="4"/>
  <c r="L59" i="4"/>
  <c r="T74" i="4"/>
  <c r="AG58" i="4"/>
  <c r="AD56" i="4"/>
  <c r="V73" i="4"/>
  <c r="M58" i="4"/>
  <c r="U76" i="4"/>
  <c r="AM74" i="4"/>
  <c r="P79" i="4"/>
  <c r="P81" i="4"/>
  <c r="AH79" i="4"/>
  <c r="AC77" i="4"/>
  <c r="AA59" i="4"/>
  <c r="W74" i="4"/>
  <c r="Z59" i="4"/>
  <c r="Y80" i="4"/>
  <c r="AG78" i="4"/>
  <c r="D28" i="3"/>
  <c r="AF59" i="4"/>
  <c r="AD73" i="4"/>
  <c r="Q72" i="4"/>
  <c r="P62" i="2" s="1"/>
  <c r="Q81" i="4"/>
  <c r="R56" i="4"/>
  <c r="R73" i="4"/>
  <c r="AE75" i="4"/>
  <c r="AE76" i="4"/>
  <c r="O73" i="4"/>
  <c r="AO55" i="4"/>
  <c r="AB57" i="4"/>
  <c r="AL55" i="4"/>
  <c r="AL77" i="4"/>
  <c r="AK58" i="4"/>
  <c r="P56" i="4"/>
  <c r="N79" i="4"/>
  <c r="AG72" i="4"/>
  <c r="AF62" i="2" s="1"/>
  <c r="AG81" i="4"/>
  <c r="AF73" i="4"/>
  <c r="T57" i="4"/>
  <c r="AO12" i="4"/>
  <c r="AN10" i="2" s="1"/>
  <c r="AN140" i="2"/>
  <c r="AB80" i="4"/>
  <c r="X74" i="4"/>
  <c r="AI81" i="4"/>
  <c r="AA80" i="4"/>
  <c r="AN57" i="4"/>
  <c r="AN73" i="4"/>
  <c r="AC57" i="4"/>
  <c r="AM57" i="4"/>
  <c r="L80" i="4"/>
  <c r="AE55" i="4"/>
  <c r="S81" i="4"/>
  <c r="AJ59" i="4"/>
  <c r="V56" i="4"/>
  <c r="AK77" i="4"/>
  <c r="M74" i="4"/>
  <c r="M75" i="4"/>
  <c r="Z75" i="4"/>
  <c r="S58" i="4"/>
  <c r="AJ73" i="4"/>
  <c r="AJ79" i="4"/>
  <c r="AO74" i="4"/>
  <c r="L56" i="4"/>
  <c r="T78" i="4"/>
  <c r="AG56" i="4"/>
  <c r="AD58" i="4"/>
  <c r="V77" i="4"/>
  <c r="M59" i="4"/>
  <c r="U80" i="4"/>
  <c r="AM78" i="4"/>
  <c r="P72" i="4"/>
  <c r="O62" i="2" s="1"/>
  <c r="AH75" i="4"/>
  <c r="AC81" i="4"/>
  <c r="AA58" i="4"/>
  <c r="W78" i="4"/>
  <c r="Z57" i="4"/>
  <c r="Y75" i="4"/>
  <c r="AA72" i="4"/>
  <c r="Z62" i="2" s="1"/>
  <c r="W57" i="4"/>
  <c r="AF56" i="4"/>
  <c r="AD77" i="4"/>
  <c r="Q76" i="4"/>
  <c r="AH59" i="4"/>
  <c r="R55" i="4"/>
  <c r="R77" i="4"/>
  <c r="AE79" i="4"/>
  <c r="AE80" i="4"/>
  <c r="O77" i="4"/>
  <c r="AB59" i="4"/>
  <c r="AL56" i="4"/>
  <c r="AL81" i="4"/>
  <c r="AK55" i="4"/>
  <c r="P57" i="4"/>
  <c r="N73" i="4"/>
  <c r="AG76" i="4"/>
  <c r="AF79" i="4"/>
  <c r="AF77" i="4"/>
  <c r="T59" i="4"/>
  <c r="AB77" i="4"/>
  <c r="AB75" i="4"/>
  <c r="X78" i="4"/>
  <c r="AI72" i="4"/>
  <c r="AH62" i="2" s="1"/>
  <c r="AA75" i="4"/>
  <c r="AN79" i="4"/>
  <c r="AN77" i="4"/>
  <c r="AC59" i="4"/>
  <c r="L81" i="4"/>
  <c r="L75" i="4"/>
  <c r="AE57" i="4"/>
  <c r="U57" i="4"/>
  <c r="S72" i="4"/>
  <c r="R62" i="2" s="1"/>
  <c r="AJ57" i="4"/>
  <c r="V55" i="4"/>
  <c r="AK81" i="4"/>
  <c r="M78" i="4"/>
  <c r="M79" i="4"/>
  <c r="Z79" i="4"/>
  <c r="AJ74" i="4"/>
  <c r="AO78" i="4"/>
  <c r="T81" i="4"/>
  <c r="AG57" i="4"/>
  <c r="AD59" i="4"/>
  <c r="V72" i="4"/>
  <c r="U62" i="2" s="1"/>
  <c r="U74" i="4"/>
  <c r="U75" i="4"/>
  <c r="AM73" i="4"/>
  <c r="P76" i="4"/>
  <c r="AH76" i="4"/>
  <c r="AH74" i="4"/>
  <c r="AC72" i="4"/>
  <c r="AB62" i="2" s="1"/>
  <c r="AA55" i="4"/>
  <c r="W73" i="4"/>
  <c r="Z56" i="4"/>
  <c r="Y79" i="4"/>
  <c r="W58" i="4"/>
  <c r="AF58" i="4"/>
  <c r="AD81" i="4"/>
  <c r="Q80" i="4"/>
  <c r="N58" i="4"/>
  <c r="AH57" i="4"/>
  <c r="R57" i="4"/>
  <c r="R81" i="4"/>
  <c r="AE74" i="4"/>
  <c r="O72" i="4"/>
  <c r="N62" i="2" s="1"/>
  <c r="O81" i="4"/>
  <c r="AB58" i="4"/>
  <c r="AL58" i="4"/>
  <c r="AL73" i="4"/>
  <c r="AK57" i="4"/>
  <c r="X55" i="4"/>
  <c r="P59" i="4"/>
  <c r="N81" i="4"/>
  <c r="AG80" i="4"/>
  <c r="AF75" i="4"/>
  <c r="AF81" i="4"/>
  <c r="AB73" i="4"/>
  <c r="AB79" i="4"/>
  <c r="X73" i="4"/>
  <c r="AI76" i="4"/>
  <c r="AA74" i="4"/>
  <c r="AA79" i="4"/>
  <c r="AN75" i="4"/>
  <c r="AN81" i="4"/>
  <c r="L77" i="4"/>
  <c r="L79" i="4"/>
  <c r="Y58" i="4"/>
  <c r="U55" i="4"/>
  <c r="S76" i="4"/>
  <c r="AJ55" i="4"/>
  <c r="V57" i="4"/>
  <c r="AK72" i="4"/>
  <c r="AJ62" i="2" s="1"/>
  <c r="M73" i="4"/>
  <c r="Z72" i="4"/>
  <c r="Y62" i="2" s="1"/>
  <c r="Z74" i="4"/>
  <c r="O55" i="4"/>
  <c r="AJ78" i="4"/>
  <c r="AO73" i="4"/>
  <c r="AO77" i="4"/>
  <c r="T72" i="4"/>
  <c r="S62" i="2" s="1"/>
  <c r="AG59" i="4"/>
  <c r="V78" i="4"/>
  <c r="V76" i="4"/>
  <c r="U78" i="4"/>
  <c r="U79" i="4"/>
  <c r="AM77" i="4"/>
  <c r="P80" i="4"/>
  <c r="AH72" i="4"/>
  <c r="AG62" i="2" s="1"/>
  <c r="AH78" i="4"/>
  <c r="AC76" i="4"/>
  <c r="W77" i="4"/>
  <c r="Z58" i="4"/>
  <c r="Y74" i="4"/>
  <c r="W59" i="4"/>
  <c r="AD72" i="4"/>
  <c r="AC62" i="2" s="1"/>
  <c r="Q75" i="4"/>
  <c r="N56" i="4"/>
  <c r="AH56" i="4"/>
  <c r="R59" i="4"/>
  <c r="R79" i="4"/>
  <c r="AE78" i="4"/>
  <c r="O76" i="4"/>
  <c r="O80" i="4"/>
  <c r="AI56" i="4"/>
  <c r="AB55" i="4"/>
  <c r="AL72" i="4"/>
  <c r="AK62" i="2" s="1"/>
  <c r="AK59" i="4"/>
  <c r="X59" i="4"/>
  <c r="N77" i="4"/>
  <c r="AG75" i="4"/>
  <c r="AF72" i="4"/>
  <c r="AE62" i="2" s="1"/>
  <c r="AB74" i="4"/>
  <c r="X79" i="4"/>
  <c r="X77" i="4"/>
  <c r="AI80" i="4"/>
  <c r="AA73" i="4"/>
  <c r="AA78" i="4"/>
  <c r="AN72" i="4"/>
  <c r="AM62" i="2" s="1"/>
  <c r="L73" i="4"/>
  <c r="Y56" i="4"/>
  <c r="U58" i="4"/>
  <c r="S80" i="4"/>
  <c r="AJ58" i="4"/>
  <c r="AK76" i="4"/>
  <c r="M77" i="4"/>
  <c r="Z80" i="4"/>
  <c r="Z78" i="4"/>
  <c r="O59" i="4"/>
  <c r="AJ81" i="4"/>
  <c r="AO72" i="4"/>
  <c r="AN62" i="2" s="1"/>
  <c r="AO81" i="4"/>
  <c r="T80" i="4"/>
  <c r="V74" i="4"/>
  <c r="V80" i="4"/>
  <c r="U73" i="4"/>
  <c r="AM72" i="4"/>
  <c r="AL62" i="2" s="1"/>
  <c r="AM81" i="4"/>
  <c r="P74" i="4"/>
  <c r="AH80" i="4"/>
  <c r="AC75" i="4"/>
  <c r="AC80" i="4"/>
  <c r="W72" i="4"/>
  <c r="V62" i="2" s="1"/>
  <c r="W81" i="4"/>
  <c r="Y78" i="4"/>
  <c r="AI59" i="4"/>
  <c r="X76" i="4"/>
  <c r="W55" i="4"/>
  <c r="AD74" i="4"/>
  <c r="AD76" i="4"/>
  <c r="Q79" i="4"/>
  <c r="N55" i="4"/>
  <c r="AH58" i="4"/>
  <c r="R75" i="4"/>
  <c r="AE73" i="4"/>
  <c r="O75" i="4"/>
  <c r="AO58" i="4"/>
  <c r="AI55" i="4"/>
  <c r="AL78" i="4"/>
  <c r="AL76" i="4"/>
  <c r="X56" i="4"/>
  <c r="N72" i="4"/>
  <c r="M62" i="2" s="1"/>
  <c r="AG79" i="4"/>
  <c r="AF76" i="4"/>
  <c r="AB78" i="4"/>
  <c r="X75" i="4"/>
  <c r="X81" i="4"/>
  <c r="AI75" i="4"/>
  <c r="AA77" i="4"/>
  <c r="AN55" i="4"/>
  <c r="AN76" i="4"/>
  <c r="AM58" i="4"/>
  <c r="L74" i="4"/>
  <c r="Y59" i="4"/>
  <c r="U59" i="4"/>
  <c r="S75" i="4"/>
  <c r="AK80" i="4"/>
  <c r="M81" i="4"/>
  <c r="Z76" i="4"/>
  <c r="S59" i="4"/>
  <c r="O56" i="4"/>
  <c r="AJ76" i="4"/>
  <c r="AO76" i="4"/>
  <c r="L58" i="4"/>
  <c r="T76" i="4"/>
  <c r="V75" i="4"/>
  <c r="M57" i="4"/>
  <c r="U77" i="4"/>
  <c r="AM76" i="4"/>
  <c r="AM80" i="4"/>
  <c r="P78" i="4"/>
  <c r="AH73" i="4"/>
  <c r="AC74" i="4"/>
  <c r="AC79" i="4"/>
  <c r="W80" i="4"/>
  <c r="W76" i="4"/>
  <c r="Y81" i="4"/>
  <c r="Y73" i="4"/>
  <c r="AD78" i="4"/>
  <c r="R80" i="4"/>
  <c r="AL74" i="4"/>
  <c r="N78" i="4"/>
  <c r="AI74" i="4"/>
  <c r="AK74" i="4"/>
  <c r="T73" i="4"/>
  <c r="Y72" i="4"/>
  <c r="X62" i="2" s="1"/>
  <c r="D14" i="3"/>
  <c r="AG141" i="2"/>
  <c r="V142" i="2"/>
  <c r="L141" i="2"/>
  <c r="AF12" i="4"/>
  <c r="AE10" i="2" s="1"/>
  <c r="AE140" i="2"/>
  <c r="P12" i="4"/>
  <c r="O10" i="2" s="1"/>
  <c r="O140" i="2"/>
  <c r="K141" i="2"/>
  <c r="AM142" i="2"/>
  <c r="AL12" i="4"/>
  <c r="AK10" i="2" s="1"/>
  <c r="AK140" i="2"/>
  <c r="AE12" i="4"/>
  <c r="AD10" i="2" s="1"/>
  <c r="AD140" i="2"/>
  <c r="AM141" i="2"/>
  <c r="AI141" i="2"/>
  <c r="AH12" i="4"/>
  <c r="AG10" i="2" s="1"/>
  <c r="AG140" i="2"/>
  <c r="AK141" i="2"/>
  <c r="AD141" i="2"/>
  <c r="AD12" i="4"/>
  <c r="AC10" i="2" s="1"/>
  <c r="AC140" i="2"/>
  <c r="L12" i="4"/>
  <c r="K10" i="2" s="1"/>
  <c r="K140" i="2"/>
  <c r="AJ12" i="4"/>
  <c r="AI10" i="2" s="1"/>
  <c r="AI140" i="2"/>
  <c r="AC141" i="2"/>
  <c r="AE141" i="2"/>
  <c r="AG142" i="2"/>
  <c r="T141" i="2"/>
  <c r="S12" i="4"/>
  <c r="R10" i="2" s="1"/>
  <c r="R140" i="2"/>
  <c r="M12" i="4"/>
  <c r="L10" i="2" s="1"/>
  <c r="L140" i="2"/>
  <c r="O141" i="2"/>
  <c r="P142" i="2"/>
  <c r="AJ141" i="2"/>
  <c r="M141" i="2"/>
  <c r="AF141" i="2"/>
  <c r="U142" i="2"/>
  <c r="AA142" i="2"/>
  <c r="Y12" i="4"/>
  <c r="X10" i="2" s="1"/>
  <c r="X140" i="2"/>
  <c r="AK12" i="4"/>
  <c r="AJ10" i="2" s="1"/>
  <c r="AJ140" i="2"/>
  <c r="N12" i="4"/>
  <c r="M10" i="2" s="1"/>
  <c r="M140" i="2"/>
  <c r="Z141" i="2"/>
  <c r="R141" i="2"/>
  <c r="AG12" i="4"/>
  <c r="AF10" i="2" s="1"/>
  <c r="AF140" i="2"/>
  <c r="O142" i="2"/>
  <c r="S142" i="2"/>
  <c r="Q12" i="4"/>
  <c r="P10" i="2" s="1"/>
  <c r="P140" i="2"/>
  <c r="N142" i="2"/>
  <c r="AA12" i="4"/>
  <c r="Z10" i="2" s="1"/>
  <c r="Z140" i="2"/>
  <c r="L142" i="2"/>
  <c r="R12" i="4"/>
  <c r="Q10" i="2" s="1"/>
  <c r="Q140" i="2"/>
  <c r="AK142" i="2"/>
  <c r="AM12" i="4"/>
  <c r="AL10" i="2" s="1"/>
  <c r="AL140" i="2"/>
  <c r="X141" i="2"/>
  <c r="AD142" i="2"/>
  <c r="AH141" i="2"/>
  <c r="AF142" i="2"/>
  <c r="AL141" i="2"/>
  <c r="AB141" i="2"/>
  <c r="X12" i="4"/>
  <c r="W10" i="2" s="1"/>
  <c r="W140" i="2"/>
  <c r="M142" i="2"/>
  <c r="AJ142" i="2"/>
  <c r="Z12" i="4"/>
  <c r="Y10" i="2" s="1"/>
  <c r="Y140" i="2"/>
  <c r="AI142" i="2"/>
  <c r="AC12" i="4"/>
  <c r="AB10" i="2" s="1"/>
  <c r="AB140" i="2"/>
  <c r="Y141" i="2"/>
  <c r="S141" i="2"/>
  <c r="AI12" i="4"/>
  <c r="AH10" i="2" s="1"/>
  <c r="AH140" i="2"/>
  <c r="V141" i="2"/>
  <c r="Q142" i="2"/>
  <c r="R142" i="2"/>
  <c r="U12" i="4"/>
  <c r="T10" i="2" s="1"/>
  <c r="T140" i="2"/>
  <c r="Z142" i="2"/>
  <c r="AC142" i="2"/>
  <c r="J12" i="4"/>
  <c r="Y142" i="2"/>
  <c r="W141" i="2"/>
  <c r="T142" i="2"/>
  <c r="W12" i="4"/>
  <c r="V10" i="2" s="1"/>
  <c r="V140" i="2"/>
  <c r="AE142" i="2"/>
  <c r="K142" i="2"/>
  <c r="AL142" i="2"/>
  <c r="N141" i="2"/>
  <c r="AB142" i="2"/>
  <c r="W142" i="2"/>
  <c r="AB12" i="4"/>
  <c r="AA10" i="2" s="1"/>
  <c r="AA140" i="2"/>
  <c r="X142" i="2"/>
  <c r="P141" i="2"/>
  <c r="V12" i="4"/>
  <c r="U10" i="2" s="1"/>
  <c r="U140" i="2"/>
  <c r="AH142" i="2"/>
  <c r="Q141" i="2"/>
  <c r="AN12" i="4"/>
  <c r="AM10" i="2" s="1"/>
  <c r="AM140" i="2"/>
  <c r="T12" i="4"/>
  <c r="S10" i="2" s="1"/>
  <c r="S140" i="2"/>
  <c r="O12" i="4"/>
  <c r="N10" i="2" s="1"/>
  <c r="N140" i="2"/>
  <c r="U141" i="2"/>
  <c r="AA141" i="2"/>
  <c r="E81" i="6"/>
  <c r="E9" i="6"/>
  <c r="H37" i="2"/>
  <c r="H106" i="2"/>
  <c r="E108" i="6" s="1"/>
  <c r="D36" i="3" s="1"/>
  <c r="K137" i="2"/>
  <c r="E6" i="6"/>
  <c r="H3" i="2"/>
  <c r="E3" i="6" s="1"/>
  <c r="N60" i="4" l="1"/>
  <c r="M31" i="2" s="1"/>
  <c r="M36" i="2" s="1"/>
  <c r="M138" i="2" s="1"/>
  <c r="AC60" i="4"/>
  <c r="AB31" i="2" s="1"/>
  <c r="AB36" i="2" s="1"/>
  <c r="AB138" i="2" s="1"/>
  <c r="AA60" i="4"/>
  <c r="Z31" i="2" s="1"/>
  <c r="Z36" i="2" s="1"/>
  <c r="Z58" i="2" s="1"/>
  <c r="Z82" i="4"/>
  <c r="T60" i="4"/>
  <c r="S31" i="2" s="1"/>
  <c r="S36" i="2" s="1"/>
  <c r="S138" i="2" s="1"/>
  <c r="P60" i="4"/>
  <c r="O31" i="2" s="1"/>
  <c r="O36" i="2" s="1"/>
  <c r="O138" i="2" s="1"/>
  <c r="AJ60" i="4"/>
  <c r="AI31" i="2" s="1"/>
  <c r="AI36" i="2" s="1"/>
  <c r="AI138" i="2" s="1"/>
  <c r="V60" i="4"/>
  <c r="U31" i="2" s="1"/>
  <c r="U36" i="2" s="1"/>
  <c r="U138" i="2" s="1"/>
  <c r="AH82" i="4"/>
  <c r="Q60" i="4"/>
  <c r="P31" i="2" s="1"/>
  <c r="P36" i="2" s="1"/>
  <c r="P138" i="2" s="1"/>
  <c r="I12" i="4"/>
  <c r="U82" i="4"/>
  <c r="AF82" i="4"/>
  <c r="AO82" i="4"/>
  <c r="AA82" i="4"/>
  <c r="AE82" i="4"/>
  <c r="W60" i="4"/>
  <c r="V31" i="2" s="1"/>
  <c r="V36" i="2" s="1"/>
  <c r="V138" i="2" s="1"/>
  <c r="AN82" i="4"/>
  <c r="W82" i="4"/>
  <c r="AE60" i="4"/>
  <c r="AD31" i="2" s="1"/>
  <c r="AD36" i="2" s="1"/>
  <c r="Q82" i="4"/>
  <c r="N82" i="4"/>
  <c r="V82" i="4"/>
  <c r="AO60" i="4"/>
  <c r="AN31" i="2" s="1"/>
  <c r="AN36" i="2" s="1"/>
  <c r="AN58" i="2" s="1"/>
  <c r="AN59" i="2" s="1"/>
  <c r="AB82" i="4"/>
  <c r="O82" i="4"/>
  <c r="X60" i="4"/>
  <c r="W31" i="2" s="1"/>
  <c r="W36" i="2" s="1"/>
  <c r="W58" i="2" s="1"/>
  <c r="W60" i="2" s="1"/>
  <c r="W157" i="2" s="1"/>
  <c r="AI60" i="4"/>
  <c r="AH31" i="2" s="1"/>
  <c r="AH36" i="2" s="1"/>
  <c r="AH58" i="2" s="1"/>
  <c r="S82" i="4"/>
  <c r="Z60" i="4"/>
  <c r="Y31" i="2" s="1"/>
  <c r="Y36" i="2" s="1"/>
  <c r="AM82" i="4"/>
  <c r="P82" i="4"/>
  <c r="AL82" i="4"/>
  <c r="M60" i="4"/>
  <c r="L31" i="2" s="1"/>
  <c r="L36" i="2" s="1"/>
  <c r="L58" i="2" s="1"/>
  <c r="L59" i="2" s="1"/>
  <c r="X82" i="4"/>
  <c r="AC82" i="4"/>
  <c r="AH60" i="4"/>
  <c r="AG31" i="2" s="1"/>
  <c r="AG36" i="2" s="1"/>
  <c r="AG138" i="2" s="1"/>
  <c r="R60" i="4"/>
  <c r="Q31" i="2" s="1"/>
  <c r="Q36" i="2" s="1"/>
  <c r="Q58" i="2" s="1"/>
  <c r="Z138" i="2"/>
  <c r="Y60" i="4"/>
  <c r="X31" i="2" s="1"/>
  <c r="X36" i="2" s="1"/>
  <c r="AB60" i="4"/>
  <c r="AA31" i="2" s="1"/>
  <c r="AA36" i="2" s="1"/>
  <c r="AL60" i="4"/>
  <c r="AK31" i="2" s="1"/>
  <c r="AK36" i="2" s="1"/>
  <c r="S60" i="4"/>
  <c r="R31" i="2" s="1"/>
  <c r="R36" i="2" s="1"/>
  <c r="AF60" i="4"/>
  <c r="AE31" i="2" s="1"/>
  <c r="AE36" i="2" s="1"/>
  <c r="AN60" i="4"/>
  <c r="AM31" i="2" s="1"/>
  <c r="AM36" i="2" s="1"/>
  <c r="U60" i="4"/>
  <c r="T31" i="2" s="1"/>
  <c r="T36" i="2" s="1"/>
  <c r="AG60" i="4"/>
  <c r="AF31" i="2" s="1"/>
  <c r="AF36" i="2" s="1"/>
  <c r="AD60" i="4"/>
  <c r="AC31" i="2" s="1"/>
  <c r="AC36" i="2" s="1"/>
  <c r="O60" i="4"/>
  <c r="N31" i="2" s="1"/>
  <c r="N36" i="2" s="1"/>
  <c r="AK60" i="4"/>
  <c r="AJ31" i="2" s="1"/>
  <c r="AJ36" i="2" s="1"/>
  <c r="AN16" i="2"/>
  <c r="AN17" i="2"/>
  <c r="AM60" i="4"/>
  <c r="AL31" i="2" s="1"/>
  <c r="AL36" i="2" s="1"/>
  <c r="AK82" i="4"/>
  <c r="AI82" i="4"/>
  <c r="Y82" i="4"/>
  <c r="AJ82" i="4"/>
  <c r="AG82" i="4"/>
  <c r="T82" i="4"/>
  <c r="M82" i="4"/>
  <c r="L82" i="4"/>
  <c r="AD82" i="4"/>
  <c r="R82" i="4"/>
  <c r="AE17" i="2"/>
  <c r="AE16" i="2"/>
  <c r="Q17" i="2"/>
  <c r="Q16" i="2"/>
  <c r="M17" i="2"/>
  <c r="M16" i="2"/>
  <c r="AI17" i="2"/>
  <c r="AI16" i="2"/>
  <c r="W17" i="2"/>
  <c r="W16" i="2"/>
  <c r="AA16" i="2"/>
  <c r="AA17" i="2"/>
  <c r="AH16" i="2"/>
  <c r="AH17" i="2"/>
  <c r="U16" i="2"/>
  <c r="U17" i="2"/>
  <c r="E144" i="6"/>
  <c r="AJ17" i="2"/>
  <c r="AJ16" i="2"/>
  <c r="P17" i="2"/>
  <c r="P16" i="2"/>
  <c r="AB17" i="2"/>
  <c r="AB16" i="2"/>
  <c r="E142" i="6"/>
  <c r="L16" i="2"/>
  <c r="L17" i="2"/>
  <c r="V17" i="2"/>
  <c r="V16" i="2"/>
  <c r="R17" i="2"/>
  <c r="R16" i="2"/>
  <c r="AL16" i="2"/>
  <c r="AL17" i="2"/>
  <c r="AC17" i="2"/>
  <c r="AC16" i="2"/>
  <c r="X17" i="2"/>
  <c r="X16" i="2"/>
  <c r="S16" i="2"/>
  <c r="S17" i="2"/>
  <c r="Y16" i="2"/>
  <c r="Y17" i="2"/>
  <c r="AF16" i="2"/>
  <c r="AF17" i="2"/>
  <c r="AD16" i="2"/>
  <c r="AD17" i="2"/>
  <c r="Z17" i="2"/>
  <c r="Z16" i="2"/>
  <c r="N17" i="2"/>
  <c r="N16" i="2"/>
  <c r="AK17" i="2"/>
  <c r="AK16" i="2"/>
  <c r="K17" i="2"/>
  <c r="K16" i="2"/>
  <c r="E143" i="6"/>
  <c r="T16" i="2"/>
  <c r="T17" i="2"/>
  <c r="AG16" i="2"/>
  <c r="AG17" i="2"/>
  <c r="AM16" i="2"/>
  <c r="AM17" i="2"/>
  <c r="O17" i="2"/>
  <c r="O16" i="2"/>
  <c r="I10" i="2"/>
  <c r="I152" i="2"/>
  <c r="I150" i="2"/>
  <c r="I147" i="2"/>
  <c r="I146" i="2"/>
  <c r="I145" i="2"/>
  <c r="I144" i="2"/>
  <c r="I143" i="2"/>
  <c r="I142" i="2"/>
  <c r="I141" i="2"/>
  <c r="I140" i="2"/>
  <c r="I78" i="2"/>
  <c r="I77" i="2"/>
  <c r="I12" i="2"/>
  <c r="H12" i="2" s="1"/>
  <c r="F12" i="2"/>
  <c r="S58" i="2" l="1"/>
  <c r="S59" i="2" s="1"/>
  <c r="M58" i="2"/>
  <c r="M59" i="2" s="1"/>
  <c r="AH138" i="2"/>
  <c r="W59" i="2"/>
  <c r="P58" i="2"/>
  <c r="P59" i="2" s="1"/>
  <c r="AN138" i="2"/>
  <c r="U58" i="2"/>
  <c r="U60" i="2" s="1"/>
  <c r="U157" i="2" s="1"/>
  <c r="AI58" i="2"/>
  <c r="AB58" i="2"/>
  <c r="AH59" i="2"/>
  <c r="AH60" i="2"/>
  <c r="AH158" i="2" s="1"/>
  <c r="L138" i="2"/>
  <c r="Z60" i="2"/>
  <c r="Z157" i="2" s="1"/>
  <c r="O58" i="2"/>
  <c r="Z59" i="2"/>
  <c r="V58" i="2"/>
  <c r="V59" i="2" s="1"/>
  <c r="W138" i="2"/>
  <c r="W158" i="2"/>
  <c r="AD138" i="2"/>
  <c r="AD58" i="2"/>
  <c r="AD59" i="2" s="1"/>
  <c r="W155" i="2"/>
  <c r="Y138" i="2"/>
  <c r="Y58" i="2"/>
  <c r="Y59" i="2" s="1"/>
  <c r="Q60" i="2"/>
  <c r="Q157" i="2" s="1"/>
  <c r="Q59" i="2"/>
  <c r="AG58" i="2"/>
  <c r="AG60" i="2" s="1"/>
  <c r="AG155" i="2" s="1"/>
  <c r="AM18" i="2"/>
  <c r="L60" i="2"/>
  <c r="L154" i="2" s="1"/>
  <c r="Q138" i="2"/>
  <c r="Z18" i="2"/>
  <c r="S18" i="2"/>
  <c r="AB18" i="2"/>
  <c r="T138" i="2"/>
  <c r="T58" i="2"/>
  <c r="R138" i="2"/>
  <c r="R58" i="2"/>
  <c r="AM138" i="2"/>
  <c r="AM58" i="2"/>
  <c r="AK58" i="2"/>
  <c r="AK59" i="2" s="1"/>
  <c r="AK138" i="2"/>
  <c r="O18" i="2"/>
  <c r="AN18" i="2"/>
  <c r="AN139" i="2" s="1"/>
  <c r="AE138" i="2"/>
  <c r="AE58" i="2"/>
  <c r="AA58" i="2"/>
  <c r="AA59" i="2" s="1"/>
  <c r="AA138" i="2"/>
  <c r="X138" i="2"/>
  <c r="X58" i="2"/>
  <c r="AF138" i="2"/>
  <c r="AF58" i="2"/>
  <c r="AF59" i="2" s="1"/>
  <c r="AJ138" i="2"/>
  <c r="AJ58" i="2"/>
  <c r="S60" i="2"/>
  <c r="S155" i="2" s="1"/>
  <c r="AK18" i="2"/>
  <c r="AF18" i="2"/>
  <c r="AC18" i="2"/>
  <c r="W18" i="2"/>
  <c r="W139" i="2" s="1"/>
  <c r="N138" i="2"/>
  <c r="N58" i="2"/>
  <c r="AN60" i="2"/>
  <c r="AN154" i="2" s="1"/>
  <c r="AL58" i="2"/>
  <c r="AL60" i="2" s="1"/>
  <c r="AL155" i="2" s="1"/>
  <c r="AL138" i="2"/>
  <c r="AC138" i="2"/>
  <c r="AC58" i="2"/>
  <c r="K18" i="2"/>
  <c r="R18" i="2"/>
  <c r="AI18" i="2"/>
  <c r="W154" i="2"/>
  <c r="X18" i="2"/>
  <c r="AJ18" i="2"/>
  <c r="AE18" i="2"/>
  <c r="U18" i="2"/>
  <c r="AA18" i="2"/>
  <c r="T18" i="2"/>
  <c r="AD18" i="2"/>
  <c r="AH18" i="2"/>
  <c r="L18" i="2"/>
  <c r="L139" i="2" s="1"/>
  <c r="Y18" i="2"/>
  <c r="V18" i="2"/>
  <c r="M18" i="2"/>
  <c r="Q18" i="2"/>
  <c r="N18" i="2"/>
  <c r="P18" i="2"/>
  <c r="AL18" i="2"/>
  <c r="AG18" i="2"/>
  <c r="I45" i="2"/>
  <c r="AN151" i="2"/>
  <c r="AN156" i="2"/>
  <c r="H10" i="2"/>
  <c r="E10" i="6" s="1"/>
  <c r="D32" i="3" s="1"/>
  <c r="H142" i="2"/>
  <c r="H143" i="2"/>
  <c r="H146" i="2"/>
  <c r="H152" i="2"/>
  <c r="H141" i="2"/>
  <c r="H145" i="2"/>
  <c r="H150" i="2"/>
  <c r="H147" i="2"/>
  <c r="H140" i="2"/>
  <c r="H144" i="2"/>
  <c r="H149" i="2"/>
  <c r="H77" i="2"/>
  <c r="E77" i="6" s="1"/>
  <c r="D54" i="3" s="1"/>
  <c r="H78" i="2"/>
  <c r="E78" i="6" s="1"/>
  <c r="I33" i="2"/>
  <c r="M139" i="2" l="1"/>
  <c r="S139" i="2"/>
  <c r="M60" i="2"/>
  <c r="M154" i="2" s="1"/>
  <c r="P139" i="2"/>
  <c r="P60" i="2"/>
  <c r="P154" i="2" s="1"/>
  <c r="U158" i="2"/>
  <c r="Z139" i="2"/>
  <c r="U154" i="2"/>
  <c r="U59" i="2"/>
  <c r="U139" i="2" s="1"/>
  <c r="Z154" i="2"/>
  <c r="Z155" i="2"/>
  <c r="V60" i="2"/>
  <c r="V157" i="2" s="1"/>
  <c r="AH157" i="2"/>
  <c r="Q139" i="2"/>
  <c r="AH139" i="2"/>
  <c r="Z158" i="2"/>
  <c r="AH154" i="2"/>
  <c r="AH155" i="2"/>
  <c r="L158" i="2"/>
  <c r="AI60" i="2"/>
  <c r="AI59" i="2"/>
  <c r="AI139" i="2" s="1"/>
  <c r="U155" i="2"/>
  <c r="AA139" i="2"/>
  <c r="AB59" i="2"/>
  <c r="AB139" i="2" s="1"/>
  <c r="AB60" i="2"/>
  <c r="AG154" i="2"/>
  <c r="AG59" i="2"/>
  <c r="AG139" i="2" s="1"/>
  <c r="O60" i="2"/>
  <c r="O59" i="2"/>
  <c r="O139" i="2" s="1"/>
  <c r="V139" i="2"/>
  <c r="AD139" i="2"/>
  <c r="AG158" i="2"/>
  <c r="L155" i="2"/>
  <c r="AG157" i="2"/>
  <c r="Q158" i="2"/>
  <c r="AL59" i="2"/>
  <c r="AL139" i="2" s="1"/>
  <c r="L157" i="2"/>
  <c r="AD60" i="2"/>
  <c r="Y139" i="2"/>
  <c r="AF139" i="2"/>
  <c r="AK139" i="2"/>
  <c r="Y60" i="2"/>
  <c r="AA60" i="2"/>
  <c r="AA155" i="2" s="1"/>
  <c r="Q155" i="2"/>
  <c r="Q154" i="2"/>
  <c r="M157" i="2"/>
  <c r="M158" i="2"/>
  <c r="AC59" i="2"/>
  <c r="AC139" i="2" s="1"/>
  <c r="AC60" i="2"/>
  <c r="M155" i="2"/>
  <c r="R60" i="2"/>
  <c r="R59" i="2"/>
  <c r="R139" i="2" s="1"/>
  <c r="AN155" i="2"/>
  <c r="AN157" i="2"/>
  <c r="AN158" i="2"/>
  <c r="S158" i="2"/>
  <c r="S157" i="2"/>
  <c r="AJ59" i="2"/>
  <c r="AJ139" i="2" s="1"/>
  <c r="AJ60" i="2"/>
  <c r="S154" i="2"/>
  <c r="T60" i="2"/>
  <c r="T59" i="2"/>
  <c r="T139" i="2" s="1"/>
  <c r="AL158" i="2"/>
  <c r="AL157" i="2"/>
  <c r="N59" i="2"/>
  <c r="N139" i="2" s="1"/>
  <c r="N60" i="2"/>
  <c r="AK60" i="2"/>
  <c r="J58" i="4"/>
  <c r="I58" i="4" s="1"/>
  <c r="J59" i="4"/>
  <c r="I59" i="4" s="1"/>
  <c r="J57" i="4"/>
  <c r="J56" i="4"/>
  <c r="J55" i="4"/>
  <c r="I55" i="4" s="1"/>
  <c r="X59" i="2"/>
  <c r="X139" i="2" s="1"/>
  <c r="X60" i="2"/>
  <c r="AE60" i="2"/>
  <c r="AE59" i="2"/>
  <c r="AE139" i="2" s="1"/>
  <c r="AM60" i="2"/>
  <c r="AM59" i="2"/>
  <c r="AM139" i="2" s="1"/>
  <c r="AL154" i="2"/>
  <c r="AF60" i="2"/>
  <c r="I61" i="2"/>
  <c r="P158" i="2" l="1"/>
  <c r="V158" i="2"/>
  <c r="P155" i="2"/>
  <c r="V154" i="2"/>
  <c r="P157" i="2"/>
  <c r="I57" i="4"/>
  <c r="H38" i="11"/>
  <c r="I56" i="4"/>
  <c r="H27" i="11"/>
  <c r="V155" i="2"/>
  <c r="L60" i="4"/>
  <c r="K31" i="2" s="1"/>
  <c r="K36" i="2" s="1"/>
  <c r="K58" i="2" s="1"/>
  <c r="K59" i="2" s="1"/>
  <c r="K139" i="2" s="1"/>
  <c r="AI157" i="2"/>
  <c r="AI158" i="2"/>
  <c r="AI155" i="2"/>
  <c r="AI154" i="2"/>
  <c r="AB154" i="2"/>
  <c r="AB155" i="2"/>
  <c r="AB157" i="2"/>
  <c r="AB158" i="2"/>
  <c r="O158" i="2"/>
  <c r="O157" i="2"/>
  <c r="O154" i="2"/>
  <c r="O155" i="2"/>
  <c r="AA158" i="2"/>
  <c r="AA154" i="2"/>
  <c r="AA157" i="2"/>
  <c r="AD155" i="2"/>
  <c r="AD158" i="2"/>
  <c r="AD157" i="2"/>
  <c r="AD154" i="2"/>
  <c r="Y155" i="2"/>
  <c r="Y157" i="2"/>
  <c r="Y154" i="2"/>
  <c r="Y158" i="2"/>
  <c r="X157" i="2"/>
  <c r="X158" i="2"/>
  <c r="X154" i="2"/>
  <c r="X155" i="2"/>
  <c r="AK157" i="2"/>
  <c r="AK158" i="2"/>
  <c r="AK155" i="2"/>
  <c r="AK154" i="2"/>
  <c r="T158" i="2"/>
  <c r="T157" i="2"/>
  <c r="T155" i="2"/>
  <c r="T154" i="2"/>
  <c r="AC157" i="2"/>
  <c r="AC158" i="2"/>
  <c r="AC155" i="2"/>
  <c r="AC154" i="2"/>
  <c r="AF158" i="2"/>
  <c r="AF157" i="2"/>
  <c r="AF155" i="2"/>
  <c r="AF154" i="2"/>
  <c r="R157" i="2"/>
  <c r="R158" i="2"/>
  <c r="R154" i="2"/>
  <c r="R155" i="2"/>
  <c r="N158" i="2"/>
  <c r="N157" i="2"/>
  <c r="N155" i="2"/>
  <c r="N154" i="2"/>
  <c r="AE158" i="2"/>
  <c r="AE157" i="2"/>
  <c r="AE154" i="2"/>
  <c r="AE155" i="2"/>
  <c r="AM158" i="2"/>
  <c r="AM157" i="2"/>
  <c r="AM154" i="2"/>
  <c r="AM155" i="2"/>
  <c r="AJ158" i="2"/>
  <c r="AJ157" i="2"/>
  <c r="AJ155" i="2"/>
  <c r="AJ154" i="2"/>
  <c r="J60" i="4"/>
  <c r="I60" i="4" s="1"/>
  <c r="I56" i="2"/>
  <c r="I39" i="2"/>
  <c r="I52" i="2"/>
  <c r="K138" i="2" l="1"/>
  <c r="H32" i="11"/>
  <c r="G27" i="11"/>
  <c r="G38" i="11"/>
  <c r="H39" i="11"/>
  <c r="G39" i="11" s="1"/>
  <c r="K60" i="2"/>
  <c r="K155" i="2" s="1"/>
  <c r="I31" i="2"/>
  <c r="H56" i="2"/>
  <c r="E56" i="6" s="1"/>
  <c r="D48" i="3" s="1"/>
  <c r="H39" i="2"/>
  <c r="I54" i="2"/>
  <c r="I55" i="2" s="1"/>
  <c r="I42" i="2"/>
  <c r="I43" i="2" s="1"/>
  <c r="H33" i="2"/>
  <c r="I53" i="2"/>
  <c r="H53" i="2" s="1"/>
  <c r="E53" i="6" s="1"/>
  <c r="H52" i="2"/>
  <c r="E52" i="6" s="1"/>
  <c r="I40" i="2"/>
  <c r="J77" i="4" s="1"/>
  <c r="I77" i="4" s="1"/>
  <c r="H54" i="11" l="1"/>
  <c r="G54" i="11" s="1"/>
  <c r="G32" i="11"/>
  <c r="J76" i="4"/>
  <c r="I76" i="4" s="1"/>
  <c r="J75" i="4"/>
  <c r="I75" i="4" s="1"/>
  <c r="K154" i="2"/>
  <c r="J81" i="4"/>
  <c r="J73" i="4"/>
  <c r="I73" i="4" s="1"/>
  <c r="J79" i="4"/>
  <c r="K158" i="2"/>
  <c r="K157" i="2"/>
  <c r="J80" i="4"/>
  <c r="I80" i="4" s="1"/>
  <c r="J72" i="4"/>
  <c r="J78" i="4"/>
  <c r="I78" i="4" s="1"/>
  <c r="J74" i="4"/>
  <c r="I74" i="4" s="1"/>
  <c r="L151" i="2"/>
  <c r="L156" i="2"/>
  <c r="AK156" i="2"/>
  <c r="AK151" i="2"/>
  <c r="R156" i="2"/>
  <c r="R151" i="2"/>
  <c r="AB151" i="2"/>
  <c r="AB156" i="2"/>
  <c r="AJ151" i="2"/>
  <c r="AJ156" i="2"/>
  <c r="AL151" i="2"/>
  <c r="AL156" i="2"/>
  <c r="AD151" i="2"/>
  <c r="AD156" i="2"/>
  <c r="S156" i="2"/>
  <c r="S151" i="2"/>
  <c r="V151" i="2"/>
  <c r="V156" i="2"/>
  <c r="AM151" i="2"/>
  <c r="AM156" i="2"/>
  <c r="H45" i="2"/>
  <c r="H42" i="2"/>
  <c r="E42" i="6" s="1"/>
  <c r="D45" i="3" s="1"/>
  <c r="H55" i="2"/>
  <c r="E55" i="6" s="1"/>
  <c r="E150" i="6"/>
  <c r="H54" i="2"/>
  <c r="E54" i="6" s="1"/>
  <c r="H40" i="2"/>
  <c r="E40" i="6" s="1"/>
  <c r="H61" i="2"/>
  <c r="E61" i="6" s="1"/>
  <c r="H56" i="11" l="1"/>
  <c r="G56" i="11" s="1"/>
  <c r="I81" i="4"/>
  <c r="H73" i="11"/>
  <c r="H55" i="11"/>
  <c r="G55" i="11" s="1"/>
  <c r="I79" i="4"/>
  <c r="H58" i="11"/>
  <c r="G58" i="11" s="1"/>
  <c r="H51" i="11"/>
  <c r="G51" i="11" s="1"/>
  <c r="I72" i="4"/>
  <c r="I62" i="2"/>
  <c r="J82" i="4"/>
  <c r="I82" i="4" s="1"/>
  <c r="AG156" i="2"/>
  <c r="AG151" i="2"/>
  <c r="N151" i="2"/>
  <c r="N156" i="2"/>
  <c r="M151" i="2"/>
  <c r="M156" i="2"/>
  <c r="Y156" i="2"/>
  <c r="Y151" i="2"/>
  <c r="Q151" i="2"/>
  <c r="Q156" i="2"/>
  <c r="AC151" i="2"/>
  <c r="AC156" i="2"/>
  <c r="P156" i="2"/>
  <c r="P151" i="2"/>
  <c r="T156" i="2"/>
  <c r="T151" i="2"/>
  <c r="W156" i="2"/>
  <c r="W151" i="2"/>
  <c r="AE151" i="2"/>
  <c r="AE156" i="2"/>
  <c r="AI151" i="2"/>
  <c r="AI156" i="2"/>
  <c r="K151" i="2"/>
  <c r="K156" i="2"/>
  <c r="U151" i="2"/>
  <c r="U156" i="2"/>
  <c r="AF156" i="2"/>
  <c r="AF151" i="2"/>
  <c r="AA156" i="2"/>
  <c r="AA151" i="2"/>
  <c r="G73" i="11" l="1"/>
  <c r="H75" i="11"/>
  <c r="G75" i="11" s="1"/>
  <c r="O151" i="2"/>
  <c r="O156" i="2"/>
  <c r="Z151" i="2"/>
  <c r="Z156" i="2"/>
  <c r="AH151" i="2"/>
  <c r="AH156" i="2"/>
  <c r="X156" i="2"/>
  <c r="X151" i="2"/>
  <c r="H128" i="2"/>
  <c r="E130" i="6" s="1"/>
  <c r="I119" i="2"/>
  <c r="H119" i="2" s="1"/>
  <c r="E121" i="6" s="1"/>
  <c r="H114" i="2"/>
  <c r="E116" i="6" s="1"/>
  <c r="F106" i="2"/>
  <c r="I96" i="2"/>
  <c r="H96" i="2" s="1"/>
  <c r="F96" i="2"/>
  <c r="H91" i="2"/>
  <c r="E93" i="6" s="1"/>
  <c r="I79" i="2"/>
  <c r="H79" i="2" s="1"/>
  <c r="F49" i="2"/>
  <c r="H27" i="2"/>
  <c r="F7" i="2"/>
  <c r="I137" i="2"/>
  <c r="H137" i="2" s="1"/>
  <c r="E131" i="6" l="1"/>
  <c r="D40" i="3" s="1"/>
  <c r="H134" i="2"/>
  <c r="E136" i="6" s="1"/>
  <c r="I148" i="2"/>
  <c r="H148" i="2" s="1"/>
  <c r="H43" i="2" l="1"/>
  <c r="E43" i="6" s="1"/>
  <c r="E158" i="6" l="1"/>
  <c r="E153" i="6"/>
  <c r="I156" i="2"/>
  <c r="H156" i="2" s="1"/>
  <c r="H62" i="2"/>
  <c r="E62" i="6" s="1"/>
  <c r="D43" i="3" s="1"/>
  <c r="I151" i="2"/>
  <c r="H151" i="2" l="1"/>
  <c r="H31" i="2"/>
  <c r="E140" i="6" l="1"/>
  <c r="I36" i="2"/>
  <c r="I58" i="2" l="1"/>
  <c r="I60" i="2" s="1"/>
  <c r="I138" i="2"/>
  <c r="H138" i="2" s="1"/>
  <c r="H36" i="2"/>
  <c r="E36" i="6" s="1"/>
  <c r="I158" i="2" l="1"/>
  <c r="H158" i="2" s="1"/>
  <c r="I157" i="2"/>
  <c r="H157" i="2" s="1"/>
  <c r="H58" i="2"/>
  <c r="E58" i="6" s="1"/>
  <c r="I59" i="2"/>
  <c r="E141" i="6"/>
  <c r="E157" i="6"/>
  <c r="E160" i="6"/>
  <c r="E156" i="6"/>
  <c r="E159" i="6"/>
  <c r="H60" i="2"/>
  <c r="E60" i="6" s="1"/>
  <c r="D13" i="3" s="1"/>
  <c r="D15" i="3" s="1"/>
  <c r="D16" i="3" s="1"/>
  <c r="I13" i="2"/>
  <c r="H13" i="2" l="1"/>
  <c r="E13" i="6" s="1"/>
  <c r="I15" i="2"/>
  <c r="I17" i="2" s="1"/>
  <c r="H59" i="2"/>
  <c r="E59" i="6" s="1"/>
  <c r="E14" i="6"/>
  <c r="H15" i="2"/>
  <c r="E79" i="6" l="1"/>
  <c r="E15" i="6"/>
  <c r="D31" i="3" s="1"/>
  <c r="I16" i="2"/>
  <c r="I18" i="2" s="1"/>
  <c r="H18" i="2" l="1"/>
  <c r="I139" i="2"/>
  <c r="I154" i="2"/>
  <c r="H154" i="2" s="1"/>
  <c r="H16" i="2"/>
  <c r="E16" i="6" s="1"/>
  <c r="I155" i="2"/>
  <c r="H155" i="2" s="1"/>
  <c r="H17" i="2"/>
  <c r="E17" i="6" s="1"/>
  <c r="H139" i="2" l="1"/>
  <c r="E18" i="6"/>
  <c r="D27" i="3" l="1"/>
  <c r="E134" i="6"/>
  <c r="G11" i="11"/>
  <c r="H12" i="11"/>
  <c r="G12" i="11"/>
  <c r="G13" i="11"/>
  <c r="G9" i="11"/>
  <c r="H13" i="11"/>
  <c r="H14" i="11"/>
  <c r="G14" i="11"/>
  <c r="H10" i="11"/>
  <c r="H9" i="11"/>
  <c r="H11" i="11"/>
</calcChain>
</file>

<file path=xl/comments1.xml><?xml version="1.0" encoding="utf-8"?>
<comments xmlns="http://schemas.openxmlformats.org/spreadsheetml/2006/main">
  <authors>
    <author>tc={0237FE64-0980-4211-AAC5-9654FFCC83AA}</author>
    <author>tc={19CB7363-B200-4273-A2AF-5306BEA555D6}</author>
  </authors>
  <commentList>
    <comment ref="H39" authorId="0"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Recovery factor based on the feed composition</t>
        </r>
      </text>
    </comment>
    <comment ref="H73" authorId="1"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CAPP value is 22291.777567397</t>
        </r>
      </text>
    </comment>
  </commentList>
</comments>
</file>

<file path=xl/comments2.xml><?xml version="1.0" encoding="utf-8"?>
<comments xmlns="http://schemas.openxmlformats.org/spreadsheetml/2006/main">
  <authors>
    <author>tc={4DBE2F1D-41C5-469A-9BF9-8A9EA8492509}</author>
    <author>tc={6F2B94F3-F421-4FCD-80E2-4F4113C0459C}</author>
  </authors>
  <commentList>
    <comment ref="I43" authorId="0"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Recovery factor based on the feed composition</t>
        </r>
      </text>
    </comment>
    <comment ref="I77" authorId="1"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CAPP value is 22291.777567397</t>
        </r>
      </text>
    </comment>
  </commentList>
</comments>
</file>

<file path=xl/sharedStrings.xml><?xml version="1.0" encoding="utf-8"?>
<sst xmlns="http://schemas.openxmlformats.org/spreadsheetml/2006/main" count="3109" uniqueCount="979">
  <si>
    <t>Tag</t>
  </si>
  <si>
    <t>UOM</t>
  </si>
  <si>
    <t>HMB</t>
  </si>
  <si>
    <t>Parameter</t>
  </si>
  <si>
    <t>Plant load</t>
  </si>
  <si>
    <t>%</t>
  </si>
  <si>
    <t>Operation Hours</t>
  </si>
  <si>
    <t>Hrs</t>
  </si>
  <si>
    <t>Sales gas from battery limit</t>
  </si>
  <si>
    <t>T/Day</t>
  </si>
  <si>
    <t>Sales gas to feed</t>
  </si>
  <si>
    <t>Feed to Mix point</t>
  </si>
  <si>
    <t>Sales gas to fuel</t>
  </si>
  <si>
    <r>
      <t>N</t>
    </r>
    <r>
      <rPr>
        <vertAlign val="subscript"/>
        <sz val="11"/>
        <color theme="1"/>
        <rFont val="Aptos Narrow"/>
        <family val="2"/>
        <scheme val="minor"/>
      </rPr>
      <t>2</t>
    </r>
    <r>
      <rPr>
        <sz val="11"/>
        <color theme="1"/>
        <rFont val="Aptos Narrow"/>
        <family val="2"/>
        <scheme val="minor"/>
      </rPr>
      <t xml:space="preserve"> </t>
    </r>
  </si>
  <si>
    <t>C1</t>
  </si>
  <si>
    <r>
      <t>CO</t>
    </r>
    <r>
      <rPr>
        <vertAlign val="subscript"/>
        <sz val="11"/>
        <color theme="1"/>
        <rFont val="Aptos Narrow"/>
        <family val="2"/>
        <scheme val="minor"/>
      </rPr>
      <t>2</t>
    </r>
    <r>
      <rPr>
        <sz val="11"/>
        <color theme="1"/>
        <rFont val="Aptos Narrow"/>
        <family val="2"/>
        <scheme val="minor"/>
      </rPr>
      <t xml:space="preserve"> </t>
    </r>
  </si>
  <si>
    <t>C2</t>
  </si>
  <si>
    <t>C3</t>
  </si>
  <si>
    <t>iC4</t>
  </si>
  <si>
    <t>nC4</t>
  </si>
  <si>
    <t>C5</t>
  </si>
  <si>
    <r>
      <t>H</t>
    </r>
    <r>
      <rPr>
        <vertAlign val="subscript"/>
        <sz val="11"/>
        <color theme="1"/>
        <rFont val="Aptos Narrow"/>
        <family val="2"/>
        <scheme val="minor"/>
      </rPr>
      <t>2</t>
    </r>
    <r>
      <rPr>
        <sz val="11"/>
        <color theme="1"/>
        <rFont val="Aptos Narrow"/>
        <family val="2"/>
        <scheme val="minor"/>
      </rPr>
      <t xml:space="preserve"> </t>
    </r>
  </si>
  <si>
    <t>HHV</t>
  </si>
  <si>
    <t>btu/scf</t>
  </si>
  <si>
    <t>btu/nm3</t>
  </si>
  <si>
    <t>T/Tmole</t>
  </si>
  <si>
    <t>LHV</t>
  </si>
  <si>
    <t>Heating value from ARAMCO Metering HHV</t>
  </si>
  <si>
    <t>SELECTED HHV</t>
  </si>
  <si>
    <t>Sales gas Feed Enegy rate</t>
  </si>
  <si>
    <t>MMBTU/Day</t>
  </si>
  <si>
    <t>Sales gas Fuel Enegy rate</t>
  </si>
  <si>
    <t>Fresh Gas from sulfinol absorber</t>
  </si>
  <si>
    <t>Fresh gas to fuel header</t>
  </si>
  <si>
    <t xml:space="preserve"> Fresh gas to reformer fuel </t>
  </si>
  <si>
    <t>PSA inlet flow</t>
  </si>
  <si>
    <t>SIPCHEM Import Hydrogen</t>
  </si>
  <si>
    <t>170-FIA-220.PV</t>
  </si>
  <si>
    <t>170-FI-101.PV</t>
  </si>
  <si>
    <t>Net SIPCHEM Import</t>
  </si>
  <si>
    <r>
      <t>HMU H</t>
    </r>
    <r>
      <rPr>
        <vertAlign val="subscript"/>
        <sz val="11"/>
        <color theme="1"/>
        <rFont val="Aptos Narrow"/>
        <family val="2"/>
        <scheme val="minor"/>
      </rPr>
      <t>2</t>
    </r>
    <r>
      <rPr>
        <sz val="11"/>
        <color theme="1"/>
        <rFont val="Aptos Narrow"/>
        <family val="2"/>
        <scheme val="minor"/>
      </rPr>
      <t xml:space="preserve"> outlet</t>
    </r>
  </si>
  <si>
    <t>bar g</t>
  </si>
  <si>
    <r>
      <rPr>
        <vertAlign val="superscript"/>
        <sz val="11"/>
        <color theme="1"/>
        <rFont val="Aptos Narrow"/>
        <family val="2"/>
        <scheme val="minor"/>
      </rPr>
      <t>0</t>
    </r>
    <r>
      <rPr>
        <sz val="11"/>
        <color theme="1"/>
        <rFont val="Aptos Narrow"/>
        <family val="2"/>
        <scheme val="minor"/>
      </rPr>
      <t>C</t>
    </r>
  </si>
  <si>
    <t>30-FR-026.COR</t>
  </si>
  <si>
    <t xml:space="preserve">PSA outlet </t>
  </si>
  <si>
    <t>Nm3/hr</t>
  </si>
  <si>
    <t>barg</t>
  </si>
  <si>
    <t>PSA Bypass flow</t>
  </si>
  <si>
    <t>Tail gas flow</t>
  </si>
  <si>
    <r>
      <t>CCR H</t>
    </r>
    <r>
      <rPr>
        <vertAlign val="subscript"/>
        <sz val="11"/>
        <color theme="1"/>
        <rFont val="Aptos Narrow"/>
        <family val="2"/>
        <scheme val="minor"/>
      </rPr>
      <t xml:space="preserve">2 </t>
    </r>
    <r>
      <rPr>
        <sz val="11"/>
        <color theme="1"/>
        <rFont val="Aptos Narrow"/>
        <family val="2"/>
        <scheme val="minor"/>
      </rPr>
      <t xml:space="preserve"> Flow </t>
    </r>
  </si>
  <si>
    <t>CCRNHm</t>
  </si>
  <si>
    <t>GRHm</t>
  </si>
  <si>
    <t>HCU Hydrogen MBU feed</t>
  </si>
  <si>
    <t>Nm3/h</t>
  </si>
  <si>
    <t>Total feed to MBU</t>
  </si>
  <si>
    <t>Residue gas flow from MBU</t>
  </si>
  <si>
    <t>Average Residue gas flow from MBU</t>
  </si>
  <si>
    <t>Residue gas Pressure</t>
  </si>
  <si>
    <t>MBU Feed Pressure</t>
  </si>
  <si>
    <t>MBURGm</t>
  </si>
  <si>
    <t>MBURGHm</t>
  </si>
  <si>
    <t>MBU Fresh gas flow (MBUPm)</t>
  </si>
  <si>
    <t>MBUPHm</t>
  </si>
  <si>
    <t>FuelConm</t>
  </si>
  <si>
    <t>Recycle Hydrogen</t>
  </si>
  <si>
    <r>
      <t>H</t>
    </r>
    <r>
      <rPr>
        <vertAlign val="subscript"/>
        <sz val="11"/>
        <color theme="1"/>
        <rFont val="Aptos Narrow"/>
        <family val="2"/>
        <scheme val="minor"/>
      </rPr>
      <t>2</t>
    </r>
    <r>
      <rPr>
        <sz val="11"/>
        <color theme="1"/>
        <rFont val="Aptos Narrow"/>
        <family val="2"/>
        <scheme val="minor"/>
      </rPr>
      <t xml:space="preserve"> Wt% in recyle hydrogen </t>
    </r>
  </si>
  <si>
    <t xml:space="preserve">Pure H2 Product </t>
  </si>
  <si>
    <t>PSA Recovery</t>
  </si>
  <si>
    <t>CCR + Tail gas
CCR + HMU</t>
  </si>
  <si>
    <t>Import Hydrogen from ALAR</t>
  </si>
  <si>
    <r>
      <t>N</t>
    </r>
    <r>
      <rPr>
        <vertAlign val="subscript"/>
        <sz val="11"/>
        <color theme="1"/>
        <rFont val="Aptos Narrow"/>
        <family val="2"/>
        <scheme val="minor"/>
      </rPr>
      <t xml:space="preserve">2 </t>
    </r>
  </si>
  <si>
    <t>CO</t>
  </si>
  <si>
    <t>SMR Inlet Temperature</t>
  </si>
  <si>
    <t>60TR027.PV</t>
  </si>
  <si>
    <t>SMR Outlet Temperature</t>
  </si>
  <si>
    <t>60TR028.PV</t>
  </si>
  <si>
    <t>Combustion Air Flow</t>
  </si>
  <si>
    <t>HTS Inlet Temperature</t>
  </si>
  <si>
    <r>
      <t>CH</t>
    </r>
    <r>
      <rPr>
        <vertAlign val="subscript"/>
        <sz val="11"/>
        <color theme="1"/>
        <rFont val="Aptos Narrow"/>
        <family val="2"/>
        <scheme val="minor"/>
      </rPr>
      <t>4</t>
    </r>
  </si>
  <si>
    <t>Methanator Inlet Temperature</t>
  </si>
  <si>
    <t>ppmv</t>
  </si>
  <si>
    <t>Methanator Outlet Temperature</t>
  </si>
  <si>
    <t>Methanator outlet M.wt</t>
  </si>
  <si>
    <t>Tail gas temperature</t>
  </si>
  <si>
    <t>Tail gas pressure</t>
  </si>
  <si>
    <t>Tail gas  M.WT</t>
  </si>
  <si>
    <r>
      <t>N</t>
    </r>
    <r>
      <rPr>
        <vertAlign val="subscript"/>
        <sz val="11"/>
        <color theme="1"/>
        <rFont val="Aptos Narrow"/>
        <family val="2"/>
        <scheme val="minor"/>
      </rPr>
      <t>2</t>
    </r>
    <r>
      <rPr>
        <sz val="11"/>
        <color theme="1"/>
        <rFont val="Aptos Narrow"/>
        <family val="2"/>
        <scheme val="minor"/>
      </rPr>
      <t xml:space="preserve"> ANALYSER</t>
    </r>
  </si>
  <si>
    <t>CO ANALYSER</t>
  </si>
  <si>
    <r>
      <t>CH</t>
    </r>
    <r>
      <rPr>
        <vertAlign val="subscript"/>
        <sz val="11"/>
        <color theme="1"/>
        <rFont val="Aptos Narrow"/>
        <family val="2"/>
        <scheme val="minor"/>
      </rPr>
      <t xml:space="preserve">4 </t>
    </r>
    <r>
      <rPr>
        <sz val="11"/>
        <color theme="1"/>
        <rFont val="Aptos Narrow"/>
        <family val="2"/>
        <scheme val="minor"/>
      </rPr>
      <t>ANALYSER</t>
    </r>
  </si>
  <si>
    <r>
      <t>H</t>
    </r>
    <r>
      <rPr>
        <vertAlign val="subscript"/>
        <sz val="11"/>
        <color theme="1"/>
        <rFont val="Aptos Narrow"/>
        <family val="2"/>
        <scheme val="minor"/>
      </rPr>
      <t xml:space="preserve">2 </t>
    </r>
    <r>
      <rPr>
        <sz val="11"/>
        <color theme="1"/>
        <rFont val="Aptos Narrow"/>
        <family val="2"/>
        <scheme val="minor"/>
      </rPr>
      <t xml:space="preserve"> </t>
    </r>
  </si>
  <si>
    <t>HPSA Product MW</t>
  </si>
  <si>
    <t>Combined M.wt</t>
  </si>
  <si>
    <t xml:space="preserve">CCR gas analysis </t>
  </si>
  <si>
    <t>C4</t>
  </si>
  <si>
    <t>C6+</t>
  </si>
  <si>
    <t>CCR gas M.WT</t>
  </si>
  <si>
    <t>Combined MBU feed M.WT</t>
  </si>
  <si>
    <t>Fresh gas M.WT</t>
  </si>
  <si>
    <t>Fresh gas temperature</t>
  </si>
  <si>
    <t>Fresh gas pressure</t>
  </si>
  <si>
    <t xml:space="preserve">Residue gas analysis </t>
  </si>
  <si>
    <t>Residue gas temperature</t>
  </si>
  <si>
    <t>Residue gas pressure</t>
  </si>
  <si>
    <t>Residue gas M.WT</t>
  </si>
  <si>
    <r>
      <t>CO</t>
    </r>
    <r>
      <rPr>
        <vertAlign val="subscript"/>
        <sz val="11"/>
        <color theme="1"/>
        <rFont val="Aptos Narrow"/>
        <family val="2"/>
        <scheme val="minor"/>
      </rPr>
      <t>2</t>
    </r>
    <r>
      <rPr>
        <sz val="11"/>
        <color theme="1"/>
        <rFont val="Aptos Narrow"/>
        <family val="2"/>
        <scheme val="minor"/>
      </rPr>
      <t xml:space="preserve"> FLOW TO COMP K-6006</t>
    </r>
  </si>
  <si>
    <t>CO2 Export</t>
  </si>
  <si>
    <t>Outlet Pressure</t>
  </si>
  <si>
    <t>Barg</t>
  </si>
  <si>
    <t>Inlet Pressure</t>
  </si>
  <si>
    <t xml:space="preserve">Lean sulfinol analysis </t>
  </si>
  <si>
    <t>RFB</t>
  </si>
  <si>
    <t>TSS</t>
  </si>
  <si>
    <t>mg/l</t>
  </si>
  <si>
    <t>Water</t>
  </si>
  <si>
    <t>Oxazolidone</t>
  </si>
  <si>
    <t>ATB</t>
  </si>
  <si>
    <t>ATB-RFB</t>
  </si>
  <si>
    <t>HP steam export(NOS)</t>
  </si>
  <si>
    <t>Bar g</t>
  </si>
  <si>
    <t>NOSm</t>
  </si>
  <si>
    <t>MT</t>
  </si>
  <si>
    <t>HP steam to SMR</t>
  </si>
  <si>
    <t>Saturated HP steam from drum</t>
  </si>
  <si>
    <t>HP Steam - imports to Plant</t>
  </si>
  <si>
    <t>New Meter Required</t>
  </si>
  <si>
    <t>LPS to Condensate stripper</t>
  </si>
  <si>
    <t>LPS to fuel gas heater</t>
  </si>
  <si>
    <t>Total LP steam</t>
  </si>
  <si>
    <t>MP Steam</t>
  </si>
  <si>
    <t>BFW to Steam drum</t>
  </si>
  <si>
    <t>HBFW to attemperator J-6001</t>
  </si>
  <si>
    <t>HBFW to attemperator J-6002</t>
  </si>
  <si>
    <t>HBFW to attemperator J-6003</t>
  </si>
  <si>
    <t>Total BFW flow</t>
  </si>
  <si>
    <t>Stripper Condensate</t>
  </si>
  <si>
    <t>Secondary Cooling Water</t>
  </si>
  <si>
    <t>Cooling Water to Unit 6000</t>
  </si>
  <si>
    <t>Nitrogen</t>
  </si>
  <si>
    <t>Nitrogen to HMU</t>
  </si>
  <si>
    <t>Nitrogen to HPSA</t>
  </si>
  <si>
    <t>Nitrogen to MBU</t>
  </si>
  <si>
    <t>Total Nitorgen</t>
  </si>
  <si>
    <t>Potable Water to HPSA  CTower</t>
  </si>
  <si>
    <t>Instrument air</t>
  </si>
  <si>
    <t>Plant Air to HMU</t>
  </si>
  <si>
    <t>Plant air to HPSA</t>
  </si>
  <si>
    <t>Total plant air</t>
  </si>
  <si>
    <t>Electrical readings</t>
  </si>
  <si>
    <t>KM6001(NG Compessor)</t>
  </si>
  <si>
    <t>kW</t>
  </si>
  <si>
    <t>KM6002(FD blower)</t>
  </si>
  <si>
    <t>KM6003(ID blower)</t>
  </si>
  <si>
    <t>KM6006(CO2 compressor)</t>
  </si>
  <si>
    <t>PM6001A(Lean pump)</t>
  </si>
  <si>
    <t>PM6001B(Lean pump)</t>
  </si>
  <si>
    <t>KM6110(Tail gas compressor)</t>
  </si>
  <si>
    <t>Ancilliary electrical power</t>
  </si>
  <si>
    <t>AF Power (Excludes CO2 compressor)</t>
  </si>
  <si>
    <t>MW</t>
  </si>
  <si>
    <t>Event of Force Majeure</t>
  </si>
  <si>
    <t>YES/NO</t>
  </si>
  <si>
    <t>START UP/SHUTDOWN TIME WITHOUT PRODUCTION</t>
  </si>
  <si>
    <t>Hours</t>
  </si>
  <si>
    <t>NG CONSUMPTION</t>
  </si>
  <si>
    <t>MMBTU</t>
  </si>
  <si>
    <t>RFG CONSUMPTION</t>
  </si>
  <si>
    <t>POWER CONSUMPTION</t>
  </si>
  <si>
    <t>KPI's</t>
  </si>
  <si>
    <t>Section</t>
  </si>
  <si>
    <t>unit</t>
  </si>
  <si>
    <t>Target</t>
  </si>
  <si>
    <t>SMR</t>
  </si>
  <si>
    <t>HMU Load</t>
  </si>
  <si>
    <t>-</t>
  </si>
  <si>
    <r>
      <t>HMU Pure H</t>
    </r>
    <r>
      <rPr>
        <vertAlign val="subscript"/>
        <sz val="10"/>
        <color theme="1"/>
        <rFont val="Aptos Narrow"/>
        <family val="2"/>
        <scheme val="minor"/>
      </rPr>
      <t>2</t>
    </r>
    <r>
      <rPr>
        <sz val="10"/>
        <color theme="1"/>
        <rFont val="Aptos Narrow"/>
        <family val="2"/>
        <scheme val="minor"/>
      </rPr>
      <t xml:space="preserve"> (Methanation Out)</t>
    </r>
  </si>
  <si>
    <t>MT/D</t>
  </si>
  <si>
    <t>Sales Gas/HMU Pure Hydrogen Ratio</t>
  </si>
  <si>
    <t>MMBTU/MT</t>
  </si>
  <si>
    <t>Nitrogen in Sales Gas</t>
  </si>
  <si>
    <t>%mol</t>
  </si>
  <si>
    <t>&lt;6.5</t>
  </si>
  <si>
    <r>
      <t>CO</t>
    </r>
    <r>
      <rPr>
        <vertAlign val="subscript"/>
        <sz val="11"/>
        <color theme="1"/>
        <rFont val="Aptos Narrow"/>
        <family val="2"/>
        <scheme val="minor"/>
      </rPr>
      <t>2</t>
    </r>
    <r>
      <rPr>
        <sz val="11"/>
        <color theme="1"/>
        <rFont val="Aptos Narrow"/>
        <family val="2"/>
        <scheme val="minor"/>
      </rPr>
      <t xml:space="preserve"> in Sales Gas</t>
    </r>
  </si>
  <si>
    <t>%mol dry</t>
  </si>
  <si>
    <t>Rereformer</t>
  </si>
  <si>
    <t>Methane slip</t>
  </si>
  <si>
    <t>HTS&amp;LTS</t>
  </si>
  <si>
    <t>CO slip</t>
  </si>
  <si>
    <t>CO conversion</t>
  </si>
  <si>
    <t>Sulfinol</t>
  </si>
  <si>
    <r>
      <t>CO</t>
    </r>
    <r>
      <rPr>
        <vertAlign val="subscript"/>
        <sz val="11"/>
        <color theme="1"/>
        <rFont val="Aptos Narrow"/>
        <family val="2"/>
        <scheme val="minor"/>
      </rPr>
      <t>2</t>
    </r>
    <r>
      <rPr>
        <sz val="11"/>
        <color theme="1"/>
        <rFont val="Aptos Narrow"/>
        <family val="2"/>
        <scheme val="minor"/>
      </rPr>
      <t xml:space="preserve"> slip</t>
    </r>
  </si>
  <si>
    <t>Methanation</t>
  </si>
  <si>
    <r>
      <t>CO + CO</t>
    </r>
    <r>
      <rPr>
        <vertAlign val="subscript"/>
        <sz val="11"/>
        <color theme="1"/>
        <rFont val="Aptos Narrow"/>
        <family val="2"/>
        <scheme val="minor"/>
      </rPr>
      <t>2</t>
    </r>
    <r>
      <rPr>
        <sz val="11"/>
        <color theme="1"/>
        <rFont val="Aptos Narrow"/>
        <family val="2"/>
        <scheme val="minor"/>
      </rPr>
      <t xml:space="preserve"> Slip </t>
    </r>
  </si>
  <si>
    <t>HPSA</t>
  </si>
  <si>
    <r>
      <t>HPSA Product H</t>
    </r>
    <r>
      <rPr>
        <vertAlign val="subscript"/>
        <sz val="11"/>
        <color theme="1"/>
        <rFont val="Aptos Narrow"/>
        <family val="2"/>
        <scheme val="minor"/>
      </rPr>
      <t>2</t>
    </r>
    <r>
      <rPr>
        <sz val="11"/>
        <color theme="1"/>
        <rFont val="Aptos Narrow"/>
        <family val="2"/>
        <scheme val="minor"/>
      </rPr>
      <t xml:space="preserve"> Purity</t>
    </r>
  </si>
  <si>
    <r>
      <t>HPSA Product H</t>
    </r>
    <r>
      <rPr>
        <vertAlign val="subscript"/>
        <sz val="11"/>
        <color theme="1"/>
        <rFont val="Aptos Narrow"/>
        <family val="2"/>
        <scheme val="minor"/>
      </rPr>
      <t>2</t>
    </r>
    <r>
      <rPr>
        <sz val="11"/>
        <color theme="1"/>
        <rFont val="Aptos Narrow"/>
        <family val="2"/>
        <scheme val="minor"/>
      </rPr>
      <t xml:space="preserve"> Recovery</t>
    </r>
  </si>
  <si>
    <t>&gt;81</t>
  </si>
  <si>
    <r>
      <t>HPSA Product CO + CO</t>
    </r>
    <r>
      <rPr>
        <vertAlign val="subscript"/>
        <sz val="11"/>
        <color theme="1"/>
        <rFont val="Aptos Narrow"/>
        <family val="2"/>
        <scheme val="minor"/>
      </rPr>
      <t>2</t>
    </r>
  </si>
  <si>
    <t>&lt;10</t>
  </si>
  <si>
    <t>MBU</t>
  </si>
  <si>
    <r>
      <t>MBU Product H</t>
    </r>
    <r>
      <rPr>
        <vertAlign val="subscript"/>
        <sz val="11"/>
        <color theme="1"/>
        <rFont val="Aptos Narrow"/>
        <family val="2"/>
        <scheme val="minor"/>
      </rPr>
      <t>2</t>
    </r>
    <r>
      <rPr>
        <sz val="11"/>
        <color theme="1"/>
        <rFont val="Aptos Narrow"/>
        <family val="2"/>
        <scheme val="minor"/>
      </rPr>
      <t xml:space="preserve"> Purity</t>
    </r>
  </si>
  <si>
    <t>&gt;%mol</t>
  </si>
  <si>
    <t>MBU Product H2 Recovery</t>
  </si>
  <si>
    <t>TBC in Capacity Test</t>
  </si>
  <si>
    <t>MBU Product contaminants</t>
  </si>
  <si>
    <t>Contracted Efficiency Level</t>
  </si>
  <si>
    <t>Feedstock</t>
  </si>
  <si>
    <t>Sales Gas Feed (Natural Gas)</t>
  </si>
  <si>
    <r>
      <t>MMBTU/MT Pure H</t>
    </r>
    <r>
      <rPr>
        <b/>
        <vertAlign val="subscript"/>
        <sz val="10"/>
        <color theme="1"/>
        <rFont val="Aptos Narrow"/>
        <family val="2"/>
        <scheme val="minor"/>
      </rPr>
      <t>2</t>
    </r>
  </si>
  <si>
    <t>Fuel Gas (Natural Gas)</t>
  </si>
  <si>
    <t>MMBTU/MT Pure H2</t>
  </si>
  <si>
    <r>
      <t xml:space="preserve">Hydrogen 
Recovery </t>
    </r>
    <r>
      <rPr>
        <b/>
        <sz val="10"/>
        <rFont val="Aptos Narrow"/>
        <family val="2"/>
        <scheme val="minor"/>
      </rPr>
      <t>(MBU)</t>
    </r>
  </si>
  <si>
    <t>Utilities</t>
  </si>
  <si>
    <r>
      <t>Electricity Including K-6006 CO</t>
    </r>
    <r>
      <rPr>
        <b/>
        <vertAlign val="subscript"/>
        <sz val="10"/>
        <color theme="1"/>
        <rFont val="Aptos Narrow"/>
        <family val="2"/>
        <scheme val="minor"/>
      </rPr>
      <t xml:space="preserve">2 </t>
    </r>
    <r>
      <rPr>
        <b/>
        <sz val="10"/>
        <color theme="1"/>
        <rFont val="Aptos Narrow"/>
        <family val="2"/>
        <scheme val="minor"/>
      </rPr>
      <t xml:space="preserve">
Compressor</t>
    </r>
  </si>
  <si>
    <t>MWh/MT Pure H2</t>
  </si>
  <si>
    <t>Electricity exncluding K-6006</t>
  </si>
  <si>
    <r>
      <t>MWh/MT Pure H</t>
    </r>
    <r>
      <rPr>
        <b/>
        <vertAlign val="subscript"/>
        <sz val="10"/>
        <color theme="1"/>
        <rFont val="Aptos Narrow"/>
        <family val="2"/>
        <scheme val="minor"/>
      </rPr>
      <t>2</t>
    </r>
  </si>
  <si>
    <t xml:space="preserve">status </t>
  </si>
  <si>
    <t>UNIT-6000</t>
  </si>
  <si>
    <t>UNIT-6100</t>
  </si>
  <si>
    <t>UNIT-1700</t>
  </si>
  <si>
    <t>Metering</t>
  </si>
  <si>
    <t>IN SERVICE</t>
  </si>
  <si>
    <t>NORMAL</t>
  </si>
  <si>
    <t>Methanator outlet Analysis</t>
  </si>
  <si>
    <t>Tailgas Analysis</t>
  </si>
  <si>
    <t>PSA Product H2 combined PSA bypass to Unit-3000
(Calculated)</t>
  </si>
  <si>
    <t>Fresh gas analysis</t>
  </si>
  <si>
    <t>Moisture Concentration</t>
  </si>
  <si>
    <t>CO2 Concentration</t>
  </si>
  <si>
    <r>
      <rPr>
        <b/>
        <sz val="11"/>
        <color rgb="FFFF0000"/>
        <rFont val="Aptos Narrow"/>
        <family val="2"/>
        <scheme val="minor"/>
      </rPr>
      <t>Combined MBU feed CCR + Tail Gas + HMU</t>
    </r>
    <r>
      <rPr>
        <sz val="11"/>
        <color rgb="FFFF0000"/>
        <rFont val="Aptos Narrow"/>
        <family val="2"/>
        <scheme val="minor"/>
      </rPr>
      <t xml:space="preserve">
(Calculated)</t>
    </r>
  </si>
  <si>
    <t xml:space="preserve">HPSA Product H2 Analysis
</t>
  </si>
  <si>
    <r>
      <rPr>
        <b/>
        <sz val="11"/>
        <color rgb="FFFF0000"/>
        <rFont val="Aptos Narrow"/>
        <family val="2"/>
        <scheme val="minor"/>
      </rPr>
      <t>Methanator inlet Analysis</t>
    </r>
    <r>
      <rPr>
        <sz val="11"/>
        <color rgb="FFFF0000"/>
        <rFont val="Aptos Narrow"/>
        <family val="2"/>
        <scheme val="minor"/>
      </rPr>
      <t xml:space="preserve">
</t>
    </r>
  </si>
  <si>
    <r>
      <rPr>
        <b/>
        <sz val="11"/>
        <color rgb="FFFF0000"/>
        <rFont val="Aptos Narrow"/>
        <family val="2"/>
        <scheme val="minor"/>
      </rPr>
      <t>LTS Outlet Analysis</t>
    </r>
    <r>
      <rPr>
        <sz val="11"/>
        <color rgb="FFFF0000"/>
        <rFont val="Aptos Narrow"/>
        <family val="2"/>
        <scheme val="minor"/>
      </rPr>
      <t xml:space="preserve">
</t>
    </r>
  </si>
  <si>
    <r>
      <rPr>
        <b/>
        <sz val="11"/>
        <color rgb="FFFF0000"/>
        <rFont val="Aptos Narrow"/>
        <family val="2"/>
        <scheme val="minor"/>
      </rPr>
      <t>HTS Outlet Analysis</t>
    </r>
    <r>
      <rPr>
        <sz val="11"/>
        <color rgb="FFFF0000"/>
        <rFont val="Aptos Narrow"/>
        <family val="2"/>
        <scheme val="minor"/>
      </rPr>
      <t xml:space="preserve">
</t>
    </r>
  </si>
  <si>
    <r>
      <rPr>
        <b/>
        <sz val="11"/>
        <color rgb="FFFF0000"/>
        <rFont val="Aptos Narrow"/>
        <family val="2"/>
        <scheme val="minor"/>
      </rPr>
      <t>REFORMER Outlet Analysis</t>
    </r>
    <r>
      <rPr>
        <sz val="11"/>
        <color rgb="FFFF0000"/>
        <rFont val="Aptos Narrow"/>
        <family val="2"/>
        <scheme val="minor"/>
      </rPr>
      <t xml:space="preserve">
</t>
    </r>
  </si>
  <si>
    <t>BHIG/SASREF DAILY REPORT
Date DD/MM/YYYY</t>
  </si>
  <si>
    <r>
      <t>HMU H</t>
    </r>
    <r>
      <rPr>
        <vertAlign val="subscript"/>
        <sz val="11"/>
        <color theme="1"/>
        <rFont val="Aptos Narrow"/>
        <family val="2"/>
        <scheme val="minor"/>
      </rPr>
      <t>2</t>
    </r>
    <r>
      <rPr>
        <sz val="11"/>
        <color theme="1"/>
        <rFont val="Aptos Narrow"/>
        <family val="2"/>
        <scheme val="minor"/>
      </rPr>
      <t xml:space="preserve"> outlet Pressure</t>
    </r>
  </si>
  <si>
    <r>
      <t>HMU H</t>
    </r>
    <r>
      <rPr>
        <vertAlign val="subscript"/>
        <sz val="11"/>
        <color theme="1"/>
        <rFont val="Aptos Narrow"/>
        <family val="2"/>
        <scheme val="minor"/>
      </rPr>
      <t>2</t>
    </r>
    <r>
      <rPr>
        <sz val="11"/>
        <color theme="1"/>
        <rFont val="Aptos Narrow"/>
        <family val="2"/>
        <scheme val="minor"/>
      </rPr>
      <t xml:space="preserve"> outlet Temperature</t>
    </r>
  </si>
  <si>
    <t>CO2 Export Analysis</t>
  </si>
  <si>
    <t>MT/MT Pure H2</t>
  </si>
  <si>
    <t>Monthly Records</t>
  </si>
  <si>
    <t>SASREF - Saudi Aramco Jubail Refinery Company</t>
  </si>
  <si>
    <t>PRIMARY INDUSTRIAL PARK, JUBAIL, KINGDOM OF SAUDI ARABIA</t>
  </si>
  <si>
    <t>Formula ID</t>
  </si>
  <si>
    <t>"Contracted Capacity” means:</t>
  </si>
  <si>
    <t>Part 1 - 3.1.1, 3.1.2</t>
  </si>
  <si>
    <t>CCHm</t>
  </si>
  <si>
    <t>MT/Hr</t>
  </si>
  <si>
    <t>(a) for any given point in time until the completion of the Second 2024 Turnaround, 9.79 MT/hour</t>
  </si>
  <si>
    <t>(b) for any given point in time on and from the completion of the Second  2024 Turnaround and for the remainder of the Term, 10.33 MT/hour,</t>
  </si>
  <si>
    <t xml:space="preserve">      for the purposes of calculating each Capacity Payment, the Contracted Capacity shall at all times be 10.33 MT/hour.</t>
  </si>
  <si>
    <t>HYDROGEN</t>
  </si>
  <si>
    <t>Part 1 - 3.2</t>
  </si>
  <si>
    <t>NOHm</t>
  </si>
  <si>
    <t>Net Hydrogen Output delivered to Offtaker from (a) the HPSA (in MT) and (b) from HPSA Tail Gas processed through the MBU, (c) minus the Pure Hydrogen in the Recycle stream.</t>
  </si>
  <si>
    <t>Part 1 - 3.5.4</t>
  </si>
  <si>
    <t>XOHm</t>
  </si>
  <si>
    <t>Net Hydrogen Output (including any Excess Hydrogen) produced by the Plant, but not delivered to Offtaker</t>
  </si>
  <si>
    <t>TOHm</t>
  </si>
  <si>
    <t xml:space="preserve">Net Hydrogen Output (including any Excess Hydrogen) produced by the Plant </t>
  </si>
  <si>
    <t>Part 1 - 3.3.2</t>
  </si>
  <si>
    <t>Total Hydrogen produced by Investor</t>
  </si>
  <si>
    <t>STEAM</t>
  </si>
  <si>
    <t>Part 1 - 3.4.1</t>
  </si>
  <si>
    <t>Net HP Steam Output (in MT)</t>
  </si>
  <si>
    <t>FLARED GAS</t>
  </si>
  <si>
    <t>Part 1 - 3.8.2</t>
  </si>
  <si>
    <t>NM3</t>
  </si>
  <si>
    <t>Flaring of Process Gas converted to Nm3, less Normal sweep gas flow to keep the Plant flare piping safe</t>
  </si>
  <si>
    <t xml:space="preserve">FEEDSTOCK </t>
  </si>
  <si>
    <t>Part 1 - 3.3.1</t>
  </si>
  <si>
    <t>AF SalesGasm/Fn</t>
  </si>
  <si>
    <t>Calorific value of Sales gas (MMBTU) supplied to Investor by Offtaker in Billing Period m and utilised by Investor for production of hydrogen supplied to Offtaker in Billing Period m.</t>
  </si>
  <si>
    <t xml:space="preserve">= Sales gas flow to the HMU multiplied by the sales gas heating value. </t>
  </si>
  <si>
    <t>The flow rate of sales gas is measured by Investor’s sales gas flow meter into the HMU.</t>
  </si>
  <si>
    <t>Rate conversion factors</t>
  </si>
  <si>
    <t>The calorific value used for this calculation shall be based on the calorific value billed to Offtaker by Saudi Aramco for the Billing Period m</t>
  </si>
  <si>
    <t>HHV(BTU/NM3)</t>
  </si>
  <si>
    <t>Input</t>
  </si>
  <si>
    <t>SalesGas M.WT</t>
  </si>
  <si>
    <t>METERED UTILITIES</t>
  </si>
  <si>
    <t>Ton</t>
  </si>
  <si>
    <t>High Pressure Boiler Feed Water (HPBFW)</t>
  </si>
  <si>
    <t>HP Steam - Inflow to Plant</t>
  </si>
  <si>
    <t>POWER</t>
  </si>
  <si>
    <t>Em</t>
  </si>
  <si>
    <t>MWh</t>
  </si>
  <si>
    <t>Power (electricity) supplied to Investor by Offtaker in Billing Period m and calculated in accordance with the sum of the metered power consumption by Investor in the Billing Period m</t>
  </si>
  <si>
    <t>CCR NET GASES</t>
  </si>
  <si>
    <t>Part 1 - 3.5.3</t>
  </si>
  <si>
    <t>AHRFm</t>
  </si>
  <si>
    <t>CCR Net Gas H2 Actual Recovery Factor</t>
  </si>
  <si>
    <t>CCRNm</t>
  </si>
  <si>
    <t>CCR Net Gas flow (in MT over Billing Period m)</t>
  </si>
  <si>
    <t>CCRN_PHCm</t>
  </si>
  <si>
    <t>Weighted average of mass fraction of hydrogen in the CCR Net Gas stream averaged over the Billing Period m from analyser reading.</t>
  </si>
  <si>
    <t>REFINERY FUEL GAS</t>
  </si>
  <si>
    <t>Quantity of MBU Residue Gas attributed to the HPSA Tail gas fed to the MBU (in MT) taken by Offtaker during the Billing Period m,</t>
  </si>
  <si>
    <t xml:space="preserve">- Calculated as: </t>
  </si>
  <si>
    <t xml:space="preserve">(i) total MBU Residue Gas Flow (in MT over the Billing Period m) multiplied by </t>
  </si>
  <si>
    <t>(ii) the sum of 1 minus the product {CCR Net Gas Flow (in MT over the Billing Period m) divided by the MBU inlet flow (in MT over the Billing Period m)}</t>
  </si>
  <si>
    <t>as measured in MT at the Delivery Points for MBU Residue Gas, CCR Net Gas flow and MBU inlet flow during Billing Period m.</t>
  </si>
  <si>
    <t>calorific value of the MBU Residue Gas Stream</t>
  </si>
  <si>
    <t xml:space="preserve"> - needed for FuelPm calculation</t>
  </si>
  <si>
    <t>THIRD PARTY HYDROGEN</t>
  </si>
  <si>
    <t>Part 1 - 3.6</t>
  </si>
  <si>
    <t>TPSm-1</t>
  </si>
  <si>
    <t>Excess Hydrogen (in MT on a Pure Hydrogen basis) which Investor sold to Third Party Customers in Billing Period m-1</t>
  </si>
  <si>
    <t>PURCHASE, PROCUREMENT, OR SUPPLY OF HYDROGEN FROM OTHER SOURCES</t>
  </si>
  <si>
    <t>Clause 9.4</t>
  </si>
  <si>
    <t>Part 1 - 3.7</t>
  </si>
  <si>
    <t>No</t>
  </si>
  <si>
    <t xml:space="preserve">Did Investor purchase, procure, or receive supply of Hydrogen from other sources? </t>
  </si>
  <si>
    <t>Imported Hydrogen at election of Investor and not attributed to an Offtaker Risk Event</t>
  </si>
  <si>
    <t>Imported Hydrogen due to Offtaker Risk Event or per request of Offtaker</t>
  </si>
  <si>
    <t>CAPACITY TESTS</t>
  </si>
  <si>
    <t>Clause 5.10</t>
  </si>
  <si>
    <t>Actual Efficiency Level vs. Contracted Efficiency Level</t>
  </si>
  <si>
    <t>Was there a Capacity Test? Yes/No</t>
  </si>
  <si>
    <t xml:space="preserve"> - Adjustments due to capacity tests will depend if Investor or Offtaker requested, if yes, consult with Commercial and Operations</t>
  </si>
  <si>
    <t>FORCE MAJEURE EVENT</t>
  </si>
  <si>
    <t>Clause 18.4</t>
  </si>
  <si>
    <t>Payments during an Event of Force Majeure</t>
  </si>
  <si>
    <t>Was there an Event of Force Majeure?  Yes/No</t>
  </si>
  <si>
    <t xml:space="preserve"> - Adjustments due to a Force Majeure event will depend which party is affected, if yes, consult with Commercial and Operations </t>
  </si>
  <si>
    <t xml:space="preserve">Segment#3 H2 </t>
  </si>
  <si>
    <t>CH4</t>
  </si>
  <si>
    <t>BHIG/SASREF Analysis REPORT
Date DD/MM/YYYY</t>
  </si>
  <si>
    <t>Component</t>
  </si>
  <si>
    <t>Sales gas Analysis</t>
  </si>
  <si>
    <t>927QR111.PV</t>
  </si>
  <si>
    <t>927QR112.PV</t>
  </si>
  <si>
    <t>927QR113.PV</t>
  </si>
  <si>
    <t>927QR115.PV</t>
  </si>
  <si>
    <t>927QR114.PV</t>
  </si>
  <si>
    <t>927QR116.PV</t>
  </si>
  <si>
    <t>927QR117.PV</t>
  </si>
  <si>
    <t>927QR118.PV</t>
  </si>
  <si>
    <t>60QR111.PV</t>
  </si>
  <si>
    <t>61QIA011TX.PV</t>
  </si>
  <si>
    <t>61QIA012TX.PV</t>
  </si>
  <si>
    <t>61QIA013TX.PV</t>
  </si>
  <si>
    <t>61QIA010-H2CAL.CPV</t>
  </si>
  <si>
    <t>60FR005.RAW</t>
  </si>
  <si>
    <t>60FR001.RAW</t>
  </si>
  <si>
    <t>60FR009.PV</t>
  </si>
  <si>
    <t>60FR049.RAW</t>
  </si>
  <si>
    <t>60FR053.PV</t>
  </si>
  <si>
    <t>927QR119.PV</t>
  </si>
  <si>
    <t>60FR038.RAW</t>
  </si>
  <si>
    <t>60FR045.RAW</t>
  </si>
  <si>
    <t>60FR046.PV</t>
  </si>
  <si>
    <t>60FR050.PV</t>
  </si>
  <si>
    <t>61FICA008.PV</t>
  </si>
  <si>
    <t>170FIC121.PV</t>
  </si>
  <si>
    <t>30FR026.PV</t>
  </si>
  <si>
    <t>30PR026.PV</t>
  </si>
  <si>
    <t>30TI-316.PV</t>
  </si>
  <si>
    <t>30FR026 - HPSA - Sipchem</t>
  </si>
  <si>
    <t>60FR038 - FR45 - FR46 - 61FT008</t>
  </si>
  <si>
    <t>61FI902.PV</t>
  </si>
  <si>
    <t>61PICA005.PV</t>
  </si>
  <si>
    <t>61TIA006.PV</t>
  </si>
  <si>
    <t>61FIA001.PV</t>
  </si>
  <si>
    <t>170FI001.PV</t>
  </si>
  <si>
    <t>170FI133.PV</t>
  </si>
  <si>
    <t>170FICA174.PV</t>
  </si>
  <si>
    <t>170X124.PV</t>
  </si>
  <si>
    <t>170X125.PV</t>
  </si>
  <si>
    <t>170FIA175.PV</t>
  </si>
  <si>
    <t>170PEA329.PV</t>
  </si>
  <si>
    <t>170PEA469.PV</t>
  </si>
  <si>
    <t>60FR006.PV</t>
  </si>
  <si>
    <t>170STR2CMAS.PV</t>
  </si>
  <si>
    <t>60FR054.PV</t>
  </si>
  <si>
    <t>60TR035.PV</t>
  </si>
  <si>
    <t>60TR036.PV</t>
  </si>
  <si>
    <t>60TR038.PV</t>
  </si>
  <si>
    <t>60TR040.PV</t>
  </si>
  <si>
    <t>60TR048.PV</t>
  </si>
  <si>
    <t>60TI-261.PV</t>
  </si>
  <si>
    <t>61TIA045.PV</t>
  </si>
  <si>
    <t>61PICA065.PV</t>
  </si>
  <si>
    <t>170TIA440.PV</t>
  </si>
  <si>
    <t>170PICA403.PV</t>
  </si>
  <si>
    <t>170TIA431.PV</t>
  </si>
  <si>
    <t>170PIC329.PV</t>
  </si>
  <si>
    <t>60FI422.PV</t>
  </si>
  <si>
    <t>60FIA448.PV</t>
  </si>
  <si>
    <t>60FIA451.PV</t>
  </si>
  <si>
    <t>60PIC479.PV</t>
  </si>
  <si>
    <t>60FR020.PV</t>
  </si>
  <si>
    <t>60PR024.PV</t>
  </si>
  <si>
    <t>60TR025.PV</t>
  </si>
  <si>
    <t>60FR011.PV</t>
  </si>
  <si>
    <t>60FR022.PV</t>
  </si>
  <si>
    <t>60FR075.PV</t>
  </si>
  <si>
    <t>60FR051.PV</t>
  </si>
  <si>
    <t>60FR021.PV</t>
  </si>
  <si>
    <t>60FR017.PV</t>
  </si>
  <si>
    <t>60FR018.PV</t>
  </si>
  <si>
    <t>60FR019.PV</t>
  </si>
  <si>
    <t>60FR074.PV</t>
  </si>
  <si>
    <t>61FIA005.PV</t>
  </si>
  <si>
    <t xml:space="preserve"> </t>
  </si>
  <si>
    <t>MBU Recovery (AHRFm)</t>
  </si>
  <si>
    <t>CCR Flow (CCRNm)</t>
  </si>
  <si>
    <t>Total power (Em)</t>
  </si>
  <si>
    <t>btu/SCF</t>
  </si>
  <si>
    <t>60TR059.MV</t>
  </si>
  <si>
    <t>HBFW to J6004 Valve opening</t>
  </si>
  <si>
    <t>HBFW to J6005 Valve opening</t>
  </si>
  <si>
    <t>60TR018.MV</t>
  </si>
  <si>
    <t>HBFW to J6004 flow</t>
  </si>
  <si>
    <t>HBFW to J6005 flow</t>
  </si>
  <si>
    <t>60-H-046.MV</t>
  </si>
  <si>
    <t>Fresh gas to flare (Flare Payment) XOH</t>
  </si>
  <si>
    <t>Total Sales gas Enegy rate (AF SalesGas)</t>
  </si>
  <si>
    <t>Pure H2 Product without residue gas (NOH)</t>
  </si>
  <si>
    <t>HHV calorific value of the MBU Residue Gas Stream</t>
  </si>
  <si>
    <t>To</t>
  </si>
  <si>
    <t>Tags</t>
  </si>
  <si>
    <t>60H-046.MV</t>
  </si>
  <si>
    <t xml:space="preserve">DCS  Data </t>
  </si>
  <si>
    <t xml:space="preserve">From </t>
  </si>
  <si>
    <t>Descritpion</t>
  </si>
  <si>
    <t>Units</t>
  </si>
  <si>
    <t>170FI101.PV</t>
  </si>
  <si>
    <t>170FIA220.PV</t>
  </si>
  <si>
    <t>HMU H2 outlet</t>
  </si>
  <si>
    <t>HMU H2 outlet Pressure</t>
  </si>
  <si>
    <t>HMU H2 outlet Temperature</t>
  </si>
  <si>
    <t>0C</t>
  </si>
  <si>
    <t>CO2 FLOW TO COMP K-6006</t>
  </si>
  <si>
    <t xml:space="preserve">Reference </t>
  </si>
  <si>
    <t>900FRS005.PV</t>
  </si>
  <si>
    <t>HP steam distribution</t>
  </si>
  <si>
    <t xml:space="preserve">N2 </t>
  </si>
  <si>
    <t xml:space="preserve">CO2 </t>
  </si>
  <si>
    <t>HP Steam - imports to Plant VLV OP%</t>
  </si>
  <si>
    <t>Steam to BLK 2B</t>
  </si>
  <si>
    <t>Electricity excluding K-6006</t>
  </si>
  <si>
    <t>Sales Gas Average M.Wt</t>
  </si>
  <si>
    <t/>
  </si>
  <si>
    <t xml:space="preserve">Tons </t>
  </si>
  <si>
    <t>SHORT FALL EVENT</t>
  </si>
  <si>
    <t>SL.No</t>
  </si>
  <si>
    <t>DATE</t>
  </si>
  <si>
    <t>START TIME</t>
  </si>
  <si>
    <t>END TIME</t>
  </si>
  <si>
    <t xml:space="preserve">DURATION </t>
  </si>
  <si>
    <t>REASON</t>
  </si>
  <si>
    <r>
      <t>H</t>
    </r>
    <r>
      <rPr>
        <b/>
        <vertAlign val="subscript"/>
        <sz val="11"/>
        <color theme="1"/>
        <rFont val="Aptos Narrow"/>
        <family val="2"/>
        <scheme val="minor"/>
      </rPr>
      <t>2</t>
    </r>
    <r>
      <rPr>
        <b/>
        <sz val="11"/>
        <color theme="1"/>
        <rFont val="Aptos Narrow"/>
        <family val="2"/>
        <scheme val="minor"/>
      </rPr>
      <t xml:space="preserve"> Nomination (Demand)</t>
    </r>
  </si>
  <si>
    <t>SHORTFALL QUANTITY</t>
  </si>
  <si>
    <t>Shortfall deduction factor</t>
  </si>
  <si>
    <t>%Deviation</t>
  </si>
  <si>
    <t>REASON FOR SHORTFALL</t>
  </si>
  <si>
    <t>Shortfall quantity deduction factor chart</t>
  </si>
  <si>
    <t>(Minutes)</t>
  </si>
  <si>
    <t>(Hours)</t>
  </si>
  <si>
    <t>(Tonnes)</t>
  </si>
  <si>
    <t>Production quantity not met</t>
  </si>
  <si>
    <t xml:space="preserve">BHIG-SASREF SHORTFALL &amp; EVENT MONTHLY REPORT
</t>
  </si>
  <si>
    <r>
      <t xml:space="preserve">    H</t>
    </r>
    <r>
      <rPr>
        <b/>
        <vertAlign val="subscript"/>
        <sz val="11"/>
        <color theme="1"/>
        <rFont val="Aptos Narrow"/>
        <family val="2"/>
        <scheme val="minor"/>
      </rPr>
      <t xml:space="preserve">2 </t>
    </r>
    <r>
      <rPr>
        <b/>
        <sz val="11"/>
        <color theme="1"/>
        <rFont val="Aptos Narrow"/>
        <family val="2"/>
        <scheme val="minor"/>
      </rPr>
      <t>Actual flow</t>
    </r>
  </si>
  <si>
    <t>Pressure is below minimum delivery pressure XX barg</t>
  </si>
  <si>
    <t>60FQI001</t>
  </si>
  <si>
    <t>60FQI005</t>
  </si>
  <si>
    <t>60FQI009</t>
  </si>
  <si>
    <t>60FQI049</t>
  </si>
  <si>
    <t>60FQI053</t>
  </si>
  <si>
    <t>927QR119</t>
  </si>
  <si>
    <t>60FQI038</t>
  </si>
  <si>
    <t>60FQI045</t>
  </si>
  <si>
    <t>60FQI046</t>
  </si>
  <si>
    <t>60FQI050</t>
  </si>
  <si>
    <t>61FQI008</t>
  </si>
  <si>
    <t>170FQQI220</t>
  </si>
  <si>
    <t>170FQI101</t>
  </si>
  <si>
    <t>30FQI026</t>
  </si>
  <si>
    <t>30PR026AI</t>
  </si>
  <si>
    <t>30TI-316</t>
  </si>
  <si>
    <t>61FQI902</t>
  </si>
  <si>
    <t>61TIA006</t>
  </si>
  <si>
    <t>61PICA005-AI</t>
  </si>
  <si>
    <t>61FQI001</t>
  </si>
  <si>
    <t>170FQI001</t>
  </si>
  <si>
    <t>170FQI133</t>
  </si>
  <si>
    <t>170FQI174</t>
  </si>
  <si>
    <t>170X124</t>
  </si>
  <si>
    <t>170X125</t>
  </si>
  <si>
    <t>170FQI175</t>
  </si>
  <si>
    <t>170PEA329</t>
  </si>
  <si>
    <t>170PEA469</t>
  </si>
  <si>
    <t>60FQI006</t>
  </si>
  <si>
    <t>170FQISTR2CMAS</t>
  </si>
  <si>
    <t>60TR027</t>
  </si>
  <si>
    <t>60TR028-AI</t>
  </si>
  <si>
    <t>60FQI054</t>
  </si>
  <si>
    <t>60TR035AI</t>
  </si>
  <si>
    <t>60TR036</t>
  </si>
  <si>
    <t>60TR038-AI</t>
  </si>
  <si>
    <t>60TR040</t>
  </si>
  <si>
    <t>60TR048-AI</t>
  </si>
  <si>
    <t>60TI-261</t>
  </si>
  <si>
    <t>61TIA045</t>
  </si>
  <si>
    <t>61PICA065-AI</t>
  </si>
  <si>
    <t>170TIA440</t>
  </si>
  <si>
    <t>170PICA403-AI</t>
  </si>
  <si>
    <t>170TIA431</t>
  </si>
  <si>
    <t>170PIC329</t>
  </si>
  <si>
    <t>60FQI422</t>
  </si>
  <si>
    <t>60FQQI448</t>
  </si>
  <si>
    <t>60FQQI451</t>
  </si>
  <si>
    <t>60PIC479-AI</t>
  </si>
  <si>
    <t>60FQI020</t>
  </si>
  <si>
    <t>60PR024-AI</t>
  </si>
  <si>
    <t>60TR025-AI</t>
  </si>
  <si>
    <t>60FQI011</t>
  </si>
  <si>
    <t>60FQI022</t>
  </si>
  <si>
    <t>60FQI075</t>
  </si>
  <si>
    <t>60FQI051</t>
  </si>
  <si>
    <t>60FQI021</t>
  </si>
  <si>
    <t>60FQI017</t>
  </si>
  <si>
    <t>60FQI018</t>
  </si>
  <si>
    <t>60FQI019</t>
  </si>
  <si>
    <t>60FQI074</t>
  </si>
  <si>
    <t>61FQI005</t>
  </si>
  <si>
    <t>170FQI121</t>
  </si>
  <si>
    <t xml:space="preserve"> Previous Tag</t>
  </si>
  <si>
    <t xml:space="preserve"> Current Tag</t>
  </si>
  <si>
    <t xml:space="preserve"> PreviousTag</t>
  </si>
  <si>
    <t>Updated Tag</t>
  </si>
  <si>
    <t>927QR111</t>
  </si>
  <si>
    <t>927QR112</t>
  </si>
  <si>
    <t>927QR113</t>
  </si>
  <si>
    <t>927QR114</t>
  </si>
  <si>
    <t>927QR115</t>
  </si>
  <si>
    <t>927QR116</t>
  </si>
  <si>
    <t>927QR117</t>
  </si>
  <si>
    <t>927QR118</t>
  </si>
  <si>
    <t>60QR111</t>
  </si>
  <si>
    <t>61QIA011TX</t>
  </si>
  <si>
    <t>61QIA012TX</t>
  </si>
  <si>
    <t>61QIA013TX</t>
  </si>
  <si>
    <t>61QIA010AI</t>
  </si>
  <si>
    <t>avg_hhv</t>
  </si>
  <si>
    <t>avg_hmu_h2_outlet_pressure</t>
  </si>
  <si>
    <t>avg_hmu_h2_outlet_temprature</t>
  </si>
  <si>
    <t>avg_psa_outlet</t>
  </si>
  <si>
    <t>avg_total_feed_to_mbu</t>
  </si>
  <si>
    <t>avg_residue_gas_flow_from_mbu</t>
  </si>
  <si>
    <t>avg_average_residue_gas_flow_from_mbu</t>
  </si>
  <si>
    <t>avg_residue_gas_pressure</t>
  </si>
  <si>
    <t>avg_mbu_feed_pressure</t>
  </si>
  <si>
    <t>avg_smr_inlet_temperature</t>
  </si>
  <si>
    <t>avg_smr_outlet_temperature</t>
  </si>
  <si>
    <t>avg_hts_inlet_temperature</t>
  </si>
  <si>
    <t>avg_methanator_inlet_temperature</t>
  </si>
  <si>
    <t>avg_methanator_outlet_temperature</t>
  </si>
  <si>
    <t>avg_tail_gas_temperature</t>
  </si>
  <si>
    <t>avg_tail_gas_pressure</t>
  </si>
  <si>
    <t>avg_fresh_gas_temperature</t>
  </si>
  <si>
    <t>avg_fresh_gas_pressure</t>
  </si>
  <si>
    <t>avg_residue_gas_temperature</t>
  </si>
  <si>
    <t>avg_outlet_pressure</t>
  </si>
  <si>
    <t>avg_hp_steam_imports_to_plant_vlv_op</t>
  </si>
  <si>
    <t>avg_steam_to_blk_2b</t>
  </si>
  <si>
    <t>avg_hbfw_to_j6005_valve_opening</t>
  </si>
  <si>
    <t>avg_hbfw_to_j6004_valve_opening</t>
  </si>
  <si>
    <t>avg_sales_gas_analysis_n2</t>
  </si>
  <si>
    <t>avg_sales_gas_analysis_c1</t>
  </si>
  <si>
    <t>avg_sales_gas_analysis_co2</t>
  </si>
  <si>
    <t>avg_sales_gas_analysis_c2</t>
  </si>
  <si>
    <t>avg_sales_gas_analysis_c3</t>
  </si>
  <si>
    <t>avg_sales_gas_analysis_ic4</t>
  </si>
  <si>
    <t>avg_sales_gas_analysis_nc4</t>
  </si>
  <si>
    <t>avg_sales_gas_analysis_c5</t>
  </si>
  <si>
    <t>avg_reformer_outlet_analysis_ch4</t>
  </si>
  <si>
    <t>avg_n2_analyzer</t>
  </si>
  <si>
    <t>avg_co_analyzer</t>
  </si>
  <si>
    <t>avg_ch4_analyzer</t>
  </si>
  <si>
    <t>avg_h2_analyzer</t>
  </si>
  <si>
    <t>avg_170x125</t>
  </si>
  <si>
    <t>avg_60tr036</t>
  </si>
  <si>
    <t>avg_60tr040</t>
  </si>
  <si>
    <t>avg_60tr038_ai</t>
  </si>
  <si>
    <t>calc_PSA_Outlet_T_Day</t>
  </si>
  <si>
    <t>analysis_residue_h2</t>
  </si>
  <si>
    <t>Combined_mbu_ccr_hmu_Mwt</t>
  </si>
  <si>
    <t>analysis_combined_mbu_ccr_hmu_h2</t>
  </si>
  <si>
    <t>calc_psa_bypass_flow_t_day</t>
  </si>
  <si>
    <t>calc_ccrnhm_t_day</t>
  </si>
  <si>
    <t>calc_grhm_t_day</t>
  </si>
  <si>
    <t>calc_mburgm_t_day</t>
  </si>
  <si>
    <t>calc_mburghm_t_day</t>
  </si>
  <si>
    <t>calc_mbuphm_t_day</t>
  </si>
  <si>
    <t>calc_fuelconm_t_day</t>
  </si>
  <si>
    <t>calc_PSA_Bypass_T_Day</t>
  </si>
  <si>
    <t>calc_psa_recovery</t>
  </si>
  <si>
    <t>calc_pure_h2_product_t_day</t>
  </si>
  <si>
    <t>calc_h2_wt_recycle_hydrogen_per</t>
  </si>
  <si>
    <t>calc_mbu_recovery_ahrfm</t>
  </si>
  <si>
    <t>analysis_combined_mbu_ccr_hmu_n2</t>
  </si>
  <si>
    <t>Tail_gas_Mwt</t>
  </si>
  <si>
    <t>Methanator_outlet_Mwt</t>
  </si>
  <si>
    <t>calc_hhv_calorific_value_mbu_residue_gas_stream</t>
  </si>
  <si>
    <t>calc_ttl_lp_steam</t>
  </si>
  <si>
    <t>calc_ttl_bfw_flow</t>
  </si>
  <si>
    <t>calc_hbfw_to_j6005_flow</t>
  </si>
  <si>
    <t>calc_hbfw_to_j6004_flow</t>
  </si>
  <si>
    <t>calc_ttl_nitrogen</t>
  </si>
  <si>
    <t>calc_ttl_plant_air</t>
  </si>
  <si>
    <t>calc_HHV_927QR119</t>
  </si>
  <si>
    <t>calc_Heating_Value_Metering_HHV</t>
  </si>
  <si>
    <t>calc_Sales_gas_Feed_Energy_Rate_MMBTU_Day</t>
  </si>
  <si>
    <t>calc_Sales_gas_Fuel_Energy_Rate_MMBTU_Day</t>
  </si>
  <si>
    <t>calc_Total_Sales_gas_Energy_rate</t>
  </si>
  <si>
    <t>calc_Net_SIPCHEM_Import_T_Day</t>
  </si>
  <si>
    <t>calc_HMU_H2_outlet_T_Day</t>
  </si>
  <si>
    <t>calc_tail_gas_flow_nm3_hr</t>
  </si>
  <si>
    <t>calc_ccr_h2_flow_nm3_hr</t>
  </si>
  <si>
    <t>calc_hcu_hydrogen_mbu_feed_nm3_hr</t>
  </si>
  <si>
    <t>calc_mbu_fresh_gas_t_day</t>
  </si>
  <si>
    <t>calc_lhv</t>
  </si>
  <si>
    <t>Sales_Gas_Average_MWt</t>
  </si>
  <si>
    <t>HPSA_Product_Mwt</t>
  </si>
  <si>
    <t>analysis_psa_h2_combined_h2</t>
  </si>
  <si>
    <t>analysis_psa_h2_combined_n2</t>
  </si>
  <si>
    <t>analysis_psa_h2_combined_co</t>
  </si>
  <si>
    <t>analysis_psa_h2_combined_co2</t>
  </si>
  <si>
    <t>analysis_psa_h2_combined_ch4</t>
  </si>
  <si>
    <t>PSA_Combined_Mwt</t>
  </si>
  <si>
    <t>CCR_gas_Mwt</t>
  </si>
  <si>
    <t>Residue_gas_Mwt</t>
  </si>
  <si>
    <t>Fresh_gas_Mwt</t>
  </si>
  <si>
    <t>analysis_combined_mbu_ccr_hmu_co</t>
  </si>
  <si>
    <t>analysis_combined_mbu_ccr_hmu_co2</t>
  </si>
  <si>
    <t>analysis_combined_mbu_ccr_hmu_c1</t>
  </si>
  <si>
    <t>analysis_combined_mbu_ccr_hmu_c2</t>
  </si>
  <si>
    <t>analysis_combined_mbu_ccr_hmu_c3</t>
  </si>
  <si>
    <t>analysis_combined_mbu_ccr_hmu_c4</t>
  </si>
  <si>
    <t>analysis_combined_mbu_ccr_hmu_c5</t>
  </si>
  <si>
    <t>analysis_combined_mbu_ccr_hmu_c6</t>
  </si>
  <si>
    <t>calc_pure_h2_product_without_residue_t_day</t>
  </si>
  <si>
    <t>new_manual_secondry_cooling_warer</t>
  </si>
  <si>
    <t>new_manual_cooling_water_unit_6000</t>
  </si>
  <si>
    <t>new_manual_Nitrogen</t>
  </si>
  <si>
    <t>new_manual_nitrogen_to_HMU</t>
  </si>
  <si>
    <t>new_manual_nitrogen_to_HPSA</t>
  </si>
  <si>
    <t>new_manual_Nitrogen_to_MBU</t>
  </si>
  <si>
    <t>new_manual_Instrument_air</t>
  </si>
  <si>
    <t>new_manual_KM6001</t>
  </si>
  <si>
    <t>new_manual_KM6002</t>
  </si>
  <si>
    <t>new_manual_KM6003</t>
  </si>
  <si>
    <t>new_manual_KM6006</t>
  </si>
  <si>
    <t>new_manual_KM6001A</t>
  </si>
  <si>
    <t>new_manual_KM6001B</t>
  </si>
  <si>
    <t>new_manual_KM6110</t>
  </si>
  <si>
    <t>new_manual_Anciliary_ele_power</t>
  </si>
  <si>
    <t>monthly_</t>
  </si>
  <si>
    <t>avg_61TIA006</t>
  </si>
  <si>
    <t>avg_61PICA005_AI</t>
  </si>
  <si>
    <t>monthly_60FQI001</t>
  </si>
  <si>
    <t>monthly_60FQI005</t>
  </si>
  <si>
    <t>monthly_60FQI009</t>
  </si>
  <si>
    <t>monthly_60FQI049</t>
  </si>
  <si>
    <t>monthly_60FQI053</t>
  </si>
  <si>
    <t>monthly_avg_hhv</t>
  </si>
  <si>
    <t>monthly_calc_HHV_927QR119</t>
  </si>
  <si>
    <t>monthly_calc_Heating_Value_Metering_HHV</t>
  </si>
  <si>
    <t>monthly_calc_Sales_gas_Feed_Energy_Rate_MMBTU_Day</t>
  </si>
  <si>
    <t>monthly_calc_Sales_gas_Fuel_Energy_Rate_MMBTU_Day</t>
  </si>
  <si>
    <t>monthly_calc_Total_Sales_gas_Energy_rate</t>
  </si>
  <si>
    <t>monthly_60FQI038</t>
  </si>
  <si>
    <t>monthly_60FQI045</t>
  </si>
  <si>
    <t>monthly_60FQI046</t>
  </si>
  <si>
    <t>monthly_60FQI050</t>
  </si>
  <si>
    <t>monthly_61FQI008</t>
  </si>
  <si>
    <t>monthly_170FQQI220</t>
  </si>
  <si>
    <t>monthly_170FQI101</t>
  </si>
  <si>
    <t>monthly_170FQI121</t>
  </si>
  <si>
    <t>monthly_calc_Net_SIPCHEM_Import_T_Day</t>
  </si>
  <si>
    <t>monthly_30FQI026</t>
  </si>
  <si>
    <t>monthly_avg_hmu_h2_outlet_pressure</t>
  </si>
  <si>
    <t>monthly_avg_hmu_h2_outlet_temprature</t>
  </si>
  <si>
    <t>monthly_calc_HMU_H2_outlet_T_Day</t>
  </si>
  <si>
    <t>monthly_61FQI902</t>
  </si>
  <si>
    <t>monthly_calc_PSA_Outlet_T_Day</t>
  </si>
  <si>
    <t>monthly_avg_61TIA006</t>
  </si>
  <si>
    <t>monthly_avg_61PICA005_AI</t>
  </si>
  <si>
    <t>monthly_calc_psa_bypass_flow_t_day</t>
  </si>
  <si>
    <t>monthly_calc_PSA_Bypass_T_Day</t>
  </si>
  <si>
    <t>monthly_61FQI001</t>
  </si>
  <si>
    <t>monthly_calc_tail_gas_flow_nm3_hr</t>
  </si>
  <si>
    <t>monthly_calc_ccr_h2_flow_nm3_hr</t>
  </si>
  <si>
    <t>monthly_170FQI001</t>
  </si>
  <si>
    <t>monthly_calc_ccrnhm_t_day</t>
  </si>
  <si>
    <t>monthly_calc_grhm_t_day</t>
  </si>
  <si>
    <t>monthly_170FQI133</t>
  </si>
  <si>
    <t>monthly_calc_hcu_hydrogen_mbu_feed_nm3_hr</t>
  </si>
  <si>
    <t>monthly_170FQI174</t>
  </si>
  <si>
    <t>monthly_170X124</t>
  </si>
  <si>
    <t>monthly_170X125</t>
  </si>
  <si>
    <t>monthly_170FQI175</t>
  </si>
  <si>
    <t>monthly_avg_residue_gas_pressure</t>
  </si>
  <si>
    <t>monthly_avg_mbu_feed_pressure</t>
  </si>
  <si>
    <t>monthly_calc_mburgm_t_day</t>
  </si>
  <si>
    <t>monthly_calc_mburghm_t_day</t>
  </si>
  <si>
    <t>monthly_calc_mbu_fresh_gas_t_day</t>
  </si>
  <si>
    <t>monthly_calc_mbuphm_t_day</t>
  </si>
  <si>
    <t>monthly_calc_fuelconm_t_day</t>
  </si>
  <si>
    <t>monthly_60FQI006</t>
  </si>
  <si>
    <t>monthly_calc_h2_wt_recycle_hydrogen_per</t>
  </si>
  <si>
    <t>monthly_calc_pure_h2_product_t_day</t>
  </si>
  <si>
    <t>monthly_calc_pure_h2_product_without_residue_t_day</t>
  </si>
  <si>
    <t>monthly_calc_psa_recovery</t>
  </si>
  <si>
    <t>monthly_calc_mbu_recovery_ahrfm</t>
  </si>
  <si>
    <t>monthly_170FQISTR2CMAS</t>
  </si>
  <si>
    <t>monthly_avg_smr_inlet_temperature</t>
  </si>
  <si>
    <t>monthly_avg_smr_outlet_temperature</t>
  </si>
  <si>
    <t>monthly_60FQI054</t>
  </si>
  <si>
    <t>monthly_avg_hts_inlet_temperature</t>
  </si>
  <si>
    <t>monthly_avg_60tr036</t>
  </si>
  <si>
    <t>monthly_avg_60tr038_ai</t>
  </si>
  <si>
    <t>monthly_avg_60tr040</t>
  </si>
  <si>
    <t>monthly_avg_methanator_inlet_temperature</t>
  </si>
  <si>
    <t>monthly_avg_methanator_outlet_temperature</t>
  </si>
  <si>
    <t>monthly_avg_tail_gas_temperature</t>
  </si>
  <si>
    <t>monthly_avg_tail_gas_pressure</t>
  </si>
  <si>
    <t>monthly_avg_fresh_gas_temperature</t>
  </si>
  <si>
    <t>monthly_avg_fresh_gas_pressure</t>
  </si>
  <si>
    <t>monthly_calc_hhv_calorific_value_mbu_residue_gas_stream</t>
  </si>
  <si>
    <t>monthly_calc_lhv</t>
  </si>
  <si>
    <t>monthly_avg_residue_gas_temperature</t>
  </si>
  <si>
    <t>monthly_60FQI422</t>
  </si>
  <si>
    <t>monthly_60FQQI448</t>
  </si>
  <si>
    <t>monthly_60FQQI451</t>
  </si>
  <si>
    <t>monthly_avg_outlet_pressure</t>
  </si>
  <si>
    <t>monthly_60FQI020</t>
  </si>
  <si>
    <t>monthly_60PR024-AI</t>
  </si>
  <si>
    <t>monthly_60TR025-AI</t>
  </si>
  <si>
    <t>monthly_60FQI011</t>
  </si>
  <si>
    <t>monthly_60FQI022</t>
  </si>
  <si>
    <t>monthly_avg_hp_steam_imports_to_plant_vlv_op</t>
  </si>
  <si>
    <t>monthly_avg_steam_to_blk_2b</t>
  </si>
  <si>
    <t>monthly_60FQI075</t>
  </si>
  <si>
    <t>monthly_60FQI051</t>
  </si>
  <si>
    <t>monthly_calc_ttl_lp_steam</t>
  </si>
  <si>
    <t>monthly_60FQI021</t>
  </si>
  <si>
    <t>monthly_60FQI017</t>
  </si>
  <si>
    <t>monthly_60FQI018</t>
  </si>
  <si>
    <t>monthly_60FQI019</t>
  </si>
  <si>
    <t>monthly_avg_hbfw_to_j6005_valve_opening</t>
  </si>
  <si>
    <t>monthly_calc_hbfw_to_j6005_flow</t>
  </si>
  <si>
    <t>monthly_avg_hbfw_to_j6004_valve_opening</t>
  </si>
  <si>
    <t>monthly_calc_hbfw_to_j6004_flow</t>
  </si>
  <si>
    <t>monthly_calc_ttl_bfw_flow</t>
  </si>
  <si>
    <t>monthly_60FQI074</t>
  </si>
  <si>
    <t>monthly_new_manual_secondry_cooling_warer</t>
  </si>
  <si>
    <t>monthly_new_manual_cooling_water_unit_6000</t>
  </si>
  <si>
    <t>monthly_new_manual_Nitrogen</t>
  </si>
  <si>
    <t>monthly_new_manual_nitrogen_to_HMU</t>
  </si>
  <si>
    <t>monthly_new_manual_nitrogen_to_HPSA</t>
  </si>
  <si>
    <t>monthly_new_manual_Nitrogen_to_MBU</t>
  </si>
  <si>
    <t>monthly_calc_ttl_nitrogen</t>
  </si>
  <si>
    <t>monthly_61FQI005</t>
  </si>
  <si>
    <t>monthly_new_manual_Instrument_air</t>
  </si>
  <si>
    <t>monthly_manual_plant_air_to_HMU</t>
  </si>
  <si>
    <t>monthly_manual_plant_air_to_HSPA</t>
  </si>
  <si>
    <t>monthly_calc_ttl_plant_air</t>
  </si>
  <si>
    <t>monthly_new_manual_KM6001</t>
  </si>
  <si>
    <t>monthly_new_manual_KM6002</t>
  </si>
  <si>
    <t>monthly_new_manual_KM6003</t>
  </si>
  <si>
    <t>monthly_new_manual_KM6006</t>
  </si>
  <si>
    <t>monthly_new_manual_KM6001A</t>
  </si>
  <si>
    <t>monthly_new_manual_KM6001B</t>
  </si>
  <si>
    <t>monthly_new_manual_KM6110</t>
  </si>
  <si>
    <t>monthly_new_manual_Anciliary_ele_power</t>
  </si>
  <si>
    <t>monthly_af_power_exclude_co2</t>
  </si>
  <si>
    <t>monthly_total_power_em</t>
  </si>
  <si>
    <t>monthly_event_force_majeure</t>
  </si>
  <si>
    <t>monthly_startup_shutdown_without_production</t>
  </si>
  <si>
    <t>monthly_ng_consumption</t>
  </si>
  <si>
    <t>monthly_rfg_consumption</t>
  </si>
  <si>
    <t>monthly_power_consumption</t>
  </si>
  <si>
    <t>monthly_calc_plant_load</t>
  </si>
  <si>
    <t>monthly_operation_hours</t>
  </si>
  <si>
    <t>monthly_heating_value</t>
  </si>
  <si>
    <t>af_power_exclude_co2</t>
  </si>
  <si>
    <t>total_power_em</t>
  </si>
  <si>
    <t>event_force_majeure</t>
  </si>
  <si>
    <t>startup_shutdown_without_production</t>
  </si>
  <si>
    <t>ng_consumption</t>
  </si>
  <si>
    <t>rfg_consumption</t>
  </si>
  <si>
    <t>power_consumption</t>
  </si>
  <si>
    <t>new_manual_plant_air_to_HMU</t>
  </si>
  <si>
    <t>new_manual_plant_air_to_HSPA</t>
  </si>
  <si>
    <t>avg_60PR024_AI</t>
  </si>
  <si>
    <t>avg_60TR025_AI</t>
  </si>
  <si>
    <t>analysis_sales_gas_h2</t>
  </si>
  <si>
    <t>analysis_reformer_outlet_h2</t>
  </si>
  <si>
    <t>analysis_reformer_outlet_n2</t>
  </si>
  <si>
    <t>analysis_reformer_outlet_co</t>
  </si>
  <si>
    <t>analysis_reformer_outlet_co2</t>
  </si>
  <si>
    <t>analysis_hts_outlet_h2</t>
  </si>
  <si>
    <t>analysis_hts_outlet_n2</t>
  </si>
  <si>
    <t>analysis_hts_outlet_co</t>
  </si>
  <si>
    <t>analysis_hts_outlet_co2</t>
  </si>
  <si>
    <t>analysis_hts_outlet_ch4</t>
  </si>
  <si>
    <t>analysis_lts_outlet_h2</t>
  </si>
  <si>
    <t>analysis_lts_outlet_n2</t>
  </si>
  <si>
    <t>analysis_lts_outlet_co</t>
  </si>
  <si>
    <t>analysis_lts_outlet_co2</t>
  </si>
  <si>
    <t>analysis_lts_outlet_ch4</t>
  </si>
  <si>
    <t>analysis_methanator_inlet_h2</t>
  </si>
  <si>
    <t>analysis_methanator_inlet_n2</t>
  </si>
  <si>
    <t>analysis_methanator_inlet_co</t>
  </si>
  <si>
    <t>analysis_methanator_inlet_co2</t>
  </si>
  <si>
    <t>analysis_methanator_inlet_ch4</t>
  </si>
  <si>
    <t>analysis_methanator_outlet_h2</t>
  </si>
  <si>
    <t>analysis_methanator_outlet_n2</t>
  </si>
  <si>
    <t>analysis_methanator_outlet_co</t>
  </si>
  <si>
    <t>analysis_methanator_outlet_co2</t>
  </si>
  <si>
    <t>analysis_methanator_outlet_ch4</t>
  </si>
  <si>
    <t>analysis_tailgas_h2</t>
  </si>
  <si>
    <t>analysis_tailgas_n2</t>
  </si>
  <si>
    <t>analysis_tailgas_co</t>
  </si>
  <si>
    <t>analysis_tailgas_co2</t>
  </si>
  <si>
    <t>analysis_tailgas_ch4</t>
  </si>
  <si>
    <t>analysis_hpsa_h2</t>
  </si>
  <si>
    <t>analysis_hpsa_n2</t>
  </si>
  <si>
    <t>analysis_hpsa_co</t>
  </si>
  <si>
    <t>analysis_hpsa_co2</t>
  </si>
  <si>
    <t>analysis_hpsa_ch4</t>
  </si>
  <si>
    <t>analysis_ccr_h2</t>
  </si>
  <si>
    <t>analysis_ccr_n2</t>
  </si>
  <si>
    <t>analysis_ccr_co</t>
  </si>
  <si>
    <t>analysis_ccr_co2</t>
  </si>
  <si>
    <t>analysis_ccr_c1</t>
  </si>
  <si>
    <t>analysis_ccr_c2</t>
  </si>
  <si>
    <t>analysis_ccr_c3</t>
  </si>
  <si>
    <t>analysis_ccr_c4</t>
  </si>
  <si>
    <t>analysis_ccr_c5</t>
  </si>
  <si>
    <t>analysis_ccr_c6</t>
  </si>
  <si>
    <t>analysis_fresh_h2</t>
  </si>
  <si>
    <t>analysis_fresh_n2</t>
  </si>
  <si>
    <t>analysis_fresh_co</t>
  </si>
  <si>
    <t>analysis_fresh_co2</t>
  </si>
  <si>
    <t>analysis_fresh_c1</t>
  </si>
  <si>
    <t>analysis_fresh_c2</t>
  </si>
  <si>
    <t>analysis_residue_n2</t>
  </si>
  <si>
    <t>analysis_residue_co</t>
  </si>
  <si>
    <t>analysis_residue_co2</t>
  </si>
  <si>
    <t>analysis_residue_c1</t>
  </si>
  <si>
    <t>analysis_residue_c2</t>
  </si>
  <si>
    <t>analysis_residue_c3</t>
  </si>
  <si>
    <t>analysis_residue_c4</t>
  </si>
  <si>
    <t>analysis_residue_c5</t>
  </si>
  <si>
    <t>analysis_residue_c6</t>
  </si>
  <si>
    <t>analysis_co2_export_h2</t>
  </si>
  <si>
    <t>analysis_co2_export_n2</t>
  </si>
  <si>
    <t>analysis_co2_export_moisture</t>
  </si>
  <si>
    <t>analysis_co2_export_co2_conc</t>
  </si>
  <si>
    <t>analysis_co2_export_ch4</t>
  </si>
  <si>
    <t>analysis_leanSulfinol_rfb</t>
  </si>
  <si>
    <t>analysis_leanSulfinol_tss</t>
  </si>
  <si>
    <t>analysis_leanSulfinol_water</t>
  </si>
  <si>
    <t>analysis_leanSulfinol_oxazolidone</t>
  </si>
  <si>
    <t>analysis_leanSulfinol_atb</t>
  </si>
  <si>
    <t>analysis_leanSulfinol_atb_rfb</t>
  </si>
  <si>
    <t>monthly_avg_sales_gas_analysis_n2</t>
  </si>
  <si>
    <t>monthly_avg_sales_gas_analysis_c1</t>
  </si>
  <si>
    <t>monthly_avg_sales_gas_analysis_co2</t>
  </si>
  <si>
    <t>monthly_avg_sales_gas_analysis_c2</t>
  </si>
  <si>
    <t>monthly_avg_sales_gas_analysis_c3</t>
  </si>
  <si>
    <t>monthly_avg_sales_gas_analysis_ic4</t>
  </si>
  <si>
    <t>monthly_avg_sales_gas_analysis_nc4</t>
  </si>
  <si>
    <t>monthly_avg_sales_gas_analysis_c5</t>
  </si>
  <si>
    <t>monthly_analysis_sales_gas_h2</t>
  </si>
  <si>
    <t>monthly_Sales_Gas_Average_MWt</t>
  </si>
  <si>
    <t>monthly_analysis_reformer_outlet_h2</t>
  </si>
  <si>
    <t>monthly_analysis_reformer_outlet_n2</t>
  </si>
  <si>
    <t>monthly_analysis_reformer_outlet_co</t>
  </si>
  <si>
    <t>monthly_analysis_reformer_outlet_co2</t>
  </si>
  <si>
    <t>monthly_avg_reformer_outlet_analysis_ch4</t>
  </si>
  <si>
    <t>monthly_analysis_hts_outlet_h2</t>
  </si>
  <si>
    <t>monthly_analysis_hts_outlet_n2</t>
  </si>
  <si>
    <t>monthly_analysis_hts_outlet_co</t>
  </si>
  <si>
    <t>monthly_analysis_hts_outlet_co2</t>
  </si>
  <si>
    <t>monthly_analysis_hts_outlet_ch4</t>
  </si>
  <si>
    <t>monthly_analysis_lts_outlet_h2</t>
  </si>
  <si>
    <t>monthly_analysis_lts_outlet_n2</t>
  </si>
  <si>
    <t>monthly_analysis_lts_outlet_co</t>
  </si>
  <si>
    <t>monthly_analysis_lts_outlet_co2</t>
  </si>
  <si>
    <t>monthly_analysis_lts_outlet_ch4</t>
  </si>
  <si>
    <t>monthly_analysis_methanator_inlet_h2</t>
  </si>
  <si>
    <t>monthly_analysis_methanator_inlet_n2</t>
  </si>
  <si>
    <t>monthly_analysis_methanator_inlet_co</t>
  </si>
  <si>
    <t>monthly_analysis_methanator_inlet_co2</t>
  </si>
  <si>
    <t>monthly_analysis_methanator_inlet_ch4</t>
  </si>
  <si>
    <t>monthly_analysis_methanator_outlet_h2</t>
  </si>
  <si>
    <t>monthly_analysis_methanator_outlet_n2</t>
  </si>
  <si>
    <t>monthly_analysis_methanator_outlet_co</t>
  </si>
  <si>
    <t>monthly_analysis_methanator_outlet_co2</t>
  </si>
  <si>
    <t>monthly_analysis_methanator_outlet_ch4</t>
  </si>
  <si>
    <t>monthly_Methanator_outlet_Mwt</t>
  </si>
  <si>
    <t>monthly_analysis_tailgas_h2</t>
  </si>
  <si>
    <t>monthly_analysis_tailgas_n2</t>
  </si>
  <si>
    <t>monthly_analysis_tailgas_co</t>
  </si>
  <si>
    <t>monthly_analysis_tailgas_co2</t>
  </si>
  <si>
    <t>monthly_analysis_tailgas_ch4</t>
  </si>
  <si>
    <t>monthly_Tail_gas_Mwt</t>
  </si>
  <si>
    <t>monthly_analysis_hpsa_h2</t>
  </si>
  <si>
    <t>monthly_analysis_hpsa_n2</t>
  </si>
  <si>
    <t>monthly_analysis_hpsa_co</t>
  </si>
  <si>
    <t>monthly_analysis_hpsa_co2</t>
  </si>
  <si>
    <t>monthly_analysis_hpsa_ch4</t>
  </si>
  <si>
    <t>monthly_HPSA_Product_Mwt</t>
  </si>
  <si>
    <t>monthly_avg_n2_analyzer</t>
  </si>
  <si>
    <t>monthly_avg_co_analyzer</t>
  </si>
  <si>
    <t>monthly_avg_ch4_analyzer</t>
  </si>
  <si>
    <t>monthly_avg_h2_analyzer</t>
  </si>
  <si>
    <t>monthly_analysis_psa_h2_combined_h2</t>
  </si>
  <si>
    <t>monthly_analysis_psa_h2_combined_n2</t>
  </si>
  <si>
    <t>monthly_analysis_psa_h2_combined_co</t>
  </si>
  <si>
    <t>monthly_analysis_psa_h2_combined_co2</t>
  </si>
  <si>
    <t>monthly_analysis_psa_h2_combined_ch4</t>
  </si>
  <si>
    <t>monthly_PSA_Combined_Mwt</t>
  </si>
  <si>
    <t>monthly_analysis_ccr_h2</t>
  </si>
  <si>
    <t>monthly_analysis_ccr_n2</t>
  </si>
  <si>
    <t>monthly_analysis_ccr_co</t>
  </si>
  <si>
    <t>monthly_analysis_ccr_co2</t>
  </si>
  <si>
    <t>monthly_analysis_ccr_c1</t>
  </si>
  <si>
    <t>monthly_analysis_ccr_c2</t>
  </si>
  <si>
    <t>monthly_analysis_ccr_c3</t>
  </si>
  <si>
    <t>monthly_analysis_ccr_c4</t>
  </si>
  <si>
    <t>monthly_analysis_ccr_c5</t>
  </si>
  <si>
    <t>monthly_analysis_ccr_c6</t>
  </si>
  <si>
    <t>monthly_CCR_gas_Mwt</t>
  </si>
  <si>
    <t>monthly_analysis_combined_mbu_ccr_hmu_h2</t>
  </si>
  <si>
    <t>monthly_analysis_combined_mbu_ccr_hmu_n2</t>
  </si>
  <si>
    <t>monthly_analysis_combined_mbu_ccr_hmu_co</t>
  </si>
  <si>
    <t>monthly_analysis_combined_mbu_ccr_hmu_co2</t>
  </si>
  <si>
    <t>monthly_analysis_combined_mbu_ccr_hmu_c1</t>
  </si>
  <si>
    <t>monthly_analysis_combined_mbu_ccr_hmu_c2</t>
  </si>
  <si>
    <t>monthly_analysis_combined_mbu_ccr_hmu_c3</t>
  </si>
  <si>
    <t>monthly_analysis_combined_mbu_ccr_hmu_c4</t>
  </si>
  <si>
    <t>monthly_analysis_combined_mbu_ccr_hmu_c5</t>
  </si>
  <si>
    <t>monthly_analysis_combined_mbu_ccr_hmu_c6</t>
  </si>
  <si>
    <t>monthly_Combined_mbu_ccr_hmu_Mwt</t>
  </si>
  <si>
    <t>monthly_analysis_fresh_h2</t>
  </si>
  <si>
    <t>monthly_analysis_fresh_n2</t>
  </si>
  <si>
    <t>monthly_analysis_fresh_co</t>
  </si>
  <si>
    <t>monthly_analysis_fresh_co2</t>
  </si>
  <si>
    <t>monthly_analysis_fresh_c1</t>
  </si>
  <si>
    <t>monthly_analysis_fresh_c2</t>
  </si>
  <si>
    <t>monthly_Fresh_gas_Mwt</t>
  </si>
  <si>
    <t>monthly_analysis_residue_h2</t>
  </si>
  <si>
    <t>monthly_analysis_residue_n2</t>
  </si>
  <si>
    <t>monthly_analysis_residue_co</t>
  </si>
  <si>
    <t>monthly_analysis_residue_co2</t>
  </si>
  <si>
    <t>monthly_analysis_residue_c1</t>
  </si>
  <si>
    <t>monthly_analysis_residue_c2</t>
  </si>
  <si>
    <t>monthly_analysis_residue_c3</t>
  </si>
  <si>
    <t>monthly_analysis_residue_c4</t>
  </si>
  <si>
    <t>monthly_analysis_residue_c5</t>
  </si>
  <si>
    <t>monthly_analysis_residue_c6</t>
  </si>
  <si>
    <t>monthly_Residue_gas_Mwt</t>
  </si>
  <si>
    <t>monthly_analysis_co2_export_moisture</t>
  </si>
  <si>
    <t>monthly_analysis_co2_export_co2_conc</t>
  </si>
  <si>
    <t>monthly_analysis_co2_export_h2</t>
  </si>
  <si>
    <t>monthly_analysis_co2_export_n2</t>
  </si>
  <si>
    <t>monthly_analysis_co2_export_ch4</t>
  </si>
  <si>
    <t>monthly_analysis_leanSulfinol_rfb</t>
  </si>
  <si>
    <t>monthly_analysis_leanSulfinol_tss</t>
  </si>
  <si>
    <t>monthly_analysis_leanSulfinol_water</t>
  </si>
  <si>
    <t>monthly_analysis_leanSulfinol_oxazolidone</t>
  </si>
  <si>
    <t>monthly_analysis_leanSulfinol_atb</t>
  </si>
  <si>
    <t>monthly_analysis_leanSulfinol_atb_rfb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</si>
</sst>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164" formatCode="_(* #,##0.00_);_(* \(#,##0.00\);_(* &quot;-&quot;??_);_(@_)"/>
    <numFmt numFmtId="165" formatCode="0.000"/>
    <numFmt numFmtId="166" formatCode="#,##0.000"/>
    <numFmt numFmtId="167" formatCode="#,##0.0"/>
    <numFmt numFmtId="168" formatCode="0.0"/>
    <numFmt numFmtId="169" formatCode="[$-409]dd/mmm/yy;@"/>
    <numFmt numFmtId="170" formatCode="dd\-mmm\-yy\ h:mm\ AM/PM"/>
  </numFmts>
  <fonts count="36">
    <font>
      <sz val="11"/>
      <color theme="1"/>
      <name val="Aptos Narrow"/>
      <family val="2"/>
      <scheme val="minor"/>
    </font>
    <font>
      <sz val="11"/>
      <color rgb="FFFF0000"/>
      <name val="Aptos Narrow"/>
      <family val="2"/>
      <scheme val="minor"/>
    </font>
    <font>
      <b/>
      <sz val="11"/>
      <color theme="1"/>
      <name val="Aptos Narrow"/>
      <family val="2"/>
      <scheme val="minor"/>
    </font>
    <font>
      <b/>
      <sz val="12"/>
      <color theme="1"/>
      <name val="Aptos Narrow"/>
      <family val="2"/>
      <scheme val="minor"/>
    </font>
    <font>
      <vertAlign val="subscript"/>
      <sz val="11"/>
      <color theme="1"/>
      <name val="Aptos Narrow"/>
      <family val="2"/>
      <scheme val="minor"/>
    </font>
    <font>
      <sz val="11"/>
      <name val="Aptos Narrow"/>
      <family val="2"/>
      <scheme val="minor"/>
    </font>
    <font>
      <vertAlign val="superscript"/>
      <sz val="11"/>
      <color theme="1"/>
      <name val="Aptos Narrow"/>
      <family val="2"/>
      <scheme val="minor"/>
    </font>
    <font>
      <b/>
      <sz val="18"/>
      <color rgb="FFFF0000"/>
      <name val="Aptos Narrow"/>
      <family val="2"/>
      <scheme val="minor"/>
    </font>
    <font>
      <sz val="10"/>
      <color theme="1"/>
      <name val="Aptos Narrow"/>
      <family val="2"/>
      <scheme val="minor"/>
    </font>
    <font>
      <vertAlign val="subscript"/>
      <sz val="10"/>
      <color theme="1"/>
      <name val="Aptos Narrow"/>
      <family val="2"/>
      <scheme val="minor"/>
    </font>
    <font>
      <sz val="11"/>
      <color rgb="FF000000"/>
      <name val="Times New Roman"/>
      <family val="1"/>
    </font>
    <font>
      <sz val="11"/>
      <name val="Times New Roman"/>
      <family val="1"/>
    </font>
    <font>
      <b/>
      <sz val="10"/>
      <color theme="1"/>
      <name val="Aptos Narrow"/>
      <family val="2"/>
      <scheme val="minor"/>
    </font>
    <font>
      <b/>
      <vertAlign val="subscript"/>
      <sz val="10"/>
      <color theme="1"/>
      <name val="Aptos Narrow"/>
      <family val="2"/>
      <scheme val="minor"/>
    </font>
    <font>
      <b/>
      <sz val="10"/>
      <name val="Aptos Narrow"/>
      <family val="2"/>
      <scheme val="minor"/>
    </font>
    <font>
      <sz val="8"/>
      <name val="Aptos Narrow"/>
      <family val="2"/>
      <scheme val="minor"/>
    </font>
    <font>
      <b/>
      <sz val="14"/>
      <color theme="1"/>
      <name val="Aptos Narrow"/>
      <family val="2"/>
      <scheme val="minor"/>
    </font>
    <font>
      <b/>
      <sz val="11"/>
      <color rgb="FFFF0000"/>
      <name val="Aptos Narrow"/>
      <family val="2"/>
      <scheme val="minor"/>
    </font>
    <font>
      <b/>
      <sz val="18"/>
      <color theme="1"/>
      <name val="Adobe Arabic"/>
    </font>
    <font>
      <b/>
      <sz val="18"/>
      <color rgb="FF0070C0"/>
      <name val="Adobe Arabic"/>
    </font>
    <font>
      <sz val="11"/>
      <color theme="1"/>
      <name val="Aptos Narrow"/>
      <family val="2"/>
      <scheme val="minor"/>
    </font>
    <font>
      <b/>
      <sz val="14"/>
      <color rgb="FF0070C0"/>
      <name val="Aptos Narrow"/>
      <family val="2"/>
      <scheme val="minor"/>
    </font>
    <font>
      <b/>
      <sz val="10"/>
      <color theme="1"/>
      <name val="Arial"/>
      <family val="2"/>
    </font>
    <font>
      <b/>
      <sz val="10"/>
      <color rgb="FFFF0000"/>
      <name val="Arial"/>
      <family val="2"/>
    </font>
    <font>
      <sz val="10"/>
      <color rgb="FFFF0000"/>
      <name val="Arial"/>
      <family val="2"/>
    </font>
    <font>
      <sz val="10"/>
      <name val="Arial"/>
      <family val="2"/>
    </font>
    <font>
      <sz val="14"/>
      <color theme="1"/>
      <name val="Arial"/>
      <family val="2"/>
    </font>
    <font>
      <sz val="10"/>
      <color theme="1"/>
      <name val="Arial"/>
      <family val="2"/>
    </font>
    <font>
      <b/>
      <sz val="10"/>
      <color rgb="FF7030A0"/>
      <name val="Arial"/>
      <family val="2"/>
    </font>
    <font>
      <b/>
      <sz val="10"/>
      <name val="Arial"/>
      <family val="2"/>
    </font>
    <font>
      <b/>
      <sz val="11"/>
      <color theme="0"/>
      <name val="Aptos Narrow"/>
      <family val="2"/>
      <scheme val="minor"/>
    </font>
    <font>
      <b/>
      <sz val="14"/>
      <color theme="1"/>
      <name val="Aptos Narrow"/>
      <scheme val="minor"/>
    </font>
    <font>
      <b/>
      <sz val="11"/>
      <color theme="1"/>
      <name val="Aptos Narrow"/>
      <scheme val="minor"/>
    </font>
    <font>
      <sz val="20"/>
      <color theme="1"/>
      <name val="Adobe Arabic"/>
    </font>
    <font>
      <sz val="36"/>
      <color theme="1"/>
      <name val="Adobe Arabic"/>
      <family val="1"/>
    </font>
    <font>
      <b/>
      <vertAlign val="subscript"/>
      <sz val="11"/>
      <color theme="1"/>
      <name val="Aptos Narrow"/>
      <family val="2"/>
      <scheme val="minor"/>
    </font>
  </fonts>
  <fills count="1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D9ABD6"/>
        <bgColor indexed="64"/>
      </patternFill>
    </fill>
    <fill>
      <patternFill patternType="solid">
        <fgColor rgb="FF00B0F0"/>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2" tint="-9.9978637043366805E-2"/>
        <bgColor indexed="64"/>
      </patternFill>
    </fill>
    <fill>
      <patternFill patternType="solid">
        <fgColor rgb="FFFFC000"/>
        <bgColor indexed="64"/>
      </patternFill>
    </fill>
    <fill>
      <patternFill patternType="solid">
        <fgColor theme="3" tint="0.749992370372631"/>
        <bgColor indexed="64"/>
      </patternFill>
    </fill>
    <fill>
      <patternFill patternType="solid">
        <fgColor theme="6" tint="0.79998168889431442"/>
        <bgColor indexed="64"/>
      </patternFill>
    </fill>
    <fill>
      <patternFill patternType="solid">
        <fgColor theme="0" tint="-0.14999847407452621"/>
        <bgColor indexed="64"/>
      </patternFill>
    </fill>
    <fill>
      <patternFill patternType="solid">
        <fgColor theme="9" tint="0.39997558519241921"/>
        <bgColor indexed="64"/>
      </patternFill>
    </fill>
    <fill>
      <patternFill patternType="solid">
        <fgColor theme="7" tint="0.59999389629810485"/>
        <bgColor indexed="64"/>
      </patternFill>
    </fill>
    <fill>
      <patternFill patternType="solid">
        <fgColor theme="4" tint="0.79998168889431442"/>
        <bgColor indexed="64"/>
      </patternFill>
    </fill>
    <fill>
      <patternFill patternType="solid">
        <fgColor rgb="FF00B050"/>
        <bgColor indexed="64"/>
      </patternFill>
    </fill>
    <fill>
      <patternFill patternType="solid">
        <fgColor rgb="FFFF0000"/>
        <bgColor indexed="64"/>
      </patternFill>
    </fill>
  </fills>
  <borders count="66">
    <border>
      <left/>
      <right/>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top/>
      <bottom/>
      <diagonal/>
    </border>
    <border>
      <left/>
      <right style="thin">
        <color indexed="64"/>
      </right>
      <top style="thin">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right style="thin">
        <color indexed="64"/>
      </right>
      <top/>
      <bottom/>
      <diagonal/>
    </border>
    <border>
      <left/>
      <right style="thin">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style="thin">
        <color indexed="64"/>
      </right>
      <top style="medium">
        <color indexed="64"/>
      </top>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style="thin">
        <color indexed="64"/>
      </top>
      <bottom style="thin">
        <color indexed="64"/>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right style="medium">
        <color indexed="64"/>
      </right>
      <top/>
      <bottom style="thin">
        <color indexed="64"/>
      </bottom>
      <diagonal/>
    </border>
    <border>
      <left/>
      <right style="medium">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bottom/>
      <diagonal/>
    </border>
    <border>
      <left style="thin">
        <color indexed="64"/>
      </left>
      <right/>
      <top/>
      <bottom/>
      <diagonal/>
    </border>
    <border>
      <left/>
      <right/>
      <top/>
      <bottom style="thin">
        <color indexed="64"/>
      </bottom>
      <diagonal/>
    </border>
    <border>
      <left/>
      <right/>
      <top style="thin">
        <color indexed="64"/>
      </top>
      <bottom/>
      <diagonal/>
    </border>
    <border>
      <left/>
      <right/>
      <top style="thin">
        <color indexed="64"/>
      </top>
      <bottom style="medium">
        <color indexed="64"/>
      </bottom>
      <diagonal/>
    </border>
  </borders>
  <cellStyleXfs count="7">
    <xf numFmtId="0" fontId="0" fillId="0" borderId="0"/>
    <xf numFmtId="0" fontId="25" fillId="0" borderId="0"/>
    <xf numFmtId="164" fontId="27" fillId="0" borderId="0" applyFont="0" applyFill="0" applyBorder="0" applyAlignment="0" applyProtection="0"/>
    <xf numFmtId="0" fontId="25" fillId="0" borderId="0"/>
    <xf numFmtId="0" fontId="27" fillId="0" borderId="0"/>
    <xf numFmtId="0" fontId="20" fillId="0" borderId="0"/>
    <xf numFmtId="0" fontId="20" fillId="0" borderId="0"/>
  </cellStyleXfs>
  <cellXfs count="524">
    <xf numFmtId="0" fontId="0" fillId="0" borderId="0" xfId="0"/>
    <xf numFmtId="0" fontId="0" fillId="0" borderId="0" xfId="0" applyAlignment="1">
      <alignment horizontal="center"/>
    </xf>
    <xf numFmtId="0" fontId="2" fillId="0" borderId="0" xfId="0" applyFont="1" applyAlignment="1" applyProtection="1">
      <alignment horizontal="center"/>
      <protection hidden="1"/>
    </xf>
    <xf numFmtId="0" fontId="2" fillId="7" borderId="0" xfId="0" applyFont="1" applyFill="1" applyAlignment="1" applyProtection="1">
      <alignment vertical="center"/>
      <protection hidden="1"/>
    </xf>
    <xf numFmtId="0" fontId="3" fillId="0" borderId="0" xfId="0" applyFont="1" applyAlignment="1" applyProtection="1">
      <alignment horizontal="center"/>
      <protection hidden="1"/>
    </xf>
    <xf numFmtId="0" fontId="0" fillId="0" borderId="0" xfId="0" applyAlignment="1" applyProtection="1">
      <alignment horizontal="center" vertical="center"/>
      <protection hidden="1"/>
    </xf>
    <xf numFmtId="0" fontId="0" fillId="0" borderId="0" xfId="0" applyAlignment="1" applyProtection="1">
      <alignment vertical="center"/>
      <protection hidden="1"/>
    </xf>
    <xf numFmtId="0" fontId="10" fillId="0" borderId="0" xfId="0" applyFont="1" applyAlignment="1" applyProtection="1">
      <alignment horizontal="center" vertical="center"/>
      <protection hidden="1"/>
    </xf>
    <xf numFmtId="0" fontId="12" fillId="0" borderId="0" xfId="0" applyFont="1" applyAlignment="1" applyProtection="1">
      <alignment horizontal="center" vertical="center"/>
      <protection hidden="1"/>
    </xf>
    <xf numFmtId="0" fontId="12" fillId="0" borderId="0" xfId="0" applyFont="1" applyAlignment="1" applyProtection="1">
      <alignment vertical="center"/>
      <protection hidden="1"/>
    </xf>
    <xf numFmtId="0" fontId="3" fillId="0" borderId="0" xfId="0" applyFont="1" applyAlignment="1" applyProtection="1">
      <alignment vertical="center"/>
      <protection hidden="1"/>
    </xf>
    <xf numFmtId="0" fontId="0" fillId="0" borderId="10" xfId="0" applyBorder="1" applyAlignment="1" applyProtection="1">
      <alignment horizontal="center" vertical="center" wrapText="1"/>
      <protection hidden="1"/>
    </xf>
    <xf numFmtId="0" fontId="5" fillId="0" borderId="10" xfId="0" applyFont="1" applyBorder="1" applyAlignment="1" applyProtection="1">
      <alignment horizontal="center" wrapText="1"/>
      <protection hidden="1"/>
    </xf>
    <xf numFmtId="0" fontId="3" fillId="0" borderId="0" xfId="0" applyFont="1" applyAlignment="1" applyProtection="1">
      <alignment horizontal="center" wrapText="1"/>
      <protection hidden="1"/>
    </xf>
    <xf numFmtId="0" fontId="3" fillId="0" borderId="0" xfId="0" applyFont="1" applyAlignment="1" applyProtection="1">
      <alignment wrapText="1"/>
      <protection hidden="1"/>
    </xf>
    <xf numFmtId="0" fontId="0" fillId="0" borderId="0" xfId="0" applyAlignment="1">
      <alignment wrapText="1"/>
    </xf>
    <xf numFmtId="0" fontId="3" fillId="0" borderId="0" xfId="0" applyFont="1" applyProtection="1">
      <protection hidden="1"/>
    </xf>
    <xf numFmtId="0" fontId="8" fillId="0" borderId="0" xfId="0" applyFont="1" applyAlignment="1" applyProtection="1">
      <alignment vertical="center"/>
      <protection hidden="1"/>
    </xf>
    <xf numFmtId="0" fontId="12" fillId="0" borderId="0" xfId="0" applyFont="1" applyAlignment="1" applyProtection="1">
      <alignment vertical="center" shrinkToFit="1"/>
      <protection hidden="1"/>
    </xf>
    <xf numFmtId="0" fontId="0" fillId="0" borderId="10" xfId="0" applyBorder="1" applyAlignment="1" applyProtection="1">
      <alignment horizontal="center" wrapText="1"/>
      <protection hidden="1"/>
    </xf>
    <xf numFmtId="0" fontId="2" fillId="7" borderId="10" xfId="0" applyFont="1" applyFill="1" applyBorder="1" applyAlignment="1" applyProtection="1">
      <alignment vertical="center" wrapText="1"/>
      <protection hidden="1"/>
    </xf>
    <xf numFmtId="0" fontId="10" fillId="0" borderId="10" xfId="0" applyFont="1" applyBorder="1" applyAlignment="1" applyProtection="1">
      <alignment horizontal="center" wrapText="1"/>
      <protection hidden="1"/>
    </xf>
    <xf numFmtId="0" fontId="11" fillId="0" borderId="10" xfId="0" applyFont="1" applyBorder="1" applyAlignment="1" applyProtection="1">
      <alignment horizontal="center" wrapText="1"/>
      <protection hidden="1"/>
    </xf>
    <xf numFmtId="0" fontId="2" fillId="0" borderId="10" xfId="0" applyFont="1" applyBorder="1" applyAlignment="1" applyProtection="1">
      <alignment vertical="center" wrapText="1"/>
      <protection hidden="1"/>
    </xf>
    <xf numFmtId="0" fontId="12" fillId="0" borderId="10" xfId="0" applyFont="1" applyBorder="1" applyAlignment="1" applyProtection="1">
      <alignment horizontal="center" vertical="center" wrapText="1"/>
      <protection hidden="1"/>
    </xf>
    <xf numFmtId="2" fontId="12" fillId="0" borderId="10" xfId="0" applyNumberFormat="1" applyFont="1" applyBorder="1" applyAlignment="1" applyProtection="1">
      <alignment horizontal="center" vertical="center" wrapText="1"/>
      <protection hidden="1"/>
    </xf>
    <xf numFmtId="0" fontId="2" fillId="6" borderId="6" xfId="0" applyFont="1" applyFill="1" applyBorder="1" applyAlignment="1" applyProtection="1">
      <alignment horizontal="left" vertical="center"/>
      <protection hidden="1"/>
    </xf>
    <xf numFmtId="0" fontId="0" fillId="0" borderId="6" xfId="0" applyBorder="1" applyAlignment="1">
      <alignment horizontal="left"/>
    </xf>
    <xf numFmtId="0" fontId="3" fillId="0" borderId="9" xfId="0" applyFont="1" applyBorder="1" applyAlignment="1" applyProtection="1">
      <alignment horizontal="center"/>
      <protection hidden="1"/>
    </xf>
    <xf numFmtId="0" fontId="12" fillId="0" borderId="0" xfId="0" applyFont="1" applyAlignment="1" applyProtection="1">
      <alignment horizontal="left" vertical="center" wrapText="1"/>
      <protection hidden="1"/>
    </xf>
    <xf numFmtId="0" fontId="2" fillId="0" borderId="0" xfId="0" applyFont="1"/>
    <xf numFmtId="0" fontId="3" fillId="3" borderId="0" xfId="0" applyFont="1" applyFill="1" applyAlignment="1" applyProtection="1">
      <alignment horizontal="center"/>
      <protection hidden="1"/>
    </xf>
    <xf numFmtId="0" fontId="3" fillId="3" borderId="0" xfId="0" applyFont="1" applyFill="1" applyProtection="1">
      <protection hidden="1"/>
    </xf>
    <xf numFmtId="0" fontId="3" fillId="3" borderId="0" xfId="0" applyFont="1" applyFill="1" applyAlignment="1" applyProtection="1">
      <alignment vertical="center"/>
      <protection hidden="1"/>
    </xf>
    <xf numFmtId="0" fontId="3" fillId="3" borderId="0" xfId="0" applyFont="1" applyFill="1" applyAlignment="1" applyProtection="1">
      <alignment horizontal="center" wrapText="1"/>
      <protection hidden="1"/>
    </xf>
    <xf numFmtId="0" fontId="3" fillId="0" borderId="9" xfId="0" applyFont="1" applyBorder="1" applyAlignment="1" applyProtection="1">
      <alignment horizontal="center" wrapText="1"/>
      <protection hidden="1"/>
    </xf>
    <xf numFmtId="0" fontId="22" fillId="2" borderId="0" xfId="0" applyFont="1" applyFill="1"/>
    <xf numFmtId="0" fontId="0" fillId="2" borderId="0" xfId="0" applyFill="1" applyAlignment="1">
      <alignment horizontal="center"/>
    </xf>
    <xf numFmtId="0" fontId="0" fillId="2" borderId="0" xfId="0" applyFill="1"/>
    <xf numFmtId="0" fontId="23" fillId="0" borderId="0" xfId="0" applyFont="1"/>
    <xf numFmtId="0" fontId="24" fillId="0" borderId="0" xfId="0" applyFont="1"/>
    <xf numFmtId="17" fontId="26" fillId="0" borderId="18" xfId="1" quotePrefix="1" applyNumberFormat="1" applyFont="1" applyBorder="1" applyAlignment="1">
      <alignment horizontal="center"/>
    </xf>
    <xf numFmtId="0" fontId="22" fillId="0" borderId="0" xfId="0" applyFont="1"/>
    <xf numFmtId="0" fontId="22" fillId="0" borderId="0" xfId="0" applyFont="1" applyAlignment="1">
      <alignment horizontal="center"/>
    </xf>
    <xf numFmtId="167" fontId="0" fillId="0" borderId="0" xfId="2" applyNumberFormat="1" applyFont="1" applyFill="1" applyBorder="1"/>
    <xf numFmtId="0" fontId="22" fillId="3" borderId="0" xfId="0" applyFont="1" applyFill="1" applyAlignment="1">
      <alignment horizontal="center"/>
    </xf>
    <xf numFmtId="166" fontId="0" fillId="0" borderId="0" xfId="0" applyNumberFormat="1"/>
    <xf numFmtId="0" fontId="0" fillId="3" borderId="0" xfId="0" applyFill="1"/>
    <xf numFmtId="164" fontId="0" fillId="0" borderId="0" xfId="2" applyFont="1"/>
    <xf numFmtId="164" fontId="23" fillId="0" borderId="0" xfId="0" applyNumberFormat="1" applyFont="1"/>
    <xf numFmtId="0" fontId="28" fillId="0" borderId="0" xfId="0" applyFont="1"/>
    <xf numFmtId="164" fontId="0" fillId="0" borderId="0" xfId="0" applyNumberFormat="1"/>
    <xf numFmtId="0" fontId="0" fillId="0" borderId="0" xfId="0" quotePrefix="1"/>
    <xf numFmtId="0" fontId="24" fillId="0" borderId="0" xfId="0" quotePrefix="1" applyFont="1"/>
    <xf numFmtId="0" fontId="29" fillId="0" borderId="0" xfId="0" applyFont="1"/>
    <xf numFmtId="0" fontId="25" fillId="0" borderId="0" xfId="0" applyFont="1"/>
    <xf numFmtId="0" fontId="21" fillId="12" borderId="11" xfId="0" applyFont="1" applyFill="1" applyBorder="1" applyAlignment="1">
      <alignment horizontal="center" vertical="center"/>
    </xf>
    <xf numFmtId="0" fontId="21" fillId="12" borderId="12" xfId="0" applyFont="1" applyFill="1" applyBorder="1" applyAlignment="1">
      <alignment horizontal="center" vertical="center"/>
    </xf>
    <xf numFmtId="0" fontId="21" fillId="12" borderId="16" xfId="0" applyFont="1" applyFill="1" applyBorder="1" applyAlignment="1">
      <alignment horizontal="center" vertical="center" wrapText="1"/>
    </xf>
    <xf numFmtId="0" fontId="0" fillId="0" borderId="2" xfId="0" applyBorder="1" applyAlignment="1" applyProtection="1">
      <alignment horizontal="center" vertical="center"/>
      <protection hidden="1"/>
    </xf>
    <xf numFmtId="0" fontId="0" fillId="0" borderId="2" xfId="0" applyBorder="1" applyAlignment="1" applyProtection="1">
      <alignment horizontal="center" vertical="center" wrapText="1"/>
      <protection hidden="1"/>
    </xf>
    <xf numFmtId="0" fontId="0" fillId="4" borderId="2" xfId="0" applyFill="1" applyBorder="1" applyAlignment="1" applyProtection="1">
      <alignment horizontal="center" vertical="center"/>
      <protection hidden="1"/>
    </xf>
    <xf numFmtId="0" fontId="5" fillId="4" borderId="1" xfId="0" applyFont="1" applyFill="1" applyBorder="1" applyAlignment="1" applyProtection="1">
      <alignment horizontal="center" vertical="center"/>
      <protection hidden="1"/>
    </xf>
    <xf numFmtId="0" fontId="0" fillId="0" borderId="1" xfId="0" applyBorder="1" applyAlignment="1" applyProtection="1">
      <alignment horizontal="center" vertical="center"/>
      <protection hidden="1"/>
    </xf>
    <xf numFmtId="0" fontId="0" fillId="0" borderId="22" xfId="0" applyBorder="1" applyAlignment="1" applyProtection="1">
      <alignment horizontal="center" vertical="center"/>
      <protection hidden="1"/>
    </xf>
    <xf numFmtId="0" fontId="0" fillId="0" borderId="23" xfId="0" applyBorder="1" applyAlignment="1" applyProtection="1">
      <alignment horizontal="center" vertical="center" wrapText="1"/>
      <protection hidden="1"/>
    </xf>
    <xf numFmtId="0" fontId="0" fillId="0" borderId="2" xfId="0" applyBorder="1" applyAlignment="1" applyProtection="1">
      <alignment horizontal="center"/>
      <protection hidden="1"/>
    </xf>
    <xf numFmtId="0" fontId="0" fillId="0" borderId="28" xfId="0" applyBorder="1" applyAlignment="1" applyProtection="1">
      <alignment vertical="center"/>
      <protection hidden="1"/>
    </xf>
    <xf numFmtId="0" fontId="0" fillId="0" borderId="28" xfId="0" applyBorder="1" applyAlignment="1" applyProtection="1">
      <alignment horizontal="center" vertical="center"/>
      <protection hidden="1"/>
    </xf>
    <xf numFmtId="0" fontId="0" fillId="0" borderId="28" xfId="0" applyBorder="1" applyAlignment="1" applyProtection="1">
      <alignment horizontal="center" vertical="center" wrapText="1"/>
      <protection hidden="1"/>
    </xf>
    <xf numFmtId="0" fontId="0" fillId="4" borderId="5" xfId="0" applyFill="1" applyBorder="1" applyAlignment="1" applyProtection="1">
      <alignment horizontal="center" vertical="center"/>
      <protection hidden="1"/>
    </xf>
    <xf numFmtId="0" fontId="0" fillId="0" borderId="5" xfId="0" applyBorder="1" applyAlignment="1" applyProtection="1">
      <alignment horizontal="center" vertical="center" wrapText="1"/>
      <protection hidden="1"/>
    </xf>
    <xf numFmtId="0" fontId="0" fillId="0" borderId="1" xfId="0" applyBorder="1" applyAlignment="1" applyProtection="1">
      <alignment vertical="center"/>
      <protection hidden="1"/>
    </xf>
    <xf numFmtId="0" fontId="0" fillId="0" borderId="1" xfId="0" applyBorder="1" applyAlignment="1" applyProtection="1">
      <alignment horizontal="center" vertical="center" wrapText="1"/>
      <protection hidden="1"/>
    </xf>
    <xf numFmtId="0" fontId="0" fillId="0" borderId="5" xfId="0" applyBorder="1" applyAlignment="1" applyProtection="1">
      <alignment vertical="center"/>
      <protection hidden="1"/>
    </xf>
    <xf numFmtId="0" fontId="0" fillId="0" borderId="25" xfId="0" applyBorder="1" applyAlignment="1" applyProtection="1">
      <alignment horizontal="left" vertical="center"/>
      <protection hidden="1"/>
    </xf>
    <xf numFmtId="0" fontId="0" fillId="0" borderId="34" xfId="0" applyBorder="1" applyAlignment="1" applyProtection="1">
      <alignment horizontal="center" vertical="center"/>
      <protection hidden="1"/>
    </xf>
    <xf numFmtId="0" fontId="0" fillId="0" borderId="1" xfId="0" applyBorder="1" applyAlignment="1" applyProtection="1">
      <alignment vertical="center" wrapText="1"/>
      <protection hidden="1"/>
    </xf>
    <xf numFmtId="0" fontId="0" fillId="4" borderId="23" xfId="0" applyFill="1" applyBorder="1" applyAlignment="1" applyProtection="1">
      <alignment horizontal="center" vertical="center"/>
      <protection hidden="1"/>
    </xf>
    <xf numFmtId="0" fontId="0" fillId="3" borderId="28" xfId="0" applyFill="1" applyBorder="1" applyAlignment="1" applyProtection="1">
      <alignment vertical="center"/>
      <protection hidden="1"/>
    </xf>
    <xf numFmtId="0" fontId="0" fillId="0" borderId="12" xfId="0" applyBorder="1" applyAlignment="1" applyProtection="1">
      <alignment horizontal="center" vertical="center"/>
      <protection hidden="1"/>
    </xf>
    <xf numFmtId="0" fontId="0" fillId="0" borderId="14" xfId="0" applyBorder="1" applyAlignment="1" applyProtection="1">
      <alignment horizontal="center" vertical="center"/>
      <protection hidden="1"/>
    </xf>
    <xf numFmtId="0" fontId="0" fillId="0" borderId="11" xfId="0" applyBorder="1" applyAlignment="1" applyProtection="1">
      <alignment horizontal="left" vertical="center"/>
      <protection hidden="1"/>
    </xf>
    <xf numFmtId="0" fontId="2" fillId="7" borderId="6" xfId="0" applyFont="1" applyFill="1" applyBorder="1" applyAlignment="1" applyProtection="1">
      <alignment horizontal="left" vertical="center"/>
      <protection hidden="1"/>
    </xf>
    <xf numFmtId="0" fontId="12" fillId="6" borderId="6" xfId="0" applyFont="1" applyFill="1" applyBorder="1" applyAlignment="1" applyProtection="1">
      <alignment horizontal="left" vertical="center"/>
      <protection hidden="1"/>
    </xf>
    <xf numFmtId="0" fontId="3" fillId="0" borderId="0" xfId="0" applyFont="1" applyAlignment="1" applyProtection="1">
      <alignment horizontal="left"/>
      <protection hidden="1"/>
    </xf>
    <xf numFmtId="0" fontId="3" fillId="0" borderId="6" xfId="0" applyFont="1" applyBorder="1" applyAlignment="1" applyProtection="1">
      <alignment horizontal="left"/>
      <protection hidden="1"/>
    </xf>
    <xf numFmtId="0" fontId="3" fillId="0" borderId="8" xfId="0" applyFont="1" applyBorder="1" applyAlignment="1" applyProtection="1">
      <alignment horizontal="left"/>
      <protection hidden="1"/>
    </xf>
    <xf numFmtId="0" fontId="3" fillId="3" borderId="0" xfId="0" applyFont="1" applyFill="1" applyAlignment="1" applyProtection="1">
      <alignment horizontal="left"/>
      <protection hidden="1"/>
    </xf>
    <xf numFmtId="0" fontId="0" fillId="0" borderId="0" xfId="0" applyAlignment="1">
      <alignment horizontal="left"/>
    </xf>
    <xf numFmtId="0" fontId="3" fillId="0" borderId="0" xfId="0" applyFont="1" applyAlignment="1" applyProtection="1">
      <alignment horizontal="left" vertical="center"/>
      <protection hidden="1"/>
    </xf>
    <xf numFmtId="0" fontId="21" fillId="12" borderId="11" xfId="0" applyFont="1" applyFill="1" applyBorder="1" applyAlignment="1">
      <alignment horizontal="left" vertical="center"/>
    </xf>
    <xf numFmtId="167" fontId="0" fillId="4" borderId="3" xfId="0" applyNumberFormat="1" applyFill="1" applyBorder="1" applyAlignment="1" applyProtection="1">
      <alignment horizontal="center" vertical="center"/>
      <protection hidden="1"/>
    </xf>
    <xf numFmtId="167" fontId="0" fillId="10" borderId="3" xfId="0" applyNumberFormat="1" applyFill="1" applyBorder="1" applyAlignment="1" applyProtection="1">
      <alignment horizontal="center" vertical="center"/>
      <protection hidden="1"/>
    </xf>
    <xf numFmtId="167" fontId="0" fillId="6" borderId="7" xfId="0" applyNumberFormat="1" applyFill="1" applyBorder="1" applyAlignment="1" applyProtection="1">
      <alignment horizontal="center" vertical="center"/>
      <protection hidden="1"/>
    </xf>
    <xf numFmtId="167" fontId="0" fillId="4" borderId="31" xfId="0" applyNumberFormat="1" applyFill="1" applyBorder="1" applyAlignment="1" applyProtection="1">
      <alignment horizontal="center" vertical="center"/>
      <protection hidden="1"/>
    </xf>
    <xf numFmtId="167" fontId="0" fillId="6" borderId="3" xfId="0" applyNumberFormat="1" applyFill="1" applyBorder="1" applyAlignment="1" applyProtection="1">
      <alignment horizontal="center" vertical="center"/>
      <protection hidden="1"/>
    </xf>
    <xf numFmtId="167" fontId="0" fillId="4" borderId="32" xfId="0" applyNumberFormat="1" applyFill="1" applyBorder="1" applyAlignment="1" applyProtection="1">
      <alignment horizontal="center" vertical="center"/>
      <protection hidden="1"/>
    </xf>
    <xf numFmtId="167" fontId="0" fillId="6" borderId="35" xfId="0" applyNumberFormat="1" applyFill="1" applyBorder="1" applyAlignment="1" applyProtection="1">
      <alignment horizontal="center" vertical="center"/>
      <protection hidden="1"/>
    </xf>
    <xf numFmtId="167" fontId="0" fillId="6" borderId="29" xfId="0" applyNumberFormat="1" applyFill="1" applyBorder="1" applyAlignment="1" applyProtection="1">
      <alignment horizontal="center" vertical="center"/>
      <protection hidden="1"/>
    </xf>
    <xf numFmtId="167" fontId="0" fillId="0" borderId="3" xfId="0" applyNumberFormat="1" applyBorder="1" applyAlignment="1" applyProtection="1">
      <alignment horizontal="center" vertical="center"/>
      <protection locked="0" hidden="1"/>
    </xf>
    <xf numFmtId="167" fontId="12" fillId="0" borderId="3" xfId="0" applyNumberFormat="1" applyFont="1" applyBorder="1" applyAlignment="1" applyProtection="1">
      <alignment horizontal="center" vertical="center"/>
      <protection locked="0" hidden="1"/>
    </xf>
    <xf numFmtId="167" fontId="0" fillId="0" borderId="0" xfId="0" applyNumberFormat="1" applyAlignment="1">
      <alignment horizontal="center"/>
    </xf>
    <xf numFmtId="167" fontId="0" fillId="4" borderId="29" xfId="0" applyNumberFormat="1" applyFill="1" applyBorder="1" applyAlignment="1" applyProtection="1">
      <alignment horizontal="center" vertical="center"/>
      <protection hidden="1"/>
    </xf>
    <xf numFmtId="0" fontId="0" fillId="6" borderId="2" xfId="0" applyFill="1" applyBorder="1" applyAlignment="1" applyProtection="1">
      <alignment horizontal="center" vertical="center"/>
      <protection hidden="1"/>
    </xf>
    <xf numFmtId="167" fontId="0" fillId="6" borderId="2" xfId="0" applyNumberFormat="1" applyFill="1" applyBorder="1" applyAlignment="1" applyProtection="1">
      <alignment horizontal="center" vertical="center"/>
      <protection hidden="1"/>
    </xf>
    <xf numFmtId="167" fontId="0" fillId="6" borderId="1" xfId="0" applyNumberFormat="1" applyFill="1" applyBorder="1" applyAlignment="1" applyProtection="1">
      <alignment horizontal="center" vertical="center"/>
      <protection hidden="1"/>
    </xf>
    <xf numFmtId="167" fontId="0" fillId="6" borderId="23" xfId="0" applyNumberFormat="1" applyFill="1" applyBorder="1" applyAlignment="1" applyProtection="1">
      <alignment horizontal="center" vertical="center"/>
      <protection hidden="1"/>
    </xf>
    <xf numFmtId="0" fontId="0" fillId="0" borderId="34" xfId="0" applyBorder="1" applyAlignment="1">
      <alignment horizontal="left" vertical="center"/>
    </xf>
    <xf numFmtId="0" fontId="5" fillId="0" borderId="2" xfId="0" applyFont="1" applyBorder="1" applyAlignment="1" applyProtection="1">
      <alignment horizontal="center" vertical="center" wrapText="1"/>
      <protection hidden="1"/>
    </xf>
    <xf numFmtId="0" fontId="0" fillId="0" borderId="36" xfId="0" applyBorder="1" applyAlignment="1" applyProtection="1">
      <alignment horizontal="left" vertical="center"/>
      <protection hidden="1"/>
    </xf>
    <xf numFmtId="167" fontId="0" fillId="4" borderId="2" xfId="0" applyNumberFormat="1" applyFill="1" applyBorder="1" applyAlignment="1" applyProtection="1">
      <alignment horizontal="center" vertical="center"/>
      <protection hidden="1"/>
    </xf>
    <xf numFmtId="167" fontId="0" fillId="4" borderId="1" xfId="0" applyNumberFormat="1" applyFill="1" applyBorder="1" applyAlignment="1" applyProtection="1">
      <alignment horizontal="center" vertical="center"/>
      <protection hidden="1"/>
    </xf>
    <xf numFmtId="167" fontId="0" fillId="11" borderId="21" xfId="0" applyNumberFormat="1" applyFill="1" applyBorder="1" applyAlignment="1" applyProtection="1">
      <alignment horizontal="center" vertical="center"/>
      <protection hidden="1"/>
    </xf>
    <xf numFmtId="0" fontId="0" fillId="0" borderId="25" xfId="0" applyBorder="1" applyAlignment="1">
      <alignment horizontal="left" vertical="center"/>
    </xf>
    <xf numFmtId="167" fontId="0" fillId="4" borderId="23" xfId="0" applyNumberFormat="1" applyFill="1" applyBorder="1" applyAlignment="1" applyProtection="1">
      <alignment horizontal="center" vertical="center"/>
      <protection hidden="1"/>
    </xf>
    <xf numFmtId="0" fontId="5" fillId="4" borderId="2" xfId="0" applyFont="1" applyFill="1" applyBorder="1" applyAlignment="1">
      <alignment horizontal="center" vertical="center"/>
    </xf>
    <xf numFmtId="167" fontId="0" fillId="6" borderId="20" xfId="0" applyNumberFormat="1" applyFill="1" applyBorder="1" applyAlignment="1" applyProtection="1">
      <alignment horizontal="center" vertical="center"/>
      <protection hidden="1"/>
    </xf>
    <xf numFmtId="0" fontId="30" fillId="5" borderId="22" xfId="0" applyFont="1" applyFill="1" applyBorder="1" applyAlignment="1" applyProtection="1">
      <alignment horizontal="left" vertical="center"/>
      <protection hidden="1"/>
    </xf>
    <xf numFmtId="0" fontId="30" fillId="5" borderId="22" xfId="0" applyFont="1" applyFill="1" applyBorder="1" applyAlignment="1">
      <alignment horizontal="left"/>
    </xf>
    <xf numFmtId="0" fontId="30" fillId="5" borderId="25" xfId="0" applyFont="1" applyFill="1" applyBorder="1" applyAlignment="1" applyProtection="1">
      <alignment horizontal="left" vertical="center"/>
      <protection hidden="1"/>
    </xf>
    <xf numFmtId="0" fontId="30" fillId="5" borderId="6" xfId="0" applyFont="1" applyFill="1" applyBorder="1" applyAlignment="1" applyProtection="1">
      <alignment horizontal="left" vertical="center"/>
      <protection hidden="1"/>
    </xf>
    <xf numFmtId="0" fontId="30" fillId="5" borderId="13" xfId="0" applyFont="1" applyFill="1" applyBorder="1" applyAlignment="1" applyProtection="1">
      <alignment horizontal="left" vertical="center"/>
      <protection hidden="1"/>
    </xf>
    <xf numFmtId="0" fontId="30" fillId="5" borderId="6" xfId="0" applyFont="1" applyFill="1" applyBorder="1" applyAlignment="1" applyProtection="1">
      <alignment horizontal="left" vertical="center" wrapText="1"/>
      <protection hidden="1"/>
    </xf>
    <xf numFmtId="0" fontId="0" fillId="3" borderId="22" xfId="0" applyFill="1" applyBorder="1" applyAlignment="1">
      <alignment horizontal="left" vertical="center"/>
    </xf>
    <xf numFmtId="0" fontId="7" fillId="2" borderId="12" xfId="0" applyFont="1" applyFill="1" applyBorder="1" applyAlignment="1" applyProtection="1">
      <alignment horizontal="left" vertical="center"/>
      <protection hidden="1"/>
    </xf>
    <xf numFmtId="0" fontId="0" fillId="0" borderId="12" xfId="0" applyBorder="1" applyAlignment="1" applyProtection="1">
      <alignment horizontal="center" vertical="center" wrapText="1"/>
      <protection hidden="1"/>
    </xf>
    <xf numFmtId="0" fontId="0" fillId="0" borderId="9" xfId="0" applyBorder="1" applyAlignment="1" applyProtection="1">
      <alignment horizontal="center" vertical="center" wrapText="1"/>
      <protection hidden="1"/>
    </xf>
    <xf numFmtId="0" fontId="0" fillId="0" borderId="0" xfId="0" applyAlignment="1" applyProtection="1">
      <alignment horizontal="center" vertical="center" wrapText="1"/>
      <protection hidden="1"/>
    </xf>
    <xf numFmtId="0" fontId="0" fillId="0" borderId="14" xfId="0" applyBorder="1" applyAlignment="1" applyProtection="1">
      <alignment horizontal="center" vertical="center" wrapText="1"/>
      <protection hidden="1"/>
    </xf>
    <xf numFmtId="0" fontId="21" fillId="12" borderId="12" xfId="0" applyFont="1" applyFill="1" applyBorder="1" applyAlignment="1">
      <alignment horizontal="center" vertical="center" wrapText="1"/>
    </xf>
    <xf numFmtId="0" fontId="0" fillId="0" borderId="38" xfId="0" applyBorder="1" applyAlignment="1" applyProtection="1">
      <alignment horizontal="center" vertical="center" wrapText="1"/>
      <protection hidden="1"/>
    </xf>
    <xf numFmtId="0" fontId="0" fillId="0" borderId="39" xfId="0" applyBorder="1" applyAlignment="1" applyProtection="1">
      <alignment horizontal="center" vertical="center" wrapText="1"/>
      <protection hidden="1"/>
    </xf>
    <xf numFmtId="168" fontId="0" fillId="0" borderId="40" xfId="0" applyNumberFormat="1" applyBorder="1" applyAlignment="1" applyProtection="1">
      <alignment horizontal="center" vertical="center" wrapText="1"/>
      <protection hidden="1"/>
    </xf>
    <xf numFmtId="168" fontId="0" fillId="0" borderId="41" xfId="0" applyNumberFormat="1" applyBorder="1" applyAlignment="1" applyProtection="1">
      <alignment horizontal="center" vertical="center" wrapText="1"/>
      <protection hidden="1"/>
    </xf>
    <xf numFmtId="168" fontId="0" fillId="0" borderId="42" xfId="0" applyNumberFormat="1" applyBorder="1" applyAlignment="1" applyProtection="1">
      <alignment horizontal="center" vertical="center" wrapText="1"/>
      <protection hidden="1"/>
    </xf>
    <xf numFmtId="0" fontId="0" fillId="0" borderId="42" xfId="0" applyBorder="1" applyAlignment="1" applyProtection="1">
      <alignment horizontal="center" vertical="center" wrapText="1"/>
      <protection hidden="1"/>
    </xf>
    <xf numFmtId="0" fontId="0" fillId="0" borderId="40" xfId="0" applyBorder="1" applyAlignment="1" applyProtection="1">
      <alignment horizontal="center" vertical="center" wrapText="1"/>
      <protection hidden="1"/>
    </xf>
    <xf numFmtId="0" fontId="0" fillId="0" borderId="41" xfId="0" applyBorder="1" applyAlignment="1" applyProtection="1">
      <alignment horizontal="center" vertical="center" wrapText="1"/>
      <protection hidden="1"/>
    </xf>
    <xf numFmtId="0" fontId="5" fillId="0" borderId="40" xfId="0" applyFont="1" applyBorder="1" applyAlignment="1" applyProtection="1">
      <alignment horizontal="center" vertical="center" wrapText="1"/>
      <protection hidden="1"/>
    </xf>
    <xf numFmtId="0" fontId="5" fillId="0" borderId="38" xfId="0" applyFont="1" applyBorder="1" applyAlignment="1" applyProtection="1">
      <alignment horizontal="center" vertical="center" wrapText="1"/>
      <protection hidden="1"/>
    </xf>
    <xf numFmtId="0" fontId="5" fillId="0" borderId="39" xfId="0" applyFont="1" applyBorder="1" applyAlignment="1" applyProtection="1">
      <alignment horizontal="center" vertical="center" wrapText="1"/>
      <protection hidden="1"/>
    </xf>
    <xf numFmtId="167" fontId="0" fillId="10" borderId="31" xfId="0" applyNumberFormat="1" applyFill="1" applyBorder="1" applyAlignment="1" applyProtection="1">
      <alignment horizontal="center" vertical="center"/>
      <protection locked="0" hidden="1"/>
    </xf>
    <xf numFmtId="167" fontId="0" fillId="11" borderId="32" xfId="0" applyNumberFormat="1" applyFill="1" applyBorder="1" applyAlignment="1" applyProtection="1">
      <alignment horizontal="center" vertical="center"/>
      <protection locked="0" hidden="1"/>
    </xf>
    <xf numFmtId="3" fontId="0" fillId="11" borderId="7" xfId="0" applyNumberFormat="1" applyFill="1" applyBorder="1" applyAlignment="1" applyProtection="1">
      <alignment horizontal="center" vertical="center"/>
      <protection locked="0" hidden="1"/>
    </xf>
    <xf numFmtId="3" fontId="0" fillId="11" borderId="3" xfId="0" applyNumberFormat="1" applyFill="1" applyBorder="1" applyAlignment="1" applyProtection="1">
      <alignment horizontal="center" vertical="center"/>
      <protection locked="0" hidden="1"/>
    </xf>
    <xf numFmtId="3" fontId="0" fillId="11" borderId="29" xfId="0" applyNumberFormat="1" applyFill="1" applyBorder="1" applyAlignment="1" applyProtection="1">
      <alignment horizontal="center" vertical="center"/>
      <protection locked="0" hidden="1"/>
    </xf>
    <xf numFmtId="167" fontId="0" fillId="6" borderId="31" xfId="0" applyNumberFormat="1" applyFill="1" applyBorder="1" applyAlignment="1" applyProtection="1">
      <alignment horizontal="center" vertical="center"/>
      <protection hidden="1"/>
    </xf>
    <xf numFmtId="167" fontId="0" fillId="6" borderId="32" xfId="0" applyNumberFormat="1" applyFill="1" applyBorder="1" applyAlignment="1" applyProtection="1">
      <alignment horizontal="center" vertical="center"/>
      <protection hidden="1"/>
    </xf>
    <xf numFmtId="167" fontId="0" fillId="4" borderId="7" xfId="0" applyNumberFormat="1" applyFill="1" applyBorder="1" applyAlignment="1" applyProtection="1">
      <alignment horizontal="center" vertical="center"/>
      <protection hidden="1"/>
    </xf>
    <xf numFmtId="167" fontId="0" fillId="10" borderId="31" xfId="0" applyNumberFormat="1" applyFill="1" applyBorder="1" applyAlignment="1" applyProtection="1">
      <alignment horizontal="center" vertical="center"/>
      <protection hidden="1"/>
    </xf>
    <xf numFmtId="167" fontId="0" fillId="10" borderId="32" xfId="0" applyNumberFormat="1" applyFill="1" applyBorder="1" applyAlignment="1" applyProtection="1">
      <alignment horizontal="center" vertical="center"/>
      <protection hidden="1"/>
    </xf>
    <xf numFmtId="0" fontId="0" fillId="0" borderId="33" xfId="0" applyBorder="1" applyAlignment="1" applyProtection="1">
      <alignment vertical="center" wrapText="1"/>
      <protection hidden="1"/>
    </xf>
    <xf numFmtId="3" fontId="0" fillId="11" borderId="1" xfId="0" applyNumberFormat="1" applyFill="1" applyBorder="1" applyAlignment="1" applyProtection="1">
      <alignment horizontal="center" vertical="center"/>
      <protection locked="0" hidden="1"/>
    </xf>
    <xf numFmtId="3" fontId="0" fillId="11" borderId="23" xfId="0" applyNumberFormat="1" applyFill="1" applyBorder="1" applyAlignment="1" applyProtection="1">
      <alignment horizontal="center" vertical="center"/>
      <protection locked="0" hidden="1"/>
    </xf>
    <xf numFmtId="0" fontId="0" fillId="0" borderId="51" xfId="0" applyBorder="1" applyAlignment="1" applyProtection="1">
      <alignment horizontal="center" vertical="center"/>
      <protection hidden="1"/>
    </xf>
    <xf numFmtId="0" fontId="30" fillId="5" borderId="11" xfId="0" applyFont="1" applyFill="1" applyBorder="1" applyAlignment="1" applyProtection="1">
      <alignment horizontal="left" vertical="center"/>
      <protection hidden="1"/>
    </xf>
    <xf numFmtId="0" fontId="30" fillId="5" borderId="33" xfId="0" applyFont="1" applyFill="1" applyBorder="1" applyAlignment="1" applyProtection="1">
      <alignment horizontal="left" vertical="center"/>
      <protection hidden="1"/>
    </xf>
    <xf numFmtId="167" fontId="0" fillId="4" borderId="22" xfId="0" applyNumberFormat="1" applyFill="1" applyBorder="1" applyAlignment="1" applyProtection="1">
      <alignment horizontal="center" vertical="center"/>
      <protection hidden="1"/>
    </xf>
    <xf numFmtId="0" fontId="30" fillId="5" borderId="34" xfId="0" applyFont="1" applyFill="1" applyBorder="1" applyAlignment="1" applyProtection="1">
      <alignment horizontal="left" vertical="center"/>
      <protection hidden="1"/>
    </xf>
    <xf numFmtId="0" fontId="30" fillId="5" borderId="11" xfId="0" applyFont="1" applyFill="1" applyBorder="1" applyAlignment="1" applyProtection="1">
      <alignment horizontal="left" vertical="center" wrapText="1"/>
      <protection hidden="1"/>
    </xf>
    <xf numFmtId="0" fontId="30" fillId="5" borderId="8" xfId="0" applyFont="1" applyFill="1" applyBorder="1" applyAlignment="1" applyProtection="1">
      <alignment horizontal="left" vertical="center" wrapText="1"/>
      <protection hidden="1"/>
    </xf>
    <xf numFmtId="0" fontId="7" fillId="2" borderId="13" xfId="0" applyFont="1" applyFill="1" applyBorder="1" applyAlignment="1" applyProtection="1">
      <alignment horizontal="left" vertical="center"/>
      <protection hidden="1"/>
    </xf>
    <xf numFmtId="0" fontId="7" fillId="2" borderId="14" xfId="0" applyFont="1" applyFill="1" applyBorder="1" applyAlignment="1" applyProtection="1">
      <alignment horizontal="left" vertical="center"/>
      <protection hidden="1"/>
    </xf>
    <xf numFmtId="0" fontId="2" fillId="7" borderId="13" xfId="0" applyFont="1" applyFill="1" applyBorder="1" applyAlignment="1" applyProtection="1">
      <alignment horizontal="left" vertical="center"/>
      <protection hidden="1"/>
    </xf>
    <xf numFmtId="0" fontId="2" fillId="7" borderId="14" xfId="0" applyFont="1" applyFill="1" applyBorder="1" applyAlignment="1" applyProtection="1">
      <alignment vertical="center"/>
      <protection hidden="1"/>
    </xf>
    <xf numFmtId="0" fontId="2" fillId="7" borderId="14" xfId="0" applyFont="1" applyFill="1" applyBorder="1" applyAlignment="1" applyProtection="1">
      <alignment vertical="center" wrapText="1"/>
      <protection hidden="1"/>
    </xf>
    <xf numFmtId="167" fontId="2" fillId="7" borderId="35" xfId="0" applyNumberFormat="1" applyFont="1" applyFill="1" applyBorder="1" applyAlignment="1" applyProtection="1">
      <alignment horizontal="center" vertical="center"/>
      <protection hidden="1"/>
    </xf>
    <xf numFmtId="0" fontId="2" fillId="6" borderId="33" xfId="0" applyFont="1" applyFill="1" applyBorder="1" applyAlignment="1" applyProtection="1">
      <alignment horizontal="left" vertical="center"/>
      <protection hidden="1"/>
    </xf>
    <xf numFmtId="0" fontId="2" fillId="6" borderId="22" xfId="0" applyFont="1" applyFill="1" applyBorder="1" applyAlignment="1" applyProtection="1">
      <alignment horizontal="left" vertical="center"/>
      <protection hidden="1"/>
    </xf>
    <xf numFmtId="0" fontId="10" fillId="0" borderId="2" xfId="0" applyFont="1" applyBorder="1" applyAlignment="1" applyProtection="1">
      <alignment horizontal="center" vertical="center"/>
      <protection hidden="1"/>
    </xf>
    <xf numFmtId="0" fontId="2" fillId="6" borderId="25" xfId="0" applyFont="1" applyFill="1" applyBorder="1" applyAlignment="1" applyProtection="1">
      <alignment horizontal="left" vertical="center"/>
      <protection hidden="1"/>
    </xf>
    <xf numFmtId="0" fontId="12" fillId="0" borderId="2" xfId="0" applyFont="1" applyBorder="1" applyAlignment="1" applyProtection="1">
      <alignment vertical="center"/>
      <protection hidden="1"/>
    </xf>
    <xf numFmtId="0" fontId="12" fillId="0" borderId="2" xfId="0" applyFont="1" applyBorder="1" applyAlignment="1" applyProtection="1">
      <alignment horizontal="center" vertical="center" wrapText="1"/>
      <protection hidden="1"/>
    </xf>
    <xf numFmtId="0" fontId="12" fillId="0" borderId="2" xfId="0" applyFont="1" applyBorder="1" applyAlignment="1" applyProtection="1">
      <alignment horizontal="left" vertical="center" wrapText="1"/>
      <protection hidden="1"/>
    </xf>
    <xf numFmtId="0" fontId="12" fillId="6" borderId="33" xfId="0" applyFont="1" applyFill="1" applyBorder="1" applyAlignment="1" applyProtection="1">
      <alignment horizontal="left" vertical="center"/>
      <protection hidden="1"/>
    </xf>
    <xf numFmtId="0" fontId="12" fillId="0" borderId="1" xfId="0" applyFont="1" applyBorder="1" applyAlignment="1" applyProtection="1">
      <alignment vertical="center"/>
      <protection hidden="1"/>
    </xf>
    <xf numFmtId="0" fontId="12" fillId="6" borderId="22" xfId="0" applyFont="1" applyFill="1" applyBorder="1" applyAlignment="1" applyProtection="1">
      <alignment horizontal="left" vertical="center"/>
      <protection hidden="1"/>
    </xf>
    <xf numFmtId="0" fontId="12" fillId="6" borderId="34" xfId="0" applyFont="1" applyFill="1" applyBorder="1" applyAlignment="1" applyProtection="1">
      <alignment horizontal="left" vertical="center"/>
      <protection hidden="1"/>
    </xf>
    <xf numFmtId="0" fontId="12" fillId="0" borderId="23" xfId="0" applyFont="1" applyBorder="1" applyAlignment="1" applyProtection="1">
      <alignment vertical="center"/>
      <protection hidden="1"/>
    </xf>
    <xf numFmtId="0" fontId="0" fillId="4" borderId="2" xfId="0" applyFill="1" applyBorder="1" applyAlignment="1" applyProtection="1">
      <alignment horizontal="center" vertical="center" wrapText="1"/>
      <protection hidden="1"/>
    </xf>
    <xf numFmtId="0" fontId="5" fillId="4" borderId="28" xfId="0" applyFont="1" applyFill="1" applyBorder="1" applyAlignment="1" applyProtection="1">
      <alignment horizontal="center" vertical="center" wrapText="1"/>
      <protection hidden="1"/>
    </xf>
    <xf numFmtId="0" fontId="5" fillId="4" borderId="5" xfId="0" applyFont="1" applyFill="1" applyBorder="1" applyAlignment="1" applyProtection="1">
      <alignment horizontal="center" vertical="center" wrapText="1"/>
      <protection hidden="1"/>
    </xf>
    <xf numFmtId="0" fontId="0" fillId="0" borderId="28" xfId="0" applyBorder="1" applyAlignment="1" applyProtection="1">
      <alignment vertical="center" wrapText="1"/>
      <protection hidden="1"/>
    </xf>
    <xf numFmtId="0" fontId="0" fillId="4" borderId="1" xfId="0" applyFill="1" applyBorder="1" applyAlignment="1" applyProtection="1">
      <alignment horizontal="center" vertical="center" wrapText="1"/>
      <protection hidden="1"/>
    </xf>
    <xf numFmtId="0" fontId="0" fillId="4" borderId="23" xfId="0" applyFill="1" applyBorder="1" applyAlignment="1" applyProtection="1">
      <alignment horizontal="center" vertical="center" wrapText="1"/>
      <protection hidden="1"/>
    </xf>
    <xf numFmtId="0" fontId="0" fillId="4" borderId="28" xfId="0" applyFill="1" applyBorder="1" applyAlignment="1" applyProtection="1">
      <alignment horizontal="center" vertical="center" wrapText="1"/>
      <protection hidden="1"/>
    </xf>
    <xf numFmtId="0" fontId="0" fillId="6" borderId="23" xfId="0" applyFill="1" applyBorder="1" applyAlignment="1" applyProtection="1">
      <alignment horizontal="center" vertical="center" wrapText="1"/>
      <protection hidden="1"/>
    </xf>
    <xf numFmtId="0" fontId="0" fillId="6" borderId="2" xfId="0" applyFill="1" applyBorder="1" applyAlignment="1" applyProtection="1">
      <alignment horizontal="center" vertical="center" wrapText="1"/>
      <protection hidden="1"/>
    </xf>
    <xf numFmtId="0" fontId="0" fillId="4" borderId="5" xfId="0" applyFill="1" applyBorder="1" applyAlignment="1" applyProtection="1">
      <alignment horizontal="center" vertical="center" wrapText="1"/>
      <protection hidden="1"/>
    </xf>
    <xf numFmtId="0" fontId="0" fillId="6" borderId="1" xfId="0" applyFill="1" applyBorder="1" applyAlignment="1" applyProtection="1">
      <alignment horizontal="center" vertical="center" wrapText="1"/>
      <protection hidden="1"/>
    </xf>
    <xf numFmtId="0" fontId="0" fillId="6" borderId="5" xfId="0" applyFill="1" applyBorder="1" applyAlignment="1" applyProtection="1">
      <alignment horizontal="center" vertical="center" wrapText="1"/>
      <protection hidden="1"/>
    </xf>
    <xf numFmtId="0" fontId="0" fillId="4" borderId="12" xfId="0" applyFill="1" applyBorder="1" applyAlignment="1" applyProtection="1">
      <alignment horizontal="center" vertical="center" wrapText="1"/>
      <protection hidden="1"/>
    </xf>
    <xf numFmtId="0" fontId="0" fillId="3" borderId="14" xfId="0" applyFill="1" applyBorder="1" applyAlignment="1" applyProtection="1">
      <alignment horizontal="center" vertical="center" wrapText="1"/>
      <protection hidden="1"/>
    </xf>
    <xf numFmtId="0" fontId="5" fillId="4" borderId="2" xfId="0" applyFont="1" applyFill="1" applyBorder="1" applyAlignment="1">
      <alignment horizontal="center" vertical="center" wrapText="1"/>
    </xf>
    <xf numFmtId="167" fontId="0" fillId="6" borderId="2" xfId="0" applyNumberFormat="1" applyFill="1" applyBorder="1" applyAlignment="1" applyProtection="1">
      <alignment horizontal="center" vertical="center" wrapText="1"/>
      <protection hidden="1"/>
    </xf>
    <xf numFmtId="0" fontId="0" fillId="0" borderId="12" xfId="0" applyBorder="1" applyAlignment="1" applyProtection="1">
      <alignment vertical="center" wrapText="1"/>
      <protection hidden="1"/>
    </xf>
    <xf numFmtId="0" fontId="0" fillId="0" borderId="0" xfId="0" applyAlignment="1" applyProtection="1">
      <alignment vertical="center" wrapText="1"/>
      <protection hidden="1"/>
    </xf>
    <xf numFmtId="0" fontId="7" fillId="2" borderId="14" xfId="0" applyFont="1" applyFill="1" applyBorder="1" applyAlignment="1" applyProtection="1">
      <alignment horizontal="left" vertical="center" wrapText="1"/>
      <protection hidden="1"/>
    </xf>
    <xf numFmtId="0" fontId="8" fillId="0" borderId="2" xfId="0" applyFont="1" applyBorder="1" applyAlignment="1" applyProtection="1">
      <alignment vertical="center" wrapText="1"/>
      <protection hidden="1"/>
    </xf>
    <xf numFmtId="0" fontId="0" fillId="0" borderId="5" xfId="0" applyBorder="1" applyAlignment="1" applyProtection="1">
      <alignment vertical="center" wrapText="1"/>
      <protection hidden="1"/>
    </xf>
    <xf numFmtId="0" fontId="7" fillId="2" borderId="12" xfId="0" applyFont="1" applyFill="1" applyBorder="1" applyAlignment="1" applyProtection="1">
      <alignment horizontal="left" vertical="center" wrapText="1"/>
      <protection hidden="1"/>
    </xf>
    <xf numFmtId="0" fontId="12" fillId="0" borderId="1" xfId="0" applyFont="1" applyBorder="1" applyAlignment="1" applyProtection="1">
      <alignment vertical="center" wrapText="1" shrinkToFit="1"/>
      <protection hidden="1"/>
    </xf>
    <xf numFmtId="0" fontId="12" fillId="0" borderId="23" xfId="0" applyFont="1" applyBorder="1" applyAlignment="1" applyProtection="1">
      <alignment horizontal="center" vertical="center" wrapText="1"/>
      <protection hidden="1"/>
    </xf>
    <xf numFmtId="0" fontId="3" fillId="3" borderId="0" xfId="0" applyFont="1" applyFill="1" applyAlignment="1" applyProtection="1">
      <alignment vertical="center" wrapText="1"/>
      <protection hidden="1"/>
    </xf>
    <xf numFmtId="0" fontId="3" fillId="0" borderId="0" xfId="0" applyFont="1" applyAlignment="1" applyProtection="1">
      <alignment vertical="center" wrapText="1"/>
      <protection hidden="1"/>
    </xf>
    <xf numFmtId="0" fontId="0" fillId="0" borderId="0" xfId="0" applyAlignment="1">
      <alignment horizontal="center" vertical="center"/>
    </xf>
    <xf numFmtId="167" fontId="32" fillId="0" borderId="47" xfId="0" applyNumberFormat="1" applyFont="1" applyBorder="1" applyAlignment="1">
      <alignment horizontal="center" vertical="center"/>
    </xf>
    <xf numFmtId="167" fontId="32" fillId="0" borderId="44" xfId="0" applyNumberFormat="1" applyFont="1" applyBorder="1" applyAlignment="1">
      <alignment horizontal="center" vertical="center"/>
    </xf>
    <xf numFmtId="167" fontId="32" fillId="0" borderId="45" xfId="0" applyNumberFormat="1" applyFont="1" applyBorder="1" applyAlignment="1">
      <alignment horizontal="center" vertical="center"/>
    </xf>
    <xf numFmtId="167" fontId="32" fillId="0" borderId="46" xfId="0" applyNumberFormat="1" applyFont="1" applyBorder="1" applyAlignment="1">
      <alignment horizontal="center" vertical="center"/>
    </xf>
    <xf numFmtId="167" fontId="32" fillId="0" borderId="48" xfId="0" applyNumberFormat="1" applyFont="1" applyBorder="1" applyAlignment="1">
      <alignment horizontal="center" vertical="center"/>
    </xf>
    <xf numFmtId="167" fontId="32" fillId="0" borderId="18" xfId="0" applyNumberFormat="1" applyFont="1" applyBorder="1" applyAlignment="1">
      <alignment horizontal="center" vertical="center"/>
    </xf>
    <xf numFmtId="167" fontId="32" fillId="0" borderId="53" xfId="0" applyNumberFormat="1" applyFont="1" applyBorder="1" applyAlignment="1">
      <alignment horizontal="center" vertical="center"/>
    </xf>
    <xf numFmtId="0" fontId="0" fillId="0" borderId="0" xfId="0" applyAlignment="1">
      <alignment vertical="center"/>
    </xf>
    <xf numFmtId="0" fontId="0" fillId="0" borderId="12" xfId="0" applyBorder="1" applyAlignment="1">
      <alignment vertical="center"/>
    </xf>
    <xf numFmtId="0" fontId="0" fillId="0" borderId="1" xfId="0" applyBorder="1" applyAlignment="1">
      <alignment vertical="center"/>
    </xf>
    <xf numFmtId="0" fontId="0" fillId="0" borderId="2" xfId="0" applyBorder="1" applyAlignment="1">
      <alignment vertical="center"/>
    </xf>
    <xf numFmtId="0" fontId="0" fillId="0" borderId="9" xfId="0" applyBorder="1" applyAlignment="1">
      <alignment vertical="center"/>
    </xf>
    <xf numFmtId="0" fontId="0" fillId="0" borderId="23" xfId="0" applyBorder="1" applyAlignment="1">
      <alignment vertical="center"/>
    </xf>
    <xf numFmtId="0" fontId="0" fillId="0" borderId="28" xfId="0" applyBorder="1" applyAlignment="1">
      <alignment vertical="center"/>
    </xf>
    <xf numFmtId="0" fontId="0" fillId="0" borderId="5" xfId="0" applyBorder="1" applyAlignment="1">
      <alignment vertical="center"/>
    </xf>
    <xf numFmtId="0" fontId="5" fillId="0" borderId="41" xfId="0" applyFont="1" applyBorder="1" applyAlignment="1" applyProtection="1">
      <alignment horizontal="center" vertical="center" wrapText="1"/>
      <protection hidden="1"/>
    </xf>
    <xf numFmtId="0" fontId="30" fillId="5" borderId="22" xfId="0" applyFont="1" applyFill="1" applyBorder="1" applyAlignment="1">
      <alignment horizontal="left" vertical="center"/>
    </xf>
    <xf numFmtId="0" fontId="30" fillId="5" borderId="34" xfId="0" applyFont="1" applyFill="1" applyBorder="1" applyAlignment="1">
      <alignment horizontal="left" vertical="center"/>
    </xf>
    <xf numFmtId="0" fontId="0" fillId="0" borderId="14" xfId="0" applyBorder="1" applyAlignment="1">
      <alignment vertical="center"/>
    </xf>
    <xf numFmtId="0" fontId="0" fillId="0" borderId="6" xfId="0" applyBorder="1" applyAlignment="1">
      <alignment horizontal="left" vertical="center"/>
    </xf>
    <xf numFmtId="0" fontId="0" fillId="0" borderId="2" xfId="0" applyBorder="1" applyAlignment="1">
      <alignment horizontal="center" vertical="center"/>
    </xf>
    <xf numFmtId="0" fontId="2" fillId="0" borderId="2" xfId="0" applyFont="1" applyBorder="1" applyAlignment="1">
      <alignment vertical="center"/>
    </xf>
    <xf numFmtId="0" fontId="3" fillId="0" borderId="0" xfId="0" applyFont="1" applyAlignment="1" applyProtection="1">
      <alignment horizontal="center" vertical="center" wrapText="1"/>
      <protection hidden="1"/>
    </xf>
    <xf numFmtId="0" fontId="3" fillId="0" borderId="0" xfId="0" applyFont="1" applyAlignment="1" applyProtection="1">
      <alignment horizontal="center" vertical="center"/>
      <protection hidden="1"/>
    </xf>
    <xf numFmtId="167" fontId="3" fillId="0" borderId="0" xfId="0" applyNumberFormat="1" applyFont="1" applyAlignment="1" applyProtection="1">
      <alignment horizontal="center" vertical="center"/>
      <protection hidden="1"/>
    </xf>
    <xf numFmtId="0" fontId="3" fillId="0" borderId="6" xfId="0" applyFont="1" applyBorder="1" applyAlignment="1" applyProtection="1">
      <alignment horizontal="left" vertical="center"/>
      <protection hidden="1"/>
    </xf>
    <xf numFmtId="0" fontId="2" fillId="0" borderId="0" xfId="0" applyFont="1" applyAlignment="1" applyProtection="1">
      <alignment horizontal="center" vertical="center"/>
      <protection hidden="1"/>
    </xf>
    <xf numFmtId="0" fontId="3" fillId="0" borderId="8" xfId="0" applyFont="1" applyBorder="1" applyAlignment="1" applyProtection="1">
      <alignment horizontal="left" vertical="center"/>
      <protection hidden="1"/>
    </xf>
    <xf numFmtId="0" fontId="3" fillId="0" borderId="9" xfId="0" applyFont="1" applyBorder="1" applyAlignment="1" applyProtection="1">
      <alignment horizontal="center" vertical="center" wrapText="1"/>
      <protection hidden="1"/>
    </xf>
    <xf numFmtId="0" fontId="3" fillId="0" borderId="9" xfId="0" applyFont="1" applyBorder="1" applyAlignment="1" applyProtection="1">
      <alignment horizontal="center" vertical="center"/>
      <protection hidden="1"/>
    </xf>
    <xf numFmtId="167" fontId="3" fillId="0" borderId="9" xfId="0" applyNumberFormat="1" applyFont="1" applyBorder="1" applyAlignment="1" applyProtection="1">
      <alignment horizontal="center" vertical="center"/>
      <protection hidden="1"/>
    </xf>
    <xf numFmtId="0" fontId="3" fillId="3" borderId="0" xfId="0" applyFont="1" applyFill="1" applyAlignment="1" applyProtection="1">
      <alignment horizontal="left" vertical="center"/>
      <protection hidden="1"/>
    </xf>
    <xf numFmtId="0" fontId="3" fillId="3" borderId="0" xfId="0" applyFont="1" applyFill="1" applyAlignment="1" applyProtection="1">
      <alignment horizontal="center" vertical="center" wrapText="1"/>
      <protection hidden="1"/>
    </xf>
    <xf numFmtId="0" fontId="3" fillId="3" borderId="0" xfId="0" applyFont="1" applyFill="1" applyAlignment="1" applyProtection="1">
      <alignment horizontal="center" vertical="center"/>
      <protection hidden="1"/>
    </xf>
    <xf numFmtId="167" fontId="3" fillId="3" borderId="0" xfId="0" applyNumberFormat="1" applyFont="1" applyFill="1" applyAlignment="1" applyProtection="1">
      <alignment horizontal="center" vertical="center"/>
      <protection hidden="1"/>
    </xf>
    <xf numFmtId="0" fontId="0" fillId="0" borderId="0" xfId="0" applyAlignment="1">
      <alignment horizontal="left" vertical="center"/>
    </xf>
    <xf numFmtId="167" fontId="3" fillId="3" borderId="0" xfId="0" applyNumberFormat="1" applyFont="1" applyFill="1" applyAlignment="1" applyProtection="1">
      <alignment horizontal="center" vertical="center" wrapText="1"/>
      <protection hidden="1"/>
    </xf>
    <xf numFmtId="0" fontId="0" fillId="0" borderId="0" xfId="0" applyAlignment="1">
      <alignment vertical="center" wrapText="1"/>
    </xf>
    <xf numFmtId="167" fontId="0" fillId="0" borderId="0" xfId="0" applyNumberFormat="1" applyAlignment="1">
      <alignment horizontal="center" vertical="center"/>
    </xf>
    <xf numFmtId="0" fontId="2" fillId="0" borderId="33" xfId="0" applyFont="1" applyBorder="1" applyAlignment="1" applyProtection="1">
      <alignment horizontal="left" vertical="center"/>
      <protection hidden="1"/>
    </xf>
    <xf numFmtId="0" fontId="2" fillId="0" borderId="22" xfId="0" applyFont="1" applyBorder="1" applyAlignment="1" applyProtection="1">
      <alignment horizontal="left" vertical="center"/>
      <protection hidden="1"/>
    </xf>
    <xf numFmtId="0" fontId="2" fillId="0" borderId="34" xfId="0" applyFont="1" applyBorder="1" applyAlignment="1" applyProtection="1">
      <alignment horizontal="left" vertical="center"/>
      <protection hidden="1"/>
    </xf>
    <xf numFmtId="0" fontId="7" fillId="2" borderId="11" xfId="0" applyFont="1" applyFill="1" applyBorder="1" applyAlignment="1" applyProtection="1">
      <alignment horizontal="left" vertical="center"/>
      <protection hidden="1"/>
    </xf>
    <xf numFmtId="0" fontId="0" fillId="0" borderId="6" xfId="0" applyBorder="1" applyAlignment="1" applyProtection="1">
      <alignment horizontal="left" vertical="center"/>
      <protection hidden="1"/>
    </xf>
    <xf numFmtId="0" fontId="0" fillId="0" borderId="33" xfId="0" applyBorder="1" applyAlignment="1" applyProtection="1">
      <alignment horizontal="left" vertical="center"/>
      <protection hidden="1"/>
    </xf>
    <xf numFmtId="0" fontId="0" fillId="0" borderId="22" xfId="0" applyBorder="1" applyAlignment="1" applyProtection="1">
      <alignment horizontal="left" vertical="center"/>
      <protection hidden="1"/>
    </xf>
    <xf numFmtId="0" fontId="0" fillId="0" borderId="34" xfId="0" applyBorder="1" applyAlignment="1" applyProtection="1">
      <alignment horizontal="left" vertical="center"/>
      <protection hidden="1"/>
    </xf>
    <xf numFmtId="0" fontId="0" fillId="0" borderId="22" xfId="0" applyBorder="1" applyAlignment="1" applyProtection="1">
      <alignment vertical="center" wrapText="1"/>
      <protection hidden="1"/>
    </xf>
    <xf numFmtId="0" fontId="0" fillId="0" borderId="2" xfId="0" applyBorder="1" applyAlignment="1" applyProtection="1">
      <alignment vertical="center" wrapText="1"/>
      <protection hidden="1"/>
    </xf>
    <xf numFmtId="0" fontId="0" fillId="0" borderId="34" xfId="0" applyBorder="1" applyAlignment="1" applyProtection="1">
      <alignment vertical="center" wrapText="1"/>
      <protection hidden="1"/>
    </xf>
    <xf numFmtId="0" fontId="0" fillId="0" borderId="23" xfId="0" applyBorder="1" applyAlignment="1" applyProtection="1">
      <alignment vertical="center" wrapText="1"/>
      <protection hidden="1"/>
    </xf>
    <xf numFmtId="0" fontId="0" fillId="0" borderId="36" xfId="0" applyBorder="1" applyAlignment="1" applyProtection="1">
      <alignment vertical="center"/>
      <protection hidden="1"/>
    </xf>
    <xf numFmtId="0" fontId="0" fillId="0" borderId="22" xfId="0" applyBorder="1" applyAlignment="1" applyProtection="1">
      <alignment vertical="center"/>
      <protection hidden="1"/>
    </xf>
    <xf numFmtId="0" fontId="0" fillId="0" borderId="33" xfId="0" applyBorder="1" applyAlignment="1">
      <alignment horizontal="left" vertical="center"/>
    </xf>
    <xf numFmtId="0" fontId="0" fillId="0" borderId="22" xfId="0" applyBorder="1" applyAlignment="1">
      <alignment horizontal="left" vertical="center"/>
    </xf>
    <xf numFmtId="0" fontId="0" fillId="0" borderId="34" xfId="0" applyBorder="1" applyAlignment="1" applyProtection="1">
      <alignment vertical="center"/>
      <protection hidden="1"/>
    </xf>
    <xf numFmtId="0" fontId="0" fillId="0" borderId="23" xfId="0" applyBorder="1" applyAlignment="1" applyProtection="1">
      <alignment vertical="center"/>
      <protection hidden="1"/>
    </xf>
    <xf numFmtId="0" fontId="0" fillId="0" borderId="5" xfId="0" applyBorder="1" applyAlignment="1" applyProtection="1">
      <alignment horizontal="center" vertical="center"/>
      <protection hidden="1"/>
    </xf>
    <xf numFmtId="0" fontId="0" fillId="0" borderId="23" xfId="0" applyBorder="1" applyAlignment="1" applyProtection="1">
      <alignment horizontal="center" vertical="center"/>
      <protection hidden="1"/>
    </xf>
    <xf numFmtId="0" fontId="2" fillId="0" borderId="33" xfId="0" applyFont="1" applyBorder="1" applyAlignment="1">
      <alignment horizontal="center" vertical="center"/>
    </xf>
    <xf numFmtId="0" fontId="0" fillId="12" borderId="0" xfId="0" applyFill="1" applyAlignment="1">
      <alignment horizontal="center" vertical="center"/>
    </xf>
    <xf numFmtId="0" fontId="2" fillId="0" borderId="22" xfId="0" applyFont="1" applyBorder="1" applyAlignment="1">
      <alignment horizontal="center" vertical="center"/>
    </xf>
    <xf numFmtId="169" fontId="2" fillId="0" borderId="2" xfId="0" applyNumberFormat="1" applyFont="1" applyBorder="1" applyAlignment="1">
      <alignment horizontal="center" vertical="center"/>
    </xf>
    <xf numFmtId="169" fontId="2" fillId="0" borderId="4" xfId="0" applyNumberFormat="1" applyFont="1" applyBorder="1" applyAlignment="1">
      <alignment horizontal="center" vertical="center"/>
    </xf>
    <xf numFmtId="0" fontId="2" fillId="0" borderId="25" xfId="0" applyFont="1" applyBorder="1" applyAlignment="1">
      <alignment horizontal="center" vertical="center"/>
    </xf>
    <xf numFmtId="0" fontId="2" fillId="2" borderId="55" xfId="0" applyFont="1" applyFill="1" applyBorder="1" applyAlignment="1">
      <alignment horizontal="center" vertical="center"/>
    </xf>
    <xf numFmtId="0" fontId="2" fillId="12" borderId="0" xfId="0" applyFont="1" applyFill="1" applyAlignment="1">
      <alignment horizontal="center" vertical="center"/>
    </xf>
    <xf numFmtId="0" fontId="0" fillId="2" borderId="0" xfId="0" applyFill="1" applyAlignment="1">
      <alignment horizontal="center" vertical="center"/>
    </xf>
    <xf numFmtId="170" fontId="2" fillId="0" borderId="0" xfId="0" applyNumberFormat="1" applyFont="1" applyAlignment="1">
      <alignment horizontal="center" vertical="center" wrapText="1"/>
    </xf>
    <xf numFmtId="0" fontId="0" fillId="0" borderId="0" xfId="0" applyAlignment="1">
      <alignment horizontal="center" vertical="center" wrapText="1"/>
    </xf>
    <xf numFmtId="0" fontId="0" fillId="0" borderId="17" xfId="0" applyBorder="1" applyAlignment="1">
      <alignment horizontal="center" vertical="center"/>
    </xf>
    <xf numFmtId="0" fontId="0" fillId="0" borderId="4" xfId="0" applyBorder="1" applyAlignment="1">
      <alignment horizontal="center" vertical="center"/>
    </xf>
    <xf numFmtId="0" fontId="2" fillId="0" borderId="0" xfId="0" applyFont="1" applyAlignment="1">
      <alignment horizontal="center" vertical="center"/>
    </xf>
    <xf numFmtId="169" fontId="2" fillId="0" borderId="39" xfId="0" applyNumberFormat="1" applyFont="1" applyBorder="1" applyAlignment="1">
      <alignment horizontal="center" vertical="center"/>
    </xf>
    <xf numFmtId="169" fontId="2" fillId="0" borderId="0" xfId="0" applyNumberFormat="1" applyFont="1" applyAlignment="1">
      <alignment horizontal="center" vertical="center"/>
    </xf>
    <xf numFmtId="0" fontId="0" fillId="0" borderId="40" xfId="0" applyBorder="1" applyAlignment="1" applyProtection="1">
      <alignment horizontal="center" vertical="center"/>
      <protection hidden="1"/>
    </xf>
    <xf numFmtId="0" fontId="0" fillId="3" borderId="41" xfId="0" applyFill="1" applyBorder="1" applyAlignment="1" applyProtection="1">
      <alignment horizontal="center" vertical="center" wrapText="1"/>
      <protection hidden="1"/>
    </xf>
    <xf numFmtId="0" fontId="2" fillId="0" borderId="22" xfId="0" applyFont="1" applyBorder="1" applyAlignment="1">
      <alignment horizontal="left" vertical="center"/>
    </xf>
    <xf numFmtId="0" fontId="2" fillId="0" borderId="0" xfId="0" applyFont="1" applyAlignment="1">
      <alignment horizontal="left" vertical="center"/>
    </xf>
    <xf numFmtId="0" fontId="2" fillId="0" borderId="5" xfId="0" applyFont="1" applyBorder="1" applyAlignment="1">
      <alignment horizontal="left" vertical="center"/>
    </xf>
    <xf numFmtId="0" fontId="0" fillId="0" borderId="1" xfId="0" applyBorder="1" applyAlignment="1">
      <alignment horizontal="left" vertical="center"/>
    </xf>
    <xf numFmtId="0" fontId="0" fillId="0" borderId="2" xfId="0" applyBorder="1" applyAlignment="1">
      <alignment horizontal="left" vertical="center"/>
    </xf>
    <xf numFmtId="3" fontId="0" fillId="11" borderId="31" xfId="0" applyNumberFormat="1" applyFill="1" applyBorder="1" applyAlignment="1" applyProtection="1">
      <alignment horizontal="center" vertical="center"/>
      <protection locked="0" hidden="1"/>
    </xf>
    <xf numFmtId="0" fontId="30" fillId="5" borderId="34" xfId="0" applyFont="1" applyFill="1" applyBorder="1" applyAlignment="1" applyProtection="1">
      <alignment horizontal="center" vertical="center"/>
      <protection hidden="1"/>
    </xf>
    <xf numFmtId="0" fontId="0" fillId="0" borderId="37" xfId="0" applyBorder="1" applyAlignment="1" applyProtection="1">
      <alignment horizontal="center" vertical="center" wrapText="1"/>
      <protection hidden="1"/>
    </xf>
    <xf numFmtId="3" fontId="0" fillId="6" borderId="32" xfId="0" applyNumberFormat="1" applyFill="1" applyBorder="1" applyAlignment="1" applyProtection="1">
      <alignment horizontal="center" vertical="center"/>
      <protection locked="0" hidden="1"/>
    </xf>
    <xf numFmtId="0" fontId="5" fillId="0" borderId="42" xfId="0" applyFont="1" applyBorder="1" applyAlignment="1" applyProtection="1">
      <alignment horizontal="center" vertical="center" wrapText="1"/>
      <protection hidden="1"/>
    </xf>
    <xf numFmtId="165" fontId="0" fillId="11" borderId="23" xfId="0" applyNumberFormat="1" applyFill="1" applyBorder="1" applyAlignment="1" applyProtection="1">
      <alignment horizontal="center" vertical="center" wrapText="1"/>
      <protection locked="0" hidden="1"/>
    </xf>
    <xf numFmtId="167" fontId="0" fillId="6" borderId="32" xfId="0" applyNumberFormat="1" applyFill="1" applyBorder="1" applyAlignment="1" applyProtection="1">
      <alignment horizontal="center" vertical="center"/>
      <protection locked="0" hidden="1"/>
    </xf>
    <xf numFmtId="0" fontId="0" fillId="0" borderId="56" xfId="0" applyBorder="1" applyAlignment="1" applyProtection="1">
      <alignment horizontal="center" vertical="center"/>
      <protection hidden="1"/>
    </xf>
    <xf numFmtId="0" fontId="5" fillId="0" borderId="57" xfId="0" applyFont="1" applyBorder="1" applyAlignment="1" applyProtection="1">
      <alignment horizontal="center" vertical="center" wrapText="1"/>
      <protection hidden="1"/>
    </xf>
    <xf numFmtId="167" fontId="32" fillId="0" borderId="19" xfId="0" applyNumberFormat="1" applyFont="1" applyBorder="1" applyAlignment="1">
      <alignment horizontal="center" vertical="center"/>
    </xf>
    <xf numFmtId="167" fontId="0" fillId="4" borderId="21" xfId="0" applyNumberFormat="1" applyFill="1" applyBorder="1" applyAlignment="1" applyProtection="1">
      <alignment horizontal="center" vertical="center"/>
      <protection hidden="1"/>
    </xf>
    <xf numFmtId="0" fontId="30" fillId="5" borderId="36" xfId="0" applyFont="1" applyFill="1" applyBorder="1" applyAlignment="1">
      <alignment horizontal="left" vertical="center"/>
    </xf>
    <xf numFmtId="16" fontId="16" fillId="2" borderId="7" xfId="0" applyNumberFormat="1" applyFont="1" applyFill="1" applyBorder="1" applyAlignment="1">
      <alignment vertical="center"/>
    </xf>
    <xf numFmtId="16" fontId="16" fillId="2" borderId="43" xfId="0" applyNumberFormat="1" applyFont="1" applyFill="1" applyBorder="1" applyAlignment="1">
      <alignment vertical="center"/>
    </xf>
    <xf numFmtId="0" fontId="2" fillId="0" borderId="39" xfId="0" applyFont="1" applyBorder="1" applyAlignment="1" applyProtection="1">
      <alignment horizontal="center" vertical="center" wrapText="1"/>
      <protection hidden="1"/>
    </xf>
    <xf numFmtId="0" fontId="10" fillId="0" borderId="39" xfId="0" applyFont="1" applyBorder="1" applyAlignment="1" applyProtection="1">
      <alignment horizontal="center" vertical="center" wrapText="1"/>
      <protection hidden="1"/>
    </xf>
    <xf numFmtId="0" fontId="11" fillId="0" borderId="39" xfId="0" applyFont="1" applyBorder="1" applyAlignment="1" applyProtection="1">
      <alignment horizontal="center" vertical="center" wrapText="1"/>
      <protection hidden="1"/>
    </xf>
    <xf numFmtId="0" fontId="2" fillId="0" borderId="38" xfId="0" applyFont="1" applyBorder="1" applyAlignment="1" applyProtection="1">
      <alignment vertical="center" wrapText="1"/>
      <protection hidden="1"/>
    </xf>
    <xf numFmtId="0" fontId="12" fillId="0" borderId="39" xfId="0" applyFont="1" applyBorder="1" applyAlignment="1" applyProtection="1">
      <alignment horizontal="center" vertical="center" wrapText="1"/>
      <protection hidden="1"/>
    </xf>
    <xf numFmtId="2" fontId="12" fillId="0" borderId="39" xfId="0" applyNumberFormat="1" applyFont="1" applyBorder="1" applyAlignment="1" applyProtection="1">
      <alignment horizontal="center" vertical="center" wrapText="1"/>
      <protection hidden="1"/>
    </xf>
    <xf numFmtId="2" fontId="12" fillId="0" borderId="40" xfId="0" applyNumberFormat="1" applyFont="1" applyBorder="1" applyAlignment="1" applyProtection="1">
      <alignment horizontal="center" vertical="center" wrapText="1"/>
      <protection hidden="1"/>
    </xf>
    <xf numFmtId="3" fontId="0" fillId="10" borderId="3" xfId="0" applyNumberFormat="1" applyFill="1" applyBorder="1" applyAlignment="1" applyProtection="1">
      <alignment horizontal="center" vertical="center"/>
      <protection hidden="1"/>
    </xf>
    <xf numFmtId="3" fontId="0" fillId="11" borderId="32" xfId="0" applyNumberFormat="1" applyFill="1" applyBorder="1" applyAlignment="1" applyProtection="1">
      <alignment horizontal="center" vertical="center"/>
      <protection locked="0" hidden="1"/>
    </xf>
    <xf numFmtId="0" fontId="32" fillId="0" borderId="53" xfId="0" applyFont="1" applyBorder="1" applyAlignment="1">
      <alignment horizontal="center" vertical="center"/>
    </xf>
    <xf numFmtId="0" fontId="0" fillId="0" borderId="38" xfId="0" applyBorder="1" applyAlignment="1" applyProtection="1">
      <alignment horizontal="center" vertical="center"/>
      <protection hidden="1"/>
    </xf>
    <xf numFmtId="0" fontId="0" fillId="0" borderId="39" xfId="0" applyBorder="1" applyAlignment="1" applyProtection="1">
      <alignment horizontal="center" vertical="center"/>
      <protection hidden="1"/>
    </xf>
    <xf numFmtId="168" fontId="0" fillId="4" borderId="31" xfId="0" applyNumberFormat="1" applyFill="1" applyBorder="1" applyAlignment="1" applyProtection="1">
      <alignment horizontal="center" vertical="center"/>
      <protection hidden="1"/>
    </xf>
    <xf numFmtId="168" fontId="0" fillId="4" borderId="3" xfId="0" applyNumberFormat="1" applyFill="1" applyBorder="1" applyAlignment="1" applyProtection="1">
      <alignment horizontal="center" vertical="center"/>
      <protection hidden="1"/>
    </xf>
    <xf numFmtId="168" fontId="0" fillId="10" borderId="3" xfId="0" applyNumberFormat="1" applyFill="1" applyBorder="1" applyAlignment="1" applyProtection="1">
      <alignment horizontal="center" vertical="center"/>
      <protection hidden="1"/>
    </xf>
    <xf numFmtId="168" fontId="0" fillId="6" borderId="32" xfId="0" applyNumberFormat="1" applyFill="1" applyBorder="1" applyAlignment="1" applyProtection="1">
      <alignment horizontal="center" vertical="center"/>
      <protection hidden="1"/>
    </xf>
    <xf numFmtId="168" fontId="0" fillId="10" borderId="58" xfId="0" applyNumberFormat="1" applyFill="1" applyBorder="1" applyAlignment="1" applyProtection="1">
      <alignment horizontal="center" vertical="center"/>
      <protection hidden="1"/>
    </xf>
    <xf numFmtId="168" fontId="0" fillId="10" borderId="54" xfId="0" applyNumberFormat="1" applyFill="1" applyBorder="1" applyAlignment="1" applyProtection="1">
      <alignment horizontal="center" vertical="center"/>
      <protection hidden="1"/>
    </xf>
    <xf numFmtId="168" fontId="0" fillId="10" borderId="49" xfId="0" applyNumberFormat="1" applyFill="1" applyBorder="1" applyAlignment="1" applyProtection="1">
      <alignment horizontal="center" vertical="center"/>
      <protection hidden="1"/>
    </xf>
    <xf numFmtId="168" fontId="0" fillId="10" borderId="50" xfId="0" applyNumberFormat="1" applyFill="1" applyBorder="1" applyAlignment="1" applyProtection="1">
      <alignment horizontal="center" vertical="center"/>
      <protection hidden="1"/>
    </xf>
    <xf numFmtId="168" fontId="0" fillId="10" borderId="59" xfId="0" applyNumberFormat="1" applyFill="1" applyBorder="1" applyAlignment="1" applyProtection="1">
      <alignment horizontal="center" vertical="center"/>
      <protection hidden="1"/>
    </xf>
    <xf numFmtId="168" fontId="0" fillId="6" borderId="59" xfId="0" applyNumberFormat="1" applyFill="1" applyBorder="1" applyAlignment="1" applyProtection="1">
      <alignment horizontal="center" vertical="center"/>
      <protection hidden="1"/>
    </xf>
    <xf numFmtId="168" fontId="0" fillId="6" borderId="50" xfId="0" applyNumberFormat="1" applyFill="1" applyBorder="1" applyAlignment="1" applyProtection="1">
      <alignment horizontal="center" vertical="center"/>
      <protection hidden="1"/>
    </xf>
    <xf numFmtId="168" fontId="0" fillId="6" borderId="54" xfId="0" applyNumberFormat="1" applyFill="1" applyBorder="1" applyAlignment="1" applyProtection="1">
      <alignment horizontal="center" vertical="center"/>
      <protection hidden="1"/>
    </xf>
    <xf numFmtId="168" fontId="0" fillId="6" borderId="49" xfId="0" applyNumberFormat="1" applyFill="1" applyBorder="1" applyAlignment="1" applyProtection="1">
      <alignment horizontal="center" vertical="center"/>
      <protection hidden="1"/>
    </xf>
    <xf numFmtId="168" fontId="0" fillId="6" borderId="58" xfId="0" applyNumberFormat="1" applyFill="1" applyBorder="1" applyAlignment="1" applyProtection="1">
      <alignment horizontal="center" vertical="center"/>
      <protection hidden="1"/>
    </xf>
    <xf numFmtId="0" fontId="0" fillId="0" borderId="60" xfId="0" applyBorder="1" applyAlignment="1" applyProtection="1">
      <alignment horizontal="left" vertical="center"/>
      <protection hidden="1"/>
    </xf>
    <xf numFmtId="0" fontId="0" fillId="0" borderId="52" xfId="0" applyBorder="1" applyAlignment="1" applyProtection="1">
      <alignment horizontal="center" vertical="center" wrapText="1"/>
      <protection hidden="1"/>
    </xf>
    <xf numFmtId="168" fontId="0" fillId="6" borderId="15" xfId="0" applyNumberFormat="1" applyFill="1" applyBorder="1" applyAlignment="1" applyProtection="1">
      <alignment horizontal="center" vertical="center"/>
      <protection hidden="1"/>
    </xf>
    <xf numFmtId="0" fontId="0" fillId="0" borderId="60" xfId="0" applyBorder="1" applyAlignment="1" applyProtection="1">
      <alignment horizontal="center" vertical="center"/>
      <protection hidden="1"/>
    </xf>
    <xf numFmtId="167" fontId="0" fillId="0" borderId="2" xfId="0" applyNumberFormat="1" applyBorder="1" applyAlignment="1">
      <alignment horizontal="center"/>
    </xf>
    <xf numFmtId="0" fontId="0" fillId="0" borderId="2" xfId="0" applyBorder="1" applyAlignment="1">
      <alignment horizontal="center"/>
    </xf>
    <xf numFmtId="0" fontId="0" fillId="0" borderId="9" xfId="0" applyBorder="1" applyAlignment="1">
      <alignment horizontal="center"/>
    </xf>
    <xf numFmtId="0" fontId="0" fillId="3" borderId="25" xfId="0" applyFill="1" applyBorder="1" applyAlignment="1" applyProtection="1">
      <alignment horizontal="left" vertical="center"/>
      <protection hidden="1"/>
    </xf>
    <xf numFmtId="0" fontId="0" fillId="3" borderId="5" xfId="0" applyFill="1" applyBorder="1" applyAlignment="1" applyProtection="1">
      <alignment horizontal="center" vertical="center" wrapText="1"/>
      <protection hidden="1"/>
    </xf>
    <xf numFmtId="0" fontId="0" fillId="0" borderId="20" xfId="0" applyBorder="1" applyAlignment="1" applyProtection="1">
      <alignment horizontal="center" vertical="center" wrapText="1"/>
      <protection hidden="1"/>
    </xf>
    <xf numFmtId="0" fontId="0" fillId="0" borderId="61" xfId="0" applyBorder="1" applyAlignment="1" applyProtection="1">
      <alignment horizontal="center" vertical="center"/>
      <protection hidden="1"/>
    </xf>
    <xf numFmtId="0" fontId="0" fillId="0" borderId="62" xfId="0" applyBorder="1" applyAlignment="1" applyProtection="1">
      <alignment horizontal="center" vertical="center" wrapText="1"/>
      <protection hidden="1"/>
    </xf>
    <xf numFmtId="0" fontId="0" fillId="0" borderId="2" xfId="0" applyBorder="1" applyAlignment="1" applyProtection="1">
      <alignment vertical="center"/>
      <protection hidden="1"/>
    </xf>
    <xf numFmtId="0" fontId="18" fillId="8" borderId="19" xfId="0" applyFont="1" applyFill="1" applyBorder="1" applyAlignment="1" applyProtection="1">
      <alignment horizontal="center" vertical="center" wrapText="1"/>
      <protection hidden="1"/>
    </xf>
    <xf numFmtId="168" fontId="21" fillId="12" borderId="53" xfId="0" applyNumberFormat="1" applyFont="1" applyFill="1" applyBorder="1" applyAlignment="1">
      <alignment horizontal="center" vertical="center" wrapText="1"/>
    </xf>
    <xf numFmtId="168" fontId="0" fillId="0" borderId="44" xfId="0" applyNumberFormat="1" applyBorder="1" applyAlignment="1" applyProtection="1">
      <alignment horizontal="center" vertical="center"/>
      <protection hidden="1"/>
    </xf>
    <xf numFmtId="168" fontId="0" fillId="0" borderId="45" xfId="0" applyNumberFormat="1" applyBorder="1" applyAlignment="1" applyProtection="1">
      <alignment horizontal="center" vertical="center"/>
      <protection hidden="1"/>
    </xf>
    <xf numFmtId="168" fontId="0" fillId="0" borderId="46" xfId="0" applyNumberFormat="1" applyBorder="1" applyAlignment="1" applyProtection="1">
      <alignment horizontal="center" vertical="center"/>
      <protection hidden="1"/>
    </xf>
    <xf numFmtId="168" fontId="0" fillId="0" borderId="48" xfId="0" applyNumberFormat="1" applyBorder="1" applyAlignment="1" applyProtection="1">
      <alignment horizontal="center" vertical="center" wrapText="1"/>
      <protection hidden="1"/>
    </xf>
    <xf numFmtId="168" fontId="0" fillId="0" borderId="45" xfId="0" applyNumberFormat="1" applyBorder="1" applyAlignment="1" applyProtection="1">
      <alignment horizontal="center" vertical="center" wrapText="1"/>
      <protection hidden="1"/>
    </xf>
    <xf numFmtId="168" fontId="0" fillId="0" borderId="47" xfId="0" applyNumberFormat="1" applyBorder="1" applyAlignment="1" applyProtection="1">
      <alignment horizontal="center" vertical="center" wrapText="1"/>
      <protection hidden="1"/>
    </xf>
    <xf numFmtId="168" fontId="0" fillId="0" borderId="44" xfId="0" applyNumberFormat="1" applyBorder="1" applyAlignment="1" applyProtection="1">
      <alignment horizontal="center" vertical="center" wrapText="1"/>
      <protection hidden="1"/>
    </xf>
    <xf numFmtId="168" fontId="0" fillId="0" borderId="46" xfId="0" applyNumberFormat="1" applyBorder="1" applyAlignment="1" applyProtection="1">
      <alignment horizontal="center" vertical="center" wrapText="1"/>
      <protection hidden="1"/>
    </xf>
    <xf numFmtId="168" fontId="0" fillId="0" borderId="18" xfId="0" applyNumberFormat="1" applyBorder="1" applyAlignment="1" applyProtection="1">
      <alignment horizontal="center" vertical="center" wrapText="1"/>
      <protection hidden="1"/>
    </xf>
    <xf numFmtId="168" fontId="0" fillId="3" borderId="48" xfId="0" applyNumberFormat="1" applyFill="1" applyBorder="1" applyAlignment="1" applyProtection="1">
      <alignment horizontal="center" vertical="center" wrapText="1"/>
      <protection hidden="1"/>
    </xf>
    <xf numFmtId="168" fontId="0" fillId="0" borderId="47" xfId="0" applyNumberFormat="1" applyBorder="1" applyAlignment="1" applyProtection="1">
      <alignment horizontal="center" vertical="center"/>
      <protection hidden="1"/>
    </xf>
    <xf numFmtId="16" fontId="16" fillId="2" borderId="25" xfId="0" applyNumberFormat="1" applyFont="1" applyFill="1" applyBorder="1" applyAlignment="1">
      <alignment horizontal="center" vertical="center"/>
    </xf>
    <xf numFmtId="16" fontId="16" fillId="2" borderId="27" xfId="0" applyNumberFormat="1" applyFont="1" applyFill="1" applyBorder="1" applyAlignment="1">
      <alignment horizontal="center" vertical="center"/>
    </xf>
    <xf numFmtId="0" fontId="0" fillId="0" borderId="28" xfId="0" applyBorder="1" applyAlignment="1">
      <alignment horizontal="center"/>
    </xf>
    <xf numFmtId="168" fontId="0" fillId="0" borderId="2" xfId="0" applyNumberFormat="1" applyBorder="1" applyAlignment="1" applyProtection="1">
      <alignment horizontal="center" vertical="center" wrapText="1"/>
      <protection hidden="1"/>
    </xf>
    <xf numFmtId="0" fontId="5" fillId="4" borderId="2" xfId="0" applyFont="1" applyFill="1" applyBorder="1" applyAlignment="1" applyProtection="1">
      <alignment horizontal="center" vertical="center"/>
      <protection hidden="1"/>
    </xf>
    <xf numFmtId="165" fontId="0" fillId="11" borderId="2" xfId="0" applyNumberFormat="1" applyFill="1" applyBorder="1" applyAlignment="1" applyProtection="1">
      <alignment horizontal="center" vertical="center"/>
      <protection locked="0" hidden="1"/>
    </xf>
    <xf numFmtId="0" fontId="5" fillId="0" borderId="2" xfId="0" applyFont="1" applyBorder="1" applyAlignment="1" applyProtection="1">
      <alignment horizontal="center" wrapText="1"/>
      <protection hidden="1"/>
    </xf>
    <xf numFmtId="0" fontId="0" fillId="0" borderId="2" xfId="0" applyBorder="1" applyAlignment="1" applyProtection="1">
      <alignment horizontal="center" wrapText="1"/>
      <protection hidden="1"/>
    </xf>
    <xf numFmtId="0" fontId="0" fillId="3" borderId="2" xfId="0" applyFill="1" applyBorder="1" applyAlignment="1" applyProtection="1">
      <alignment horizontal="center" vertical="center"/>
      <protection hidden="1"/>
    </xf>
    <xf numFmtId="0" fontId="0" fillId="0" borderId="2" xfId="0" applyBorder="1" applyProtection="1">
      <protection hidden="1"/>
    </xf>
    <xf numFmtId="0" fontId="0" fillId="4" borderId="2" xfId="0" applyFill="1" applyBorder="1" applyAlignment="1" applyProtection="1">
      <alignment horizontal="center"/>
      <protection hidden="1"/>
    </xf>
    <xf numFmtId="0" fontId="0" fillId="3" borderId="2" xfId="0" applyFill="1" applyBorder="1" applyAlignment="1" applyProtection="1">
      <alignment vertical="center"/>
      <protection hidden="1"/>
    </xf>
    <xf numFmtId="0" fontId="2" fillId="0" borderId="2" xfId="0" applyFont="1" applyBorder="1" applyAlignment="1" applyProtection="1">
      <alignment horizontal="center" vertical="center" wrapText="1"/>
      <protection hidden="1"/>
    </xf>
    <xf numFmtId="167" fontId="0" fillId="0" borderId="17" xfId="0" applyNumberFormat="1" applyBorder="1" applyAlignment="1">
      <alignment horizontal="center"/>
    </xf>
    <xf numFmtId="167" fontId="0" fillId="0" borderId="4" xfId="0" applyNumberFormat="1" applyBorder="1" applyAlignment="1">
      <alignment horizontal="center"/>
    </xf>
    <xf numFmtId="0" fontId="0" fillId="0" borderId="22" xfId="0" applyBorder="1" applyAlignment="1">
      <alignment horizontal="left"/>
    </xf>
    <xf numFmtId="0" fontId="0" fillId="3" borderId="22" xfId="0" applyFill="1" applyBorder="1" applyAlignment="1" applyProtection="1">
      <alignment horizontal="left" vertical="center"/>
      <protection hidden="1"/>
    </xf>
    <xf numFmtId="0" fontId="0" fillId="0" borderId="22" xfId="0" applyBorder="1" applyAlignment="1" applyProtection="1">
      <alignment horizontal="left"/>
      <protection hidden="1"/>
    </xf>
    <xf numFmtId="167" fontId="0" fillId="4" borderId="22" xfId="0" applyNumberFormat="1" applyFill="1" applyBorder="1" applyAlignment="1" applyProtection="1">
      <alignment horizontal="left" vertical="center"/>
      <protection hidden="1"/>
    </xf>
    <xf numFmtId="0" fontId="30" fillId="5" borderId="22" xfId="0" applyFont="1" applyFill="1" applyBorder="1" applyAlignment="1" applyProtection="1">
      <alignment horizontal="left" vertical="center" wrapText="1"/>
      <protection hidden="1"/>
    </xf>
    <xf numFmtId="0" fontId="0" fillId="0" borderId="4" xfId="0" applyBorder="1" applyAlignment="1">
      <alignment horizontal="center"/>
    </xf>
    <xf numFmtId="0" fontId="30" fillId="5" borderId="34" xfId="0" applyFont="1" applyFill="1" applyBorder="1" applyAlignment="1" applyProtection="1">
      <alignment horizontal="left" vertical="center" wrapText="1"/>
      <protection hidden="1"/>
    </xf>
    <xf numFmtId="167" fontId="0" fillId="0" borderId="24" xfId="0" applyNumberFormat="1" applyBorder="1" applyAlignment="1">
      <alignment horizontal="center"/>
    </xf>
    <xf numFmtId="0" fontId="32" fillId="2" borderId="0" xfId="0" applyFont="1" applyFill="1" applyAlignment="1">
      <alignment horizontal="center" vertical="center"/>
    </xf>
    <xf numFmtId="168" fontId="32" fillId="0" borderId="44" xfId="0" applyNumberFormat="1" applyFont="1" applyBorder="1" applyAlignment="1">
      <alignment horizontal="center" vertical="center"/>
    </xf>
    <xf numFmtId="168" fontId="32" fillId="0" borderId="45" xfId="0" applyNumberFormat="1" applyFont="1" applyBorder="1" applyAlignment="1">
      <alignment horizontal="center" vertical="center"/>
    </xf>
    <xf numFmtId="168" fontId="32" fillId="0" borderId="46" xfId="0" applyNumberFormat="1" applyFont="1" applyBorder="1" applyAlignment="1">
      <alignment horizontal="center" vertical="center"/>
    </xf>
    <xf numFmtId="168" fontId="32" fillId="0" borderId="48" xfId="0" applyNumberFormat="1" applyFont="1" applyBorder="1" applyAlignment="1">
      <alignment horizontal="center" vertical="center"/>
    </xf>
    <xf numFmtId="168" fontId="32" fillId="0" borderId="47" xfId="0" applyNumberFormat="1" applyFont="1" applyBorder="1" applyAlignment="1">
      <alignment horizontal="center" vertical="center"/>
    </xf>
    <xf numFmtId="168" fontId="32" fillId="0" borderId="18" xfId="0" applyNumberFormat="1" applyFont="1" applyBorder="1" applyAlignment="1">
      <alignment horizontal="center" vertical="center"/>
    </xf>
    <xf numFmtId="168" fontId="32" fillId="2" borderId="48" xfId="0" applyNumberFormat="1" applyFont="1" applyFill="1" applyBorder="1" applyAlignment="1">
      <alignment horizontal="center" vertical="center"/>
    </xf>
    <xf numFmtId="0" fontId="0" fillId="0" borderId="25" xfId="0" applyBorder="1" applyAlignment="1" applyProtection="1">
      <alignment horizontal="center" vertical="center"/>
      <protection hidden="1"/>
    </xf>
    <xf numFmtId="168" fontId="0" fillId="0" borderId="18" xfId="0" applyNumberFormat="1" applyBorder="1" applyAlignment="1" applyProtection="1">
      <alignment horizontal="center" vertical="center"/>
      <protection hidden="1"/>
    </xf>
    <xf numFmtId="167" fontId="0" fillId="2" borderId="0" xfId="0" applyNumberFormat="1" applyFill="1" applyAlignment="1">
      <alignment horizontal="center"/>
    </xf>
    <xf numFmtId="167" fontId="25" fillId="0" borderId="0" xfId="1" applyNumberFormat="1" applyAlignment="1">
      <alignment horizontal="center"/>
    </xf>
    <xf numFmtId="167" fontId="20" fillId="9" borderId="19" xfId="2" applyNumberFormat="1" applyFont="1" applyFill="1" applyBorder="1" applyAlignment="1">
      <alignment horizontal="center"/>
    </xf>
    <xf numFmtId="167" fontId="20" fillId="9" borderId="18" xfId="2" applyNumberFormat="1" applyFont="1" applyFill="1" applyBorder="1" applyAlignment="1">
      <alignment horizontal="center"/>
    </xf>
    <xf numFmtId="167" fontId="25" fillId="0" borderId="0" xfId="3" applyNumberFormat="1" applyAlignment="1">
      <alignment horizontal="center"/>
    </xf>
    <xf numFmtId="167" fontId="25" fillId="2" borderId="18" xfId="3" applyNumberFormat="1" applyFill="1" applyBorder="1" applyAlignment="1">
      <alignment horizontal="center"/>
    </xf>
    <xf numFmtId="167" fontId="27" fillId="0" borderId="0" xfId="4" applyNumberFormat="1" applyAlignment="1">
      <alignment horizontal="center"/>
    </xf>
    <xf numFmtId="167" fontId="27" fillId="2" borderId="18" xfId="4" applyNumberFormat="1" applyFill="1" applyBorder="1" applyAlignment="1">
      <alignment horizontal="center"/>
    </xf>
    <xf numFmtId="167" fontId="20" fillId="0" borderId="0" xfId="5" applyNumberFormat="1" applyAlignment="1">
      <alignment horizontal="center"/>
    </xf>
    <xf numFmtId="0" fontId="5" fillId="4" borderId="2" xfId="0" applyFont="1" applyFill="1" applyBorder="1" applyAlignment="1" applyProtection="1">
      <alignment vertical="center"/>
      <protection hidden="1"/>
    </xf>
    <xf numFmtId="0" fontId="16" fillId="9" borderId="2" xfId="0" applyFont="1" applyFill="1" applyBorder="1" applyAlignment="1">
      <alignment horizontal="center" wrapText="1"/>
    </xf>
    <xf numFmtId="0" fontId="16" fillId="9" borderId="5" xfId="0" applyFont="1" applyFill="1" applyBorder="1" applyAlignment="1">
      <alignment horizontal="center" wrapText="1"/>
    </xf>
    <xf numFmtId="167" fontId="0" fillId="3" borderId="4" xfId="0" applyNumberFormat="1" applyFill="1" applyBorder="1" applyAlignment="1">
      <alignment horizontal="center"/>
    </xf>
    <xf numFmtId="167" fontId="24" fillId="2" borderId="18" xfId="4" applyNumberFormat="1" applyFont="1" applyFill="1" applyBorder="1" applyAlignment="1">
      <alignment horizontal="center"/>
    </xf>
    <xf numFmtId="0" fontId="34" fillId="2" borderId="0" xfId="0" applyFont="1" applyFill="1" applyAlignment="1" applyProtection="1">
      <alignment horizontal="center" vertical="center" wrapText="1"/>
      <protection hidden="1"/>
    </xf>
    <xf numFmtId="0" fontId="2" fillId="14" borderId="2" xfId="0" applyFont="1" applyFill="1" applyBorder="1" applyAlignment="1">
      <alignment horizontal="center" vertical="center"/>
    </xf>
    <xf numFmtId="0" fontId="2" fillId="14" borderId="5" xfId="0" applyFont="1" applyFill="1" applyBorder="1" applyAlignment="1">
      <alignment horizontal="center" vertical="center" wrapText="1"/>
    </xf>
    <xf numFmtId="0" fontId="2" fillId="14" borderId="2" xfId="0" applyFont="1" applyFill="1" applyBorder="1" applyAlignment="1">
      <alignment horizontal="center" vertical="center" wrapText="1"/>
    </xf>
    <xf numFmtId="0" fontId="2" fillId="14" borderId="2" xfId="0" applyFont="1" applyFill="1" applyBorder="1" applyAlignment="1">
      <alignment horizontal="center" wrapText="1"/>
    </xf>
    <xf numFmtId="0" fontId="0" fillId="14" borderId="2" xfId="0" applyFill="1" applyBorder="1"/>
    <xf numFmtId="0" fontId="2" fillId="14" borderId="2" xfId="0" applyFont="1" applyFill="1" applyBorder="1" applyAlignment="1">
      <alignment horizontal="center"/>
    </xf>
    <xf numFmtId="0" fontId="2" fillId="14" borderId="28" xfId="0" applyFont="1" applyFill="1" applyBorder="1" applyAlignment="1">
      <alignment horizontal="center" vertical="center" wrapText="1"/>
    </xf>
    <xf numFmtId="0" fontId="2" fillId="15" borderId="0" xfId="0" applyFont="1" applyFill="1" applyAlignment="1">
      <alignment horizontal="center"/>
    </xf>
    <xf numFmtId="0" fontId="0" fillId="15" borderId="0" xfId="0" applyFill="1"/>
    <xf numFmtId="0" fontId="0" fillId="15" borderId="2" xfId="0" applyFill="1" applyBorder="1" applyAlignment="1" applyProtection="1">
      <alignment horizontal="center"/>
      <protection locked="0"/>
    </xf>
    <xf numFmtId="0" fontId="0" fillId="15" borderId="2" xfId="0" applyFill="1" applyBorder="1" applyProtection="1">
      <protection locked="0"/>
    </xf>
    <xf numFmtId="165" fontId="0" fillId="15" borderId="2" xfId="0" applyNumberFormat="1" applyFill="1" applyBorder="1" applyProtection="1">
      <protection locked="0"/>
    </xf>
    <xf numFmtId="165" fontId="0" fillId="15" borderId="2" xfId="0" applyNumberFormat="1" applyFill="1" applyBorder="1"/>
    <xf numFmtId="0" fontId="20" fillId="4" borderId="2" xfId="6" applyFill="1" applyBorder="1" applyAlignment="1" applyProtection="1">
      <alignment horizontal="center" vertical="center"/>
      <protection hidden="1"/>
    </xf>
    <xf numFmtId="0" fontId="20" fillId="4" borderId="23" xfId="6" applyFill="1" applyBorder="1" applyAlignment="1" applyProtection="1">
      <alignment horizontal="center" vertical="center"/>
      <protection hidden="1"/>
    </xf>
    <xf numFmtId="0" fontId="0" fillId="2" borderId="2" xfId="6" applyFont="1" applyFill="1" applyBorder="1" applyAlignment="1" applyProtection="1">
      <alignment horizontal="center" vertical="center"/>
      <protection hidden="1"/>
    </xf>
    <xf numFmtId="0" fontId="0" fillId="4" borderId="28" xfId="6" applyFont="1" applyFill="1" applyBorder="1" applyAlignment="1" applyProtection="1">
      <alignment horizontal="center" vertical="center"/>
      <protection hidden="1"/>
    </xf>
    <xf numFmtId="0" fontId="0" fillId="4" borderId="2" xfId="6" applyFont="1" applyFill="1" applyBorder="1" applyAlignment="1" applyProtection="1">
      <alignment horizontal="center" vertical="center"/>
      <protection hidden="1"/>
    </xf>
    <xf numFmtId="0" fontId="0" fillId="4" borderId="5" xfId="6" applyFont="1" applyFill="1" applyBorder="1" applyAlignment="1" applyProtection="1">
      <alignment horizontal="center" vertical="center"/>
      <protection hidden="1"/>
    </xf>
    <xf numFmtId="0" fontId="0" fillId="0" borderId="28" xfId="6" applyFont="1" applyBorder="1" applyAlignment="1" applyProtection="1">
      <alignment horizontal="center" vertical="center"/>
      <protection hidden="1"/>
    </xf>
    <xf numFmtId="0" fontId="0" fillId="0" borderId="2" xfId="6" applyFont="1" applyBorder="1" applyAlignment="1" applyProtection="1">
      <alignment horizontal="center" vertical="center"/>
      <protection hidden="1"/>
    </xf>
    <xf numFmtId="0" fontId="0" fillId="0" borderId="5" xfId="6" applyFont="1" applyBorder="1" applyAlignment="1" applyProtection="1">
      <alignment horizontal="center" vertical="center"/>
      <protection hidden="1"/>
    </xf>
    <xf numFmtId="0" fontId="0" fillId="3" borderId="5" xfId="6" applyFont="1" applyFill="1" applyBorder="1" applyAlignment="1" applyProtection="1">
      <alignment horizontal="center" vertical="center"/>
      <protection hidden="1"/>
    </xf>
    <xf numFmtId="0" fontId="0" fillId="0" borderId="1" xfId="6" applyFont="1" applyBorder="1" applyAlignment="1" applyProtection="1">
      <alignment horizontal="center" vertical="center"/>
      <protection hidden="1"/>
    </xf>
    <xf numFmtId="0" fontId="0" fillId="0" borderId="23" xfId="6" applyFont="1" applyBorder="1" applyAlignment="1" applyProtection="1">
      <alignment horizontal="center" vertical="center"/>
      <protection hidden="1"/>
    </xf>
    <xf numFmtId="0" fontId="0" fillId="0" borderId="20" xfId="6" applyFont="1" applyBorder="1" applyAlignment="1" applyProtection="1">
      <alignment horizontal="center" vertical="center"/>
      <protection hidden="1"/>
    </xf>
    <xf numFmtId="0" fontId="0" fillId="3" borderId="14" xfId="6" applyFont="1" applyFill="1" applyBorder="1" applyAlignment="1" applyProtection="1">
      <alignment horizontal="center" vertical="center"/>
      <protection hidden="1"/>
    </xf>
    <xf numFmtId="0" fontId="0" fillId="4" borderId="1" xfId="6" applyFont="1" applyFill="1" applyBorder="1" applyAlignment="1" applyProtection="1">
      <alignment horizontal="center" vertical="center"/>
      <protection hidden="1"/>
    </xf>
    <xf numFmtId="0" fontId="0" fillId="6" borderId="2" xfId="6" applyFont="1" applyFill="1" applyBorder="1" applyAlignment="1" applyProtection="1">
      <alignment horizontal="center" vertical="center"/>
      <protection hidden="1"/>
    </xf>
    <xf numFmtId="0" fontId="0" fillId="0" borderId="0" xfId="6" applyFont="1" applyAlignment="1" applyProtection="1">
      <alignment horizontal="center" vertical="center"/>
      <protection hidden="1"/>
    </xf>
    <xf numFmtId="0" fontId="0" fillId="7" borderId="14" xfId="6" applyFont="1" applyFill="1" applyBorder="1" applyAlignment="1" applyProtection="1">
      <alignment horizontal="center" vertical="center"/>
      <protection hidden="1"/>
    </xf>
    <xf numFmtId="0" fontId="0" fillId="2" borderId="12" xfId="6" applyFont="1" applyFill="1" applyBorder="1" applyAlignment="1" applyProtection="1">
      <alignment horizontal="center" vertical="center"/>
      <protection hidden="1"/>
    </xf>
    <xf numFmtId="0" fontId="20" fillId="2" borderId="2" xfId="6" applyFill="1" applyBorder="1" applyAlignment="1" applyProtection="1">
      <alignment horizontal="center" vertical="center"/>
      <protection hidden="1"/>
    </xf>
    <xf numFmtId="0" fontId="20" fillId="2" borderId="23" xfId="6" applyFill="1" applyBorder="1" applyAlignment="1" applyProtection="1">
      <alignment horizontal="center" vertical="center"/>
      <protection hidden="1"/>
    </xf>
    <xf numFmtId="0" fontId="0" fillId="16" borderId="2" xfId="0" applyFill="1" applyBorder="1" applyAlignment="1" applyProtection="1">
      <alignment vertical="center" wrapText="1"/>
      <protection hidden="1"/>
    </xf>
    <xf numFmtId="0" fontId="0" fillId="16" borderId="2" xfId="0" applyFill="1" applyBorder="1" applyAlignment="1" applyProtection="1">
      <alignment vertical="center"/>
      <protection hidden="1"/>
    </xf>
    <xf numFmtId="0" fontId="0" fillId="17" borderId="2" xfId="0" applyFill="1" applyBorder="1" applyAlignment="1" applyProtection="1">
      <alignment vertical="center" wrapText="1"/>
      <protection hidden="1"/>
    </xf>
    <xf numFmtId="0" fontId="0" fillId="9" borderId="28" xfId="0" applyFill="1" applyBorder="1" applyAlignment="1" applyProtection="1">
      <alignment horizontal="center" vertical="center"/>
      <protection hidden="1"/>
    </xf>
    <xf numFmtId="0" fontId="0" fillId="0" borderId="64" xfId="0" applyBorder="1" applyAlignment="1" applyProtection="1">
      <alignment horizontal="center" vertical="center" wrapText="1"/>
      <protection hidden="1"/>
    </xf>
    <xf numFmtId="0" fontId="19" fillId="8" borderId="63" xfId="0" applyFont="1" applyFill="1" applyBorder="1" applyAlignment="1" applyProtection="1">
      <alignment horizontal="center" vertical="center" wrapText="1"/>
      <protection hidden="1"/>
    </xf>
    <xf numFmtId="0" fontId="0" fillId="0" borderId="5" xfId="0" applyBorder="1" applyAlignment="1" applyProtection="1">
      <alignment horizontal="center" vertical="center"/>
      <protection hidden="1"/>
    </xf>
    <xf numFmtId="0" fontId="0" fillId="0" borderId="2" xfId="0" applyBorder="1" applyAlignment="1" applyProtection="1">
      <alignment vertical="center"/>
      <protection hidden="1"/>
    </xf>
    <xf numFmtId="0" fontId="0" fillId="4" borderId="2" xfId="0" applyFill="1" applyBorder="1" applyAlignment="1" applyProtection="1">
      <alignment horizontal="center" vertical="center"/>
      <protection hidden="1"/>
    </xf>
    <xf numFmtId="0" fontId="0" fillId="2" borderId="9" xfId="6" applyFont="1" applyFill="1" applyBorder="1" applyAlignment="1" applyProtection="1">
      <alignment horizontal="center" vertical="center"/>
      <protection hidden="1"/>
    </xf>
    <xf numFmtId="0" fontId="7" fillId="2" borderId="9" xfId="0" applyFont="1" applyFill="1" applyBorder="1" applyAlignment="1" applyProtection="1">
      <alignment horizontal="left" vertical="center"/>
      <protection hidden="1"/>
    </xf>
    <xf numFmtId="0" fontId="0" fillId="0" borderId="40" xfId="0" applyBorder="1" applyAlignment="1" applyProtection="1">
      <alignment vertical="center"/>
      <protection hidden="1"/>
    </xf>
    <xf numFmtId="0" fontId="0" fillId="0" borderId="65" xfId="0" applyBorder="1" applyAlignment="1" applyProtection="1">
      <alignment vertical="center"/>
      <protection hidden="1"/>
    </xf>
    <xf numFmtId="0" fontId="0" fillId="0" borderId="50" xfId="0" applyBorder="1" applyAlignment="1" applyProtection="1">
      <alignment vertical="center"/>
      <protection hidden="1"/>
    </xf>
    <xf numFmtId="0" fontId="0" fillId="0" borderId="51" xfId="0" applyBorder="1" applyAlignment="1" applyProtection="1">
      <alignment vertical="center"/>
      <protection hidden="1"/>
    </xf>
    <xf numFmtId="0" fontId="0" fillId="2" borderId="39" xfId="6" applyFont="1" applyFill="1" applyBorder="1" applyAlignment="1" applyProtection="1">
      <alignment horizontal="center" vertical="center"/>
      <protection hidden="1"/>
    </xf>
    <xf numFmtId="0" fontId="0" fillId="0" borderId="39" xfId="0" applyBorder="1" applyAlignment="1" applyProtection="1">
      <alignment vertical="center"/>
      <protection hidden="1"/>
    </xf>
    <xf numFmtId="0" fontId="0" fillId="4" borderId="42" xfId="0" applyFill="1" applyBorder="1" applyAlignment="1" applyProtection="1">
      <alignment horizontal="center" vertical="center"/>
      <protection hidden="1"/>
    </xf>
    <xf numFmtId="0" fontId="0" fillId="0" borderId="38" xfId="0" applyBorder="1" applyAlignment="1" applyProtection="1">
      <alignment vertical="center"/>
      <protection hidden="1"/>
    </xf>
    <xf numFmtId="0" fontId="0" fillId="0" borderId="41" xfId="0" applyBorder="1" applyAlignment="1" applyProtection="1">
      <alignment vertical="center"/>
      <protection hidden="1"/>
    </xf>
    <xf numFmtId="0" fontId="0" fillId="0" borderId="42" xfId="0" applyBorder="1" applyAlignment="1" applyProtection="1">
      <alignment vertical="center"/>
      <protection hidden="1"/>
    </xf>
    <xf numFmtId="0" fontId="0" fillId="0" borderId="52" xfId="0" applyBorder="1" applyAlignment="1" applyProtection="1">
      <alignment horizontal="center" vertical="center"/>
      <protection hidden="1"/>
    </xf>
    <xf numFmtId="0" fontId="0" fillId="0" borderId="38" xfId="0" applyBorder="1" applyAlignment="1" applyProtection="1">
      <alignment vertical="center" wrapText="1"/>
      <protection hidden="1"/>
    </xf>
    <xf numFmtId="0" fontId="0" fillId="4" borderId="39" xfId="0" applyFill="1" applyBorder="1" applyAlignment="1" applyProtection="1">
      <alignment horizontal="center" vertical="center"/>
      <protection hidden="1"/>
    </xf>
    <xf numFmtId="0" fontId="0" fillId="4" borderId="40" xfId="0" applyFill="1" applyBorder="1" applyAlignment="1" applyProtection="1">
      <alignment horizontal="center" vertical="center"/>
      <protection hidden="1"/>
    </xf>
    <xf numFmtId="0" fontId="0" fillId="3" borderId="41" xfId="0" applyFill="1" applyBorder="1" applyAlignment="1" applyProtection="1">
      <alignment vertical="center"/>
      <protection hidden="1"/>
    </xf>
    <xf numFmtId="0" fontId="0" fillId="0" borderId="52" xfId="0" applyBorder="1" applyAlignment="1" applyProtection="1">
      <alignment vertical="center"/>
      <protection hidden="1"/>
    </xf>
    <xf numFmtId="0" fontId="0" fillId="0" borderId="31" xfId="0" applyBorder="1" applyAlignment="1" applyProtection="1">
      <alignment horizontal="center" vertical="center"/>
      <protection hidden="1"/>
    </xf>
    <xf numFmtId="0" fontId="0" fillId="0" borderId="3" xfId="0" applyBorder="1" applyAlignment="1" applyProtection="1">
      <alignment horizontal="center" vertical="center"/>
      <protection hidden="1"/>
    </xf>
    <xf numFmtId="0" fontId="0" fillId="0" borderId="32" xfId="0" applyBorder="1" applyAlignment="1" applyProtection="1">
      <alignment horizontal="center" vertical="center"/>
      <protection hidden="1"/>
    </xf>
    <xf numFmtId="0" fontId="0" fillId="0" borderId="29" xfId="0" applyBorder="1" applyAlignment="1" applyProtection="1">
      <alignment horizontal="center" vertical="center"/>
      <protection hidden="1"/>
    </xf>
    <xf numFmtId="0" fontId="0" fillId="0" borderId="7" xfId="0" applyBorder="1" applyAlignment="1" applyProtection="1">
      <alignment horizontal="center" vertical="center"/>
      <protection hidden="1"/>
    </xf>
    <xf numFmtId="0" fontId="0" fillId="0" borderId="35" xfId="0" applyBorder="1" applyAlignment="1" applyProtection="1">
      <alignment horizontal="center" vertical="center"/>
      <protection hidden="1"/>
    </xf>
    <xf numFmtId="0" fontId="0" fillId="3" borderId="29" xfId="0" applyFill="1" applyBorder="1" applyAlignment="1" applyProtection="1">
      <alignment horizontal="center" vertical="center"/>
      <protection hidden="1"/>
    </xf>
    <xf numFmtId="0" fontId="0" fillId="0" borderId="7" xfId="0" applyBorder="1" applyAlignment="1" applyProtection="1">
      <alignment vertical="center"/>
      <protection hidden="1"/>
    </xf>
    <xf numFmtId="0" fontId="0" fillId="0" borderId="35" xfId="0" applyBorder="1" applyAlignment="1" applyProtection="1">
      <alignment vertical="center"/>
      <protection hidden="1"/>
    </xf>
    <xf numFmtId="167" fontId="32" fillId="0" borderId="2" xfId="0" applyNumberFormat="1" applyFont="1" applyBorder="1" applyAlignment="1">
      <alignment horizontal="center" vertical="center"/>
    </xf>
    <xf numFmtId="4" fontId="32" fillId="0" borderId="2" xfId="0" applyNumberFormat="1" applyFont="1" applyBorder="1" applyAlignment="1">
      <alignment horizontal="center" vertical="center"/>
    </xf>
    <xf numFmtId="0" fontId="32" fillId="0" borderId="2" xfId="0" applyFont="1" applyBorder="1" applyAlignment="1">
      <alignment horizontal="center" vertical="center"/>
    </xf>
    <xf numFmtId="0" fontId="32" fillId="2" borderId="2" xfId="0" applyFont="1" applyFill="1" applyBorder="1" applyAlignment="1">
      <alignment horizontal="center" vertical="center"/>
    </xf>
    <xf numFmtId="0" fontId="32" fillId="7" borderId="2" xfId="0" applyFont="1" applyFill="1" applyBorder="1" applyAlignment="1">
      <alignment horizontal="center" vertical="center"/>
    </xf>
    <xf numFmtId="0" fontId="21" fillId="12" borderId="2" xfId="0" applyFont="1" applyFill="1" applyBorder="1" applyAlignment="1">
      <alignment horizontal="center" vertical="center" wrapText="1"/>
    </xf>
    <xf numFmtId="0" fontId="7" fillId="2" borderId="2" xfId="0" applyFont="1" applyFill="1" applyBorder="1" applyAlignment="1" applyProtection="1">
      <alignment horizontal="left" vertical="center"/>
      <protection hidden="1"/>
    </xf>
    <xf numFmtId="0" fontId="2" fillId="7" borderId="2" xfId="0" applyFont="1" applyFill="1" applyBorder="1" applyAlignment="1" applyProtection="1">
      <alignment vertical="center" wrapText="1"/>
      <protection hidden="1"/>
    </xf>
    <xf numFmtId="0" fontId="3" fillId="0" borderId="2" xfId="0" applyFont="1" applyBorder="1" applyAlignment="1" applyProtection="1">
      <alignment horizontal="center" vertical="center" wrapText="1"/>
      <protection hidden="1"/>
    </xf>
    <xf numFmtId="0" fontId="3" fillId="0" borderId="2" xfId="0" applyFont="1" applyBorder="1" applyAlignment="1" applyProtection="1">
      <alignment vertical="center" wrapText="1"/>
      <protection hidden="1"/>
    </xf>
    <xf numFmtId="0" fontId="19" fillId="8" borderId="13" xfId="0" applyFont="1" applyFill="1" applyBorder="1" applyAlignment="1" applyProtection="1">
      <alignment horizontal="center" vertical="center" wrapText="1"/>
      <protection hidden="1"/>
    </xf>
    <xf numFmtId="0" fontId="19" fillId="8" borderId="14" xfId="0" applyFont="1" applyFill="1" applyBorder="1" applyAlignment="1" applyProtection="1">
      <alignment horizontal="center" vertical="center" wrapText="1"/>
      <protection hidden="1"/>
    </xf>
    <xf numFmtId="0" fontId="31" fillId="9" borderId="2" xfId="0" applyFont="1" applyFill="1" applyBorder="1" applyAlignment="1">
      <alignment horizontal="center" vertical="center" wrapText="1"/>
    </xf>
    <xf numFmtId="0" fontId="31" fillId="9" borderId="44" xfId="0" applyFont="1" applyFill="1" applyBorder="1" applyAlignment="1">
      <alignment horizontal="center" vertical="center" wrapText="1"/>
    </xf>
    <xf numFmtId="0" fontId="31" fillId="9" borderId="45" xfId="0" applyFont="1" applyFill="1" applyBorder="1" applyAlignment="1">
      <alignment horizontal="center" vertical="center" wrapText="1"/>
    </xf>
    <xf numFmtId="0" fontId="1" fillId="0" borderId="33" xfId="0" applyFont="1" applyBorder="1" applyAlignment="1" applyProtection="1">
      <alignment horizontal="center" vertical="center" wrapText="1"/>
      <protection hidden="1"/>
    </xf>
    <xf numFmtId="0" fontId="1" fillId="0" borderId="22" xfId="0" applyFont="1" applyBorder="1" applyAlignment="1" applyProtection="1">
      <alignment horizontal="center" vertical="center" wrapText="1"/>
      <protection hidden="1"/>
    </xf>
    <xf numFmtId="0" fontId="1" fillId="0" borderId="34" xfId="0" applyFont="1" applyBorder="1" applyAlignment="1" applyProtection="1">
      <alignment horizontal="center" vertical="center" wrapText="1"/>
      <protection hidden="1"/>
    </xf>
    <xf numFmtId="0" fontId="19" fillId="8" borderId="11" xfId="0" applyFont="1" applyFill="1" applyBorder="1" applyAlignment="1" applyProtection="1">
      <alignment horizontal="center" vertical="center" wrapText="1"/>
      <protection hidden="1"/>
    </xf>
    <xf numFmtId="0" fontId="18" fillId="8" borderId="12" xfId="0" applyFont="1" applyFill="1" applyBorder="1" applyAlignment="1" applyProtection="1">
      <alignment horizontal="center" vertical="center" wrapText="1"/>
      <protection hidden="1"/>
    </xf>
    <xf numFmtId="0" fontId="17" fillId="0" borderId="33" xfId="0" applyFont="1" applyBorder="1" applyAlignment="1" applyProtection="1">
      <alignment horizontal="center" vertical="center" wrapText="1"/>
      <protection hidden="1"/>
    </xf>
    <xf numFmtId="0" fontId="17" fillId="0" borderId="22" xfId="0" applyFont="1" applyBorder="1" applyAlignment="1" applyProtection="1">
      <alignment horizontal="center" vertical="center" wrapText="1"/>
      <protection hidden="1"/>
    </xf>
    <xf numFmtId="0" fontId="17" fillId="0" borderId="34" xfId="0" applyFont="1" applyBorder="1" applyAlignment="1" applyProtection="1">
      <alignment horizontal="center" vertical="center" wrapText="1"/>
      <protection hidden="1"/>
    </xf>
    <xf numFmtId="0" fontId="17" fillId="0" borderId="30" xfId="0" applyFont="1" applyBorder="1" applyAlignment="1" applyProtection="1">
      <alignment horizontal="center" vertical="center"/>
      <protection hidden="1"/>
    </xf>
    <xf numFmtId="0" fontId="17" fillId="0" borderId="26" xfId="0" applyFont="1" applyBorder="1" applyAlignment="1" applyProtection="1">
      <alignment horizontal="center" vertical="center"/>
      <protection hidden="1"/>
    </xf>
    <xf numFmtId="0" fontId="17" fillId="0" borderId="27" xfId="0" applyFont="1" applyBorder="1" applyAlignment="1" applyProtection="1">
      <alignment horizontal="center" vertical="center"/>
      <protection hidden="1"/>
    </xf>
    <xf numFmtId="0" fontId="17" fillId="0" borderId="22" xfId="0" applyFont="1" applyBorder="1" applyAlignment="1" applyProtection="1">
      <alignment horizontal="center" vertical="center"/>
      <protection hidden="1"/>
    </xf>
    <xf numFmtId="0" fontId="17" fillId="0" borderId="33" xfId="0" applyFont="1" applyBorder="1" applyAlignment="1" applyProtection="1">
      <alignment horizontal="center" vertical="center"/>
      <protection hidden="1"/>
    </xf>
    <xf numFmtId="0" fontId="1" fillId="0" borderId="22" xfId="0" applyFont="1" applyBorder="1" applyAlignment="1" applyProtection="1">
      <alignment horizontal="center" vertical="center"/>
      <protection hidden="1"/>
    </xf>
    <xf numFmtId="0" fontId="17" fillId="0" borderId="30" xfId="0" applyFont="1" applyBorder="1" applyAlignment="1">
      <alignment horizontal="center" vertical="center"/>
    </xf>
    <xf numFmtId="0" fontId="17" fillId="0" borderId="26" xfId="0" applyFont="1" applyBorder="1" applyAlignment="1">
      <alignment horizontal="center" vertical="center"/>
    </xf>
    <xf numFmtId="0" fontId="17" fillId="0" borderId="27" xfId="0" applyFont="1" applyBorder="1" applyAlignment="1">
      <alignment horizontal="center" vertical="center"/>
    </xf>
    <xf numFmtId="0" fontId="7" fillId="2" borderId="6" xfId="0" applyFont="1" applyFill="1" applyBorder="1" applyAlignment="1" applyProtection="1">
      <alignment horizontal="left" vertical="center"/>
      <protection hidden="1"/>
    </xf>
    <xf numFmtId="0" fontId="7" fillId="2" borderId="0" xfId="0" applyFont="1" applyFill="1" applyAlignment="1" applyProtection="1">
      <alignment horizontal="left" vertical="center"/>
      <protection hidden="1"/>
    </xf>
    <xf numFmtId="0" fontId="0" fillId="0" borderId="22" xfId="0" applyBorder="1" applyAlignment="1" applyProtection="1">
      <alignment horizontal="left" vertical="center"/>
      <protection hidden="1"/>
    </xf>
    <xf numFmtId="0" fontId="0" fillId="4" borderId="2" xfId="0" applyFill="1" applyBorder="1" applyAlignment="1" applyProtection="1">
      <alignment horizontal="center" vertical="center"/>
      <protection hidden="1"/>
    </xf>
    <xf numFmtId="0" fontId="18" fillId="8" borderId="14" xfId="0" applyFont="1" applyFill="1" applyBorder="1" applyAlignment="1" applyProtection="1">
      <alignment horizontal="center" vertical="center" wrapText="1"/>
      <protection hidden="1"/>
    </xf>
    <xf numFmtId="0" fontId="18" fillId="8" borderId="15" xfId="0" applyFont="1" applyFill="1" applyBorder="1" applyAlignment="1" applyProtection="1">
      <alignment horizontal="center" vertical="center" wrapText="1"/>
      <protection hidden="1"/>
    </xf>
    <xf numFmtId="0" fontId="0" fillId="0" borderId="22" xfId="0" applyBorder="1" applyAlignment="1" applyProtection="1">
      <alignment vertical="center"/>
      <protection hidden="1"/>
    </xf>
    <xf numFmtId="0" fontId="0" fillId="0" borderId="2" xfId="0" applyBorder="1" applyAlignment="1" applyProtection="1">
      <alignment vertical="center"/>
      <protection hidden="1"/>
    </xf>
    <xf numFmtId="0" fontId="2" fillId="0" borderId="22" xfId="0" applyFont="1" applyBorder="1" applyAlignment="1" applyProtection="1">
      <alignment horizontal="left" vertical="center"/>
      <protection hidden="1"/>
    </xf>
    <xf numFmtId="0" fontId="0" fillId="0" borderId="22" xfId="0" applyBorder="1" applyAlignment="1">
      <alignment horizontal="left" vertical="center"/>
    </xf>
    <xf numFmtId="0" fontId="0" fillId="3" borderId="0" xfId="0" applyFill="1" applyAlignment="1">
      <alignment horizontal="left" wrapText="1"/>
    </xf>
    <xf numFmtId="0" fontId="2" fillId="2" borderId="0" xfId="0" applyFont="1" applyFill="1" applyAlignment="1">
      <alignment horizontal="center" vertical="center"/>
    </xf>
    <xf numFmtId="0" fontId="2" fillId="2" borderId="62" xfId="0" applyFont="1" applyFill="1" applyBorder="1" applyAlignment="1">
      <alignment horizontal="center" vertical="center" wrapText="1"/>
    </xf>
    <xf numFmtId="0" fontId="2" fillId="2" borderId="0" xfId="0" applyFont="1" applyFill="1" applyAlignment="1">
      <alignment horizontal="center" vertical="center" wrapText="1"/>
    </xf>
    <xf numFmtId="0" fontId="33" fillId="2" borderId="0" xfId="0" applyFont="1" applyFill="1" applyAlignment="1" applyProtection="1">
      <alignment horizontal="center" vertical="center" wrapText="1"/>
      <protection hidden="1"/>
    </xf>
    <xf numFmtId="0" fontId="34" fillId="2" borderId="0" xfId="0" applyFont="1" applyFill="1" applyAlignment="1" applyProtection="1">
      <alignment horizontal="center" vertical="center" wrapText="1"/>
      <protection hidden="1"/>
    </xf>
    <xf numFmtId="0" fontId="0" fillId="13" borderId="20" xfId="0" applyFill="1" applyBorder="1" applyAlignment="1">
      <alignment horizontal="center" vertical="center" textRotation="90"/>
    </xf>
    <xf numFmtId="0" fontId="2" fillId="14" borderId="5" xfId="0" applyFont="1" applyFill="1" applyBorder="1" applyAlignment="1">
      <alignment horizontal="center" vertical="center" wrapText="1"/>
    </xf>
    <xf numFmtId="0" fontId="2" fillId="14" borderId="28" xfId="0" applyFont="1" applyFill="1" applyBorder="1" applyAlignment="1">
      <alignment horizontal="center" vertical="center" wrapText="1"/>
    </xf>
  </cellXfs>
  <cellStyles count="7">
    <cellStyle name="Comma 2" xfId="2"/>
    <cellStyle name="Normal" xfId="0" builtinId="0"/>
    <cellStyle name="Normal 2" xfId="1"/>
    <cellStyle name="Normal 2 2" xfId="3"/>
    <cellStyle name="Normal 2 3" xfId="4"/>
    <cellStyle name="Normal 3" xfId="6"/>
    <cellStyle name="Normal 4 2" xfId="5"/>
  </cellStyles>
  <dxfs count="24">
    <dxf>
      <fill>
        <patternFill>
          <bgColor theme="9" tint="0.39994506668294322"/>
        </patternFill>
      </fill>
    </dxf>
    <dxf>
      <fill>
        <patternFill>
          <bgColor theme="9" tint="0.39994506668294322"/>
        </patternFill>
      </fill>
    </dxf>
    <dxf>
      <fill>
        <patternFill>
          <bgColor theme="5" tint="0.39994506668294322"/>
        </patternFill>
      </fill>
    </dxf>
    <dxf>
      <fill>
        <patternFill>
          <bgColor theme="9" tint="0.39994506668294322"/>
        </patternFill>
      </fill>
    </dxf>
    <dxf>
      <fill>
        <patternFill>
          <bgColor theme="5" tint="0.39994506668294322"/>
        </patternFill>
      </fill>
    </dxf>
    <dxf>
      <fill>
        <patternFill>
          <bgColor theme="9" tint="0.39994506668294322"/>
        </patternFill>
      </fill>
    </dxf>
    <dxf>
      <fill>
        <patternFill>
          <bgColor theme="5" tint="0.39994506668294322"/>
        </patternFill>
      </fill>
    </dxf>
    <dxf>
      <fill>
        <patternFill>
          <bgColor theme="9" tint="0.39994506668294322"/>
        </patternFill>
      </fill>
    </dxf>
    <dxf>
      <fill>
        <patternFill>
          <bgColor theme="9" tint="0.39994506668294322"/>
        </patternFill>
      </fill>
    </dxf>
    <dxf>
      <fill>
        <patternFill>
          <bgColor theme="5" tint="0.3999450666829432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993366"/>
      <color rgb="FFFF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5.xml.rels><?xml version="1.0" encoding="UTF-8" standalone="yes"?>
<Relationships xmlns="http://schemas.openxmlformats.org/package/2006/relationships"><Relationship Id="rId2" Type="http://schemas.openxmlformats.org/officeDocument/2006/relationships/image" Target="cid:image002.png@01DC56F3.7BE689A0"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0</xdr:colOff>
      <xdr:row>21</xdr:row>
      <xdr:rowOff>0</xdr:rowOff>
    </xdr:from>
    <xdr:to>
      <xdr:col>9</xdr:col>
      <xdr:colOff>304800</xdr:colOff>
      <xdr:row>22</xdr:row>
      <xdr:rowOff>122583</xdr:rowOff>
    </xdr:to>
    <xdr:sp macro="" textlink="">
      <xdr:nvSpPr>
        <xdr:cNvPr id="2" name="ZoomMode" descr="https://svr-234/ProcessExplorer/WebControls/images/Zoom_In.svg">
          <a:extLst>
            <a:ext uri="{FF2B5EF4-FFF2-40B4-BE49-F238E27FC236}">
              <a16:creationId xmlns:a16="http://schemas.microsoft.com/office/drawing/2014/main" id="{B03FA309-EDC3-4E29-88A7-0044297DF45D}"/>
            </a:ext>
          </a:extLst>
        </xdr:cNvPr>
        <xdr:cNvSpPr>
          <a:spLocks noChangeAspect="1" noChangeArrowheads="1"/>
        </xdr:cNvSpPr>
      </xdr:nvSpPr>
      <xdr:spPr bwMode="auto">
        <a:xfrm>
          <a:off x="12649200" y="4210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22</xdr:row>
      <xdr:rowOff>0</xdr:rowOff>
    </xdr:from>
    <xdr:to>
      <xdr:col>9</xdr:col>
      <xdr:colOff>304800</xdr:colOff>
      <xdr:row>23</xdr:row>
      <xdr:rowOff>122582</xdr:rowOff>
    </xdr:to>
    <xdr:sp macro="" textlink="">
      <xdr:nvSpPr>
        <xdr:cNvPr id="3" name="ZoomOut" descr="https://svr-234/ProcessExplorer/WebControls/images/Zoom_Out.svg">
          <a:extLst>
            <a:ext uri="{FF2B5EF4-FFF2-40B4-BE49-F238E27FC236}">
              <a16:creationId xmlns:a16="http://schemas.microsoft.com/office/drawing/2014/main" id="{01330F2A-F010-4918-9D66-AC1516271A7C}"/>
            </a:ext>
          </a:extLst>
        </xdr:cNvPr>
        <xdr:cNvSpPr>
          <a:spLocks noChangeAspect="1" noChangeArrowheads="1"/>
        </xdr:cNvSpPr>
      </xdr:nvSpPr>
      <xdr:spPr bwMode="auto">
        <a:xfrm>
          <a:off x="12649200" y="4400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23</xdr:row>
      <xdr:rowOff>0</xdr:rowOff>
    </xdr:from>
    <xdr:to>
      <xdr:col>9</xdr:col>
      <xdr:colOff>304800</xdr:colOff>
      <xdr:row>24</xdr:row>
      <xdr:rowOff>122583</xdr:rowOff>
    </xdr:to>
    <xdr:sp macro="" textlink="">
      <xdr:nvSpPr>
        <xdr:cNvPr id="4" name="ZoomRect" descr="https://svr-234/ProcessExplorer/WebControls/images/DrawRectangle_OFF-01.svg">
          <a:extLst>
            <a:ext uri="{FF2B5EF4-FFF2-40B4-BE49-F238E27FC236}">
              <a16:creationId xmlns:a16="http://schemas.microsoft.com/office/drawing/2014/main" id="{4C02F6DB-19B6-4218-BBDA-0745932669E6}"/>
            </a:ext>
          </a:extLst>
        </xdr:cNvPr>
        <xdr:cNvSpPr>
          <a:spLocks noChangeAspect="1" noChangeArrowheads="1"/>
        </xdr:cNvSpPr>
      </xdr:nvSpPr>
      <xdr:spPr bwMode="auto">
        <a:xfrm>
          <a:off x="12649200" y="4591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24</xdr:row>
      <xdr:rowOff>0</xdr:rowOff>
    </xdr:from>
    <xdr:to>
      <xdr:col>9</xdr:col>
      <xdr:colOff>304800</xdr:colOff>
      <xdr:row>25</xdr:row>
      <xdr:rowOff>122583</xdr:rowOff>
    </xdr:to>
    <xdr:sp macro="" textlink="">
      <xdr:nvSpPr>
        <xdr:cNvPr id="5" name="Reset" descr="https://svr-234/ProcessExplorer/WebControls/images/Zoom_to_Fit.svg">
          <a:extLst>
            <a:ext uri="{FF2B5EF4-FFF2-40B4-BE49-F238E27FC236}">
              <a16:creationId xmlns:a16="http://schemas.microsoft.com/office/drawing/2014/main" id="{F7AA1B70-E52E-4F6B-B316-A9BEB9D4069C}"/>
            </a:ext>
          </a:extLst>
        </xdr:cNvPr>
        <xdr:cNvSpPr>
          <a:spLocks noChangeAspect="1" noChangeArrowheads="1"/>
        </xdr:cNvSpPr>
      </xdr:nvSpPr>
      <xdr:spPr bwMode="auto">
        <a:xfrm>
          <a:off x="12649200" y="4781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5</xdr:col>
      <xdr:colOff>0</xdr:colOff>
      <xdr:row>12</xdr:row>
      <xdr:rowOff>0</xdr:rowOff>
    </xdr:from>
    <xdr:to>
      <xdr:col>5</xdr:col>
      <xdr:colOff>304800</xdr:colOff>
      <xdr:row>13</xdr:row>
      <xdr:rowOff>122582</xdr:rowOff>
    </xdr:to>
    <xdr:sp macro="" textlink="">
      <xdr:nvSpPr>
        <xdr:cNvPr id="7" name="ZoomOut" descr="https://svr-234/ProcessExplorer/WebControls/images/Zoom_Out.svg">
          <a:extLst>
            <a:ext uri="{FF2B5EF4-FFF2-40B4-BE49-F238E27FC236}">
              <a16:creationId xmlns:a16="http://schemas.microsoft.com/office/drawing/2014/main" id="{72E553A8-A326-4926-9094-054B3AD0DA2D}"/>
            </a:ext>
          </a:extLst>
        </xdr:cNvPr>
        <xdr:cNvSpPr>
          <a:spLocks noChangeAspect="1" noChangeArrowheads="1"/>
        </xdr:cNvSpPr>
      </xdr:nvSpPr>
      <xdr:spPr bwMode="auto">
        <a:xfrm>
          <a:off x="6210300" y="2495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5</xdr:col>
      <xdr:colOff>0</xdr:colOff>
      <xdr:row>13</xdr:row>
      <xdr:rowOff>0</xdr:rowOff>
    </xdr:from>
    <xdr:to>
      <xdr:col>5</xdr:col>
      <xdr:colOff>304800</xdr:colOff>
      <xdr:row>14</xdr:row>
      <xdr:rowOff>122583</xdr:rowOff>
    </xdr:to>
    <xdr:sp macro="" textlink="">
      <xdr:nvSpPr>
        <xdr:cNvPr id="8" name="ZoomRect" descr="https://svr-234/ProcessExplorer/WebControls/images/DrawRectangle_OFF-01.svg">
          <a:extLst>
            <a:ext uri="{FF2B5EF4-FFF2-40B4-BE49-F238E27FC236}">
              <a16:creationId xmlns:a16="http://schemas.microsoft.com/office/drawing/2014/main" id="{729F4FE3-B6CA-4080-A35F-42A899A9FEF9}"/>
            </a:ext>
          </a:extLst>
        </xdr:cNvPr>
        <xdr:cNvSpPr>
          <a:spLocks noChangeAspect="1" noChangeArrowheads="1"/>
        </xdr:cNvSpPr>
      </xdr:nvSpPr>
      <xdr:spPr bwMode="auto">
        <a:xfrm>
          <a:off x="6210300" y="2686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8032</xdr:rowOff>
    </xdr:from>
    <xdr:to>
      <xdr:col>0</xdr:col>
      <xdr:colOff>1165412</xdr:colOff>
      <xdr:row>0</xdr:row>
      <xdr:rowOff>224118</xdr:rowOff>
    </xdr:to>
    <xdr:sp macro="" textlink="">
      <xdr:nvSpPr>
        <xdr:cNvPr id="60" name="Rectangle: Rounded Corners 59">
          <a:extLst>
            <a:ext uri="{FF2B5EF4-FFF2-40B4-BE49-F238E27FC236}">
              <a16:creationId xmlns:a16="http://schemas.microsoft.com/office/drawing/2014/main" id="{D4374A12-E54F-9DAC-6AB2-BC7C397F0BF4}"/>
            </a:ext>
          </a:extLst>
        </xdr:cNvPr>
        <xdr:cNvSpPr/>
      </xdr:nvSpPr>
      <xdr:spPr>
        <a:xfrm>
          <a:off x="0" y="8032"/>
          <a:ext cx="1165412" cy="216086"/>
        </a:xfrm>
        <a:prstGeom prst="round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solidFill>
                <a:sysClr val="windowText" lastClr="000000"/>
              </a:solidFill>
            </a:rPr>
            <a:t> Calculated cells</a:t>
          </a:r>
        </a:p>
      </xdr:txBody>
    </xdr:sp>
    <xdr:clientData/>
  </xdr:twoCellAnchor>
  <xdr:twoCellAnchor>
    <xdr:from>
      <xdr:col>0</xdr:col>
      <xdr:colOff>8030</xdr:colOff>
      <xdr:row>0</xdr:row>
      <xdr:rowOff>305733</xdr:rowOff>
    </xdr:from>
    <xdr:to>
      <xdr:col>0</xdr:col>
      <xdr:colOff>1154205</xdr:colOff>
      <xdr:row>0</xdr:row>
      <xdr:rowOff>504265</xdr:rowOff>
    </xdr:to>
    <xdr:sp macro="" textlink="">
      <xdr:nvSpPr>
        <xdr:cNvPr id="2240" name="Rectangle: Rounded Corners 2239">
          <a:extLst>
            <a:ext uri="{FF2B5EF4-FFF2-40B4-BE49-F238E27FC236}">
              <a16:creationId xmlns:a16="http://schemas.microsoft.com/office/drawing/2014/main" id="{61EA56E1-408D-491E-8215-CCDC77B40B3D}"/>
            </a:ext>
          </a:extLst>
        </xdr:cNvPr>
        <xdr:cNvSpPr/>
      </xdr:nvSpPr>
      <xdr:spPr>
        <a:xfrm>
          <a:off x="8030" y="305733"/>
          <a:ext cx="1146175" cy="198532"/>
        </a:xfrm>
        <a:prstGeom prst="roundRect">
          <a:avLst/>
        </a:prstGeom>
        <a:solidFill>
          <a:srgbClr val="9933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solidFill>
                <a:sysClr val="windowText" lastClr="000000"/>
              </a:solidFill>
            </a:rPr>
            <a:t>  </a:t>
          </a:r>
          <a:r>
            <a:rPr lang="en-US" sz="1100">
              <a:solidFill>
                <a:schemeClr val="bg1"/>
              </a:solidFill>
            </a:rPr>
            <a:t>DCS fetch</a:t>
          </a:r>
        </a:p>
      </xdr:txBody>
    </xdr:sp>
    <xdr:clientData/>
  </xdr:twoCellAnchor>
  <xdr:twoCellAnchor>
    <xdr:from>
      <xdr:col>0</xdr:col>
      <xdr:colOff>0</xdr:colOff>
      <xdr:row>0</xdr:row>
      <xdr:rowOff>577853</xdr:rowOff>
    </xdr:from>
    <xdr:to>
      <xdr:col>0</xdr:col>
      <xdr:colOff>1143000</xdr:colOff>
      <xdr:row>0</xdr:row>
      <xdr:rowOff>784412</xdr:rowOff>
    </xdr:to>
    <xdr:sp macro="" textlink="">
      <xdr:nvSpPr>
        <xdr:cNvPr id="2241" name="Rectangle: Rounded Corners 2240">
          <a:extLst>
            <a:ext uri="{FF2B5EF4-FFF2-40B4-BE49-F238E27FC236}">
              <a16:creationId xmlns:a16="http://schemas.microsoft.com/office/drawing/2014/main" id="{55A8158B-366F-4842-8C9E-A092321B1C63}"/>
            </a:ext>
          </a:extLst>
        </xdr:cNvPr>
        <xdr:cNvSpPr/>
      </xdr:nvSpPr>
      <xdr:spPr>
        <a:xfrm>
          <a:off x="0" y="577853"/>
          <a:ext cx="1143000" cy="206559"/>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solidFill>
                <a:sysClr val="windowText" lastClr="000000"/>
              </a:solidFill>
            </a:rPr>
            <a:t> Manual Entry</a:t>
          </a:r>
        </a:p>
      </xdr:txBody>
    </xdr:sp>
    <xdr:clientData/>
  </xdr:twoCellAnchor>
  <xdr:twoCellAnchor>
    <xdr:from>
      <xdr:col>0</xdr:col>
      <xdr:colOff>0</xdr:colOff>
      <xdr:row>0</xdr:row>
      <xdr:rowOff>840441</xdr:rowOff>
    </xdr:from>
    <xdr:to>
      <xdr:col>0</xdr:col>
      <xdr:colOff>1134969</xdr:colOff>
      <xdr:row>0</xdr:row>
      <xdr:rowOff>1056528</xdr:rowOff>
    </xdr:to>
    <xdr:sp macro="" textlink="">
      <xdr:nvSpPr>
        <xdr:cNvPr id="2242" name="Rectangle: Rounded Corners 2241">
          <a:extLst>
            <a:ext uri="{FF2B5EF4-FFF2-40B4-BE49-F238E27FC236}">
              <a16:creationId xmlns:a16="http://schemas.microsoft.com/office/drawing/2014/main" id="{A1557E4C-5EC3-4B99-9D56-2DC8B085341B}"/>
            </a:ext>
          </a:extLst>
        </xdr:cNvPr>
        <xdr:cNvSpPr/>
      </xdr:nvSpPr>
      <xdr:spPr>
        <a:xfrm>
          <a:off x="0" y="840441"/>
          <a:ext cx="1134969" cy="216087"/>
        </a:xfrm>
        <a:prstGeom prst="roundRect">
          <a:avLst/>
        </a:prstGeom>
        <a:solidFill>
          <a:schemeClr val="tx2">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solidFill>
                <a:schemeClr val="bg1"/>
              </a:solidFill>
            </a:rPr>
            <a:t>   HOA Terms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8032</xdr:rowOff>
    </xdr:from>
    <xdr:to>
      <xdr:col>0</xdr:col>
      <xdr:colOff>1165412</xdr:colOff>
      <xdr:row>0</xdr:row>
      <xdr:rowOff>224118</xdr:rowOff>
    </xdr:to>
    <xdr:sp macro="" textlink="">
      <xdr:nvSpPr>
        <xdr:cNvPr id="2" name="Rectangle: Rounded Corners 1">
          <a:extLst>
            <a:ext uri="{FF2B5EF4-FFF2-40B4-BE49-F238E27FC236}">
              <a16:creationId xmlns:a16="http://schemas.microsoft.com/office/drawing/2014/main" id="{937BF981-830B-4DD9-A7B0-626EB33F67A6}"/>
            </a:ext>
          </a:extLst>
        </xdr:cNvPr>
        <xdr:cNvSpPr/>
      </xdr:nvSpPr>
      <xdr:spPr>
        <a:xfrm>
          <a:off x="0" y="11207"/>
          <a:ext cx="1168587" cy="209736"/>
        </a:xfrm>
        <a:prstGeom prst="round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solidFill>
                <a:sysClr val="windowText" lastClr="000000"/>
              </a:solidFill>
            </a:rPr>
            <a:t> Calculated cells</a:t>
          </a:r>
        </a:p>
      </xdr:txBody>
    </xdr:sp>
    <xdr:clientData/>
  </xdr:twoCellAnchor>
  <xdr:twoCellAnchor>
    <xdr:from>
      <xdr:col>0</xdr:col>
      <xdr:colOff>8030</xdr:colOff>
      <xdr:row>0</xdr:row>
      <xdr:rowOff>305733</xdr:rowOff>
    </xdr:from>
    <xdr:to>
      <xdr:col>0</xdr:col>
      <xdr:colOff>1154205</xdr:colOff>
      <xdr:row>0</xdr:row>
      <xdr:rowOff>504265</xdr:rowOff>
    </xdr:to>
    <xdr:sp macro="" textlink="">
      <xdr:nvSpPr>
        <xdr:cNvPr id="3" name="Rectangle: Rounded Corners 2">
          <a:extLst>
            <a:ext uri="{FF2B5EF4-FFF2-40B4-BE49-F238E27FC236}">
              <a16:creationId xmlns:a16="http://schemas.microsoft.com/office/drawing/2014/main" id="{B9295950-9D47-4597-B868-E73E5D6A8A97}"/>
            </a:ext>
          </a:extLst>
        </xdr:cNvPr>
        <xdr:cNvSpPr/>
      </xdr:nvSpPr>
      <xdr:spPr>
        <a:xfrm>
          <a:off x="11205" y="305733"/>
          <a:ext cx="1139825" cy="201707"/>
        </a:xfrm>
        <a:prstGeom prst="roundRect">
          <a:avLst/>
        </a:prstGeom>
        <a:solidFill>
          <a:srgbClr val="9933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solidFill>
                <a:sysClr val="windowText" lastClr="000000"/>
              </a:solidFill>
            </a:rPr>
            <a:t>  </a:t>
          </a:r>
          <a:r>
            <a:rPr lang="en-US" sz="1100">
              <a:solidFill>
                <a:schemeClr val="bg1"/>
              </a:solidFill>
            </a:rPr>
            <a:t>DCS fetch</a:t>
          </a:r>
        </a:p>
      </xdr:txBody>
    </xdr:sp>
    <xdr:clientData/>
  </xdr:twoCellAnchor>
  <xdr:twoCellAnchor>
    <xdr:from>
      <xdr:col>0</xdr:col>
      <xdr:colOff>0</xdr:colOff>
      <xdr:row>0</xdr:row>
      <xdr:rowOff>577853</xdr:rowOff>
    </xdr:from>
    <xdr:to>
      <xdr:col>0</xdr:col>
      <xdr:colOff>1143000</xdr:colOff>
      <xdr:row>0</xdr:row>
      <xdr:rowOff>784412</xdr:rowOff>
    </xdr:to>
    <xdr:sp macro="" textlink="">
      <xdr:nvSpPr>
        <xdr:cNvPr id="4" name="Rectangle: Rounded Corners 3">
          <a:extLst>
            <a:ext uri="{FF2B5EF4-FFF2-40B4-BE49-F238E27FC236}">
              <a16:creationId xmlns:a16="http://schemas.microsoft.com/office/drawing/2014/main" id="{B627A9A0-F956-4C77-B1E9-D1C892413367}"/>
            </a:ext>
          </a:extLst>
        </xdr:cNvPr>
        <xdr:cNvSpPr/>
      </xdr:nvSpPr>
      <xdr:spPr>
        <a:xfrm>
          <a:off x="0" y="581028"/>
          <a:ext cx="1143000" cy="206559"/>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solidFill>
                <a:sysClr val="windowText" lastClr="000000"/>
              </a:solidFill>
            </a:rPr>
            <a:t> Manual Entry</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8032</xdr:rowOff>
    </xdr:from>
    <xdr:to>
      <xdr:col>0</xdr:col>
      <xdr:colOff>1165412</xdr:colOff>
      <xdr:row>0</xdr:row>
      <xdr:rowOff>224118</xdr:rowOff>
    </xdr:to>
    <xdr:sp macro="" textlink="">
      <xdr:nvSpPr>
        <xdr:cNvPr id="6" name="Rectangle: Rounded Corners 5">
          <a:extLst>
            <a:ext uri="{FF2B5EF4-FFF2-40B4-BE49-F238E27FC236}">
              <a16:creationId xmlns:a16="http://schemas.microsoft.com/office/drawing/2014/main" id="{27E3AA7F-E09F-42A5-AB94-6FF8FCF1DBCA}"/>
            </a:ext>
          </a:extLst>
        </xdr:cNvPr>
        <xdr:cNvSpPr/>
      </xdr:nvSpPr>
      <xdr:spPr>
        <a:xfrm>
          <a:off x="0" y="11207"/>
          <a:ext cx="1168587" cy="209736"/>
        </a:xfrm>
        <a:prstGeom prst="round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solidFill>
                <a:sysClr val="windowText" lastClr="000000"/>
              </a:solidFill>
            </a:rPr>
            <a:t> Calculated cells</a:t>
          </a:r>
        </a:p>
      </xdr:txBody>
    </xdr:sp>
    <xdr:clientData/>
  </xdr:twoCellAnchor>
  <xdr:twoCellAnchor>
    <xdr:from>
      <xdr:col>0</xdr:col>
      <xdr:colOff>8030</xdr:colOff>
      <xdr:row>0</xdr:row>
      <xdr:rowOff>305733</xdr:rowOff>
    </xdr:from>
    <xdr:to>
      <xdr:col>0</xdr:col>
      <xdr:colOff>1154205</xdr:colOff>
      <xdr:row>0</xdr:row>
      <xdr:rowOff>504265</xdr:rowOff>
    </xdr:to>
    <xdr:sp macro="" textlink="">
      <xdr:nvSpPr>
        <xdr:cNvPr id="7" name="Rectangle: Rounded Corners 6">
          <a:extLst>
            <a:ext uri="{FF2B5EF4-FFF2-40B4-BE49-F238E27FC236}">
              <a16:creationId xmlns:a16="http://schemas.microsoft.com/office/drawing/2014/main" id="{D77F2330-9CEE-4AA4-BD8F-F7B19D0E065D}"/>
            </a:ext>
          </a:extLst>
        </xdr:cNvPr>
        <xdr:cNvSpPr/>
      </xdr:nvSpPr>
      <xdr:spPr>
        <a:xfrm>
          <a:off x="11205" y="305733"/>
          <a:ext cx="1139825" cy="201707"/>
        </a:xfrm>
        <a:prstGeom prst="roundRect">
          <a:avLst/>
        </a:prstGeom>
        <a:solidFill>
          <a:srgbClr val="9933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solidFill>
                <a:sysClr val="windowText" lastClr="000000"/>
              </a:solidFill>
            </a:rPr>
            <a:t>  </a:t>
          </a:r>
          <a:r>
            <a:rPr lang="en-US" sz="1100">
              <a:solidFill>
                <a:schemeClr val="bg1"/>
              </a:solidFill>
            </a:rPr>
            <a:t>DCS fetch</a:t>
          </a:r>
        </a:p>
      </xdr:txBody>
    </xdr:sp>
    <xdr:clientData/>
  </xdr:twoCellAnchor>
  <xdr:twoCellAnchor>
    <xdr:from>
      <xdr:col>0</xdr:col>
      <xdr:colOff>0</xdr:colOff>
      <xdr:row>0</xdr:row>
      <xdr:rowOff>577853</xdr:rowOff>
    </xdr:from>
    <xdr:to>
      <xdr:col>0</xdr:col>
      <xdr:colOff>1143000</xdr:colOff>
      <xdr:row>0</xdr:row>
      <xdr:rowOff>784412</xdr:rowOff>
    </xdr:to>
    <xdr:sp macro="" textlink="">
      <xdr:nvSpPr>
        <xdr:cNvPr id="8" name="Rectangle: Rounded Corners 7">
          <a:extLst>
            <a:ext uri="{FF2B5EF4-FFF2-40B4-BE49-F238E27FC236}">
              <a16:creationId xmlns:a16="http://schemas.microsoft.com/office/drawing/2014/main" id="{F6377FD8-B869-4D1B-8D8E-EA00B5A4A1A0}"/>
            </a:ext>
          </a:extLst>
        </xdr:cNvPr>
        <xdr:cNvSpPr/>
      </xdr:nvSpPr>
      <xdr:spPr>
        <a:xfrm>
          <a:off x="0" y="581028"/>
          <a:ext cx="1143000" cy="206559"/>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solidFill>
                <a:sysClr val="windowText" lastClr="000000"/>
              </a:solidFill>
            </a:rPr>
            <a:t> Manual Entry</a:t>
          </a:r>
        </a:p>
      </xdr:txBody>
    </xdr:sp>
    <xdr:clientData/>
  </xdr:twoCellAnchor>
  <xdr:twoCellAnchor>
    <xdr:from>
      <xdr:col>0</xdr:col>
      <xdr:colOff>0</xdr:colOff>
      <xdr:row>0</xdr:row>
      <xdr:rowOff>840441</xdr:rowOff>
    </xdr:from>
    <xdr:to>
      <xdr:col>0</xdr:col>
      <xdr:colOff>1134969</xdr:colOff>
      <xdr:row>0</xdr:row>
      <xdr:rowOff>1056528</xdr:rowOff>
    </xdr:to>
    <xdr:sp macro="" textlink="">
      <xdr:nvSpPr>
        <xdr:cNvPr id="9" name="Rectangle: Rounded Corners 8">
          <a:extLst>
            <a:ext uri="{FF2B5EF4-FFF2-40B4-BE49-F238E27FC236}">
              <a16:creationId xmlns:a16="http://schemas.microsoft.com/office/drawing/2014/main" id="{B8BA4D23-73E9-47C9-BCDA-5B3684056818}"/>
            </a:ext>
          </a:extLst>
        </xdr:cNvPr>
        <xdr:cNvSpPr/>
      </xdr:nvSpPr>
      <xdr:spPr>
        <a:xfrm>
          <a:off x="0" y="840441"/>
          <a:ext cx="1131794" cy="219262"/>
        </a:xfrm>
        <a:prstGeom prst="roundRect">
          <a:avLst/>
        </a:prstGeom>
        <a:solidFill>
          <a:schemeClr val="tx2">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solidFill>
                <a:schemeClr val="bg1"/>
              </a:solidFill>
            </a:rPr>
            <a:t>   HOA Terms</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21</xdr:col>
      <xdr:colOff>539750</xdr:colOff>
      <xdr:row>3</xdr:row>
      <xdr:rowOff>34736</xdr:rowOff>
    </xdr:from>
    <xdr:to>
      <xdr:col>31</xdr:col>
      <xdr:colOff>393700</xdr:colOff>
      <xdr:row>10</xdr:row>
      <xdr:rowOff>126999</xdr:rowOff>
    </xdr:to>
    <xdr:pic>
      <xdr:nvPicPr>
        <xdr:cNvPr id="3" name="Picture 1">
          <a:extLst>
            <a:ext uri="{FF2B5EF4-FFF2-40B4-BE49-F238E27FC236}">
              <a16:creationId xmlns:a16="http://schemas.microsoft.com/office/drawing/2014/main" id="{5E7E4617-72E3-C2E3-63D2-E34D9D3D1B34}"/>
            </a:ext>
          </a:extLst>
        </xdr:cNvPr>
        <xdr:cNvPicPr>
          <a:picLocks noChangeAspect="1"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14592300" y="1342836"/>
          <a:ext cx="5949950" cy="13876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ersons/person.xml><?xml version="1.0" encoding="utf-8"?>
<personList xmlns="http://schemas.microsoft.com/office/spreadsheetml/2018/threadedcomments" xmlns:x="http://schemas.openxmlformats.org/spreadsheetml/2006/main">
  <person displayName="Alnaser,Salman" id="{2A8680E6-DB4A-4C73-9D49-E0D70AB5A65D}" userId="Alnaser,Salman" providerId="Non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H39" dT="2025-02-19T07:46:15.33" personId="{2A8680E6-DB4A-4C73-9D49-E0D70AB5A65D}" id="{0237FE64-0980-4211-AAC5-9654FFCC83AA}">
    <text>Recovery factor based on the feed composition</text>
  </threadedComment>
  <threadedComment ref="H73" dT="2025-03-06T08:40:11.75" personId="{2A8680E6-DB4A-4C73-9D49-E0D70AB5A65D}" id="{19CB7363-B200-4273-A2AF-5306BEA555D6}">
    <text xml:space="preserve"> CAPP value is 22291.777567397</text>
  </threadedComment>
</ThreadedComments>
</file>

<file path=xl/threadedComments/threadedComment2.xml><?xml version="1.0" encoding="utf-8"?>
<ThreadedComments xmlns="http://schemas.microsoft.com/office/spreadsheetml/2018/threadedcomments" xmlns:x="http://schemas.openxmlformats.org/spreadsheetml/2006/main">
  <threadedComment ref="H43" dT="2025-02-19T07:46:15.33" personId="{2A8680E6-DB4A-4C73-9D49-E0D70AB5A65D}" id="{4DBE2F1D-41C5-469A-9BF9-8A9EA8492509}">
    <text>Recovery factor based on the feed composition</text>
  </threadedComment>
  <threadedComment ref="H77" dT="2025-03-06T08:40:11.75" personId="{2A8680E6-DB4A-4C73-9D49-E0D70AB5A65D}" id="{6F2B94F3-F421-4FCD-80E2-4F4113C0459C}">
    <text xml:space="preserve"> CAPP value is 22291.777567397</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1:H115"/>
  <sheetViews>
    <sheetView topLeftCell="A110" workbookViewId="0">
      <selection activeCell="F7" sqref="F7"/>
    </sheetView>
  </sheetViews>
  <sheetFormatPr defaultRowHeight="14.25"/>
  <sheetData>
    <row r="1" spans="1:8" ht="28.5">
      <c r="A1" s="252" t="s">
        <v>8</v>
      </c>
      <c r="B1" s="180" t="s">
        <v>344</v>
      </c>
      <c r="C1" s="416" t="s">
        <v>465</v>
      </c>
      <c r="D1" s="435" t="s">
        <v>465</v>
      </c>
      <c r="E1" s="59" t="s">
        <v>9</v>
      </c>
      <c r="F1" s="132">
        <v>1059.5</v>
      </c>
      <c r="G1" s="209">
        <f t="shared" ref="G1:G5" si="0">SUM(H1:AL1)</f>
        <v>715.80968449017973</v>
      </c>
      <c r="H1" s="92">
        <f>VLOOKUP($B1,'DCS Data'!$E$2:$AJ$100,MATCH('Daily Report'!I$1,'DCS Data'!$E$2:$AJ$2,0),0)</f>
        <v>715.80968449017973</v>
      </c>
    </row>
    <row r="2" spans="1:8" ht="28.5">
      <c r="A2" s="252" t="s">
        <v>10</v>
      </c>
      <c r="B2" s="180" t="s">
        <v>343</v>
      </c>
      <c r="C2" s="416" t="s">
        <v>466</v>
      </c>
      <c r="D2" s="435" t="s">
        <v>466</v>
      </c>
      <c r="E2" s="59" t="s">
        <v>9</v>
      </c>
      <c r="F2" s="132">
        <v>651.6</v>
      </c>
      <c r="G2" s="209">
        <f t="shared" si="0"/>
        <v>506.45476762966933</v>
      </c>
      <c r="H2" s="92">
        <f>VLOOKUP($B2,'DCS Data'!$E$2:$AJ$100,MATCH('Daily Report'!I$1,'DCS Data'!$E$2:$AJ$2,0),0)</f>
        <v>506.45476762966933</v>
      </c>
    </row>
    <row r="3" spans="1:8" ht="28.5">
      <c r="A3" s="252" t="s">
        <v>11</v>
      </c>
      <c r="B3" s="180" t="s">
        <v>345</v>
      </c>
      <c r="C3" s="416" t="s">
        <v>467</v>
      </c>
      <c r="D3" s="435" t="s">
        <v>467</v>
      </c>
      <c r="E3" s="59" t="s">
        <v>9</v>
      </c>
      <c r="F3" s="132">
        <f>F2+F53</f>
        <v>655.1</v>
      </c>
      <c r="G3" s="209">
        <f t="shared" si="0"/>
        <v>475.72453863443366</v>
      </c>
      <c r="H3" s="92">
        <f>VLOOKUP($B3,'DCS Data'!$E$2:$AJ$100,MATCH('Daily Report'!I$1,'DCS Data'!$E$2:$AJ$2,0),0)</f>
        <v>475.72453863443366</v>
      </c>
    </row>
    <row r="4" spans="1:8" ht="28.5">
      <c r="A4" s="252" t="s">
        <v>12</v>
      </c>
      <c r="B4" s="180" t="s">
        <v>346</v>
      </c>
      <c r="C4" s="416" t="s">
        <v>468</v>
      </c>
      <c r="D4" s="435" t="s">
        <v>468</v>
      </c>
      <c r="E4" s="59" t="s">
        <v>9</v>
      </c>
      <c r="F4" s="132">
        <v>407.9</v>
      </c>
      <c r="G4" s="209">
        <f t="shared" si="0"/>
        <v>296.67808836044503</v>
      </c>
      <c r="H4" s="92">
        <f>VLOOKUP($B4,'DCS Data'!$E$2:$AJ$100,MATCH('Daily Report'!I$1,'DCS Data'!$E$2:$AJ$2,0),0)</f>
        <v>296.67808836044503</v>
      </c>
    </row>
    <row r="5" spans="1:8" ht="28.5">
      <c r="A5" s="252" t="s">
        <v>12</v>
      </c>
      <c r="B5" s="180" t="s">
        <v>347</v>
      </c>
      <c r="C5" s="416" t="s">
        <v>469</v>
      </c>
      <c r="D5" s="435" t="s">
        <v>469</v>
      </c>
      <c r="E5" s="59" t="s">
        <v>9</v>
      </c>
      <c r="F5" s="132">
        <v>407.9</v>
      </c>
      <c r="G5" s="209">
        <f t="shared" si="0"/>
        <v>326.39420727286853</v>
      </c>
      <c r="H5" s="92">
        <f>VLOOKUP($B5,'DCS Data'!$E$2:$AJ$100,MATCH('Daily Report'!I$1,'DCS Data'!$E$2:$AJ$2,0),0)</f>
        <v>326.39420727286853</v>
      </c>
    </row>
    <row r="6" spans="1:8" ht="15.75" thickBot="1">
      <c r="A6" s="262" t="s">
        <v>442</v>
      </c>
      <c r="B6" s="257"/>
      <c r="C6" s="257"/>
      <c r="D6" s="257"/>
      <c r="E6" s="265" t="s">
        <v>25</v>
      </c>
      <c r="F6" s="133">
        <v>17.440000000000001</v>
      </c>
      <c r="G6" s="210">
        <f t="shared" ref="G6:G11" si="1">AVERAGE(H6:AL6)</f>
        <v>5.4195789209816707E-2</v>
      </c>
      <c r="H6" s="143">
        <f>Analysis!J8</f>
        <v>5.4195789209816707E-2</v>
      </c>
    </row>
    <row r="7" spans="1:8" ht="28.5">
      <c r="A7" s="110" t="s">
        <v>22</v>
      </c>
      <c r="B7" s="181" t="s">
        <v>348</v>
      </c>
      <c r="C7" s="416" t="s">
        <v>470</v>
      </c>
      <c r="D7" s="419" t="s">
        <v>545</v>
      </c>
      <c r="E7" s="68" t="s">
        <v>23</v>
      </c>
      <c r="F7" s="134">
        <v>939.07</v>
      </c>
      <c r="G7" s="211">
        <f t="shared" si="1"/>
        <v>958.39106463485325</v>
      </c>
      <c r="H7" s="92">
        <f>VLOOKUP($B7,'DCS Data'!$E$2:$AJ$100,MATCH('Daily Report'!I$1,'DCS Data'!$E$2:$AJ$2,0),0)</f>
        <v>958.39106463485325</v>
      </c>
    </row>
    <row r="8" spans="1:8" ht="15.75" thickBot="1">
      <c r="A8" s="75"/>
      <c r="B8" s="182"/>
      <c r="C8" s="182"/>
      <c r="D8" s="182"/>
      <c r="E8" s="264" t="s">
        <v>24</v>
      </c>
      <c r="F8" s="135">
        <f>F7*38.0440529671749</f>
        <v>35726.028819884938</v>
      </c>
      <c r="G8" s="207">
        <f t="shared" si="1"/>
        <v>36461.080426235501</v>
      </c>
      <c r="H8" s="144">
        <f t="shared" ref="H8" si="2">H7*38.0440529671749</f>
        <v>36461.080426235501</v>
      </c>
    </row>
    <row r="9" spans="1:8" ht="85.5">
      <c r="A9" s="152" t="s">
        <v>27</v>
      </c>
      <c r="B9" s="77"/>
      <c r="C9" s="77"/>
      <c r="D9" s="77"/>
      <c r="E9" s="63" t="s">
        <v>24</v>
      </c>
      <c r="F9" s="131"/>
      <c r="G9" s="208">
        <f t="shared" ca="1" si="1"/>
        <v>35799.453842111601</v>
      </c>
      <c r="H9" s="289">
        <f ca="1">H10*38.0440529671749</f>
        <v>35799.453842111579</v>
      </c>
    </row>
    <row r="10" spans="1:8" ht="85.5">
      <c r="A10" s="254" t="s">
        <v>27</v>
      </c>
      <c r="B10" s="255"/>
      <c r="C10" s="255"/>
      <c r="D10" s="255"/>
      <c r="E10" s="59" t="s">
        <v>408</v>
      </c>
      <c r="F10" s="132"/>
      <c r="G10" s="209">
        <v>941</v>
      </c>
      <c r="H10" s="310">
        <f ca="1">$G$14</f>
        <v>941</v>
      </c>
    </row>
    <row r="11" spans="1:8" ht="29.25" thickBot="1">
      <c r="A11" s="256" t="s">
        <v>28</v>
      </c>
      <c r="B11" s="257"/>
      <c r="C11" s="257"/>
      <c r="D11" s="257"/>
      <c r="E11" s="265" t="s">
        <v>24</v>
      </c>
      <c r="F11" s="137"/>
      <c r="G11" s="210">
        <f t="shared" ca="1" si="1"/>
        <v>35799.453842111601</v>
      </c>
      <c r="H11" s="311">
        <f ca="1">H9</f>
        <v>35799.453842111579</v>
      </c>
    </row>
    <row r="12" spans="1:8" ht="15">
      <c r="A12" s="258" t="s">
        <v>29</v>
      </c>
      <c r="B12" s="183"/>
      <c r="C12" s="183"/>
      <c r="D12" s="183"/>
      <c r="E12" s="68" t="s">
        <v>30</v>
      </c>
      <c r="F12" s="138"/>
      <c r="G12" s="211">
        <f t="shared" ref="G12:G23" ca="1" si="3">SUM(H12:AL12)</f>
        <v>717033.44797194458</v>
      </c>
      <c r="H12" s="146">
        <f t="shared" ref="H12" ca="1" si="4">H11*((H3-H53)*1000/(H6/22.414))/1000000</f>
        <v>22007.30362962664</v>
      </c>
    </row>
    <row r="13" spans="1:8" ht="15">
      <c r="A13" s="259" t="s">
        <v>31</v>
      </c>
      <c r="B13" s="255"/>
      <c r="C13" s="255"/>
      <c r="D13" s="255"/>
      <c r="E13" s="59" t="s">
        <v>30</v>
      </c>
      <c r="F13" s="132"/>
      <c r="G13" s="209">
        <f t="shared" ca="1" si="3"/>
        <v>472230.66787447874</v>
      </c>
      <c r="H13" s="145">
        <f ca="1">H11*(H4*1000/(H6/22.414))/1000000</f>
        <v>13826.223226902463</v>
      </c>
    </row>
    <row r="14" spans="1:8" ht="15.75" thickBot="1">
      <c r="A14" s="290" t="s">
        <v>417</v>
      </c>
      <c r="B14" s="291"/>
      <c r="C14" s="291"/>
      <c r="D14" s="291"/>
      <c r="E14" s="265" t="s">
        <v>30</v>
      </c>
      <c r="F14" s="137"/>
      <c r="G14" s="210">
        <f ca="1">SUM(H14:AL14)</f>
        <v>1189264.1158464232</v>
      </c>
      <c r="H14" s="292">
        <f ca="1">H13+H12</f>
        <v>35833.526856529104</v>
      </c>
    </row>
    <row r="15" spans="1:8" ht="28.5">
      <c r="A15" s="110" t="s">
        <v>32</v>
      </c>
      <c r="B15" s="186" t="s">
        <v>349</v>
      </c>
      <c r="C15" s="416" t="s">
        <v>471</v>
      </c>
      <c r="D15" s="435" t="s">
        <v>471</v>
      </c>
      <c r="E15" s="68" t="s">
        <v>9</v>
      </c>
      <c r="F15" s="138">
        <v>413.17</v>
      </c>
      <c r="G15" s="211">
        <f t="shared" si="3"/>
        <v>304.7117046546436</v>
      </c>
      <c r="H15" s="103">
        <f>VLOOKUP($B15,'DCS Data'!$E$2:$AJ$100,MATCH('Daily Report'!I$1,'DCS Data'!$E$2:$AJ$2,0),0)</f>
        <v>304.7117046546436</v>
      </c>
    </row>
    <row r="16" spans="1:8" ht="28.5">
      <c r="A16" s="118" t="s">
        <v>416</v>
      </c>
      <c r="B16" s="180" t="s">
        <v>350</v>
      </c>
      <c r="C16" s="416" t="s">
        <v>472</v>
      </c>
      <c r="D16" s="418" t="s">
        <v>472</v>
      </c>
      <c r="E16" s="59" t="s">
        <v>9</v>
      </c>
      <c r="F16" s="132">
        <v>0</v>
      </c>
      <c r="G16" s="209">
        <f t="shared" si="3"/>
        <v>16.076682417913673</v>
      </c>
      <c r="H16" s="92">
        <f>VLOOKUP($B16,'DCS Data'!$E$2:$AJ$100,MATCH('Daily Report'!I$1,'DCS Data'!$E$2:$AJ$2,0),0)</f>
        <v>16.076682417913673</v>
      </c>
    </row>
    <row r="17" spans="1:8" ht="28.5">
      <c r="A17" s="252" t="s">
        <v>33</v>
      </c>
      <c r="B17" s="180" t="s">
        <v>351</v>
      </c>
      <c r="C17" s="416" t="s">
        <v>473</v>
      </c>
      <c r="D17" s="418" t="s">
        <v>473</v>
      </c>
      <c r="E17" s="59" t="s">
        <v>9</v>
      </c>
      <c r="F17" s="132">
        <v>0</v>
      </c>
      <c r="G17" s="209">
        <f t="shared" si="3"/>
        <v>5.5759268309275818</v>
      </c>
      <c r="H17" s="92">
        <f>VLOOKUP($B17,'DCS Data'!$E$2:$AJ$100,MATCH('Daily Report'!I$1,'DCS Data'!$E$2:$AJ$2,0),0)</f>
        <v>5.5759268309275818</v>
      </c>
    </row>
    <row r="18" spans="1:8" ht="28.5">
      <c r="A18" s="252" t="s">
        <v>34</v>
      </c>
      <c r="B18" s="180" t="s">
        <v>352</v>
      </c>
      <c r="C18" s="416" t="s">
        <v>474</v>
      </c>
      <c r="D18" s="435" t="s">
        <v>474</v>
      </c>
      <c r="E18" s="59" t="s">
        <v>9</v>
      </c>
      <c r="F18" s="132">
        <v>0</v>
      </c>
      <c r="G18" s="209">
        <f t="shared" si="3"/>
        <v>0</v>
      </c>
      <c r="H18" s="92">
        <f>VLOOKUP($B18,'DCS Data'!$E$2:$AJ$100,MATCH('Daily Report'!I$1,'DCS Data'!$E$2:$AJ$2,0),0)</f>
        <v>0</v>
      </c>
    </row>
    <row r="19" spans="1:8" ht="29.25" thickBot="1">
      <c r="A19" s="114" t="s">
        <v>35</v>
      </c>
      <c r="B19" s="189" t="s">
        <v>353</v>
      </c>
      <c r="C19" s="416" t="s">
        <v>475</v>
      </c>
      <c r="D19" s="418" t="s">
        <v>475</v>
      </c>
      <c r="E19" s="264" t="s">
        <v>9</v>
      </c>
      <c r="F19" s="293">
        <v>432.1</v>
      </c>
      <c r="G19" s="207">
        <f t="shared" si="3"/>
        <v>4.9699328378312049E-2</v>
      </c>
      <c r="H19" s="149">
        <f>VLOOKUP($B19,'DCS Data'!$E$2:$AJ$100,MATCH('Daily Report'!I$1,'DCS Data'!$E$2:$AJ$2,0),0)</f>
        <v>4.9699328378312049E-2</v>
      </c>
    </row>
    <row r="20" spans="1:8" ht="28.5">
      <c r="A20" s="260" t="s">
        <v>36</v>
      </c>
      <c r="B20" s="184" t="s">
        <v>428</v>
      </c>
      <c r="C20" s="416" t="s">
        <v>476</v>
      </c>
      <c r="D20" s="435" t="s">
        <v>476</v>
      </c>
      <c r="E20" s="63" t="s">
        <v>9</v>
      </c>
      <c r="F20" s="131"/>
      <c r="G20" s="208">
        <f t="shared" si="3"/>
        <v>50.003629399120143</v>
      </c>
      <c r="H20" s="95">
        <f>VLOOKUP($B20,'DCS Data'!$E$2:$AJ$100,MATCH('Daily Report'!I$1,'DCS Data'!$E$2:$AJ$2,0),0)</f>
        <v>50.003629399120143</v>
      </c>
    </row>
    <row r="21" spans="1:8" ht="28.5">
      <c r="A21" s="261"/>
      <c r="B21" s="180" t="s">
        <v>427</v>
      </c>
      <c r="C21" s="416" t="s">
        <v>477</v>
      </c>
      <c r="D21" s="435" t="s">
        <v>477</v>
      </c>
      <c r="E21" s="59" t="s">
        <v>9</v>
      </c>
      <c r="F21" s="132"/>
      <c r="G21" s="209">
        <f t="shared" si="3"/>
        <v>42.514937282128912</v>
      </c>
      <c r="H21" s="92">
        <f>VLOOKUP($B21,'DCS Data'!$E$2:$AJ$100,MATCH('Daily Report'!I$1,'DCS Data'!$E$2:$AJ$2,0),0)</f>
        <v>42.514937282128912</v>
      </c>
    </row>
    <row r="22" spans="1:8" ht="29.25" thickBot="1">
      <c r="A22" s="124" t="s">
        <v>325</v>
      </c>
      <c r="B22" s="180" t="s">
        <v>354</v>
      </c>
      <c r="C22" s="417" t="s">
        <v>527</v>
      </c>
      <c r="D22" s="436" t="s">
        <v>527</v>
      </c>
      <c r="E22" s="59" t="s">
        <v>9</v>
      </c>
      <c r="F22" s="132"/>
      <c r="G22" s="209">
        <f t="shared" si="3"/>
        <v>0</v>
      </c>
      <c r="H22" s="92">
        <f>VLOOKUP($B22,'DCS Data'!$E$2:$AJ$100,MATCH('Daily Report'!I$1,'DCS Data'!$E$2:$AJ$2,0),0)</f>
        <v>0</v>
      </c>
    </row>
    <row r="23" spans="1:8" ht="43.5" thickBot="1">
      <c r="A23" s="108"/>
      <c r="B23" s="294" t="s">
        <v>39</v>
      </c>
      <c r="C23" s="294"/>
      <c r="D23" s="294"/>
      <c r="E23" s="265" t="s">
        <v>9</v>
      </c>
      <c r="F23" s="137"/>
      <c r="G23" s="210">
        <f t="shared" si="3"/>
        <v>7.4886921169912313</v>
      </c>
      <c r="H23" s="295">
        <f>MAX(H20-H21,H22)</f>
        <v>7.4886921169912313</v>
      </c>
    </row>
    <row r="24" spans="1:8" ht="28.5">
      <c r="A24" s="260" t="s">
        <v>40</v>
      </c>
      <c r="B24" s="184" t="s">
        <v>355</v>
      </c>
      <c r="C24" s="416" t="s">
        <v>478</v>
      </c>
      <c r="D24" s="435" t="s">
        <v>478</v>
      </c>
      <c r="E24" s="63" t="s">
        <v>9</v>
      </c>
      <c r="F24" s="131">
        <v>220</v>
      </c>
      <c r="G24" s="208">
        <f>SUM(H24:AL24)</f>
        <v>274.82855153513378</v>
      </c>
      <c r="H24" s="95">
        <f>VLOOKUP($B24,'DCS Data'!$E$2:$AJ$100,MATCH('Daily Report'!I$1,'DCS Data'!$E$2:$AJ$2,0),0)</f>
        <v>274.82855153513378</v>
      </c>
    </row>
    <row r="25" spans="1:8" ht="28.5">
      <c r="A25" s="261" t="s">
        <v>236</v>
      </c>
      <c r="B25" s="180" t="s">
        <v>356</v>
      </c>
      <c r="C25" s="416" t="s">
        <v>479</v>
      </c>
      <c r="D25" s="420" t="s">
        <v>546</v>
      </c>
      <c r="E25" s="59" t="s">
        <v>41</v>
      </c>
      <c r="F25" s="132"/>
      <c r="G25" s="209">
        <f>AVERAGE(H25:AL25)</f>
        <v>14.791534282679306</v>
      </c>
      <c r="H25" s="92">
        <f>VLOOKUP($B25,'DCS Data'!$E$2:$AJ$100,MATCH('Daily Report'!I$1,'DCS Data'!$E$2:$AJ$2,0),0)</f>
        <v>14.791534282679306</v>
      </c>
    </row>
    <row r="26" spans="1:8" ht="28.5">
      <c r="A26" s="261" t="s">
        <v>237</v>
      </c>
      <c r="B26" s="180" t="s">
        <v>357</v>
      </c>
      <c r="C26" s="416" t="s">
        <v>480</v>
      </c>
      <c r="D26" s="420" t="s">
        <v>547</v>
      </c>
      <c r="E26" s="59" t="s">
        <v>42</v>
      </c>
      <c r="F26" s="132"/>
      <c r="G26" s="209">
        <f>AVERAGE(H26:AL26)</f>
        <v>45.833714720405489</v>
      </c>
      <c r="H26" s="92">
        <f>VLOOKUP($B26,'DCS Data'!$E$2:$AJ$100,MATCH('Daily Report'!I$1,'DCS Data'!$E$2:$AJ$2,0),0)</f>
        <v>45.833714720405489</v>
      </c>
    </row>
    <row r="27" spans="1:8" ht="29.25" thickBot="1">
      <c r="A27" s="108"/>
      <c r="B27" s="187" t="s">
        <v>43</v>
      </c>
      <c r="C27" s="187"/>
      <c r="D27" s="187"/>
      <c r="E27" s="265" t="s">
        <v>9</v>
      </c>
      <c r="F27" s="137"/>
      <c r="G27" s="210">
        <f>SUM(H27:AL27)</f>
        <v>273.82076250511977</v>
      </c>
      <c r="H27" s="148">
        <f>(H24*(((57+273)/(H26+273))*(2.6/Analysis!J56)*((H25+1.01325)/(14.6+1.01325)))^0.5)*(Analysis!J56/2.6)-H23</f>
        <v>273.82076250511977</v>
      </c>
    </row>
    <row r="28" spans="1:8" ht="28.5">
      <c r="A28" s="110" t="s">
        <v>44</v>
      </c>
      <c r="B28" s="186" t="s">
        <v>360</v>
      </c>
      <c r="C28" s="416" t="s">
        <v>481</v>
      </c>
      <c r="D28" s="419" t="s">
        <v>548</v>
      </c>
      <c r="E28" s="68" t="s">
        <v>45</v>
      </c>
      <c r="F28" s="222">
        <v>100683.34</v>
      </c>
      <c r="G28" s="211">
        <f>SUM(H28:AL28)</f>
        <v>0</v>
      </c>
      <c r="H28" s="95">
        <f>VLOOKUP($B28,'DCS Data'!$E$2:$AJ$100,MATCH('Daily Report'!I$1,'DCS Data'!$E$2:$AJ$2,0),0)</f>
        <v>0</v>
      </c>
    </row>
    <row r="29" spans="1:8" ht="15">
      <c r="A29" s="252"/>
      <c r="B29" s="188"/>
      <c r="C29" s="188"/>
      <c r="D29" s="188"/>
      <c r="E29" s="59" t="s">
        <v>9</v>
      </c>
      <c r="F29" s="132">
        <v>220</v>
      </c>
      <c r="G29" s="209">
        <f>SUM(H29:AL29)</f>
        <v>0</v>
      </c>
      <c r="H29" s="96">
        <f>H28*2.01568*24/(22.414*1000)</f>
        <v>0</v>
      </c>
    </row>
    <row r="30" spans="1:8" ht="28.5">
      <c r="A30" s="252"/>
      <c r="B30" s="180" t="s">
        <v>362</v>
      </c>
      <c r="C30" s="416" t="s">
        <v>482</v>
      </c>
      <c r="D30" s="435" t="s">
        <v>482</v>
      </c>
      <c r="E30" s="59" t="s">
        <v>42</v>
      </c>
      <c r="F30" s="132">
        <v>50</v>
      </c>
      <c r="G30" s="209">
        <f>AVERAGE(H30:AL30)</f>
        <v>35.699533340273646</v>
      </c>
      <c r="H30" s="92">
        <f>VLOOKUP($B30,'DCS Data'!$E$2:$AJ$100,MATCH('Daily Report'!I$1,'DCS Data'!$E$2:$AJ$2,0),0)</f>
        <v>35.699533340273646</v>
      </c>
    </row>
    <row r="31" spans="1:8" ht="29.25" thickBot="1">
      <c r="A31" s="75"/>
      <c r="B31" s="189" t="s">
        <v>361</v>
      </c>
      <c r="C31" s="416" t="s">
        <v>483</v>
      </c>
      <c r="D31" s="435" t="s">
        <v>483</v>
      </c>
      <c r="E31" s="264" t="s">
        <v>46</v>
      </c>
      <c r="F31" s="136">
        <v>14.1</v>
      </c>
      <c r="G31" s="207">
        <f>AVERAGE(H31:AL31)</f>
        <v>14.922634242755052</v>
      </c>
      <c r="H31" s="149">
        <f>VLOOKUP($B31,'DCS Data'!$E$2:$AJ$100,MATCH('Daily Report'!I$1,'DCS Data'!$E$2:$AJ$2,0),0)</f>
        <v>14.922634242755052</v>
      </c>
    </row>
    <row r="32" spans="1:8" ht="42.75">
      <c r="A32" s="251" t="s">
        <v>47</v>
      </c>
      <c r="B32" s="190" t="s">
        <v>358</v>
      </c>
      <c r="C32" s="190"/>
      <c r="D32" s="190"/>
      <c r="E32" s="63" t="s">
        <v>9</v>
      </c>
      <c r="F32" s="131">
        <v>50</v>
      </c>
      <c r="G32" s="208">
        <f t="shared" ref="G32:G45" si="5">SUM(H32:AL32)</f>
        <v>266.33207038812856</v>
      </c>
      <c r="H32" s="147">
        <f t="shared" ref="H32" si="6">H27-H29-H23</f>
        <v>266.33207038812856</v>
      </c>
    </row>
    <row r="33" spans="1:8" ht="57.75" thickBot="1">
      <c r="A33" s="253"/>
      <c r="B33" s="187" t="s">
        <v>359</v>
      </c>
      <c r="C33" s="187"/>
      <c r="D33" s="187"/>
      <c r="E33" s="265" t="s">
        <v>9</v>
      </c>
      <c r="F33" s="137">
        <v>50</v>
      </c>
      <c r="G33" s="210">
        <f t="shared" si="5"/>
        <v>283.00939607742401</v>
      </c>
      <c r="H33" s="148">
        <f>H15-H16-H17-H19</f>
        <v>283.00939607742401</v>
      </c>
    </row>
    <row r="34" spans="1:8" ht="28.5">
      <c r="A34" s="110" t="s">
        <v>48</v>
      </c>
      <c r="B34" s="186" t="s">
        <v>363</v>
      </c>
      <c r="C34" s="416" t="s">
        <v>484</v>
      </c>
      <c r="D34" s="435" t="s">
        <v>484</v>
      </c>
      <c r="E34" s="68" t="s">
        <v>9</v>
      </c>
      <c r="F34" s="138">
        <v>197</v>
      </c>
      <c r="G34" s="211">
        <f t="shared" si="5"/>
        <v>3.0871785795619688</v>
      </c>
      <c r="H34" s="103">
        <f>VLOOKUP($B34,'DCS Data'!$E$2:$AJ$100,MATCH('Daily Report'!I$1,'DCS Data'!$E$2:$AJ$2,0),0)</f>
        <v>3.0871785795619688</v>
      </c>
    </row>
    <row r="35" spans="1:8" ht="15.75" thickBot="1">
      <c r="A35" s="75"/>
      <c r="B35" s="191"/>
      <c r="C35" s="191"/>
      <c r="D35" s="191"/>
      <c r="E35" s="264" t="s">
        <v>45</v>
      </c>
      <c r="F35" s="136"/>
      <c r="G35" s="207">
        <f t="shared" si="5"/>
        <v>230.65340227433992</v>
      </c>
      <c r="H35" s="94">
        <f>(H34/24*1000*22.414)/Analysis!J40</f>
        <v>230.65340227433992</v>
      </c>
    </row>
    <row r="36" spans="1:8" ht="18.75">
      <c r="A36" s="251" t="s">
        <v>49</v>
      </c>
      <c r="B36" s="73"/>
      <c r="C36" s="73"/>
      <c r="D36" s="73"/>
      <c r="E36" s="63" t="s">
        <v>45</v>
      </c>
      <c r="F36" s="131"/>
      <c r="G36" s="208">
        <f t="shared" si="5"/>
        <v>30276.7415614655</v>
      </c>
      <c r="H36" s="147">
        <f>(H37/24*1000*22.414)/Analysis!J67</f>
        <v>30276.7415614655</v>
      </c>
    </row>
    <row r="37" spans="1:8" ht="28.5">
      <c r="A37" s="118" t="s">
        <v>406</v>
      </c>
      <c r="B37" s="180" t="s">
        <v>364</v>
      </c>
      <c r="C37" s="416" t="s">
        <v>485</v>
      </c>
      <c r="D37" s="435" t="s">
        <v>485</v>
      </c>
      <c r="E37" s="59" t="s">
        <v>9</v>
      </c>
      <c r="F37" s="132">
        <v>150</v>
      </c>
      <c r="G37" s="209">
        <f t="shared" si="5"/>
        <v>110.22495366358461</v>
      </c>
      <c r="H37" s="103">
        <f>VLOOKUP($B37,'DCS Data'!$E$2:$AJ$100,MATCH('Daily Report'!I$1,'DCS Data'!$E$2:$AJ$2,0),0)</f>
        <v>110.22495366358461</v>
      </c>
    </row>
    <row r="38" spans="1:8" ht="15">
      <c r="A38" s="223" t="s">
        <v>50</v>
      </c>
      <c r="B38" s="60"/>
      <c r="C38" s="60"/>
      <c r="D38" s="60"/>
      <c r="E38" s="59" t="s">
        <v>9</v>
      </c>
      <c r="F38" s="132"/>
      <c r="G38" s="209">
        <f t="shared" si="5"/>
        <v>0</v>
      </c>
      <c r="H38" s="96">
        <f>(H37/Analysis!J67)*(Analysis!J57/100)*2.015</f>
        <v>0</v>
      </c>
    </row>
    <row r="39" spans="1:8" ht="15.75" thickBot="1">
      <c r="A39" s="224" t="s">
        <v>51</v>
      </c>
      <c r="B39" s="65"/>
      <c r="C39" s="65"/>
      <c r="D39" s="65"/>
      <c r="E39" s="265" t="s">
        <v>9</v>
      </c>
      <c r="F39" s="137"/>
      <c r="G39" s="210">
        <f t="shared" si="5"/>
        <v>0</v>
      </c>
      <c r="H39" s="148">
        <f>(H38*0.856)</f>
        <v>0</v>
      </c>
    </row>
    <row r="40" spans="1:8" ht="28.5">
      <c r="A40" s="110" t="s">
        <v>52</v>
      </c>
      <c r="B40" s="186" t="s">
        <v>365</v>
      </c>
      <c r="C40" s="416" t="s">
        <v>486</v>
      </c>
      <c r="D40" s="435" t="s">
        <v>486</v>
      </c>
      <c r="E40" s="68" t="s">
        <v>9</v>
      </c>
      <c r="F40" s="138">
        <v>80</v>
      </c>
      <c r="G40" s="211">
        <f t="shared" si="5"/>
        <v>24.477500712409096</v>
      </c>
      <c r="H40" s="103">
        <f>VLOOKUP($B40,'DCS Data'!$E$2:$AJ$100,MATCH('Daily Report'!I$1,'DCS Data'!$E$2:$AJ$2,0),0)</f>
        <v>24.477500712409096</v>
      </c>
    </row>
    <row r="41" spans="1:8" ht="15.75" thickBot="1">
      <c r="A41" s="75"/>
      <c r="B41" s="191"/>
      <c r="C41" s="191"/>
      <c r="D41" s="191"/>
      <c r="E41" s="264" t="s">
        <v>53</v>
      </c>
      <c r="F41" s="136"/>
      <c r="G41" s="207">
        <f t="shared" si="5"/>
        <v>8792.2868744861789</v>
      </c>
      <c r="H41" s="94">
        <f>H40/24*1000*22.414/Analysis!J34</f>
        <v>8792.2868744861789</v>
      </c>
    </row>
    <row r="42" spans="1:8" ht="29.25" thickBot="1">
      <c r="A42" s="82" t="s">
        <v>54</v>
      </c>
      <c r="B42" s="192" t="s">
        <v>366</v>
      </c>
      <c r="C42" s="416" t="s">
        <v>487</v>
      </c>
      <c r="D42" s="420" t="s">
        <v>549</v>
      </c>
      <c r="E42" s="296" t="s">
        <v>45</v>
      </c>
      <c r="F42" s="297">
        <v>46726</v>
      </c>
      <c r="G42" s="298">
        <f t="shared" si="5"/>
        <v>24821.648272001585</v>
      </c>
      <c r="H42" s="299">
        <f>VLOOKUP($B42,'DCS Data'!$E$2:$AJ$100,MATCH('Daily Report'!I$1,'DCS Data'!$E$2:$AJ$2,0),0)</f>
        <v>24821.648272001585</v>
      </c>
    </row>
    <row r="43" spans="1:8" ht="28.5">
      <c r="A43" s="251" t="s">
        <v>55</v>
      </c>
      <c r="B43" s="184" t="s">
        <v>367</v>
      </c>
      <c r="C43" s="416" t="s">
        <v>488</v>
      </c>
      <c r="D43" s="420" t="s">
        <v>550</v>
      </c>
      <c r="E43" s="63" t="s">
        <v>45</v>
      </c>
      <c r="F43" s="131">
        <v>10653</v>
      </c>
      <c r="G43" s="208">
        <f t="shared" si="5"/>
        <v>4285.6783627754085</v>
      </c>
      <c r="H43" s="95">
        <f>VLOOKUP($B43,'DCS Data'!$E$2:$AJ$100,MATCH('Daily Report'!I$1,'DCS Data'!$E$2:$AJ$2,0),0)</f>
        <v>4285.6783627754085</v>
      </c>
    </row>
    <row r="44" spans="1:8" ht="28.5">
      <c r="A44" s="261"/>
      <c r="B44" s="180" t="s">
        <v>368</v>
      </c>
      <c r="C44" s="416" t="s">
        <v>489</v>
      </c>
      <c r="D44" s="420" t="s">
        <v>582</v>
      </c>
      <c r="E44" s="59" t="s">
        <v>45</v>
      </c>
      <c r="F44" s="132">
        <v>10653</v>
      </c>
      <c r="G44" s="209">
        <f t="shared" si="5"/>
        <v>4276.2712917689014</v>
      </c>
      <c r="H44" s="92">
        <f>VLOOKUP($B44,'DCS Data'!$E$2:$AJ$100,MATCH('Daily Report'!I$1,'DCS Data'!$E$2:$AJ$2,0),0)</f>
        <v>4276.2712917689014</v>
      </c>
    </row>
    <row r="45" spans="1:8" ht="28.5">
      <c r="A45" s="252" t="s">
        <v>56</v>
      </c>
      <c r="B45" s="180" t="s">
        <v>369</v>
      </c>
      <c r="C45" s="416" t="s">
        <v>490</v>
      </c>
      <c r="D45" s="420" t="s">
        <v>551</v>
      </c>
      <c r="E45" s="59" t="s">
        <v>45</v>
      </c>
      <c r="F45" s="132">
        <f>AVERAGE(F43:F44)</f>
        <v>10653</v>
      </c>
      <c r="G45" s="209">
        <f t="shared" si="5"/>
        <v>4280.8488642959255</v>
      </c>
      <c r="H45" s="92">
        <f>VLOOKUP($B45,'DCS Data'!$E$2:$AJ$100,MATCH('Daily Report'!I$1,'DCS Data'!$E$2:$AJ$2,0),0)</f>
        <v>4280.8488642959255</v>
      </c>
    </row>
    <row r="46" spans="1:8" ht="28.5">
      <c r="A46" s="252" t="s">
        <v>57</v>
      </c>
      <c r="B46" s="180" t="s">
        <v>370</v>
      </c>
      <c r="C46" s="416" t="s">
        <v>491</v>
      </c>
      <c r="D46" s="420" t="s">
        <v>552</v>
      </c>
      <c r="E46" s="59" t="s">
        <v>46</v>
      </c>
      <c r="F46" s="132"/>
      <c r="G46" s="209">
        <f>AVERAGE(H46:AL46)</f>
        <v>33.323314516914863</v>
      </c>
      <c r="H46" s="92">
        <f>VLOOKUP($B46,'DCS Data'!$E$2:$AJ$100,MATCH('Daily Report'!I$1,'DCS Data'!$E$2:$AJ$2,0),0)</f>
        <v>33.323314516914863</v>
      </c>
    </row>
    <row r="47" spans="1:8" ht="29.25" thickBot="1">
      <c r="A47" s="253" t="s">
        <v>58</v>
      </c>
      <c r="B47" s="185" t="s">
        <v>371</v>
      </c>
      <c r="C47" s="416" t="s">
        <v>492</v>
      </c>
      <c r="D47" s="421" t="s">
        <v>553</v>
      </c>
      <c r="E47" s="265" t="s">
        <v>46</v>
      </c>
      <c r="F47" s="137">
        <v>38</v>
      </c>
      <c r="G47" s="210">
        <f>AVERAGE(H47:AL47)</f>
        <v>33.749768622909905</v>
      </c>
      <c r="H47" s="97">
        <f>VLOOKUP($B47,'DCS Data'!$E$2:$AJ$100,MATCH('Daily Report'!I$1,'DCS Data'!$E$2:$AJ$2,0),0)</f>
        <v>33.749768622909905</v>
      </c>
    </row>
    <row r="48" spans="1:8" ht="15">
      <c r="A48" s="300" t="s">
        <v>59</v>
      </c>
      <c r="B48" s="69"/>
      <c r="C48" s="69"/>
      <c r="D48" s="422"/>
      <c r="E48" s="68" t="s">
        <v>9</v>
      </c>
      <c r="F48" s="138"/>
      <c r="G48" s="211">
        <f t="shared" ref="G48:G53" si="7">SUM(H48:AL48)</f>
        <v>22.944650822389978</v>
      </c>
      <c r="H48" s="99">
        <f>H43*24*(Analysis!J96/22.414)/1000</f>
        <v>22.944650822389978</v>
      </c>
    </row>
    <row r="49" spans="1:8" ht="15">
      <c r="A49" s="223" t="s">
        <v>60</v>
      </c>
      <c r="B49" s="60"/>
      <c r="C49" s="60"/>
      <c r="D49" s="423"/>
      <c r="E49" s="59" t="s">
        <v>9</v>
      </c>
      <c r="F49" s="132"/>
      <c r="G49" s="209">
        <f t="shared" si="7"/>
        <v>0</v>
      </c>
      <c r="H49" s="96">
        <f>(H48/Analysis!J96)*(Analysis!J86/100)*2.015</f>
        <v>0</v>
      </c>
    </row>
    <row r="50" spans="1:8" ht="15">
      <c r="A50" s="118" t="s">
        <v>61</v>
      </c>
      <c r="B50" s="60"/>
      <c r="C50" s="60"/>
      <c r="D50" s="423"/>
      <c r="E50" s="59" t="s">
        <v>9</v>
      </c>
      <c r="F50" s="132"/>
      <c r="G50" s="209">
        <f t="shared" si="7"/>
        <v>0</v>
      </c>
      <c r="H50" s="96">
        <f>(H42-H43)*24*(Analysis!J85/22.414)/1000</f>
        <v>0</v>
      </c>
    </row>
    <row r="51" spans="1:8" ht="15">
      <c r="A51" s="118" t="s">
        <v>62</v>
      </c>
      <c r="B51" s="60"/>
      <c r="C51" s="60"/>
      <c r="D51" s="423"/>
      <c r="E51" s="59" t="s">
        <v>9</v>
      </c>
      <c r="F51" s="132"/>
      <c r="G51" s="209" t="e">
        <f t="shared" si="7"/>
        <v>#DIV/0!</v>
      </c>
      <c r="H51" s="96" t="e">
        <f>(H50/Analysis!J85)*(Analysis!J79/100)*2.015</f>
        <v>#DIV/0!</v>
      </c>
    </row>
    <row r="52" spans="1:8" ht="15.75" thickBot="1">
      <c r="A52" s="120" t="s">
        <v>63</v>
      </c>
      <c r="B52" s="71"/>
      <c r="C52" s="71"/>
      <c r="D52" s="424"/>
      <c r="E52" s="264" t="s">
        <v>9</v>
      </c>
      <c r="F52" s="136"/>
      <c r="G52" s="207">
        <f t="shared" si="7"/>
        <v>4.5900546203606032</v>
      </c>
      <c r="H52" s="94">
        <f>(H43*(Analysis!J96/22.414)*24*(1-(H37/(H34+H37+H40))))/1000</f>
        <v>4.5900546203606032</v>
      </c>
    </row>
    <row r="53" spans="1:8" ht="28.5">
      <c r="A53" s="251" t="s">
        <v>64</v>
      </c>
      <c r="B53" s="184" t="s">
        <v>372</v>
      </c>
      <c r="C53" s="416" t="s">
        <v>493</v>
      </c>
      <c r="D53" s="435" t="s">
        <v>493</v>
      </c>
      <c r="E53" s="63" t="s">
        <v>9</v>
      </c>
      <c r="F53" s="131">
        <v>3.5</v>
      </c>
      <c r="G53" s="208">
        <f t="shared" si="7"/>
        <v>3.4997912354832872</v>
      </c>
      <c r="H53" s="95">
        <f>VLOOKUP($B53,'DCS Data'!$E$2:$AJ$100,MATCH('Daily Report'!I$1,'DCS Data'!$E$2:$AJ$2,0),0)</f>
        <v>3.4997912354832872</v>
      </c>
    </row>
    <row r="54" spans="1:8" ht="19.5" thickBot="1">
      <c r="A54" s="336" t="s">
        <v>65</v>
      </c>
      <c r="B54" s="337"/>
      <c r="C54" s="337"/>
      <c r="D54" s="425"/>
      <c r="E54" s="264" t="s">
        <v>5</v>
      </c>
      <c r="F54" s="136"/>
      <c r="G54" s="207">
        <f>AVERAGE(H54:AL54)</f>
        <v>77.500000000000014</v>
      </c>
      <c r="H54" s="94">
        <f>(((H29/Analysis!J46)*2.015*(Analysis!J41/100)+((H32/Analysis!J34)*2.015))/(H29+H32)*100)</f>
        <v>77.500000000000014</v>
      </c>
    </row>
    <row r="55" spans="1:8" ht="15">
      <c r="A55" s="157" t="s">
        <v>66</v>
      </c>
      <c r="B55" s="77"/>
      <c r="C55" s="77"/>
      <c r="D55" s="426"/>
      <c r="E55" s="63" t="s">
        <v>9</v>
      </c>
      <c r="F55" s="131"/>
      <c r="G55" s="208">
        <f>SUM(H55:AL55)</f>
        <v>5.1241437263926697</v>
      </c>
      <c r="H55" s="147">
        <f>(H29)+((H43*24*(Analysis!J86/100)*2.015)/(1000*22.414))+((H42-H43)*24*2.015*(Analysis!J79/100)/(1000*22.414))-((H37/Analysis!J67)*(Analysis!J57/100)*2.015*0.8357)+((H32/Analysis!J34)*(Analysis!J29/100)*2.015)-(H53*H54/100)</f>
        <v>5.1241437263926697</v>
      </c>
    </row>
    <row r="56" spans="1:8" ht="15.75" thickBot="1">
      <c r="A56" s="159" t="s">
        <v>418</v>
      </c>
      <c r="B56" s="257"/>
      <c r="C56" s="257"/>
      <c r="D56" s="427"/>
      <c r="E56" s="265" t="s">
        <v>9</v>
      </c>
      <c r="F56" s="137"/>
      <c r="G56" s="210">
        <f>SUM(H56:AL56)</f>
        <v>5.1241437263926697</v>
      </c>
      <c r="H56" s="148">
        <f>((H29)+((0*24*(Analysis!J86/100)*2.015)/(1000*22.414))+((H42-H43)*24*2.015*(Analysis!J79/100)/(1000*22.414))-((H37/Analysis!J67)*(Analysis!J57/100)*2.015*0.8357)+((H32/Analysis!J34)*(Analysis!J29/100)*2.015)-(H53*H54/100))</f>
        <v>5.1241437263926697</v>
      </c>
    </row>
    <row r="57" spans="1:8" ht="15.75" thickBot="1">
      <c r="A57" s="250" t="s">
        <v>67</v>
      </c>
      <c r="B57" s="338"/>
      <c r="C57" s="338"/>
      <c r="D57" s="428"/>
      <c r="E57" s="339"/>
      <c r="F57" s="340"/>
      <c r="G57" s="213">
        <f>AVERAGE(H57:AL57)</f>
        <v>0</v>
      </c>
      <c r="H57" s="117">
        <f>((H29*(Analysis!J41/100))/((H19/Analysis!J34)*(Analysis!J29/100)*2.015))*100</f>
        <v>0</v>
      </c>
    </row>
    <row r="58" spans="1:8" ht="57.75" thickBot="1">
      <c r="A58" s="122" t="s">
        <v>405</v>
      </c>
      <c r="B58" s="193"/>
      <c r="C58" s="193"/>
      <c r="D58" s="429"/>
      <c r="E58" s="81"/>
      <c r="F58" s="129" t="s">
        <v>68</v>
      </c>
      <c r="G58" s="212">
        <f>AVERAGE(H58:AL58)</f>
        <v>230.59516663340824</v>
      </c>
      <c r="H58" s="98">
        <f>((H42-H43)*(Analysis!J79/100))/(H42*Analysis!J68/100)*100</f>
        <v>230.59516663340824</v>
      </c>
    </row>
    <row r="59" spans="1:8" ht="28.5">
      <c r="A59" s="110" t="s">
        <v>69</v>
      </c>
      <c r="B59" s="186" t="s">
        <v>373</v>
      </c>
      <c r="C59" s="416" t="s">
        <v>494</v>
      </c>
      <c r="D59" s="435" t="s">
        <v>494</v>
      </c>
      <c r="E59" s="68" t="s">
        <v>9</v>
      </c>
      <c r="F59" s="138"/>
      <c r="G59" s="211">
        <f>SUM(H59:AL59)</f>
        <v>8.0266814130637609</v>
      </c>
      <c r="H59" s="103">
        <f>VLOOKUP($B59,'DCS Data'!$E$2:$AJ$100,MATCH('Daily Report'!I$1,'DCS Data'!$E$2:$AJ$2,0),0)</f>
        <v>8.0266814130637609</v>
      </c>
    </row>
    <row r="60" spans="1:8" ht="28.5">
      <c r="A60" s="252" t="s">
        <v>72</v>
      </c>
      <c r="B60" s="180" t="s">
        <v>73</v>
      </c>
      <c r="C60" s="416" t="s">
        <v>495</v>
      </c>
      <c r="D60" s="420" t="s">
        <v>554</v>
      </c>
      <c r="E60" s="59" t="s">
        <v>42</v>
      </c>
      <c r="F60" s="132">
        <v>470</v>
      </c>
      <c r="G60" s="209">
        <f>AVERAGE(H60:AL60)</f>
        <v>449.221983643675</v>
      </c>
      <c r="H60" s="92">
        <f>VLOOKUP($B60,'DCS Data'!$E$2:$AJ$100,MATCH('Daily Report'!I$1,'DCS Data'!$E$2:$AJ$2,0),0)</f>
        <v>449.221983643675</v>
      </c>
    </row>
    <row r="61" spans="1:8" ht="28.5">
      <c r="A61" s="252" t="s">
        <v>74</v>
      </c>
      <c r="B61" s="194" t="s">
        <v>75</v>
      </c>
      <c r="C61" s="416" t="s">
        <v>496</v>
      </c>
      <c r="D61" s="420" t="s">
        <v>555</v>
      </c>
      <c r="E61" s="59" t="s">
        <v>42</v>
      </c>
      <c r="F61" s="132">
        <v>835</v>
      </c>
      <c r="G61" s="209">
        <f>AVERAGE(H61:AL61)</f>
        <v>798.54952011376895</v>
      </c>
      <c r="H61" s="92">
        <f>VLOOKUP($B61,'DCS Data'!$E$2:$AJ$100,MATCH('Daily Report'!I$1,'DCS Data'!$E$2:$AJ$2,0),0)</f>
        <v>798.54952011376895</v>
      </c>
    </row>
    <row r="62" spans="1:8" ht="29.25" thickBot="1">
      <c r="A62" s="75" t="s">
        <v>76</v>
      </c>
      <c r="B62" s="189" t="s">
        <v>374</v>
      </c>
      <c r="C62" s="416" t="s">
        <v>497</v>
      </c>
      <c r="D62" s="435" t="s">
        <v>497</v>
      </c>
      <c r="E62" s="264" t="s">
        <v>9</v>
      </c>
      <c r="F62" s="136">
        <v>7360.4</v>
      </c>
      <c r="G62" s="207">
        <f>SUM(H62:AL62)</f>
        <v>4731.0128112828079</v>
      </c>
      <c r="H62" s="149">
        <f>VLOOKUP($B62,'DCS Data'!$E$2:$AJ$100,MATCH('Daily Report'!I$1,'DCS Data'!$E$2:$AJ$2,0),0)</f>
        <v>4731.0128112828079</v>
      </c>
    </row>
    <row r="63" spans="1:8" ht="28.5">
      <c r="A63" s="251" t="s">
        <v>77</v>
      </c>
      <c r="B63" s="184" t="s">
        <v>375</v>
      </c>
      <c r="C63" s="416" t="s">
        <v>498</v>
      </c>
      <c r="D63" s="420" t="s">
        <v>556</v>
      </c>
      <c r="E63" s="63" t="s">
        <v>42</v>
      </c>
      <c r="F63" s="131">
        <v>340</v>
      </c>
      <c r="G63" s="208">
        <f t="shared" ref="G63:G77" si="8">AVERAGE(H63:AL63)</f>
        <v>325.71572431669586</v>
      </c>
      <c r="H63" s="95">
        <f>VLOOKUP($B63,'DCS Data'!$E$2:$AJ$100,MATCH('Daily Report'!I$1,'DCS Data'!$E$2:$AJ$2,0),0)</f>
        <v>325.71572431669586</v>
      </c>
    </row>
    <row r="64" spans="1:8" ht="28.5">
      <c r="A64" s="252"/>
      <c r="B64" s="180" t="s">
        <v>376</v>
      </c>
      <c r="C64" s="416" t="s">
        <v>499</v>
      </c>
      <c r="D64" s="420" t="s">
        <v>583</v>
      </c>
      <c r="E64" s="59" t="s">
        <v>42</v>
      </c>
      <c r="F64" s="132">
        <v>384</v>
      </c>
      <c r="G64" s="209">
        <f t="shared" si="8"/>
        <v>368.50433416842554</v>
      </c>
      <c r="H64" s="92">
        <f>VLOOKUP($B64,'DCS Data'!$E$2:$AJ$100,MATCH('Daily Report'!I$1,'DCS Data'!$E$2:$AJ$2,0),0)</f>
        <v>368.50433416842554</v>
      </c>
    </row>
    <row r="65" spans="1:8" ht="28.5">
      <c r="A65" s="252"/>
      <c r="B65" s="180" t="s">
        <v>377</v>
      </c>
      <c r="C65" s="416" t="s">
        <v>500</v>
      </c>
      <c r="D65" s="420" t="s">
        <v>585</v>
      </c>
      <c r="E65" s="59" t="s">
        <v>42</v>
      </c>
      <c r="F65" s="132"/>
      <c r="G65" s="209">
        <f t="shared" si="8"/>
        <v>200.08185993120742</v>
      </c>
      <c r="H65" s="92">
        <f>VLOOKUP($B65,'DCS Data'!$E$2:$AJ$100,MATCH('Daily Report'!I$1,'DCS Data'!$E$2:$AJ$2,0),0)</f>
        <v>200.08185993120742</v>
      </c>
    </row>
    <row r="66" spans="1:8" ht="28.5">
      <c r="A66" s="252"/>
      <c r="B66" s="180" t="s">
        <v>378</v>
      </c>
      <c r="C66" s="416" t="s">
        <v>501</v>
      </c>
      <c r="D66" s="420" t="s">
        <v>584</v>
      </c>
      <c r="E66" s="59" t="s">
        <v>42</v>
      </c>
      <c r="F66" s="132">
        <v>207</v>
      </c>
      <c r="G66" s="209">
        <f t="shared" si="8"/>
        <v>206.09759251384406</v>
      </c>
      <c r="H66" s="92">
        <f>VLOOKUP($B66,'DCS Data'!$E$2:$AJ$100,MATCH('Daily Report'!I$1,'DCS Data'!$E$2:$AJ$2,0),0)</f>
        <v>206.09759251384406</v>
      </c>
    </row>
    <row r="67" spans="1:8" ht="28.5">
      <c r="A67" s="252" t="s">
        <v>79</v>
      </c>
      <c r="B67" s="180" t="s">
        <v>379</v>
      </c>
      <c r="C67" s="416" t="s">
        <v>502</v>
      </c>
      <c r="D67" s="420" t="s">
        <v>557</v>
      </c>
      <c r="E67" s="59" t="s">
        <v>42</v>
      </c>
      <c r="F67" s="132">
        <v>320</v>
      </c>
      <c r="G67" s="209">
        <f t="shared" si="8"/>
        <v>295.2470993240396</v>
      </c>
      <c r="H67" s="92">
        <f>VLOOKUP($B67,'DCS Data'!$E$2:$AJ$100,MATCH('Daily Report'!I$1,'DCS Data'!$E$2:$AJ$2,0),0)</f>
        <v>295.2470993240396</v>
      </c>
    </row>
    <row r="68" spans="1:8" ht="29.25" thickBot="1">
      <c r="A68" s="253" t="s">
        <v>81</v>
      </c>
      <c r="B68" s="185" t="s">
        <v>380</v>
      </c>
      <c r="C68" s="416" t="s">
        <v>503</v>
      </c>
      <c r="D68" s="420" t="s">
        <v>558</v>
      </c>
      <c r="E68" s="265" t="s">
        <v>42</v>
      </c>
      <c r="F68" s="137">
        <v>343</v>
      </c>
      <c r="G68" s="210">
        <f t="shared" si="8"/>
        <v>304.58876795864524</v>
      </c>
      <c r="H68" s="97">
        <f>VLOOKUP($B68,'DCS Data'!$E$2:$AJ$100,MATCH('Daily Report'!I$1,'DCS Data'!$E$2:$AJ$2,0),0)</f>
        <v>304.58876795864524</v>
      </c>
    </row>
    <row r="69" spans="1:8" ht="28.5">
      <c r="A69" s="251" t="s">
        <v>83</v>
      </c>
      <c r="B69" s="184" t="s">
        <v>381</v>
      </c>
      <c r="C69" s="416" t="s">
        <v>504</v>
      </c>
      <c r="D69" s="420" t="s">
        <v>559</v>
      </c>
      <c r="E69" s="63" t="s">
        <v>42</v>
      </c>
      <c r="F69" s="131">
        <v>45</v>
      </c>
      <c r="G69" s="208">
        <f t="shared" si="8"/>
        <v>34.601791474742029</v>
      </c>
      <c r="H69" s="95">
        <f>VLOOKUP($B69,'DCS Data'!$E$2:$AJ$100,MATCH('Daily Report'!I$1,'DCS Data'!$E$2:$AJ$2,0),0)</f>
        <v>34.601791474742029</v>
      </c>
    </row>
    <row r="70" spans="1:8" ht="29.25" thickBot="1">
      <c r="A70" s="253" t="s">
        <v>84</v>
      </c>
      <c r="B70" s="185" t="s">
        <v>382</v>
      </c>
      <c r="C70" s="416" t="s">
        <v>505</v>
      </c>
      <c r="D70" s="420" t="s">
        <v>560</v>
      </c>
      <c r="E70" s="265" t="s">
        <v>46</v>
      </c>
      <c r="F70" s="137">
        <v>45</v>
      </c>
      <c r="G70" s="210">
        <f t="shared" si="8"/>
        <v>7.0383621388676882</v>
      </c>
      <c r="H70" s="97">
        <f>VLOOKUP($B70,'DCS Data'!$E$2:$AJ$100,MATCH('Daily Report'!I$1,'DCS Data'!$E$2:$AJ$2,0),0)</f>
        <v>7.0383621388676882</v>
      </c>
    </row>
    <row r="71" spans="1:8" ht="28.5">
      <c r="A71" s="110" t="s">
        <v>98</v>
      </c>
      <c r="B71" s="186" t="s">
        <v>383</v>
      </c>
      <c r="C71" s="416" t="s">
        <v>506</v>
      </c>
      <c r="D71" s="420" t="s">
        <v>561</v>
      </c>
      <c r="E71" s="68" t="s">
        <v>42</v>
      </c>
      <c r="F71" s="138">
        <v>60</v>
      </c>
      <c r="G71" s="211">
        <f t="shared" si="8"/>
        <v>48.88530443786717</v>
      </c>
      <c r="H71" s="103">
        <f>VLOOKUP($B71,'DCS Data'!$E$2:$AJ$100,MATCH('Daily Report'!I$1,'DCS Data'!$E$2:$AJ$2,0),0)</f>
        <v>48.88530443786717</v>
      </c>
    </row>
    <row r="72" spans="1:8" ht="29.25" thickBot="1">
      <c r="A72" s="75" t="s">
        <v>99</v>
      </c>
      <c r="B72" s="189" t="s">
        <v>384</v>
      </c>
      <c r="C72" s="416" t="s">
        <v>507</v>
      </c>
      <c r="D72" s="421" t="s">
        <v>562</v>
      </c>
      <c r="E72" s="264" t="s">
        <v>46</v>
      </c>
      <c r="F72" s="136">
        <v>14</v>
      </c>
      <c r="G72" s="207">
        <f t="shared" si="8"/>
        <v>14.808551009227045</v>
      </c>
      <c r="H72" s="149">
        <f>VLOOKUP($B72,'DCS Data'!$E$2:$AJ$100,MATCH('Daily Report'!I$1,'DCS Data'!$E$2:$AJ$2,0),0)</f>
        <v>14.808551009227045</v>
      </c>
    </row>
    <row r="73" spans="1:8" ht="15">
      <c r="A73" s="156" t="s">
        <v>419</v>
      </c>
      <c r="B73" s="77"/>
      <c r="C73" s="77"/>
      <c r="D73" s="426"/>
      <c r="E73" s="63" t="s">
        <v>24</v>
      </c>
      <c r="F73" s="131"/>
      <c r="G73" s="208">
        <f t="shared" si="8"/>
        <v>63559.179280940523</v>
      </c>
      <c r="H73" s="147">
        <f>(Analysis!J87*0/100)+(Analysis!J90*35809.84/100)+(Analysis!J89*0/100)+(Analysis!J91*63159.33/100)+(Analysis!J92*90661.02/100)+(Analysis!J93*119622.3/100)+(Analysis!J94*151389.3/100)+(Analysis!J86*11470.75/100)+(11341.61*Analysis!J81/100)+(Analysis!J95*184326.3/100)</f>
        <v>63559.179280940523</v>
      </c>
    </row>
    <row r="74" spans="1:8" ht="15">
      <c r="A74" s="252" t="s">
        <v>26</v>
      </c>
      <c r="B74" s="255"/>
      <c r="C74" s="255"/>
      <c r="D74" s="423"/>
      <c r="E74" s="59" t="s">
        <v>24</v>
      </c>
      <c r="F74" s="132"/>
      <c r="G74" s="209">
        <f t="shared" si="8"/>
        <v>53757.73259</v>
      </c>
      <c r="H74" s="96">
        <f>(Analysis!J87*0/100)+(Analysis!J90*32240.97/100)+(Analysis!J89*0/100)+(Analysis!J91*57767.83/100)+(Analysis!J92*83403.49/100)+(Analysis!J93*110399.5/100)+(Analysis!J94*139978/100)+(Analysis!J86*9689.76/100)+(11341.61*Analysis!J88/100)</f>
        <v>53757.73259</v>
      </c>
    </row>
    <row r="75" spans="1:8" ht="15.75" thickBot="1">
      <c r="A75" s="253" t="s">
        <v>28</v>
      </c>
      <c r="B75" s="257"/>
      <c r="C75" s="257"/>
      <c r="D75" s="427"/>
      <c r="E75" s="265" t="s">
        <v>24</v>
      </c>
      <c r="F75" s="137"/>
      <c r="G75" s="210">
        <f t="shared" si="8"/>
        <v>63559.179280940523</v>
      </c>
      <c r="H75" s="148">
        <f>H73</f>
        <v>63559.179280940523</v>
      </c>
    </row>
    <row r="76" spans="1:8" ht="28.5">
      <c r="A76" s="251" t="s">
        <v>101</v>
      </c>
      <c r="B76" s="184" t="s">
        <v>385</v>
      </c>
      <c r="C76" s="416" t="s">
        <v>508</v>
      </c>
      <c r="D76" s="419" t="s">
        <v>563</v>
      </c>
      <c r="E76" s="63" t="s">
        <v>42</v>
      </c>
      <c r="F76" s="131">
        <v>90</v>
      </c>
      <c r="G76" s="211">
        <f t="shared" si="8"/>
        <v>95.089753291592132</v>
      </c>
      <c r="H76" s="103">
        <f>VLOOKUP($B76,'DCS Data'!$E$2:$AJ$100,MATCH('Daily Report'!I$1,'DCS Data'!$E$2:$AJ$2,0),0)</f>
        <v>95.089753291592132</v>
      </c>
    </row>
    <row r="77" spans="1:8" ht="28.5">
      <c r="A77" s="252" t="s">
        <v>102</v>
      </c>
      <c r="B77" s="180" t="s">
        <v>386</v>
      </c>
      <c r="C77" s="416" t="s">
        <v>509</v>
      </c>
      <c r="D77" s="420" t="s">
        <v>552</v>
      </c>
      <c r="E77" s="59" t="s">
        <v>46</v>
      </c>
      <c r="F77" s="132">
        <v>36.1</v>
      </c>
      <c r="G77" s="209">
        <f t="shared" si="8"/>
        <v>33.323299574564651</v>
      </c>
      <c r="H77" s="92">
        <f>VLOOKUP($B77,'DCS Data'!$E$2:$AJ$100,MATCH('Daily Report'!I$1,'DCS Data'!$E$2:$AJ$2,0),0)</f>
        <v>33.323299574564651</v>
      </c>
    </row>
    <row r="78" spans="1:8" ht="28.5">
      <c r="A78" s="252" t="s">
        <v>104</v>
      </c>
      <c r="B78" s="180" t="s">
        <v>387</v>
      </c>
      <c r="C78" s="416" t="s">
        <v>510</v>
      </c>
      <c r="D78" s="435" t="s">
        <v>510</v>
      </c>
      <c r="E78" s="59" t="s">
        <v>9</v>
      </c>
      <c r="F78" s="132">
        <v>1400</v>
      </c>
      <c r="G78" s="209">
        <f>SUM(H78:AL78)</f>
        <v>845.24260998597742</v>
      </c>
      <c r="H78" s="92">
        <f>VLOOKUP($B78,'DCS Data'!$E$2:$AJ$100,MATCH('Daily Report'!I$1,'DCS Data'!$E$2:$AJ$2,0),0)</f>
        <v>845.24260998597742</v>
      </c>
    </row>
    <row r="79" spans="1:8" ht="28.5">
      <c r="A79" s="261" t="s">
        <v>105</v>
      </c>
      <c r="B79" s="180" t="s">
        <v>388</v>
      </c>
      <c r="C79" s="416" t="s">
        <v>511</v>
      </c>
      <c r="D79" s="435" t="s">
        <v>511</v>
      </c>
      <c r="E79" s="59" t="s">
        <v>9</v>
      </c>
      <c r="F79" s="132">
        <v>1400</v>
      </c>
      <c r="G79" s="209">
        <f>SUM(H79:AL79)</f>
        <v>356.58639573734359</v>
      </c>
      <c r="H79" s="92">
        <f>VLOOKUP($B79,'DCS Data'!$E$2:$AJ$100,MATCH('Daily Report'!I$1,'DCS Data'!$E$2:$AJ$2,0),0)</f>
        <v>356.58639573734359</v>
      </c>
    </row>
    <row r="80" spans="1:8" ht="28.5">
      <c r="A80" s="261" t="s">
        <v>105</v>
      </c>
      <c r="B80" s="180" t="s">
        <v>389</v>
      </c>
      <c r="C80" s="416" t="s">
        <v>512</v>
      </c>
      <c r="D80" s="435" t="s">
        <v>512</v>
      </c>
      <c r="E80" s="59" t="s">
        <v>9</v>
      </c>
      <c r="F80" s="132">
        <v>1400</v>
      </c>
      <c r="G80" s="209">
        <f>SUM(H80:AL80)</f>
        <v>357.32272684908168</v>
      </c>
      <c r="H80" s="92">
        <f>VLOOKUP($B80,'DCS Data'!$E$2:$AJ$100,MATCH('Daily Report'!I$1,'DCS Data'!$E$2:$AJ$2,0),0)</f>
        <v>357.32272684908168</v>
      </c>
    </row>
    <row r="81" spans="1:8" ht="29.25" thickBot="1">
      <c r="A81" s="261" t="s">
        <v>106</v>
      </c>
      <c r="B81" s="180" t="s">
        <v>390</v>
      </c>
      <c r="C81" s="416" t="s">
        <v>513</v>
      </c>
      <c r="D81" s="420" t="s">
        <v>564</v>
      </c>
      <c r="E81" s="59" t="s">
        <v>107</v>
      </c>
      <c r="F81" s="132"/>
      <c r="G81" s="209">
        <f>AVERAGE(H81:AL81)</f>
        <v>34.61657268534632</v>
      </c>
      <c r="H81" s="92">
        <f>VLOOKUP($B81,'DCS Data'!$E$2:$AJ$100,MATCH('Daily Report'!I$1,'DCS Data'!$E$2:$AJ$2,0),0)</f>
        <v>34.61657268534632</v>
      </c>
    </row>
    <row r="82" spans="1:8" ht="28.5">
      <c r="A82" s="157" t="s">
        <v>117</v>
      </c>
      <c r="B82" s="184" t="s">
        <v>391</v>
      </c>
      <c r="C82" s="416" t="s">
        <v>514</v>
      </c>
      <c r="D82" s="435" t="s">
        <v>514</v>
      </c>
      <c r="E82" s="63" t="s">
        <v>9</v>
      </c>
      <c r="F82" s="131">
        <v>725.5</v>
      </c>
      <c r="G82" s="208">
        <f>SUM(H82:AL82)</f>
        <v>406.52981476137546</v>
      </c>
      <c r="H82" s="95">
        <f>VLOOKUP($B82,'DCS Data'!$E$2:$AJ$100,MATCH('Daily Report'!I$1,'DCS Data'!$E$2:$AJ$2,0),0)</f>
        <v>406.52981476137546</v>
      </c>
    </row>
    <row r="83" spans="1:8" ht="28.5">
      <c r="A83" s="158"/>
      <c r="B83" s="180" t="s">
        <v>392</v>
      </c>
      <c r="C83" s="416" t="s">
        <v>515</v>
      </c>
      <c r="D83" s="435" t="s">
        <v>515</v>
      </c>
      <c r="E83" s="59" t="s">
        <v>118</v>
      </c>
      <c r="F83" s="132">
        <v>40</v>
      </c>
      <c r="G83" s="209">
        <f>AVERAGE(H83:AL83)</f>
        <v>46.007677499374175</v>
      </c>
      <c r="H83" s="92">
        <f>VLOOKUP($B83,'DCS Data'!$E$2:$AJ$100,MATCH('Daily Report'!I$1,'DCS Data'!$E$2:$AJ$2,0),0)</f>
        <v>46.007677499374175</v>
      </c>
    </row>
    <row r="84" spans="1:8" ht="28.5">
      <c r="A84" s="158"/>
      <c r="B84" s="180" t="s">
        <v>393</v>
      </c>
      <c r="C84" s="416" t="s">
        <v>516</v>
      </c>
      <c r="D84" s="435" t="s">
        <v>516</v>
      </c>
      <c r="E84" s="59" t="s">
        <v>42</v>
      </c>
      <c r="F84" s="132">
        <v>460</v>
      </c>
      <c r="G84" s="209">
        <f>AVERAGE(H84:AL84)</f>
        <v>465.50742903347577</v>
      </c>
      <c r="H84" s="92">
        <f>VLOOKUP($B84,'DCS Data'!$E$2:$AJ$100,MATCH('Daily Report'!I$1,'DCS Data'!$E$2:$AJ$2,0),0)</f>
        <v>465.50742903347577</v>
      </c>
    </row>
    <row r="85" spans="1:8" ht="28.5">
      <c r="A85" s="252" t="s">
        <v>121</v>
      </c>
      <c r="B85" s="180" t="s">
        <v>394</v>
      </c>
      <c r="C85" s="416" t="s">
        <v>517</v>
      </c>
      <c r="D85" s="435" t="s">
        <v>517</v>
      </c>
      <c r="E85" s="59" t="s">
        <v>9</v>
      </c>
      <c r="F85" s="132">
        <v>3736</v>
      </c>
      <c r="G85" s="209">
        <f>SUM(H85:AL85)</f>
        <v>3089.7898044185686</v>
      </c>
      <c r="H85" s="92">
        <f>VLOOKUP($B85,'DCS Data'!$E$2:$AJ$100,MATCH('Daily Report'!I$1,'DCS Data'!$E$2:$AJ$2,0),0)</f>
        <v>3089.7898044185686</v>
      </c>
    </row>
    <row r="86" spans="1:8" ht="29.25" thickBot="1">
      <c r="A86" s="75" t="s">
        <v>122</v>
      </c>
      <c r="B86" s="189" t="s">
        <v>395</v>
      </c>
      <c r="C86" s="416" t="s">
        <v>518</v>
      </c>
      <c r="D86" s="435" t="s">
        <v>518</v>
      </c>
      <c r="E86" s="264" t="s">
        <v>9</v>
      </c>
      <c r="F86" s="136">
        <v>4289</v>
      </c>
      <c r="G86" s="207">
        <f>SUM(H86:AL86)</f>
        <v>3518.4908271161294</v>
      </c>
      <c r="H86" s="149">
        <f>VLOOKUP($B86,'DCS Data'!$E$2:$AJ$100,MATCH('Daily Report'!I$1,'DCS Data'!$E$2:$AJ$2,0),0)</f>
        <v>3518.4908271161294</v>
      </c>
    </row>
    <row r="87" spans="1:8" ht="28.5">
      <c r="A87" s="251" t="s">
        <v>439</v>
      </c>
      <c r="B87" s="184" t="s">
        <v>422</v>
      </c>
      <c r="C87" s="184" t="s">
        <v>422</v>
      </c>
      <c r="D87" s="430" t="s">
        <v>565</v>
      </c>
      <c r="E87" s="63" t="s">
        <v>5</v>
      </c>
      <c r="F87" s="131">
        <v>0</v>
      </c>
      <c r="G87" s="208">
        <f>AVERAGE(H87:AL87)</f>
        <v>0</v>
      </c>
      <c r="H87" s="95">
        <f>VLOOKUP($B87,'DCS Data'!$E$2:$AJ$100,MATCH('Daily Report'!I$1,'DCS Data'!$E$2:$AJ$2,0),0)</f>
        <v>0</v>
      </c>
    </row>
    <row r="88" spans="1:8" ht="28.5">
      <c r="A88" s="252" t="s">
        <v>440</v>
      </c>
      <c r="B88" s="180" t="s">
        <v>435</v>
      </c>
      <c r="C88" s="180" t="s">
        <v>435</v>
      </c>
      <c r="D88" s="420" t="s">
        <v>566</v>
      </c>
      <c r="E88" s="59" t="s">
        <v>5</v>
      </c>
      <c r="F88" s="132">
        <v>1</v>
      </c>
      <c r="G88" s="209" t="e">
        <f>AVERAGE(H88:AL88)</f>
        <v>#N/A</v>
      </c>
      <c r="H88" s="92" t="e">
        <f>VLOOKUP($B88,'DCS Data'!$E$2:$AJ$100,MATCH('Daily Report'!I$1,'DCS Data'!$E$2:$AJ$2,0),0)</f>
        <v>#N/A</v>
      </c>
    </row>
    <row r="89" spans="1:8" ht="15.75" thickBot="1">
      <c r="A89" s="159" t="s">
        <v>283</v>
      </c>
      <c r="B89" s="65"/>
      <c r="C89" s="65"/>
      <c r="D89" s="427"/>
      <c r="E89" s="265" t="s">
        <v>9</v>
      </c>
      <c r="F89" s="137"/>
      <c r="G89" s="210"/>
      <c r="H89" s="148"/>
    </row>
    <row r="90" spans="1:8" ht="28.5">
      <c r="A90" s="110" t="s">
        <v>125</v>
      </c>
      <c r="B90" s="186" t="s">
        <v>396</v>
      </c>
      <c r="C90" s="416" t="s">
        <v>519</v>
      </c>
      <c r="D90" s="435" t="s">
        <v>519</v>
      </c>
      <c r="E90" s="68" t="s">
        <v>9</v>
      </c>
      <c r="F90" s="138">
        <v>301.10000000000002</v>
      </c>
      <c r="G90" s="211">
        <f t="shared" ref="G90:G97" si="9">SUM(H90:AL90)</f>
        <v>324.16676648814445</v>
      </c>
      <c r="H90" s="103">
        <f>VLOOKUP($B90,'DCS Data'!$E$2:$AJ$100,MATCH('Daily Report'!I$1,'DCS Data'!$E$2:$AJ$2,0),0)</f>
        <v>324.16676648814445</v>
      </c>
    </row>
    <row r="91" spans="1:8" ht="28.5">
      <c r="A91" s="252" t="s">
        <v>126</v>
      </c>
      <c r="B91" s="180" t="s">
        <v>397</v>
      </c>
      <c r="C91" s="416" t="s">
        <v>520</v>
      </c>
      <c r="D91" s="435" t="s">
        <v>520</v>
      </c>
      <c r="E91" s="59" t="s">
        <v>9</v>
      </c>
      <c r="F91" s="132">
        <v>15</v>
      </c>
      <c r="G91" s="209">
        <f t="shared" si="9"/>
        <v>11.143605999568781</v>
      </c>
      <c r="H91" s="92">
        <f>VLOOKUP($B91,'DCS Data'!$E$2:$AJ$100,MATCH('Daily Report'!I$1,'DCS Data'!$E$2:$AJ$2,0),0)</f>
        <v>11.143605999568781</v>
      </c>
    </row>
    <row r="92" spans="1:8" ht="15.75" thickBot="1">
      <c r="A92" s="76" t="s">
        <v>127</v>
      </c>
      <c r="B92" s="65"/>
      <c r="C92" s="65"/>
      <c r="D92" s="427"/>
      <c r="E92" s="265" t="s">
        <v>9</v>
      </c>
      <c r="F92" s="137">
        <f>F90+F91</f>
        <v>316.10000000000002</v>
      </c>
      <c r="G92" s="210">
        <f t="shared" si="9"/>
        <v>335.31037248771321</v>
      </c>
      <c r="H92" s="148">
        <f>H90+H91</f>
        <v>335.31037248771321</v>
      </c>
    </row>
    <row r="93" spans="1:8" ht="42.75">
      <c r="A93" s="110" t="s">
        <v>128</v>
      </c>
      <c r="B93" s="186" t="s">
        <v>124</v>
      </c>
      <c r="C93" s="186" t="s">
        <v>124</v>
      </c>
      <c r="D93" s="419"/>
      <c r="E93" s="68" t="s">
        <v>9</v>
      </c>
      <c r="F93" s="138"/>
      <c r="G93" s="211" t="e">
        <f t="shared" si="9"/>
        <v>#N/A</v>
      </c>
      <c r="H93" s="103" t="e">
        <f>VLOOKUP($B93,'DCS Data'!$E$2:$AJ$100,MATCH('Daily Report'!I$1,'DCS Data'!$E$2:$AJ$2,0),0)</f>
        <v>#N/A</v>
      </c>
    </row>
    <row r="94" spans="1:8" ht="28.5">
      <c r="A94" s="252" t="s">
        <v>129</v>
      </c>
      <c r="B94" s="180" t="s">
        <v>398</v>
      </c>
      <c r="C94" s="416" t="s">
        <v>521</v>
      </c>
      <c r="D94" s="435" t="s">
        <v>521</v>
      </c>
      <c r="E94" s="59" t="s">
        <v>9</v>
      </c>
      <c r="F94" s="132">
        <v>4417.6000000000004</v>
      </c>
      <c r="G94" s="209">
        <f t="shared" si="9"/>
        <v>3389.8588469197334</v>
      </c>
      <c r="H94" s="92">
        <f>VLOOKUP($B94,'DCS Data'!$E$2:$AJ$100,MATCH('Daily Report'!I$1,'DCS Data'!$E$2:$AJ$2,0),0)</f>
        <v>3389.8588469197334</v>
      </c>
    </row>
    <row r="95" spans="1:8" ht="28.5">
      <c r="A95" s="252" t="s">
        <v>130</v>
      </c>
      <c r="B95" s="180" t="s">
        <v>399</v>
      </c>
      <c r="C95" s="416" t="s">
        <v>522</v>
      </c>
      <c r="D95" s="435" t="s">
        <v>522</v>
      </c>
      <c r="E95" s="59" t="s">
        <v>9</v>
      </c>
      <c r="F95" s="132">
        <v>0</v>
      </c>
      <c r="G95" s="209">
        <f t="shared" si="9"/>
        <v>44.827314791557505</v>
      </c>
      <c r="H95" s="92">
        <f>VLOOKUP($B95,'DCS Data'!$E$2:$AJ$100,MATCH('Daily Report'!I$1,'DCS Data'!$E$2:$AJ$2,0),0)</f>
        <v>44.827314791557505</v>
      </c>
    </row>
    <row r="96" spans="1:8" ht="28.5">
      <c r="A96" s="252" t="s">
        <v>131</v>
      </c>
      <c r="B96" s="180" t="s">
        <v>400</v>
      </c>
      <c r="C96" s="416" t="s">
        <v>523</v>
      </c>
      <c r="D96" s="435" t="s">
        <v>523</v>
      </c>
      <c r="E96" s="59" t="s">
        <v>9</v>
      </c>
      <c r="F96" s="132">
        <v>150</v>
      </c>
      <c r="G96" s="209">
        <f t="shared" si="9"/>
        <v>64.435585207243705</v>
      </c>
      <c r="H96" s="92">
        <f>VLOOKUP($B96,'DCS Data'!$E$2:$AJ$100,MATCH('Daily Report'!I$1,'DCS Data'!$E$2:$AJ$2,0),0)</f>
        <v>64.435585207243705</v>
      </c>
    </row>
    <row r="97" spans="1:8" ht="28.5">
      <c r="A97" s="252" t="s">
        <v>132</v>
      </c>
      <c r="B97" s="180" t="s">
        <v>401</v>
      </c>
      <c r="C97" s="416" t="s">
        <v>524</v>
      </c>
      <c r="D97" s="435" t="s">
        <v>524</v>
      </c>
      <c r="E97" s="59" t="s">
        <v>9</v>
      </c>
      <c r="F97" s="132">
        <v>22.5</v>
      </c>
      <c r="G97" s="209">
        <f t="shared" si="9"/>
        <v>4.7598831384685747</v>
      </c>
      <c r="H97" s="92">
        <f>VLOOKUP($B97,'DCS Data'!$E$2:$AJ$100,MATCH('Daily Report'!I$1,'DCS Data'!$E$2:$AJ$2,0),0)</f>
        <v>4.7598831384685747</v>
      </c>
    </row>
    <row r="98" spans="1:8" ht="28.5">
      <c r="A98" s="252" t="s">
        <v>411</v>
      </c>
      <c r="B98" s="180" t="s">
        <v>409</v>
      </c>
      <c r="C98" s="180" t="s">
        <v>409</v>
      </c>
      <c r="D98" s="420" t="s">
        <v>567</v>
      </c>
      <c r="E98" s="59" t="s">
        <v>5</v>
      </c>
      <c r="F98" s="132"/>
      <c r="G98" s="209">
        <f>AVERAGE(H98:AL98)</f>
        <v>0</v>
      </c>
      <c r="H98" s="92">
        <f>VLOOKUP($B98,'DCS Data'!$E$2:$AJ$100,MATCH('Daily Report'!I$1,'DCS Data'!$E$2:$AJ$2,0),0)</f>
        <v>0</v>
      </c>
    </row>
    <row r="99" spans="1:8" ht="15">
      <c r="A99" s="252" t="s">
        <v>414</v>
      </c>
      <c r="B99" s="195"/>
      <c r="C99" s="195"/>
      <c r="D99" s="431"/>
      <c r="E99" s="59"/>
      <c r="F99" s="132"/>
      <c r="G99" s="209">
        <f>SUM(H99:AL99)</f>
        <v>0</v>
      </c>
      <c r="H99" s="96"/>
    </row>
    <row r="100" spans="1:8" ht="28.5">
      <c r="A100" s="252" t="s">
        <v>410</v>
      </c>
      <c r="B100" s="180" t="s">
        <v>412</v>
      </c>
      <c r="C100" s="180" t="s">
        <v>412</v>
      </c>
      <c r="D100" s="420" t="s">
        <v>568</v>
      </c>
      <c r="E100" s="59" t="s">
        <v>5</v>
      </c>
      <c r="F100" s="132"/>
      <c r="G100" s="209">
        <f>AVERAGE(H100:AL100)</f>
        <v>0</v>
      </c>
      <c r="H100" s="92">
        <f>VLOOKUP($B100,'DCS Data'!$E$2:$AJ$100,MATCH('Daily Report'!I$1,'DCS Data'!$E$2:$AJ$2,0),0)</f>
        <v>0</v>
      </c>
    </row>
    <row r="101" spans="1:8" ht="15">
      <c r="A101" s="252" t="s">
        <v>413</v>
      </c>
      <c r="B101" s="195"/>
      <c r="C101" s="195"/>
      <c r="D101" s="431"/>
      <c r="E101" s="59"/>
      <c r="F101" s="132"/>
      <c r="G101" s="209">
        <f t="shared" ref="G101:G115" si="10">SUM(H101:AL101)</f>
        <v>0</v>
      </c>
      <c r="H101" s="96"/>
    </row>
    <row r="102" spans="1:8" ht="15">
      <c r="A102" s="252" t="s">
        <v>133</v>
      </c>
      <c r="B102" s="255"/>
      <c r="C102" s="255"/>
      <c r="D102" s="423"/>
      <c r="E102" s="59" t="s">
        <v>9</v>
      </c>
      <c r="F102" s="132">
        <f>F94+F95+F96+F97</f>
        <v>4590.1000000000004</v>
      </c>
      <c r="G102" s="209">
        <f t="shared" si="10"/>
        <v>3503.8816300570029</v>
      </c>
      <c r="H102" s="96">
        <f>SUM(H94:H97,H99,H101)</f>
        <v>3503.8816300570029</v>
      </c>
    </row>
    <row r="103" spans="1:8" ht="28.5">
      <c r="A103" s="252" t="s">
        <v>134</v>
      </c>
      <c r="B103" s="180" t="s">
        <v>402</v>
      </c>
      <c r="C103" s="416" t="s">
        <v>525</v>
      </c>
      <c r="D103" s="435" t="s">
        <v>525</v>
      </c>
      <c r="E103" s="59" t="s">
        <v>9</v>
      </c>
      <c r="F103" s="132">
        <v>2730</v>
      </c>
      <c r="G103" s="209">
        <f t="shared" si="10"/>
        <v>2445.7614843171959</v>
      </c>
      <c r="H103" s="92">
        <f>VLOOKUP($B103,'DCS Data'!$E$2:$AJ$100,MATCH('Daily Report'!I$1,'DCS Data'!$E$2:$AJ$2,0),0)</f>
        <v>2445.7614843171959</v>
      </c>
    </row>
    <row r="104" spans="1:8" ht="42.75">
      <c r="A104" s="252" t="s">
        <v>135</v>
      </c>
      <c r="B104" s="60" t="s">
        <v>124</v>
      </c>
      <c r="C104" s="60" t="s">
        <v>124</v>
      </c>
      <c r="D104" s="423"/>
      <c r="E104" s="59"/>
      <c r="F104" s="132"/>
      <c r="G104" s="209">
        <f t="shared" si="10"/>
        <v>0</v>
      </c>
      <c r="H104" s="93"/>
    </row>
    <row r="105" spans="1:8" ht="42.75">
      <c r="A105" s="252" t="s">
        <v>136</v>
      </c>
      <c r="B105" s="60" t="s">
        <v>124</v>
      </c>
      <c r="C105" s="60" t="s">
        <v>124</v>
      </c>
      <c r="D105" s="423"/>
      <c r="E105" s="59" t="s">
        <v>9</v>
      </c>
      <c r="F105" s="303">
        <v>622</v>
      </c>
      <c r="G105" s="209">
        <v>0</v>
      </c>
      <c r="H105" s="93"/>
    </row>
    <row r="106" spans="1:8" ht="15">
      <c r="A106" s="252" t="s">
        <v>137</v>
      </c>
      <c r="B106" s="60"/>
      <c r="C106" s="60"/>
      <c r="D106" s="423"/>
      <c r="E106" s="59"/>
      <c r="F106" s="303"/>
      <c r="G106" s="209">
        <f t="shared" si="10"/>
        <v>0</v>
      </c>
      <c r="H106" s="93"/>
    </row>
    <row r="107" spans="1:8" ht="42.75">
      <c r="A107" s="252" t="s">
        <v>138</v>
      </c>
      <c r="B107" s="60" t="s">
        <v>124</v>
      </c>
      <c r="C107" s="60" t="s">
        <v>124</v>
      </c>
      <c r="D107" s="423"/>
      <c r="E107" s="59" t="s">
        <v>9</v>
      </c>
      <c r="F107" s="132"/>
      <c r="G107" s="209">
        <f t="shared" si="10"/>
        <v>0</v>
      </c>
      <c r="H107" s="93"/>
    </row>
    <row r="108" spans="1:8" ht="42.75">
      <c r="A108" s="252" t="s">
        <v>139</v>
      </c>
      <c r="B108" s="60" t="s">
        <v>124</v>
      </c>
      <c r="C108" s="60" t="s">
        <v>124</v>
      </c>
      <c r="D108" s="423"/>
      <c r="E108" s="59" t="s">
        <v>9</v>
      </c>
      <c r="F108" s="132"/>
      <c r="G108" s="209">
        <f t="shared" si="10"/>
        <v>0</v>
      </c>
      <c r="H108" s="93"/>
    </row>
    <row r="109" spans="1:8" ht="42.75">
      <c r="A109" s="252" t="s">
        <v>140</v>
      </c>
      <c r="B109" s="60" t="s">
        <v>124</v>
      </c>
      <c r="C109" s="60" t="s">
        <v>124</v>
      </c>
      <c r="D109" s="423"/>
      <c r="E109" s="59" t="s">
        <v>9</v>
      </c>
      <c r="F109" s="132"/>
      <c r="G109" s="209">
        <f t="shared" si="10"/>
        <v>0</v>
      </c>
      <c r="H109" s="93"/>
    </row>
    <row r="110" spans="1:8" ht="15">
      <c r="A110" s="252" t="s">
        <v>141</v>
      </c>
      <c r="B110" s="255"/>
      <c r="C110" s="255"/>
      <c r="D110" s="423"/>
      <c r="E110" s="59" t="s">
        <v>9</v>
      </c>
      <c r="F110" s="132">
        <v>10.68</v>
      </c>
      <c r="G110" s="209">
        <f t="shared" si="10"/>
        <v>0</v>
      </c>
      <c r="H110" s="96">
        <f>H107+H108+H109</f>
        <v>0</v>
      </c>
    </row>
    <row r="111" spans="1:8" ht="28.5">
      <c r="A111" s="252" t="s">
        <v>142</v>
      </c>
      <c r="B111" s="180" t="s">
        <v>403</v>
      </c>
      <c r="C111" s="416" t="s">
        <v>526</v>
      </c>
      <c r="D111" s="435" t="s">
        <v>526</v>
      </c>
      <c r="E111" s="59" t="s">
        <v>9</v>
      </c>
      <c r="F111" s="141">
        <v>207.36</v>
      </c>
      <c r="G111" s="209">
        <f t="shared" si="10"/>
        <v>0</v>
      </c>
      <c r="H111" s="92" t="str">
        <f>VLOOKUP($B111,'DCS Data'!$E$2:$AJ$100,MATCH('Daily Report'!I$1,'DCS Data'!$E$2:$AJ$2,0),0)</f>
        <v/>
      </c>
    </row>
    <row r="112" spans="1:8" ht="42.75">
      <c r="A112" s="252" t="s">
        <v>143</v>
      </c>
      <c r="B112" s="60" t="s">
        <v>124</v>
      </c>
      <c r="C112" s="60" t="s">
        <v>124</v>
      </c>
      <c r="D112" s="423"/>
      <c r="E112" s="59" t="s">
        <v>9</v>
      </c>
      <c r="F112" s="132">
        <v>17.52</v>
      </c>
      <c r="G112" s="209">
        <f t="shared" si="10"/>
        <v>0</v>
      </c>
      <c r="H112" s="93"/>
    </row>
    <row r="113" spans="1:8" ht="42.75">
      <c r="A113" s="252" t="s">
        <v>144</v>
      </c>
      <c r="B113" s="60" t="s">
        <v>124</v>
      </c>
      <c r="C113" s="60" t="s">
        <v>124</v>
      </c>
      <c r="D113" s="423"/>
      <c r="E113" s="59"/>
      <c r="F113" s="132"/>
      <c r="G113" s="209">
        <f t="shared" si="10"/>
        <v>0</v>
      </c>
      <c r="H113" s="93"/>
    </row>
    <row r="114" spans="1:8" ht="42.75">
      <c r="A114" s="252" t="s">
        <v>145</v>
      </c>
      <c r="B114" s="60" t="s">
        <v>124</v>
      </c>
      <c r="C114" s="60" t="s">
        <v>124</v>
      </c>
      <c r="D114" s="423"/>
      <c r="E114" s="59"/>
      <c r="F114" s="132"/>
      <c r="G114" s="209">
        <f t="shared" si="10"/>
        <v>0</v>
      </c>
      <c r="H114" s="93"/>
    </row>
    <row r="115" spans="1:8" ht="15">
      <c r="A115" s="75" t="s">
        <v>146</v>
      </c>
      <c r="B115" s="71"/>
      <c r="C115" s="71"/>
      <c r="D115" s="424"/>
      <c r="E115" s="264"/>
      <c r="F115" s="136">
        <v>10.944000000000001</v>
      </c>
      <c r="G115" s="207">
        <f t="shared" si="10"/>
        <v>0</v>
      </c>
      <c r="H115" s="94">
        <f>H113+H114</f>
        <v>0</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AJ100"/>
  <sheetViews>
    <sheetView zoomScaleNormal="100" workbookViewId="0">
      <selection activeCell="D4" sqref="D4"/>
    </sheetView>
  </sheetViews>
  <sheetFormatPr defaultRowHeight="14.25"/>
  <cols>
    <col min="1" max="1" width="19.375" bestFit="1" customWidth="1"/>
    <col min="2" max="2" width="34.375" style="89" customWidth="1"/>
    <col min="3" max="3" width="9.25" bestFit="1" customWidth="1"/>
    <col min="4" max="4" width="7" customWidth="1"/>
    <col min="5" max="5" width="16.75" bestFit="1" customWidth="1"/>
    <col min="6" max="36" width="11.25" customWidth="1"/>
    <col min="37" max="41" width="8.125" bestFit="1" customWidth="1"/>
    <col min="43" max="45" width="8.125" bestFit="1" customWidth="1"/>
    <col min="47" max="57" width="8.125" bestFit="1" customWidth="1"/>
    <col min="59" max="66" width="8.125" bestFit="1" customWidth="1"/>
    <col min="69" max="77" width="8.125" bestFit="1" customWidth="1"/>
    <col min="79" max="79" width="8.125" bestFit="1" customWidth="1"/>
    <col min="81" max="153" width="8.125" bestFit="1" customWidth="1"/>
    <col min="156" max="185" width="8.125" bestFit="1" customWidth="1"/>
    <col min="186" max="186" width="11.375" bestFit="1" customWidth="1"/>
    <col min="187" max="187" width="8.125" bestFit="1" customWidth="1"/>
    <col min="188" max="188" width="11.375" bestFit="1" customWidth="1"/>
    <col min="189" max="218" width="8.125" bestFit="1" customWidth="1"/>
    <col min="221" max="224" width="8.125" bestFit="1" customWidth="1"/>
    <col min="225" max="225" width="11.375" bestFit="1" customWidth="1"/>
    <col min="226" max="226" width="10.375" bestFit="1" customWidth="1"/>
    <col min="227" max="247" width="8.125" bestFit="1" customWidth="1"/>
    <col min="250" max="251" width="8.125" bestFit="1" customWidth="1"/>
    <col min="253" max="261" width="8.125" bestFit="1" customWidth="1"/>
    <col min="263" max="264" width="8.125" bestFit="1" customWidth="1"/>
    <col min="266" max="266" width="8.125" bestFit="1" customWidth="1"/>
    <col min="268" max="291" width="8.125" bestFit="1" customWidth="1"/>
    <col min="295" max="334" width="8.125" bestFit="1" customWidth="1"/>
    <col min="336" max="346" width="8.125" bestFit="1" customWidth="1"/>
    <col min="348" max="348" width="8.125" bestFit="1" customWidth="1"/>
    <col min="350" max="350" width="8.125" bestFit="1" customWidth="1"/>
    <col min="359" max="359" width="8.125" bestFit="1" customWidth="1"/>
    <col min="363" max="363" width="8.125" bestFit="1" customWidth="1"/>
    <col min="365" max="365" width="8.125" bestFit="1" customWidth="1"/>
    <col min="367" max="367" width="8.125" bestFit="1" customWidth="1"/>
    <col min="369" max="369" width="8.125" bestFit="1" customWidth="1"/>
    <col min="371" max="433" width="8.125" bestFit="1" customWidth="1"/>
    <col min="435" max="438" width="8.125" bestFit="1" customWidth="1"/>
    <col min="440" max="512" width="8.125" bestFit="1" customWidth="1"/>
    <col min="514" max="603" width="8.125" bestFit="1" customWidth="1"/>
    <col min="605" max="633" width="8.125" bestFit="1" customWidth="1"/>
    <col min="635" max="644" width="8.125" bestFit="1" customWidth="1"/>
    <col min="645" max="645" width="11.375" bestFit="1" customWidth="1"/>
    <col min="646" max="646" width="8.125" bestFit="1" customWidth="1"/>
    <col min="649" max="654" width="8.125" bestFit="1" customWidth="1"/>
    <col min="656" max="662" width="8.125" bestFit="1" customWidth="1"/>
    <col min="665" max="673" width="8.125" bestFit="1" customWidth="1"/>
    <col min="677" max="718" width="8.125" bestFit="1" customWidth="1"/>
    <col min="720" max="720" width="8.125" bestFit="1" customWidth="1"/>
    <col min="722" max="726" width="8.125" bestFit="1" customWidth="1"/>
    <col min="728" max="728" width="8.125" bestFit="1" customWidth="1"/>
    <col min="730" max="770" width="8.125" bestFit="1" customWidth="1"/>
    <col min="772" max="794" width="8.125" bestFit="1" customWidth="1"/>
    <col min="799" max="816" width="8.125" bestFit="1" customWidth="1"/>
    <col min="820" max="834" width="8.125" bestFit="1" customWidth="1"/>
    <col min="837" max="874" width="8.125" bestFit="1" customWidth="1"/>
    <col min="876" max="904" width="8.125" bestFit="1" customWidth="1"/>
    <col min="906" max="943" width="8.125" bestFit="1" customWidth="1"/>
    <col min="945" max="948" width="8.125" bestFit="1" customWidth="1"/>
    <col min="952" max="953" width="8.125" bestFit="1" customWidth="1"/>
    <col min="955" max="970" width="8.125" bestFit="1" customWidth="1"/>
    <col min="972" max="976" width="8.125" bestFit="1" customWidth="1"/>
    <col min="978" max="979" width="8.125" bestFit="1" customWidth="1"/>
    <col min="981" max="983" width="8.125" bestFit="1" customWidth="1"/>
    <col min="985" max="988" width="8.125" bestFit="1" customWidth="1"/>
    <col min="991" max="993" width="8.125" bestFit="1" customWidth="1"/>
    <col min="995" max="996" width="8.125" bestFit="1" customWidth="1"/>
    <col min="999" max="1003" width="8.125" bestFit="1" customWidth="1"/>
    <col min="1011" max="1013" width="8.125" bestFit="1" customWidth="1"/>
    <col min="1015" max="1026" width="8.125" bestFit="1" customWidth="1"/>
    <col min="1028" max="1028" width="8.125" bestFit="1" customWidth="1"/>
    <col min="1030" max="1081" width="8.125" bestFit="1" customWidth="1"/>
    <col min="1084" max="1085" width="8.125" bestFit="1" customWidth="1"/>
    <col min="1087" max="1107" width="8.125" bestFit="1" customWidth="1"/>
    <col min="1109" max="1127" width="8.125" bestFit="1" customWidth="1"/>
    <col min="1129" max="1129" width="8.125" bestFit="1" customWidth="1"/>
    <col min="1131" max="1139" width="8.125" bestFit="1" customWidth="1"/>
    <col min="1141" max="1166" width="8.125" bestFit="1" customWidth="1"/>
    <col min="1168" max="1176" width="8.125" bestFit="1" customWidth="1"/>
    <col min="1178" max="1204" width="8.125" bestFit="1" customWidth="1"/>
    <col min="1207" max="1207" width="8.125" bestFit="1" customWidth="1"/>
    <col min="1210" max="1210" width="8.125" bestFit="1" customWidth="1"/>
    <col min="1213" max="1230" width="8.125" bestFit="1" customWidth="1"/>
    <col min="1234" max="1264" width="8.125" bestFit="1" customWidth="1"/>
    <col min="1266" max="1268" width="8.125" bestFit="1" customWidth="1"/>
    <col min="1270" max="1272" width="8.125" bestFit="1" customWidth="1"/>
    <col min="1274" max="1276" width="8.125" bestFit="1" customWidth="1"/>
    <col min="1278" max="1284" width="8.125" bestFit="1" customWidth="1"/>
    <col min="1286" max="1288" width="8.125" bestFit="1" customWidth="1"/>
    <col min="1290" max="1292" width="8.125" bestFit="1" customWidth="1"/>
    <col min="1294" max="1296" width="8.125" bestFit="1" customWidth="1"/>
    <col min="1298" max="1326" width="8.125" bestFit="1" customWidth="1"/>
    <col min="1328" max="1417" width="8.125" bestFit="1" customWidth="1"/>
    <col min="1419" max="1436" width="8.125" bestFit="1" customWidth="1"/>
  </cols>
  <sheetData>
    <row r="1" spans="1:36" ht="30" customHeight="1">
      <c r="A1" s="266" t="s">
        <v>423</v>
      </c>
      <c r="B1" s="284" t="s">
        <v>424</v>
      </c>
      <c r="C1" s="269">
        <v>45931</v>
      </c>
      <c r="D1" s="267"/>
      <c r="E1" s="268" t="s">
        <v>420</v>
      </c>
      <c r="F1" s="269">
        <v>45962</v>
      </c>
      <c r="G1" s="378"/>
    </row>
    <row r="2" spans="1:36" ht="30" customHeight="1">
      <c r="A2" s="279"/>
      <c r="B2" s="285"/>
      <c r="C2" s="280"/>
      <c r="D2" s="267"/>
      <c r="E2" s="279"/>
      <c r="F2" s="281">
        <f>F4</f>
        <v>45931</v>
      </c>
      <c r="G2" s="281">
        <f t="shared" ref="G2:AJ2" si="0">G4</f>
        <v>45932</v>
      </c>
      <c r="H2" s="281">
        <f t="shared" si="0"/>
        <v>45933</v>
      </c>
      <c r="I2" s="281">
        <f t="shared" si="0"/>
        <v>45934</v>
      </c>
      <c r="J2" s="281">
        <f t="shared" si="0"/>
        <v>45935</v>
      </c>
      <c r="K2" s="281">
        <f t="shared" si="0"/>
        <v>45936</v>
      </c>
      <c r="L2" s="281">
        <f t="shared" si="0"/>
        <v>45937</v>
      </c>
      <c r="M2" s="281">
        <f t="shared" si="0"/>
        <v>45938</v>
      </c>
      <c r="N2" s="281">
        <f t="shared" si="0"/>
        <v>45939</v>
      </c>
      <c r="O2" s="281">
        <f t="shared" si="0"/>
        <v>45940</v>
      </c>
      <c r="P2" s="281">
        <f t="shared" si="0"/>
        <v>45941</v>
      </c>
      <c r="Q2" s="281">
        <f t="shared" si="0"/>
        <v>45942</v>
      </c>
      <c r="R2" s="281">
        <f t="shared" si="0"/>
        <v>45943</v>
      </c>
      <c r="S2" s="281">
        <f t="shared" si="0"/>
        <v>45944</v>
      </c>
      <c r="T2" s="281">
        <f t="shared" si="0"/>
        <v>45945</v>
      </c>
      <c r="U2" s="281">
        <f t="shared" si="0"/>
        <v>45946</v>
      </c>
      <c r="V2" s="281">
        <f t="shared" si="0"/>
        <v>45947</v>
      </c>
      <c r="W2" s="281">
        <f t="shared" si="0"/>
        <v>45948</v>
      </c>
      <c r="X2" s="281">
        <f t="shared" si="0"/>
        <v>45949</v>
      </c>
      <c r="Y2" s="281">
        <f t="shared" si="0"/>
        <v>45950</v>
      </c>
      <c r="Z2" s="281">
        <f t="shared" si="0"/>
        <v>45951</v>
      </c>
      <c r="AA2" s="281">
        <f t="shared" si="0"/>
        <v>45952</v>
      </c>
      <c r="AB2" s="281">
        <f t="shared" si="0"/>
        <v>45953</v>
      </c>
      <c r="AC2" s="281">
        <f t="shared" si="0"/>
        <v>45954</v>
      </c>
      <c r="AD2" s="281">
        <f t="shared" si="0"/>
        <v>45955</v>
      </c>
      <c r="AE2" s="281">
        <f t="shared" si="0"/>
        <v>45956</v>
      </c>
      <c r="AF2" s="281">
        <f t="shared" si="0"/>
        <v>45957</v>
      </c>
      <c r="AG2" s="281">
        <f t="shared" si="0"/>
        <v>45958</v>
      </c>
      <c r="AH2" s="281">
        <f t="shared" si="0"/>
        <v>45959</v>
      </c>
      <c r="AI2" s="281">
        <f t="shared" si="0"/>
        <v>45960</v>
      </c>
      <c r="AJ2" s="281">
        <f t="shared" si="0"/>
        <v>45961</v>
      </c>
    </row>
    <row r="3" spans="1:36" ht="15.75" thickBot="1">
      <c r="C3" s="270"/>
      <c r="D3" s="267"/>
      <c r="E3" s="206" t="s">
        <v>404</v>
      </c>
    </row>
    <row r="4" spans="1:36" ht="15.75" thickBot="1">
      <c r="A4" s="271" t="s">
        <v>421</v>
      </c>
      <c r="B4" s="286" t="s">
        <v>425</v>
      </c>
      <c r="C4" s="272" t="s">
        <v>426</v>
      </c>
      <c r="D4" s="273"/>
      <c r="E4" s="274" t="s">
        <v>443</v>
      </c>
      <c r="F4" s="275">
        <v>45931</v>
      </c>
      <c r="G4" s="275">
        <v>45932</v>
      </c>
      <c r="H4" s="275">
        <v>45933</v>
      </c>
      <c r="I4" s="275">
        <v>45934</v>
      </c>
      <c r="J4" s="275">
        <v>45935</v>
      </c>
      <c r="K4" s="275">
        <v>45936</v>
      </c>
      <c r="L4" s="275">
        <v>45937</v>
      </c>
      <c r="M4" s="275">
        <v>45938</v>
      </c>
      <c r="N4" s="275">
        <v>45939</v>
      </c>
      <c r="O4" s="275">
        <v>45940</v>
      </c>
      <c r="P4" s="275">
        <v>45941</v>
      </c>
      <c r="Q4" s="275">
        <v>45942</v>
      </c>
      <c r="R4" s="275">
        <v>45943</v>
      </c>
      <c r="S4" s="275">
        <v>45944</v>
      </c>
      <c r="T4" s="275">
        <v>45945</v>
      </c>
      <c r="U4" s="275">
        <v>45946</v>
      </c>
      <c r="V4" s="275">
        <v>45947</v>
      </c>
      <c r="W4" s="275">
        <v>45948</v>
      </c>
      <c r="X4" s="275">
        <v>45949</v>
      </c>
      <c r="Y4" s="275">
        <v>45950</v>
      </c>
      <c r="Z4" s="275">
        <v>45951</v>
      </c>
      <c r="AA4" s="275">
        <v>45952</v>
      </c>
      <c r="AB4" s="275">
        <v>45953</v>
      </c>
      <c r="AC4" s="275">
        <v>45954</v>
      </c>
      <c r="AD4" s="275">
        <v>45955</v>
      </c>
      <c r="AE4" s="275">
        <v>45956</v>
      </c>
      <c r="AF4" s="275">
        <v>45957</v>
      </c>
      <c r="AG4" s="275">
        <v>45958</v>
      </c>
      <c r="AH4" s="275">
        <v>45959</v>
      </c>
      <c r="AI4" s="275">
        <v>45960</v>
      </c>
      <c r="AJ4" s="275">
        <v>45961</v>
      </c>
    </row>
    <row r="5" spans="1:36">
      <c r="A5" s="260" t="s">
        <v>344</v>
      </c>
      <c r="B5" s="287" t="s">
        <v>8</v>
      </c>
      <c r="C5" s="277" t="s">
        <v>9</v>
      </c>
      <c r="D5" s="267"/>
      <c r="E5" s="206" t="s">
        <v>344</v>
      </c>
      <c r="F5" s="276">
        <v>715.80968449017973</v>
      </c>
      <c r="G5" s="276">
        <v>784.31891657750793</v>
      </c>
      <c r="H5" s="276">
        <v>779.28194631093868</v>
      </c>
      <c r="I5" s="276">
        <v>776.8046794697251</v>
      </c>
      <c r="J5" s="276">
        <v>784.98244899362635</v>
      </c>
      <c r="K5" s="276">
        <v>796.34248518567756</v>
      </c>
      <c r="L5" s="276">
        <v>792.2557678045207</v>
      </c>
      <c r="M5" s="276">
        <v>782.73467412667833</v>
      </c>
      <c r="N5" s="276">
        <v>777.76313263340217</v>
      </c>
      <c r="O5" s="276">
        <v>784.58269022951856</v>
      </c>
      <c r="P5" s="276">
        <v>777.22523364662948</v>
      </c>
      <c r="Q5" s="276">
        <v>778.39092709819579</v>
      </c>
      <c r="R5" s="276">
        <v>778.24394272643815</v>
      </c>
      <c r="S5" s="276">
        <v>789.26553634604284</v>
      </c>
      <c r="T5" s="276">
        <v>778.29252612090306</v>
      </c>
      <c r="U5" s="276">
        <v>745.81605652383189</v>
      </c>
      <c r="V5" s="276">
        <v>736.26666080811901</v>
      </c>
      <c r="W5" s="276">
        <v>746.40695311875709</v>
      </c>
      <c r="X5" s="276">
        <v>749.23578931501356</v>
      </c>
      <c r="Y5" s="276">
        <v>765.45978846121568</v>
      </c>
      <c r="Z5" s="276">
        <v>795.85140810959433</v>
      </c>
      <c r="AA5" s="276">
        <v>804.30153079899947</v>
      </c>
      <c r="AB5" s="276">
        <v>802.33000848765812</v>
      </c>
      <c r="AC5" s="276">
        <v>802.67035278650815</v>
      </c>
      <c r="AD5" s="276">
        <v>804.83560248832077</v>
      </c>
      <c r="AE5" s="276">
        <v>802.91544376166053</v>
      </c>
      <c r="AF5" s="276">
        <v>806.56074136003747</v>
      </c>
      <c r="AG5" s="276">
        <v>803.92607484950645</v>
      </c>
      <c r="AH5" s="276">
        <v>800.54274610992002</v>
      </c>
      <c r="AI5" s="276">
        <v>798.26421942053969</v>
      </c>
      <c r="AJ5" s="276">
        <v>803.11880481874368</v>
      </c>
    </row>
    <row r="6" spans="1:36">
      <c r="A6" s="261" t="s">
        <v>343</v>
      </c>
      <c r="B6" s="288" t="s">
        <v>10</v>
      </c>
      <c r="C6" s="278" t="s">
        <v>9</v>
      </c>
      <c r="D6" s="267"/>
      <c r="E6" s="206" t="s">
        <v>343</v>
      </c>
      <c r="F6" s="276">
        <v>506.45476762966933</v>
      </c>
      <c r="G6" s="276">
        <v>560.94620965983211</v>
      </c>
      <c r="H6" s="276">
        <v>555.35927239399655</v>
      </c>
      <c r="I6" s="276">
        <v>553.50791361068957</v>
      </c>
      <c r="J6" s="276">
        <v>558.76186430862299</v>
      </c>
      <c r="K6" s="276">
        <v>563.76376708469547</v>
      </c>
      <c r="L6" s="276">
        <v>559.47535744629488</v>
      </c>
      <c r="M6" s="276">
        <v>550.52311911839786</v>
      </c>
      <c r="N6" s="276">
        <v>545.09975790508508</v>
      </c>
      <c r="O6" s="276">
        <v>548.98876500632548</v>
      </c>
      <c r="P6" s="276">
        <v>543.37742877169956</v>
      </c>
      <c r="Q6" s="276">
        <v>544.46672830654597</v>
      </c>
      <c r="R6" s="276">
        <v>543.40399046512232</v>
      </c>
      <c r="S6" s="276">
        <v>553.15391640218263</v>
      </c>
      <c r="T6" s="276">
        <v>542.99368359601658</v>
      </c>
      <c r="U6" s="276">
        <v>516.40917525197858</v>
      </c>
      <c r="V6" s="276">
        <v>507.86214787548226</v>
      </c>
      <c r="W6" s="276">
        <v>517.03234954783215</v>
      </c>
      <c r="X6" s="276">
        <v>519.08041604982748</v>
      </c>
      <c r="Y6" s="276">
        <v>532.49508176427025</v>
      </c>
      <c r="Z6" s="276">
        <v>558.46280738776227</v>
      </c>
      <c r="AA6" s="276">
        <v>565.74978608787126</v>
      </c>
      <c r="AB6" s="276">
        <v>562.58084294148762</v>
      </c>
      <c r="AC6" s="276">
        <v>562.43820732460597</v>
      </c>
      <c r="AD6" s="276">
        <v>563.90749241058268</v>
      </c>
      <c r="AE6" s="276">
        <v>562.81016437164624</v>
      </c>
      <c r="AF6" s="276">
        <v>566.07747287042673</v>
      </c>
      <c r="AG6" s="276">
        <v>564.24928183218867</v>
      </c>
      <c r="AH6" s="276">
        <v>561.45118619591119</v>
      </c>
      <c r="AI6" s="276">
        <v>560.87049521681774</v>
      </c>
      <c r="AJ6" s="276">
        <v>565.22321752696553</v>
      </c>
    </row>
    <row r="7" spans="1:36">
      <c r="A7" s="261" t="s">
        <v>345</v>
      </c>
      <c r="B7" s="288" t="s">
        <v>11</v>
      </c>
      <c r="C7" s="278" t="s">
        <v>9</v>
      </c>
      <c r="D7" s="267"/>
      <c r="E7" s="206" t="s">
        <v>345</v>
      </c>
      <c r="F7" s="276">
        <v>475.72453863443366</v>
      </c>
      <c r="G7" s="276">
        <v>516.54061070380476</v>
      </c>
      <c r="H7" s="276">
        <v>512.95875841669113</v>
      </c>
      <c r="I7" s="276">
        <v>511.42111433510343</v>
      </c>
      <c r="J7" s="276">
        <v>515.50557253293846</v>
      </c>
      <c r="K7" s="276">
        <v>521.90848877117787</v>
      </c>
      <c r="L7" s="276">
        <v>518.61878901623538</v>
      </c>
      <c r="M7" s="276">
        <v>510.02094138252835</v>
      </c>
      <c r="N7" s="276">
        <v>503.7642740093068</v>
      </c>
      <c r="O7" s="276">
        <v>502.97805032027327</v>
      </c>
      <c r="P7" s="276">
        <v>498.21498448238526</v>
      </c>
      <c r="Q7" s="276">
        <v>500.01712888584939</v>
      </c>
      <c r="R7" s="276">
        <v>500.96658933810573</v>
      </c>
      <c r="S7" s="276">
        <v>507.59103660379117</v>
      </c>
      <c r="T7" s="276">
        <v>494.907564216178</v>
      </c>
      <c r="U7" s="276">
        <v>472.3282296985393</v>
      </c>
      <c r="V7" s="276">
        <v>463.65062525604748</v>
      </c>
      <c r="W7" s="276">
        <v>471.9236131555167</v>
      </c>
      <c r="X7" s="276">
        <v>473.52616860132878</v>
      </c>
      <c r="Y7" s="276">
        <v>484.0743934504041</v>
      </c>
      <c r="Z7" s="276">
        <v>506.48072020028837</v>
      </c>
      <c r="AA7" s="276">
        <v>512.87786208713953</v>
      </c>
      <c r="AB7" s="276">
        <v>511.49537362460865</v>
      </c>
      <c r="AC7" s="276">
        <v>510.99098599046494</v>
      </c>
      <c r="AD7" s="276">
        <v>511.89627648233125</v>
      </c>
      <c r="AE7" s="276">
        <v>511.40734448386604</v>
      </c>
      <c r="AF7" s="276">
        <v>512.57255575168847</v>
      </c>
      <c r="AG7" s="276">
        <v>512.08377970954382</v>
      </c>
      <c r="AH7" s="276">
        <v>510.16711367374347</v>
      </c>
      <c r="AI7" s="276">
        <v>510.78698964985495</v>
      </c>
      <c r="AJ7" s="276">
        <v>513.3632057498819</v>
      </c>
    </row>
    <row r="8" spans="1:36">
      <c r="A8" s="261" t="s">
        <v>346</v>
      </c>
      <c r="B8" s="288" t="s">
        <v>12</v>
      </c>
      <c r="C8" s="278" t="s">
        <v>9</v>
      </c>
      <c r="D8" s="267"/>
      <c r="E8" s="206" t="s">
        <v>346</v>
      </c>
      <c r="F8" s="276">
        <v>296.67808836044503</v>
      </c>
      <c r="G8" s="276">
        <v>321.3066295730016</v>
      </c>
      <c r="H8" s="276">
        <v>320.61101757560783</v>
      </c>
      <c r="I8" s="276">
        <v>319.78335665120426</v>
      </c>
      <c r="J8" s="276">
        <v>323.75165135323715</v>
      </c>
      <c r="K8" s="276">
        <v>331.00161441466258</v>
      </c>
      <c r="L8" s="276">
        <v>330.32327918568217</v>
      </c>
      <c r="M8" s="276">
        <v>328.08213210285402</v>
      </c>
      <c r="N8" s="276">
        <v>327.44884030162922</v>
      </c>
      <c r="O8" s="276">
        <v>331.3385590700712</v>
      </c>
      <c r="P8" s="276">
        <v>328.51126564902717</v>
      </c>
      <c r="Q8" s="276">
        <v>328.5586189900456</v>
      </c>
      <c r="R8" s="276">
        <v>329.06011473516742</v>
      </c>
      <c r="S8" s="276">
        <v>332.32589457663039</v>
      </c>
      <c r="T8" s="276">
        <v>329.55796884335462</v>
      </c>
      <c r="U8" s="276">
        <v>318.43172799998672</v>
      </c>
      <c r="V8" s="276">
        <v>315.96549327936503</v>
      </c>
      <c r="W8" s="276">
        <v>318.71924473520943</v>
      </c>
      <c r="X8" s="276">
        <v>319.84994459991077</v>
      </c>
      <c r="Y8" s="276">
        <v>325.37214514028119</v>
      </c>
      <c r="Z8" s="276">
        <v>334.9795193338021</v>
      </c>
      <c r="AA8" s="276">
        <v>337.52779697403594</v>
      </c>
      <c r="AB8" s="276">
        <v>338.02810798377914</v>
      </c>
      <c r="AC8" s="276">
        <v>338.61738671915953</v>
      </c>
      <c r="AD8" s="276">
        <v>339.60751241587246</v>
      </c>
      <c r="AE8" s="276">
        <v>338.52361782303535</v>
      </c>
      <c r="AF8" s="276">
        <v>339.64399175983993</v>
      </c>
      <c r="AG8" s="276">
        <v>338.4041649327325</v>
      </c>
      <c r="AH8" s="276">
        <v>337.11611522812944</v>
      </c>
      <c r="AI8" s="276">
        <v>335.26469840215026</v>
      </c>
      <c r="AJ8" s="276">
        <v>336.56865450310642</v>
      </c>
    </row>
    <row r="9" spans="1:36">
      <c r="A9" s="261" t="s">
        <v>347</v>
      </c>
      <c r="B9" s="288" t="s">
        <v>12</v>
      </c>
      <c r="C9" s="278" t="s">
        <v>9</v>
      </c>
      <c r="D9" s="267"/>
      <c r="E9" s="206" t="s">
        <v>347</v>
      </c>
      <c r="F9" s="276">
        <v>326.39420727286853</v>
      </c>
      <c r="G9" s="276">
        <v>353.46818679581065</v>
      </c>
      <c r="H9" s="276">
        <v>353.48293545764119</v>
      </c>
      <c r="I9" s="276">
        <v>352.8055067599135</v>
      </c>
      <c r="J9" s="276">
        <v>357.10757098872079</v>
      </c>
      <c r="K9" s="276">
        <v>364.87162005109508</v>
      </c>
      <c r="L9" s="276">
        <v>364.13954478084725</v>
      </c>
      <c r="M9" s="276">
        <v>361.05856078056678</v>
      </c>
      <c r="N9" s="276">
        <v>359.30059179280744</v>
      </c>
      <c r="O9" s="276">
        <v>361.13878125296344</v>
      </c>
      <c r="P9" s="276">
        <v>359.7097030421113</v>
      </c>
      <c r="Q9" s="276">
        <v>359.99929864205194</v>
      </c>
      <c r="R9" s="276">
        <v>360.70749707712332</v>
      </c>
      <c r="S9" s="276">
        <v>363.73027678490536</v>
      </c>
      <c r="T9" s="276">
        <v>360.11407091475007</v>
      </c>
      <c r="U9" s="276">
        <v>347.35769945308499</v>
      </c>
      <c r="V9" s="276">
        <v>343.75912147396423</v>
      </c>
      <c r="W9" s="276">
        <v>346.7172534609864</v>
      </c>
      <c r="X9" s="276">
        <v>348.05626273494408</v>
      </c>
      <c r="Y9" s="276">
        <v>353.79561705112712</v>
      </c>
      <c r="Z9" s="276">
        <v>363.99381119557819</v>
      </c>
      <c r="AA9" s="276">
        <v>366.48531872130354</v>
      </c>
      <c r="AB9" s="276">
        <v>367.27025493231287</v>
      </c>
      <c r="AC9" s="276">
        <v>366.98530047922719</v>
      </c>
      <c r="AD9" s="276">
        <v>367.72119796156721</v>
      </c>
      <c r="AE9" s="276">
        <v>367.52924609802471</v>
      </c>
      <c r="AF9" s="276">
        <v>368.73710526716474</v>
      </c>
      <c r="AG9" s="276">
        <v>368.58301372034219</v>
      </c>
      <c r="AH9" s="276">
        <v>367.68907671563187</v>
      </c>
      <c r="AI9" s="276">
        <v>365.96501944099344</v>
      </c>
      <c r="AJ9" s="276">
        <v>367.36663919637749</v>
      </c>
    </row>
    <row r="10" spans="1:36">
      <c r="A10" s="261" t="s">
        <v>348</v>
      </c>
      <c r="B10" s="288" t="s">
        <v>22</v>
      </c>
      <c r="C10" s="278" t="s">
        <v>23</v>
      </c>
      <c r="D10" s="267"/>
      <c r="E10" s="206" t="s">
        <v>348</v>
      </c>
      <c r="F10" s="276">
        <v>958.39106463485325</v>
      </c>
      <c r="G10" s="276">
        <v>958.70492785215743</v>
      </c>
      <c r="H10" s="276">
        <v>960.17630581459605</v>
      </c>
      <c r="I10" s="276">
        <v>959.6717625919697</v>
      </c>
      <c r="J10" s="276">
        <v>958.7670998967584</v>
      </c>
      <c r="K10" s="276">
        <v>958.31932303739734</v>
      </c>
      <c r="L10" s="276">
        <v>957.7916473053773</v>
      </c>
      <c r="M10" s="276">
        <v>957.99170779474025</v>
      </c>
      <c r="N10" s="276">
        <v>954.2813189466134</v>
      </c>
      <c r="O10" s="276">
        <v>947.26019222932052</v>
      </c>
      <c r="P10" s="276">
        <v>948.81395670721906</v>
      </c>
      <c r="Q10" s="276">
        <v>949.15433951840237</v>
      </c>
      <c r="R10" s="276">
        <v>947.40147561186461</v>
      </c>
      <c r="S10" s="276">
        <v>946.86919806424771</v>
      </c>
      <c r="T10" s="276">
        <v>947.78362769969533</v>
      </c>
      <c r="U10" s="276">
        <v>944.7587814670743</v>
      </c>
      <c r="V10" s="276">
        <v>943.78013218634385</v>
      </c>
      <c r="W10" s="276">
        <v>942.88909731258548</v>
      </c>
      <c r="X10" s="276">
        <v>944.0976750674223</v>
      </c>
      <c r="Y10" s="276">
        <v>945.16816907490863</v>
      </c>
      <c r="Z10" s="276">
        <v>945.14418968218502</v>
      </c>
      <c r="AA10" s="276">
        <v>945.20912962156353</v>
      </c>
      <c r="AB10" s="276">
        <v>944.71295363994193</v>
      </c>
      <c r="AC10" s="276">
        <v>943.43437441140384</v>
      </c>
      <c r="AD10" s="276">
        <v>941.02150583648006</v>
      </c>
      <c r="AE10" s="276">
        <v>943.80363848398531</v>
      </c>
      <c r="AF10" s="276">
        <v>944.19124494854066</v>
      </c>
      <c r="AG10" s="276">
        <v>943.73162764912126</v>
      </c>
      <c r="AH10" s="276">
        <v>944.58823519032376</v>
      </c>
      <c r="AI10" s="276">
        <v>946.42698477893032</v>
      </c>
      <c r="AJ10" s="276">
        <v>946.04552432728656</v>
      </c>
    </row>
    <row r="11" spans="1:36">
      <c r="A11" s="261" t="s">
        <v>349</v>
      </c>
      <c r="B11" s="288" t="s">
        <v>32</v>
      </c>
      <c r="C11" s="278" t="s">
        <v>9</v>
      </c>
      <c r="D11" s="267"/>
      <c r="E11" s="206" t="s">
        <v>349</v>
      </c>
      <c r="F11" s="276">
        <v>304.7117046546436</v>
      </c>
      <c r="G11" s="276">
        <v>334.80949124699646</v>
      </c>
      <c r="H11" s="276">
        <v>333.98058712514779</v>
      </c>
      <c r="I11" s="276">
        <v>332.17692955005782</v>
      </c>
      <c r="J11" s="276">
        <v>335.66791951344709</v>
      </c>
      <c r="K11" s="276">
        <v>337.06501065828451</v>
      </c>
      <c r="L11" s="276">
        <v>335.78725589993809</v>
      </c>
      <c r="M11" s="276">
        <v>330.61216198374365</v>
      </c>
      <c r="N11" s="276">
        <v>326.62464289456386</v>
      </c>
      <c r="O11" s="276">
        <v>324.67558486475934</v>
      </c>
      <c r="P11" s="276">
        <v>322.11682257196838</v>
      </c>
      <c r="Q11" s="276">
        <v>323.61346755639727</v>
      </c>
      <c r="R11" s="276">
        <v>325.34119556039764</v>
      </c>
      <c r="S11" s="276">
        <v>330.7171137333354</v>
      </c>
      <c r="T11" s="276">
        <v>322.7524794575836</v>
      </c>
      <c r="U11" s="276">
        <v>306.27947776995398</v>
      </c>
      <c r="V11" s="276">
        <v>302.32247410924748</v>
      </c>
      <c r="W11" s="276">
        <v>308.7910313486185</v>
      </c>
      <c r="X11" s="276">
        <v>309.74098997502125</v>
      </c>
      <c r="Y11" s="276">
        <v>316.34793950755704</v>
      </c>
      <c r="Z11" s="276">
        <v>330.14889456750103</v>
      </c>
      <c r="AA11" s="276">
        <v>333.94922989601775</v>
      </c>
      <c r="AB11" s="276">
        <v>332.47881878314837</v>
      </c>
      <c r="AC11" s="276">
        <v>330.76732302039886</v>
      </c>
      <c r="AD11" s="276">
        <v>329.67150761301053</v>
      </c>
      <c r="AE11" s="276">
        <v>331.85693125262299</v>
      </c>
      <c r="AF11" s="276">
        <v>332.04673175303236</v>
      </c>
      <c r="AG11" s="276">
        <v>334.15961957830865</v>
      </c>
      <c r="AH11" s="276">
        <v>331.42460353840113</v>
      </c>
      <c r="AI11" s="276">
        <v>333.44614805895486</v>
      </c>
      <c r="AJ11" s="276">
        <v>336.59010053920758</v>
      </c>
    </row>
    <row r="12" spans="1:36">
      <c r="A12" s="261" t="s">
        <v>350</v>
      </c>
      <c r="B12" s="288" t="s">
        <v>416</v>
      </c>
      <c r="C12" s="278" t="s">
        <v>9</v>
      </c>
      <c r="D12" s="267"/>
      <c r="E12" s="206" t="s">
        <v>350</v>
      </c>
      <c r="F12" s="276">
        <v>16.076682417913673</v>
      </c>
      <c r="G12" s="276">
        <v>15.097067851872492</v>
      </c>
      <c r="H12" s="276">
        <v>14.873856271549341</v>
      </c>
      <c r="I12" s="276">
        <v>14.599686548286126</v>
      </c>
      <c r="J12" s="276">
        <v>14.090603203265042</v>
      </c>
      <c r="K12" s="276">
        <v>13.464697030935969</v>
      </c>
      <c r="L12" s="276">
        <v>12.752190712826767</v>
      </c>
      <c r="M12" s="276">
        <v>12.143386590195146</v>
      </c>
      <c r="N12" s="276">
        <v>11.541501504643934</v>
      </c>
      <c r="O12" s="276">
        <v>10.117407421923588</v>
      </c>
      <c r="P12" s="276">
        <v>9.4803941869755288</v>
      </c>
      <c r="Q12" s="276">
        <v>8.9027436076233872</v>
      </c>
      <c r="R12" s="276">
        <v>8.3962262323700134</v>
      </c>
      <c r="S12" s="276">
        <v>7.1514769483956773</v>
      </c>
      <c r="T12" s="276">
        <v>14.856918440037898</v>
      </c>
      <c r="U12" s="276">
        <v>60.756172842217374</v>
      </c>
      <c r="V12" s="276">
        <v>95.080268689977004</v>
      </c>
      <c r="W12" s="276">
        <v>127.31548665728691</v>
      </c>
      <c r="X12" s="276">
        <v>130.13167392409682</v>
      </c>
      <c r="Y12" s="276">
        <v>54.203550866120118</v>
      </c>
      <c r="Z12" s="276">
        <v>5.7179577652573874</v>
      </c>
      <c r="AA12" s="276">
        <v>0.4530788072281951</v>
      </c>
      <c r="AB12" s="276">
        <v>0.18082200234445139</v>
      </c>
      <c r="AC12" s="276">
        <v>0.15496849295700821</v>
      </c>
      <c r="AD12" s="276">
        <v>0.1540449908557554</v>
      </c>
      <c r="AE12" s="276">
        <v>0.1743464228052245</v>
      </c>
      <c r="AF12" s="276">
        <v>0.24930579894729879</v>
      </c>
      <c r="AG12" s="276">
        <v>2.3570344580153142</v>
      </c>
      <c r="AH12" s="276">
        <v>0.48982095133303849</v>
      </c>
      <c r="AI12" s="276">
        <v>0.30648619253857057</v>
      </c>
      <c r="AJ12" s="276">
        <v>0.24305480391338252</v>
      </c>
    </row>
    <row r="13" spans="1:36">
      <c r="A13" s="261" t="s">
        <v>351</v>
      </c>
      <c r="B13" s="288" t="s">
        <v>33</v>
      </c>
      <c r="C13" s="278" t="s">
        <v>9</v>
      </c>
      <c r="D13" s="267"/>
      <c r="E13" s="206" t="s">
        <v>351</v>
      </c>
      <c r="F13" s="276">
        <v>5.5759268309275818</v>
      </c>
      <c r="G13" s="276">
        <v>4.7301030651921883</v>
      </c>
      <c r="H13" s="276">
        <v>2.4825299377538288</v>
      </c>
      <c r="I13" s="276">
        <v>3.0244136533873469</v>
      </c>
      <c r="J13" s="276">
        <v>5.8323363794130945</v>
      </c>
      <c r="K13" s="276">
        <v>4.2850125721469281</v>
      </c>
      <c r="L13" s="276">
        <v>4.2414130088414828</v>
      </c>
      <c r="M13" s="276">
        <v>2.182440151977814</v>
      </c>
      <c r="N13" s="276">
        <v>2.9270616638003522</v>
      </c>
      <c r="O13" s="276">
        <v>4.1774716974211827</v>
      </c>
      <c r="P13" s="276">
        <v>3.2595885120908701</v>
      </c>
      <c r="Q13" s="276">
        <v>3.5562101879404859</v>
      </c>
      <c r="R13" s="276">
        <v>1.4409001201486364</v>
      </c>
      <c r="S13" s="276">
        <v>4.4529351931924204</v>
      </c>
      <c r="T13" s="276">
        <v>3.8035432516025369</v>
      </c>
      <c r="U13" s="276">
        <v>8.4709132480500013</v>
      </c>
      <c r="V13" s="276">
        <v>10.000080452949735</v>
      </c>
      <c r="W13" s="276">
        <v>9.9998461338992843</v>
      </c>
      <c r="X13" s="276">
        <v>10.000028194636778</v>
      </c>
      <c r="Y13" s="276">
        <v>9.9998480042824074</v>
      </c>
      <c r="Z13" s="276">
        <v>8.21406995309313</v>
      </c>
      <c r="AA13" s="276">
        <v>4.7524919114135127</v>
      </c>
      <c r="AB13" s="276">
        <v>2.390184274678254</v>
      </c>
      <c r="AC13" s="276">
        <v>4.609623398443226</v>
      </c>
      <c r="AD13" s="276">
        <v>4.2034423597583732</v>
      </c>
      <c r="AE13" s="276">
        <v>4.8607463051324054</v>
      </c>
      <c r="AF13" s="276">
        <v>3.6985964955821009</v>
      </c>
      <c r="AG13" s="276">
        <v>4.3497943597839122</v>
      </c>
      <c r="AH13" s="276">
        <v>2.2328550795574471</v>
      </c>
      <c r="AI13" s="276">
        <v>2.7724449573166168</v>
      </c>
      <c r="AJ13" s="276">
        <v>2.822936394887257</v>
      </c>
    </row>
    <row r="14" spans="1:36">
      <c r="A14" s="261" t="s">
        <v>355</v>
      </c>
      <c r="B14" s="288" t="s">
        <v>429</v>
      </c>
      <c r="C14" s="278" t="s">
        <v>9</v>
      </c>
      <c r="D14" s="267"/>
      <c r="E14" s="206" t="s">
        <v>355</v>
      </c>
      <c r="F14" s="276">
        <v>274.82855153513378</v>
      </c>
      <c r="G14" s="276">
        <v>316.51049739503605</v>
      </c>
      <c r="H14" s="276">
        <v>324.81534788671291</v>
      </c>
      <c r="I14" s="276">
        <v>323.96956397793912</v>
      </c>
      <c r="J14" s="276">
        <v>322.12720770252275</v>
      </c>
      <c r="K14" s="276">
        <v>325.39024103691662</v>
      </c>
      <c r="L14" s="276">
        <v>323.8594890377625</v>
      </c>
      <c r="M14" s="276">
        <v>320.90932791116893</v>
      </c>
      <c r="N14" s="276">
        <v>316.56837872632957</v>
      </c>
      <c r="O14" s="276">
        <v>315.07140128963806</v>
      </c>
      <c r="P14" s="276">
        <v>312.77126516917144</v>
      </c>
      <c r="Q14" s="276">
        <v>312.58605325242735</v>
      </c>
      <c r="R14" s="276">
        <v>314.31777938345823</v>
      </c>
      <c r="S14" s="276">
        <v>316.32038594427297</v>
      </c>
      <c r="T14" s="276">
        <v>302.15751253447763</v>
      </c>
      <c r="U14" s="276">
        <v>287.58504309582247</v>
      </c>
      <c r="V14" s="276">
        <v>301.4006323813183</v>
      </c>
      <c r="W14" s="276">
        <v>295.97470948515911</v>
      </c>
      <c r="X14" s="276">
        <v>295.67675625516375</v>
      </c>
      <c r="Y14" s="276">
        <v>308.61498804081953</v>
      </c>
      <c r="Z14" s="276">
        <v>324.41094461685492</v>
      </c>
      <c r="AA14" s="276">
        <v>331.73014748011963</v>
      </c>
      <c r="AB14" s="276">
        <v>332.64328166278045</v>
      </c>
      <c r="AC14" s="276">
        <v>329.75785735100811</v>
      </c>
      <c r="AD14" s="276">
        <v>330.30353320123101</v>
      </c>
      <c r="AE14" s="276">
        <v>325.83511492208726</v>
      </c>
      <c r="AF14" s="276">
        <v>320.31557193039532</v>
      </c>
      <c r="AG14" s="276">
        <v>319.57131399567987</v>
      </c>
      <c r="AH14" s="276">
        <v>320.50144990457312</v>
      </c>
      <c r="AI14" s="276">
        <v>319.84348537879049</v>
      </c>
      <c r="AJ14" s="276">
        <v>322.06535690105977</v>
      </c>
    </row>
    <row r="15" spans="1:36">
      <c r="A15" s="261" t="s">
        <v>356</v>
      </c>
      <c r="B15" s="288" t="s">
        <v>430</v>
      </c>
      <c r="C15" s="278" t="s">
        <v>41</v>
      </c>
      <c r="D15" s="267"/>
      <c r="E15" s="206" t="s">
        <v>356</v>
      </c>
      <c r="F15" s="276">
        <v>14.791534282679306</v>
      </c>
      <c r="G15" s="276">
        <v>14.781141305209852</v>
      </c>
      <c r="H15" s="276">
        <v>14.698187742442059</v>
      </c>
      <c r="I15" s="276">
        <v>14.754153212578512</v>
      </c>
      <c r="J15" s="276">
        <v>14.786065259743916</v>
      </c>
      <c r="K15" s="276">
        <v>14.805844181031743</v>
      </c>
      <c r="L15" s="276">
        <v>14.789061651706533</v>
      </c>
      <c r="M15" s="276">
        <v>14.748245213837984</v>
      </c>
      <c r="N15" s="276">
        <v>14.792282877326022</v>
      </c>
      <c r="O15" s="276">
        <v>14.813198550226064</v>
      </c>
      <c r="P15" s="276">
        <v>14.813351724861061</v>
      </c>
      <c r="Q15" s="276">
        <v>14.813955771151786</v>
      </c>
      <c r="R15" s="276">
        <v>14.769624946759572</v>
      </c>
      <c r="S15" s="276">
        <v>14.72386256169696</v>
      </c>
      <c r="T15" s="276">
        <v>14.648699492251312</v>
      </c>
      <c r="U15" s="276">
        <v>14.80569244568051</v>
      </c>
      <c r="V15" s="276">
        <v>14.776518393232424</v>
      </c>
      <c r="W15" s="276">
        <v>14.768815766319161</v>
      </c>
      <c r="X15" s="276">
        <v>14.763986374856808</v>
      </c>
      <c r="Y15" s="276">
        <v>14.722531214337694</v>
      </c>
      <c r="Z15" s="276">
        <v>14.629461526055779</v>
      </c>
      <c r="AA15" s="276">
        <v>14.604605870950715</v>
      </c>
      <c r="AB15" s="276">
        <v>14.570097430513432</v>
      </c>
      <c r="AC15" s="276">
        <v>14.594383946338793</v>
      </c>
      <c r="AD15" s="276">
        <v>14.599881526095452</v>
      </c>
      <c r="AE15" s="276">
        <v>14.554707875033763</v>
      </c>
      <c r="AF15" s="276">
        <v>14.617501745652586</v>
      </c>
      <c r="AG15" s="276">
        <v>14.619380299008526</v>
      </c>
      <c r="AH15" s="276">
        <v>14.565363482732543</v>
      </c>
      <c r="AI15" s="276">
        <v>14.567157730899384</v>
      </c>
      <c r="AJ15" s="276">
        <v>14.559002694884317</v>
      </c>
    </row>
    <row r="16" spans="1:36">
      <c r="A16" s="261" t="s">
        <v>357</v>
      </c>
      <c r="B16" s="288" t="s">
        <v>431</v>
      </c>
      <c r="C16" s="278" t="s">
        <v>432</v>
      </c>
      <c r="D16" s="267"/>
      <c r="E16" s="206" t="s">
        <v>357</v>
      </c>
      <c r="F16" s="276">
        <v>45.833714720405489</v>
      </c>
      <c r="G16" s="276">
        <v>45.017124105231787</v>
      </c>
      <c r="H16" s="276">
        <v>44.405758965987701</v>
      </c>
      <c r="I16" s="276">
        <v>43.565906176303677</v>
      </c>
      <c r="J16" s="276">
        <v>43.99571643314318</v>
      </c>
      <c r="K16" s="276">
        <v>44.407769175628253</v>
      </c>
      <c r="L16" s="276">
        <v>44.868528695819144</v>
      </c>
      <c r="M16" s="276">
        <v>44.797969774328124</v>
      </c>
      <c r="N16" s="276">
        <v>44.403776003485021</v>
      </c>
      <c r="O16" s="276">
        <v>43.456368254462156</v>
      </c>
      <c r="P16" s="276">
        <v>41.730205396137137</v>
      </c>
      <c r="Q16" s="276">
        <v>41.375324941625436</v>
      </c>
      <c r="R16" s="276">
        <v>42.122632996387942</v>
      </c>
      <c r="S16" s="276">
        <v>42.509301469748799</v>
      </c>
      <c r="T16" s="276">
        <v>33.230639992843599</v>
      </c>
      <c r="U16" s="276">
        <v>31.809339109901355</v>
      </c>
      <c r="V16" s="276">
        <v>31.833472147439462</v>
      </c>
      <c r="W16" s="276">
        <v>31.96392488968857</v>
      </c>
      <c r="X16" s="276">
        <v>32.004293179122008</v>
      </c>
      <c r="Y16" s="276">
        <v>33.326123413111162</v>
      </c>
      <c r="Z16" s="276">
        <v>33.677246530526475</v>
      </c>
      <c r="AA16" s="276">
        <v>33.553581946052653</v>
      </c>
      <c r="AB16" s="276">
        <v>33.610989852005147</v>
      </c>
      <c r="AC16" s="276">
        <v>34.113259811966863</v>
      </c>
      <c r="AD16" s="276">
        <v>34.317561427301506</v>
      </c>
      <c r="AE16" s="276">
        <v>34.49903492778305</v>
      </c>
      <c r="AF16" s="276">
        <v>33.714680259955138</v>
      </c>
      <c r="AG16" s="276">
        <v>33.497320829091237</v>
      </c>
      <c r="AH16" s="276">
        <v>33.053790296315967</v>
      </c>
      <c r="AI16" s="276">
        <v>33.165184638586503</v>
      </c>
      <c r="AJ16" s="276">
        <v>32.992042470332159</v>
      </c>
    </row>
    <row r="17" spans="1:36">
      <c r="A17" s="261" t="s">
        <v>352</v>
      </c>
      <c r="B17" s="288" t="s">
        <v>34</v>
      </c>
      <c r="C17" s="278" t="s">
        <v>9</v>
      </c>
      <c r="D17" s="267"/>
      <c r="E17" s="206" t="s">
        <v>352</v>
      </c>
      <c r="F17" s="276">
        <v>0</v>
      </c>
      <c r="G17" s="276">
        <v>0</v>
      </c>
      <c r="H17" s="276">
        <v>0</v>
      </c>
      <c r="I17" s="276">
        <v>0</v>
      </c>
      <c r="J17" s="276">
        <v>0</v>
      </c>
      <c r="K17" s="276">
        <v>0</v>
      </c>
      <c r="L17" s="276">
        <v>0</v>
      </c>
      <c r="M17" s="276">
        <v>0</v>
      </c>
      <c r="N17" s="276">
        <v>0</v>
      </c>
      <c r="O17" s="276">
        <v>0</v>
      </c>
      <c r="P17" s="276">
        <v>0</v>
      </c>
      <c r="Q17" s="276">
        <v>0</v>
      </c>
      <c r="R17" s="276">
        <v>0</v>
      </c>
      <c r="S17" s="276">
        <v>0</v>
      </c>
      <c r="T17" s="276">
        <v>0</v>
      </c>
      <c r="U17" s="276">
        <v>0</v>
      </c>
      <c r="V17" s="276">
        <v>0</v>
      </c>
      <c r="W17" s="276">
        <v>0</v>
      </c>
      <c r="X17" s="276">
        <v>0</v>
      </c>
      <c r="Y17" s="276">
        <v>0</v>
      </c>
      <c r="Z17" s="276">
        <v>0</v>
      </c>
      <c r="AA17" s="276">
        <v>0</v>
      </c>
      <c r="AB17" s="276">
        <v>0</v>
      </c>
      <c r="AC17" s="276">
        <v>0</v>
      </c>
      <c r="AD17" s="276">
        <v>0</v>
      </c>
      <c r="AE17" s="276">
        <v>0</v>
      </c>
      <c r="AF17" s="276">
        <v>0</v>
      </c>
      <c r="AG17" s="276">
        <v>0</v>
      </c>
      <c r="AH17" s="276">
        <v>0</v>
      </c>
      <c r="AI17" s="276">
        <v>0</v>
      </c>
      <c r="AJ17" s="276">
        <v>0</v>
      </c>
    </row>
    <row r="18" spans="1:36">
      <c r="A18" s="261" t="s">
        <v>353</v>
      </c>
      <c r="B18" s="288" t="s">
        <v>35</v>
      </c>
      <c r="C18" s="278" t="s">
        <v>9</v>
      </c>
      <c r="D18" s="267"/>
      <c r="E18" s="206" t="s">
        <v>353</v>
      </c>
      <c r="F18" s="276">
        <v>4.9699328378312049E-2</v>
      </c>
      <c r="G18" s="276">
        <v>4.8166376208352034E-2</v>
      </c>
      <c r="H18" s="276">
        <v>4.7242370402615773E-2</v>
      </c>
      <c r="I18" s="276">
        <v>4.5487497986152058E-2</v>
      </c>
      <c r="J18" s="276">
        <v>4.5305489027901144E-2</v>
      </c>
      <c r="K18" s="276">
        <v>4.4889121660267393E-2</v>
      </c>
      <c r="L18" s="276">
        <v>4.495034467286288E-2</v>
      </c>
      <c r="M18" s="276">
        <v>4.5003778149126226E-2</v>
      </c>
      <c r="N18" s="276">
        <v>4.3762651803065732E-2</v>
      </c>
      <c r="O18" s="276">
        <v>4.3030375359474536E-2</v>
      </c>
      <c r="P18" s="276">
        <v>4.2337000121879687E-2</v>
      </c>
      <c r="Q18" s="276">
        <v>4.2235413656501332E-2</v>
      </c>
      <c r="R18" s="276">
        <v>4.1236071577224288E-2</v>
      </c>
      <c r="S18" s="276">
        <v>4.0742222653550451E-2</v>
      </c>
      <c r="T18" s="276">
        <v>40.322644041836277</v>
      </c>
      <c r="U18" s="276">
        <v>33.615930983090692</v>
      </c>
      <c r="V18" s="276">
        <v>26.671107696321432</v>
      </c>
      <c r="W18" s="276">
        <v>22.057236103937552</v>
      </c>
      <c r="X18" s="276">
        <v>21.644563070596007</v>
      </c>
      <c r="Y18" s="276">
        <v>34.510562524527273</v>
      </c>
      <c r="Z18" s="276">
        <v>44.511756601967761</v>
      </c>
      <c r="AA18" s="276">
        <v>45.701347292181232</v>
      </c>
      <c r="AB18" s="276">
        <v>45.474301992091263</v>
      </c>
      <c r="AC18" s="276">
        <v>44.04818566754507</v>
      </c>
      <c r="AD18" s="276">
        <v>43.209726283626573</v>
      </c>
      <c r="AE18" s="276">
        <v>42.851712704051067</v>
      </c>
      <c r="AF18" s="276">
        <v>42.074327849534129</v>
      </c>
      <c r="AG18" s="276">
        <v>40.875081224103305</v>
      </c>
      <c r="AH18" s="276">
        <v>40.156986893212171</v>
      </c>
      <c r="AI18" s="276">
        <v>38.976135899861426</v>
      </c>
      <c r="AJ18" s="276">
        <v>38.108896217383979</v>
      </c>
    </row>
    <row r="19" spans="1:36">
      <c r="A19" s="261" t="s">
        <v>428</v>
      </c>
      <c r="B19" s="288" t="s">
        <v>36</v>
      </c>
      <c r="C19" s="278" t="s">
        <v>9</v>
      </c>
      <c r="D19" s="267"/>
      <c r="E19" s="206" t="s">
        <v>428</v>
      </c>
      <c r="F19" s="276">
        <v>50.003629399120143</v>
      </c>
      <c r="G19" s="276">
        <v>54.568472958401316</v>
      </c>
      <c r="H19" s="276">
        <v>57.751508438352523</v>
      </c>
      <c r="I19" s="276">
        <v>58.535966221916929</v>
      </c>
      <c r="J19" s="276">
        <v>55.454158773624435</v>
      </c>
      <c r="K19" s="276">
        <v>51.834799470372317</v>
      </c>
      <c r="L19" s="276">
        <v>51.096089236740859</v>
      </c>
      <c r="M19" s="276">
        <v>51.207506273207059</v>
      </c>
      <c r="N19" s="276">
        <v>50.714457833910956</v>
      </c>
      <c r="O19" s="276">
        <v>50.611380936785103</v>
      </c>
      <c r="P19" s="276">
        <v>50.716607913613906</v>
      </c>
      <c r="Q19" s="276">
        <v>50.7557565348868</v>
      </c>
      <c r="R19" s="276">
        <v>51.755709872571146</v>
      </c>
      <c r="S19" s="276">
        <v>50.198806751463742</v>
      </c>
      <c r="T19" s="276">
        <v>72.608428151638307</v>
      </c>
      <c r="U19" s="276">
        <v>101.36589039336189</v>
      </c>
      <c r="V19" s="276">
        <v>128.16449747050723</v>
      </c>
      <c r="W19" s="276">
        <v>144.64531676199201</v>
      </c>
      <c r="X19" s="276">
        <v>142.54976511577473</v>
      </c>
      <c r="Y19" s="276">
        <v>94.192293931243341</v>
      </c>
      <c r="Z19" s="276">
        <v>56.25484790465773</v>
      </c>
      <c r="AA19" s="276">
        <v>49.780022547653729</v>
      </c>
      <c r="AB19" s="276">
        <v>49.091665064279489</v>
      </c>
      <c r="AC19" s="276">
        <v>50.69665730423003</v>
      </c>
      <c r="AD19" s="276">
        <v>52.619838186245772</v>
      </c>
      <c r="AE19" s="276">
        <v>55.571302829801766</v>
      </c>
      <c r="AF19" s="276">
        <v>52.678047985240546</v>
      </c>
      <c r="AG19" s="276">
        <v>51.329472072134003</v>
      </c>
      <c r="AH19" s="276">
        <v>49.792494169760992</v>
      </c>
      <c r="AI19" s="276">
        <v>51.51508199866403</v>
      </c>
      <c r="AJ19" s="276">
        <v>50.309054648654033</v>
      </c>
    </row>
    <row r="20" spans="1:36">
      <c r="A20" s="261" t="s">
        <v>427</v>
      </c>
      <c r="B20" s="288">
        <v>0</v>
      </c>
      <c r="C20" s="278" t="s">
        <v>9</v>
      </c>
      <c r="D20" s="267"/>
      <c r="E20" s="206" t="s">
        <v>427</v>
      </c>
      <c r="F20" s="276">
        <v>42.514937282128912</v>
      </c>
      <c r="G20" s="276">
        <v>41.895090982461831</v>
      </c>
      <c r="H20" s="276">
        <v>39.920453341656071</v>
      </c>
      <c r="I20" s="276">
        <v>39.451487619723821</v>
      </c>
      <c r="J20" s="276">
        <v>38.589994246184816</v>
      </c>
      <c r="K20" s="276">
        <v>37.028850291046588</v>
      </c>
      <c r="L20" s="276">
        <v>37.033203585685165</v>
      </c>
      <c r="M20" s="276">
        <v>36.924791683563676</v>
      </c>
      <c r="N20" s="276">
        <v>37.57320845426797</v>
      </c>
      <c r="O20" s="276">
        <v>37.692364165724946</v>
      </c>
      <c r="P20" s="276">
        <v>37.571162686593418</v>
      </c>
      <c r="Q20" s="276">
        <v>37.104439028954587</v>
      </c>
      <c r="R20" s="276">
        <v>39.578595212489802</v>
      </c>
      <c r="S20" s="276">
        <v>37.158480828857364</v>
      </c>
      <c r="T20" s="276">
        <v>36.654369372466569</v>
      </c>
      <c r="U20" s="276">
        <v>30.999881169556282</v>
      </c>
      <c r="V20" s="276">
        <v>10.444701157111078</v>
      </c>
      <c r="W20" s="276">
        <v>7.7706707770208379</v>
      </c>
      <c r="X20" s="276">
        <v>2.7240040782721047</v>
      </c>
      <c r="Y20" s="276">
        <v>18.137499843787094</v>
      </c>
      <c r="Z20" s="276">
        <v>24.120857706521647</v>
      </c>
      <c r="AA20" s="276">
        <v>24.665634266201842</v>
      </c>
      <c r="AB20" s="276">
        <v>26.442972361356794</v>
      </c>
      <c r="AC20" s="276">
        <v>27.777391459789623</v>
      </c>
      <c r="AD20" s="276">
        <v>29.457533049188172</v>
      </c>
      <c r="AE20" s="276">
        <v>36.201672456010158</v>
      </c>
      <c r="AF20" s="276">
        <v>39.53563244026909</v>
      </c>
      <c r="AG20" s="276">
        <v>38.241806337327709</v>
      </c>
      <c r="AH20" s="276">
        <v>36.845224596671891</v>
      </c>
      <c r="AI20" s="276">
        <v>38.170471046524618</v>
      </c>
      <c r="AJ20" s="276">
        <v>37.245254679118695</v>
      </c>
    </row>
    <row r="21" spans="1:36">
      <c r="A21" s="261" t="s">
        <v>354</v>
      </c>
      <c r="B21" s="288" t="s">
        <v>325</v>
      </c>
      <c r="C21" s="278" t="s">
        <v>9</v>
      </c>
      <c r="D21" s="267"/>
      <c r="E21" s="206" t="s">
        <v>354</v>
      </c>
      <c r="F21" s="276">
        <v>0</v>
      </c>
      <c r="G21" s="276">
        <v>0</v>
      </c>
      <c r="H21" s="276">
        <v>0</v>
      </c>
      <c r="I21" s="276">
        <v>0</v>
      </c>
      <c r="J21" s="276">
        <v>0</v>
      </c>
      <c r="K21" s="276">
        <v>0</v>
      </c>
      <c r="L21" s="276">
        <v>0</v>
      </c>
      <c r="M21" s="276">
        <v>0</v>
      </c>
      <c r="N21" s="276">
        <v>0.92220036756352985</v>
      </c>
      <c r="O21" s="276">
        <v>0</v>
      </c>
      <c r="P21" s="276">
        <v>0</v>
      </c>
      <c r="Q21" s="276">
        <v>0</v>
      </c>
      <c r="R21" s="276">
        <v>0</v>
      </c>
      <c r="S21" s="276">
        <v>2.070915257817893E-2</v>
      </c>
      <c r="T21" s="276">
        <v>25.502182794463238</v>
      </c>
      <c r="U21" s="276">
        <v>67.978178517886093</v>
      </c>
      <c r="V21" s="276">
        <v>108.60924179476152</v>
      </c>
      <c r="W21" s="276">
        <v>124.34291488170852</v>
      </c>
      <c r="X21" s="276">
        <v>125.1955135286958</v>
      </c>
      <c r="Y21" s="276">
        <v>73.1496796455354</v>
      </c>
      <c r="Z21" s="276">
        <v>36.896744498053984</v>
      </c>
      <c r="AA21" s="276">
        <v>32.99624054027484</v>
      </c>
      <c r="AB21" s="276">
        <v>32.996896406974528</v>
      </c>
      <c r="AC21" s="276">
        <v>33.00000596191051</v>
      </c>
      <c r="AD21" s="276">
        <v>32.998697459824641</v>
      </c>
      <c r="AE21" s="276">
        <v>29.371403884961211</v>
      </c>
      <c r="AF21" s="276">
        <v>23.998979599054731</v>
      </c>
      <c r="AG21" s="276">
        <v>23.996102398650567</v>
      </c>
      <c r="AH21" s="276">
        <v>23.999714026969166</v>
      </c>
      <c r="AI21" s="276">
        <v>23.998939269803877</v>
      </c>
      <c r="AJ21" s="276">
        <v>23.999129661309198</v>
      </c>
    </row>
    <row r="22" spans="1:36">
      <c r="A22" s="261" t="s">
        <v>355</v>
      </c>
      <c r="B22" s="288" t="s">
        <v>429</v>
      </c>
      <c r="C22" s="278" t="s">
        <v>9</v>
      </c>
      <c r="D22" s="267"/>
      <c r="E22" s="206" t="s">
        <v>355</v>
      </c>
      <c r="F22" s="276">
        <v>274.82855153513378</v>
      </c>
      <c r="G22" s="276">
        <v>316.51049739503605</v>
      </c>
      <c r="H22" s="276">
        <v>324.81534788671291</v>
      </c>
      <c r="I22" s="276">
        <v>323.96956397793912</v>
      </c>
      <c r="J22" s="276">
        <v>322.12720770252275</v>
      </c>
      <c r="K22" s="276">
        <v>325.39024103691662</v>
      </c>
      <c r="L22" s="276">
        <v>323.8594890377625</v>
      </c>
      <c r="M22" s="276">
        <v>320.90932791116893</v>
      </c>
      <c r="N22" s="276">
        <v>316.56837872632957</v>
      </c>
      <c r="O22" s="276">
        <v>315.07140128963806</v>
      </c>
      <c r="P22" s="276">
        <v>312.77126516917144</v>
      </c>
      <c r="Q22" s="276">
        <v>312.58605325242735</v>
      </c>
      <c r="R22" s="276">
        <v>314.31777938345823</v>
      </c>
      <c r="S22" s="276">
        <v>316.32038594427297</v>
      </c>
      <c r="T22" s="276">
        <v>302.15751253447763</v>
      </c>
      <c r="U22" s="276">
        <v>287.58504309582247</v>
      </c>
      <c r="V22" s="276">
        <v>301.4006323813183</v>
      </c>
      <c r="W22" s="276">
        <v>295.97470948515911</v>
      </c>
      <c r="X22" s="276">
        <v>295.67675625516375</v>
      </c>
      <c r="Y22" s="276">
        <v>308.61498804081953</v>
      </c>
      <c r="Z22" s="276">
        <v>324.41094461685492</v>
      </c>
      <c r="AA22" s="276">
        <v>331.73014748011963</v>
      </c>
      <c r="AB22" s="276">
        <v>332.64328166278045</v>
      </c>
      <c r="AC22" s="276">
        <v>329.75785735100811</v>
      </c>
      <c r="AD22" s="276">
        <v>330.30353320123101</v>
      </c>
      <c r="AE22" s="276">
        <v>325.83511492208726</v>
      </c>
      <c r="AF22" s="276">
        <v>320.31557193039532</v>
      </c>
      <c r="AG22" s="276">
        <v>319.57131399567987</v>
      </c>
      <c r="AH22" s="276">
        <v>320.50144990457312</v>
      </c>
      <c r="AI22" s="276">
        <v>319.84348537879049</v>
      </c>
      <c r="AJ22" s="276">
        <v>322.06535690105977</v>
      </c>
    </row>
    <row r="23" spans="1:36">
      <c r="A23" s="261" t="s">
        <v>356</v>
      </c>
      <c r="B23" s="288" t="s">
        <v>430</v>
      </c>
      <c r="C23" s="278" t="s">
        <v>41</v>
      </c>
      <c r="D23" s="267"/>
      <c r="E23" s="206" t="s">
        <v>356</v>
      </c>
      <c r="F23" s="276">
        <v>14.791534282679306</v>
      </c>
      <c r="G23" s="276">
        <v>14.781141305209852</v>
      </c>
      <c r="H23" s="276">
        <v>14.698187742442059</v>
      </c>
      <c r="I23" s="276">
        <v>14.754153212578512</v>
      </c>
      <c r="J23" s="276">
        <v>14.786065259743916</v>
      </c>
      <c r="K23" s="276">
        <v>14.805844181031743</v>
      </c>
      <c r="L23" s="276">
        <v>14.789061651706533</v>
      </c>
      <c r="M23" s="276">
        <v>14.748245213837984</v>
      </c>
      <c r="N23" s="276">
        <v>14.792282877326022</v>
      </c>
      <c r="O23" s="276">
        <v>14.813198550226064</v>
      </c>
      <c r="P23" s="276">
        <v>14.813351724861061</v>
      </c>
      <c r="Q23" s="276">
        <v>14.813955771151786</v>
      </c>
      <c r="R23" s="276">
        <v>14.769624946759572</v>
      </c>
      <c r="S23" s="276">
        <v>14.72386256169696</v>
      </c>
      <c r="T23" s="276">
        <v>14.648699492251312</v>
      </c>
      <c r="U23" s="276">
        <v>14.80569244568051</v>
      </c>
      <c r="V23" s="276">
        <v>14.776518393232424</v>
      </c>
      <c r="W23" s="276">
        <v>14.768815766319161</v>
      </c>
      <c r="X23" s="276">
        <v>14.763986374856808</v>
      </c>
      <c r="Y23" s="276">
        <v>14.722531214337694</v>
      </c>
      <c r="Z23" s="276">
        <v>14.629461526055779</v>
      </c>
      <c r="AA23" s="276">
        <v>14.604605870950715</v>
      </c>
      <c r="AB23" s="276">
        <v>14.570097430513432</v>
      </c>
      <c r="AC23" s="276">
        <v>14.594383946338793</v>
      </c>
      <c r="AD23" s="276">
        <v>14.599881526095452</v>
      </c>
      <c r="AE23" s="276">
        <v>14.554707875033763</v>
      </c>
      <c r="AF23" s="276">
        <v>14.617501745652586</v>
      </c>
      <c r="AG23" s="276">
        <v>14.619380299008526</v>
      </c>
      <c r="AH23" s="276">
        <v>14.565363482732543</v>
      </c>
      <c r="AI23" s="276">
        <v>14.567157730899384</v>
      </c>
      <c r="AJ23" s="276">
        <v>14.559002694884317</v>
      </c>
    </row>
    <row r="24" spans="1:36">
      <c r="A24" s="261" t="s">
        <v>357</v>
      </c>
      <c r="B24" s="288" t="s">
        <v>431</v>
      </c>
      <c r="C24" s="278" t="s">
        <v>432</v>
      </c>
      <c r="D24" s="267"/>
      <c r="E24" s="206" t="s">
        <v>357</v>
      </c>
      <c r="F24" s="276">
        <v>45.833714720405489</v>
      </c>
      <c r="G24" s="276">
        <v>45.017124105231787</v>
      </c>
      <c r="H24" s="276">
        <v>44.405758965987701</v>
      </c>
      <c r="I24" s="276">
        <v>43.565906176303677</v>
      </c>
      <c r="J24" s="276">
        <v>43.99571643314318</v>
      </c>
      <c r="K24" s="276">
        <v>44.407769175628253</v>
      </c>
      <c r="L24" s="276">
        <v>44.868528695819144</v>
      </c>
      <c r="M24" s="276">
        <v>44.797969774328124</v>
      </c>
      <c r="N24" s="276">
        <v>44.403776003485021</v>
      </c>
      <c r="O24" s="276">
        <v>43.456368254462156</v>
      </c>
      <c r="P24" s="276">
        <v>41.730205396137137</v>
      </c>
      <c r="Q24" s="276">
        <v>41.375324941625436</v>
      </c>
      <c r="R24" s="276">
        <v>42.122632996387942</v>
      </c>
      <c r="S24" s="276">
        <v>42.509301469748799</v>
      </c>
      <c r="T24" s="276">
        <v>33.230639992843599</v>
      </c>
      <c r="U24" s="276">
        <v>31.809339109901355</v>
      </c>
      <c r="V24" s="276">
        <v>31.833472147439462</v>
      </c>
      <c r="W24" s="276">
        <v>31.96392488968857</v>
      </c>
      <c r="X24" s="276">
        <v>32.004293179122008</v>
      </c>
      <c r="Y24" s="276">
        <v>33.326123413111162</v>
      </c>
      <c r="Z24" s="276">
        <v>33.677246530526475</v>
      </c>
      <c r="AA24" s="276">
        <v>33.553581946052653</v>
      </c>
      <c r="AB24" s="276">
        <v>33.610989852005147</v>
      </c>
      <c r="AC24" s="276">
        <v>34.113259811966863</v>
      </c>
      <c r="AD24" s="276">
        <v>34.317561427301506</v>
      </c>
      <c r="AE24" s="276">
        <v>34.49903492778305</v>
      </c>
      <c r="AF24" s="276">
        <v>33.714680259955138</v>
      </c>
      <c r="AG24" s="276">
        <v>33.497320829091237</v>
      </c>
      <c r="AH24" s="276">
        <v>33.053790296315967</v>
      </c>
      <c r="AI24" s="276">
        <v>33.165184638586503</v>
      </c>
      <c r="AJ24" s="276">
        <v>32.992042470332159</v>
      </c>
    </row>
    <row r="25" spans="1:36">
      <c r="A25" s="261" t="s">
        <v>360</v>
      </c>
      <c r="B25" s="288" t="s">
        <v>44</v>
      </c>
      <c r="C25" s="278" t="s">
        <v>45</v>
      </c>
      <c r="D25" s="267"/>
      <c r="E25" s="206" t="s">
        <v>360</v>
      </c>
      <c r="F25" s="276">
        <v>0</v>
      </c>
      <c r="G25" s="276">
        <v>0</v>
      </c>
      <c r="H25" s="276">
        <v>0</v>
      </c>
      <c r="I25" s="276">
        <v>0</v>
      </c>
      <c r="J25" s="276">
        <v>0</v>
      </c>
      <c r="K25" s="276">
        <v>0</v>
      </c>
      <c r="L25" s="276">
        <v>0</v>
      </c>
      <c r="M25" s="276">
        <v>0</v>
      </c>
      <c r="N25" s="276">
        <v>0</v>
      </c>
      <c r="O25" s="276">
        <v>0</v>
      </c>
      <c r="P25" s="276">
        <v>0</v>
      </c>
      <c r="Q25" s="276">
        <v>0</v>
      </c>
      <c r="R25" s="276">
        <v>0</v>
      </c>
      <c r="S25" s="276">
        <v>0</v>
      </c>
      <c r="T25" s="276">
        <v>0</v>
      </c>
      <c r="U25" s="276">
        <v>0</v>
      </c>
      <c r="V25" s="276">
        <v>0</v>
      </c>
      <c r="W25" s="276">
        <v>0</v>
      </c>
      <c r="X25" s="276">
        <v>0</v>
      </c>
      <c r="Y25" s="276">
        <v>0</v>
      </c>
      <c r="Z25" s="276">
        <v>0</v>
      </c>
      <c r="AA25" s="276">
        <v>0</v>
      </c>
      <c r="AB25" s="276">
        <v>0</v>
      </c>
      <c r="AC25" s="276">
        <v>0</v>
      </c>
      <c r="AD25" s="276">
        <v>0</v>
      </c>
      <c r="AE25" s="276">
        <v>0</v>
      </c>
      <c r="AF25" s="276">
        <v>0</v>
      </c>
      <c r="AG25" s="276">
        <v>0</v>
      </c>
      <c r="AH25" s="276">
        <v>0</v>
      </c>
      <c r="AI25" s="276">
        <v>0</v>
      </c>
      <c r="AJ25" s="276">
        <v>0</v>
      </c>
    </row>
    <row r="26" spans="1:36">
      <c r="A26" s="261" t="s">
        <v>362</v>
      </c>
      <c r="B26" s="288">
        <v>0</v>
      </c>
      <c r="C26" s="278" t="s">
        <v>432</v>
      </c>
      <c r="D26" s="267"/>
      <c r="E26" s="206" t="s">
        <v>362</v>
      </c>
      <c r="F26" s="276">
        <v>35.699533340273646</v>
      </c>
      <c r="G26" s="276">
        <v>34.218016826127695</v>
      </c>
      <c r="H26" s="276">
        <v>33.08319875018293</v>
      </c>
      <c r="I26" s="276">
        <v>32.02184371493037</v>
      </c>
      <c r="J26" s="276">
        <v>32.210174410865839</v>
      </c>
      <c r="K26" s="276">
        <v>32.276262541877266</v>
      </c>
      <c r="L26" s="276">
        <v>32.325022880227621</v>
      </c>
      <c r="M26" s="276">
        <v>32.860623197549955</v>
      </c>
      <c r="N26" s="276">
        <v>32.386852165057334</v>
      </c>
      <c r="O26" s="276">
        <v>32.514521979758982</v>
      </c>
      <c r="P26" s="276">
        <v>32.084796364145987</v>
      </c>
      <c r="Q26" s="276">
        <v>31.769090745647521</v>
      </c>
      <c r="R26" s="276">
        <v>31.277299381132536</v>
      </c>
      <c r="S26" s="276">
        <v>31.105049505044342</v>
      </c>
      <c r="T26" s="276">
        <v>30.415613602550998</v>
      </c>
      <c r="U26" s="276">
        <v>29.472775469729154</v>
      </c>
      <c r="V26" s="276">
        <v>28.8545023777422</v>
      </c>
      <c r="W26" s="276">
        <v>30.346150582210182</v>
      </c>
      <c r="X26" s="276">
        <v>31.216799055598063</v>
      </c>
      <c r="Y26" s="276">
        <v>32.893785762588372</v>
      </c>
      <c r="Z26" s="276">
        <v>33.499515471389579</v>
      </c>
      <c r="AA26" s="276">
        <v>33.575397095080156</v>
      </c>
      <c r="AB26" s="276">
        <v>33.683300757878911</v>
      </c>
      <c r="AC26" s="276">
        <v>33.89660854142236</v>
      </c>
      <c r="AD26" s="276">
        <v>34.08165280318179</v>
      </c>
      <c r="AE26" s="276">
        <v>34.137107039072994</v>
      </c>
      <c r="AF26" s="276">
        <v>33.530558177816332</v>
      </c>
      <c r="AG26" s="276">
        <v>33.408085320665379</v>
      </c>
      <c r="AH26" s="276">
        <v>33.053017150265653</v>
      </c>
      <c r="AI26" s="276">
        <v>33.442721680406251</v>
      </c>
      <c r="AJ26" s="276">
        <v>33.505228238662873</v>
      </c>
    </row>
    <row r="27" spans="1:36">
      <c r="A27" s="261" t="s">
        <v>361</v>
      </c>
      <c r="B27" s="288">
        <v>0</v>
      </c>
      <c r="C27" s="278" t="s">
        <v>46</v>
      </c>
      <c r="D27" s="267"/>
      <c r="E27" s="206" t="s">
        <v>361</v>
      </c>
      <c r="F27" s="276">
        <v>14.922634242755052</v>
      </c>
      <c r="G27" s="276">
        <v>14.961402860117721</v>
      </c>
      <c r="H27" s="276">
        <v>14.889736943081173</v>
      </c>
      <c r="I27" s="276">
        <v>14.944577828866896</v>
      </c>
      <c r="J27" s="276">
        <v>14.974479792257448</v>
      </c>
      <c r="K27" s="276">
        <v>14.998137737849046</v>
      </c>
      <c r="L27" s="276">
        <v>14.979302333300252</v>
      </c>
      <c r="M27" s="276">
        <v>14.934790436564437</v>
      </c>
      <c r="N27" s="276">
        <v>14.973089902903405</v>
      </c>
      <c r="O27" s="276">
        <v>14.991307224965707</v>
      </c>
      <c r="P27" s="276">
        <v>14.987798576220262</v>
      </c>
      <c r="Q27" s="276">
        <v>14.988482118571898</v>
      </c>
      <c r="R27" s="276">
        <v>14.946539190590958</v>
      </c>
      <c r="S27" s="276">
        <v>14.903167463669535</v>
      </c>
      <c r="T27" s="276">
        <v>14.838598165150827</v>
      </c>
      <c r="U27" s="276">
        <v>14.960736112046959</v>
      </c>
      <c r="V27" s="276">
        <v>14.938816545621529</v>
      </c>
      <c r="W27" s="276">
        <v>14.919280768541627</v>
      </c>
      <c r="X27" s="276">
        <v>14.913743632357017</v>
      </c>
      <c r="Y27" s="276">
        <v>14.907363449341474</v>
      </c>
      <c r="Z27" s="276">
        <v>14.853332195637023</v>
      </c>
      <c r="AA27" s="276">
        <v>14.84186919989949</v>
      </c>
      <c r="AB27" s="276">
        <v>14.809299236932981</v>
      </c>
      <c r="AC27" s="276">
        <v>14.828712595740669</v>
      </c>
      <c r="AD27" s="276">
        <v>14.834825701212774</v>
      </c>
      <c r="AE27" s="276">
        <v>14.783986917334509</v>
      </c>
      <c r="AF27" s="276">
        <v>14.839398956404684</v>
      </c>
      <c r="AG27" s="276">
        <v>14.839870115129818</v>
      </c>
      <c r="AH27" s="276">
        <v>14.788295731656975</v>
      </c>
      <c r="AI27" s="276">
        <v>14.788884364549284</v>
      </c>
      <c r="AJ27" s="276">
        <v>14.783749353545215</v>
      </c>
    </row>
    <row r="28" spans="1:36">
      <c r="A28" s="261" t="s">
        <v>363</v>
      </c>
      <c r="B28" s="288" t="s">
        <v>48</v>
      </c>
      <c r="C28" s="278" t="s">
        <v>9</v>
      </c>
      <c r="D28" s="267"/>
      <c r="E28" s="206" t="s">
        <v>363</v>
      </c>
      <c r="F28" s="276">
        <v>3.0871785795619688</v>
      </c>
      <c r="G28" s="276">
        <v>2.71464866951615</v>
      </c>
      <c r="H28" s="276">
        <v>3.6532281943229599</v>
      </c>
      <c r="I28" s="276">
        <v>2.3064331669264453</v>
      </c>
      <c r="J28" s="276">
        <v>4.076557494385928</v>
      </c>
      <c r="K28" s="276">
        <v>4.4982553620323769</v>
      </c>
      <c r="L28" s="276">
        <v>3.0833336426965392</v>
      </c>
      <c r="M28" s="276">
        <v>4.7681144920232406</v>
      </c>
      <c r="N28" s="276">
        <v>4.9386089706164666</v>
      </c>
      <c r="O28" s="276">
        <v>3.2229352735404011</v>
      </c>
      <c r="P28" s="276">
        <v>3.9762938422976197</v>
      </c>
      <c r="Q28" s="276">
        <v>3.6808536881694711</v>
      </c>
      <c r="R28" s="276">
        <v>5.223049742975534</v>
      </c>
      <c r="S28" s="276">
        <v>5.3124402153984578</v>
      </c>
      <c r="T28" s="276">
        <v>3.8013143323995973</v>
      </c>
      <c r="U28" s="276">
        <v>5.1770699258131403</v>
      </c>
      <c r="V28" s="276">
        <v>4.8760733070308921</v>
      </c>
      <c r="W28" s="276">
        <v>3.4629964376632354</v>
      </c>
      <c r="X28" s="276">
        <v>3.3564982408986119</v>
      </c>
      <c r="Y28" s="276">
        <v>3.6666255847995566</v>
      </c>
      <c r="Z28" s="276">
        <v>5.6031458892268891</v>
      </c>
      <c r="AA28" s="276">
        <v>5.4325661971875032</v>
      </c>
      <c r="AB28" s="276">
        <v>3.5467049776858728</v>
      </c>
      <c r="AC28" s="276">
        <v>2.4319088759683023</v>
      </c>
      <c r="AD28" s="276">
        <v>4.5649790627802291</v>
      </c>
      <c r="AE28" s="276">
        <v>5.3802403261998704</v>
      </c>
      <c r="AF28" s="276">
        <v>3.8096495556908501</v>
      </c>
      <c r="AG28" s="276">
        <v>5.5141856067292325</v>
      </c>
      <c r="AH28" s="276">
        <v>6.0042393767336355</v>
      </c>
      <c r="AI28" s="276">
        <v>5.3021926547208382</v>
      </c>
      <c r="AJ28" s="276">
        <v>5.9448976705726384</v>
      </c>
    </row>
    <row r="29" spans="1:36">
      <c r="A29" s="261" t="s">
        <v>364</v>
      </c>
      <c r="B29" s="288" t="s">
        <v>406</v>
      </c>
      <c r="C29" s="278" t="s">
        <v>9</v>
      </c>
      <c r="D29" s="267"/>
      <c r="E29" s="206" t="s">
        <v>364</v>
      </c>
      <c r="F29" s="276">
        <v>110.22495366358461</v>
      </c>
      <c r="G29" s="276">
        <v>116.29640211233199</v>
      </c>
      <c r="H29" s="276">
        <v>122.74262421101409</v>
      </c>
      <c r="I29" s="276">
        <v>116.57718192854553</v>
      </c>
      <c r="J29" s="276">
        <v>122.01671748265221</v>
      </c>
      <c r="K29" s="276">
        <v>109.7796820943927</v>
      </c>
      <c r="L29" s="276">
        <v>103.48487387964097</v>
      </c>
      <c r="M29" s="276">
        <v>109.85216467593109</v>
      </c>
      <c r="N29" s="276">
        <v>111.59764894778063</v>
      </c>
      <c r="O29" s="276">
        <v>104.71735928535738</v>
      </c>
      <c r="P29" s="276">
        <v>115.70892919418773</v>
      </c>
      <c r="Q29" s="276">
        <v>124.32577619278156</v>
      </c>
      <c r="R29" s="276">
        <v>107.23533844505762</v>
      </c>
      <c r="S29" s="276">
        <v>101.49680382236325</v>
      </c>
      <c r="T29" s="276">
        <v>113.27158394263078</v>
      </c>
      <c r="U29" s="276">
        <v>126.32770239369124</v>
      </c>
      <c r="V29" s="276">
        <v>101.1502818652237</v>
      </c>
      <c r="W29" s="276">
        <v>87.6326042879803</v>
      </c>
      <c r="X29" s="276">
        <v>108.27424325425999</v>
      </c>
      <c r="Y29" s="276">
        <v>113.14295303974721</v>
      </c>
      <c r="Z29" s="276">
        <v>120.09941662911464</v>
      </c>
      <c r="AA29" s="276">
        <v>118.15901470796973</v>
      </c>
      <c r="AB29" s="276">
        <v>120.3054462058831</v>
      </c>
      <c r="AC29" s="276">
        <v>120.93408470040436</v>
      </c>
      <c r="AD29" s="276">
        <v>119.60411008389485</v>
      </c>
      <c r="AE29" s="276">
        <v>114.44016908823436</v>
      </c>
      <c r="AF29" s="276">
        <v>120.28161935405953</v>
      </c>
      <c r="AG29" s="276">
        <v>127.40300032337402</v>
      </c>
      <c r="AH29" s="276">
        <v>128.138098092185</v>
      </c>
      <c r="AI29" s="276">
        <v>125.25052366972149</v>
      </c>
      <c r="AJ29" s="276">
        <v>132.71256110729993</v>
      </c>
    </row>
    <row r="30" spans="1:36">
      <c r="A30" s="261" t="s">
        <v>365</v>
      </c>
      <c r="B30" s="288" t="s">
        <v>52</v>
      </c>
      <c r="C30" s="278" t="s">
        <v>9</v>
      </c>
      <c r="D30" s="267"/>
      <c r="E30" s="206" t="s">
        <v>365</v>
      </c>
      <c r="F30" s="276">
        <v>24.477500712409096</v>
      </c>
      <c r="G30" s="276">
        <v>33.983244025790931</v>
      </c>
      <c r="H30" s="276">
        <v>36.107213465439159</v>
      </c>
      <c r="I30" s="276">
        <v>37.164720676097446</v>
      </c>
      <c r="J30" s="276">
        <v>37.631566841153884</v>
      </c>
      <c r="K30" s="276">
        <v>40.74553110011184</v>
      </c>
      <c r="L30" s="276">
        <v>40.316619684153096</v>
      </c>
      <c r="M30" s="276">
        <v>37.142195455269331</v>
      </c>
      <c r="N30" s="276">
        <v>32.496637041030731</v>
      </c>
      <c r="O30" s="276">
        <v>32.236323096829331</v>
      </c>
      <c r="P30" s="276">
        <v>29.35778860005848</v>
      </c>
      <c r="Q30" s="276">
        <v>28.09409555449496</v>
      </c>
      <c r="R30" s="276">
        <v>26.632762818652065</v>
      </c>
      <c r="S30" s="276">
        <v>29.980252355513446</v>
      </c>
      <c r="T30" s="276">
        <v>24.741270691848271</v>
      </c>
      <c r="U30" s="276">
        <v>32.340708773535859</v>
      </c>
      <c r="V30" s="276">
        <v>65.376472914594046</v>
      </c>
      <c r="W30" s="276">
        <v>66.503892638060933</v>
      </c>
      <c r="X30" s="276">
        <v>71.130356840246947</v>
      </c>
      <c r="Y30" s="276">
        <v>56.752043247334193</v>
      </c>
      <c r="Z30" s="276">
        <v>49.591735458914954</v>
      </c>
      <c r="AA30" s="276">
        <v>52.567635435364778</v>
      </c>
      <c r="AB30" s="276">
        <v>52.677269353787644</v>
      </c>
      <c r="AC30" s="276">
        <v>51.182140476278548</v>
      </c>
      <c r="AD30" s="276">
        <v>52.08728437050523</v>
      </c>
      <c r="AE30" s="276">
        <v>44.730946361187911</v>
      </c>
      <c r="AF30" s="276">
        <v>38.731953722215891</v>
      </c>
      <c r="AG30" s="276">
        <v>38.948851513426803</v>
      </c>
      <c r="AH30" s="276">
        <v>39.592445660058011</v>
      </c>
      <c r="AI30" s="276">
        <v>37.661914913856862</v>
      </c>
      <c r="AJ30" s="276">
        <v>39.659144817065638</v>
      </c>
    </row>
    <row r="31" spans="1:36">
      <c r="A31" s="261" t="s">
        <v>366</v>
      </c>
      <c r="B31" s="288" t="s">
        <v>54</v>
      </c>
      <c r="C31" s="278" t="s">
        <v>45</v>
      </c>
      <c r="D31" s="267"/>
      <c r="E31" s="206" t="s">
        <v>366</v>
      </c>
      <c r="F31" s="276">
        <v>24821.648272001585</v>
      </c>
      <c r="G31" s="276">
        <v>28786.419802355646</v>
      </c>
      <c r="H31" s="276">
        <v>30135.142238979675</v>
      </c>
      <c r="I31" s="276">
        <v>29695.881975565651</v>
      </c>
      <c r="J31" s="276">
        <v>30106.10532008181</v>
      </c>
      <c r="K31" s="276">
        <v>29652.103570232077</v>
      </c>
      <c r="L31" s="276">
        <v>28896.148915372716</v>
      </c>
      <c r="M31" s="276">
        <v>28592.455342415771</v>
      </c>
      <c r="N31" s="276">
        <v>27476.735462374305</v>
      </c>
      <c r="O31" s="276">
        <v>26490.609012312812</v>
      </c>
      <c r="P31" s="276">
        <v>27179.611520078826</v>
      </c>
      <c r="Q31" s="276">
        <v>27922.320866853672</v>
      </c>
      <c r="R31" s="276">
        <v>25221.500999294254</v>
      </c>
      <c r="S31" s="276">
        <v>25518.395886534181</v>
      </c>
      <c r="T31" s="276">
        <v>25565.752398007033</v>
      </c>
      <c r="U31" s="276">
        <v>29566.340197711903</v>
      </c>
      <c r="V31" s="276">
        <v>37084.687179358691</v>
      </c>
      <c r="W31" s="276">
        <v>35882.165146766798</v>
      </c>
      <c r="X31" s="276">
        <v>39787.871147612655</v>
      </c>
      <c r="Y31" s="276">
        <v>35808.777743694867</v>
      </c>
      <c r="Z31" s="276">
        <v>34506.198833106551</v>
      </c>
      <c r="AA31" s="276">
        <v>35198.428783817122</v>
      </c>
      <c r="AB31" s="276">
        <v>35595.842339191528</v>
      </c>
      <c r="AC31" s="276">
        <v>35091.332265103185</v>
      </c>
      <c r="AD31" s="276">
        <v>35063.166439094057</v>
      </c>
      <c r="AE31" s="276">
        <v>32154.115892091224</v>
      </c>
      <c r="AF31" s="276">
        <v>31066.67737845219</v>
      </c>
      <c r="AG31" s="276">
        <v>32209.792310582681</v>
      </c>
      <c r="AH31" s="276">
        <v>32590.045945105634</v>
      </c>
      <c r="AI31" s="276">
        <v>31520.243132175619</v>
      </c>
      <c r="AJ31" s="276">
        <v>33290.117499945402</v>
      </c>
    </row>
    <row r="32" spans="1:36">
      <c r="A32" s="261" t="s">
        <v>367</v>
      </c>
      <c r="B32" s="288" t="s">
        <v>55</v>
      </c>
      <c r="C32" s="278" t="s">
        <v>45</v>
      </c>
      <c r="D32" s="267"/>
      <c r="E32" s="206" t="s">
        <v>367</v>
      </c>
      <c r="F32" s="276">
        <v>4285.6783627754085</v>
      </c>
      <c r="G32" s="276">
        <v>5028.6919690782861</v>
      </c>
      <c r="H32" s="276">
        <v>5042.1981168464927</v>
      </c>
      <c r="I32" s="276">
        <v>4953.8759906511987</v>
      </c>
      <c r="J32" s="276">
        <v>5149.5744272560905</v>
      </c>
      <c r="K32" s="276">
        <v>4129.7023907346538</v>
      </c>
      <c r="L32" s="276">
        <v>3857.6451405416519</v>
      </c>
      <c r="M32" s="276">
        <v>4032.531640245184</v>
      </c>
      <c r="N32" s="276">
        <v>3879.2520645413674</v>
      </c>
      <c r="O32" s="276">
        <v>3608.1028706321486</v>
      </c>
      <c r="P32" s="276">
        <v>4019.4915045653402</v>
      </c>
      <c r="Q32" s="276">
        <v>4358.4766765780269</v>
      </c>
      <c r="R32" s="276">
        <v>3043.4933560878171</v>
      </c>
      <c r="S32" s="276">
        <v>2988.4809031126565</v>
      </c>
      <c r="T32" s="276">
        <v>3343.9569045884832</v>
      </c>
      <c r="U32" s="276">
        <v>4493.3132462217318</v>
      </c>
      <c r="V32" s="276">
        <v>5596.0269065701923</v>
      </c>
      <c r="W32" s="276">
        <v>5420.7370938069243</v>
      </c>
      <c r="X32" s="276">
        <v>5536.2503182542259</v>
      </c>
      <c r="Y32" s="276">
        <v>5208.7093169724067</v>
      </c>
      <c r="Z32" s="276">
        <v>5046.1599703983666</v>
      </c>
      <c r="AA32" s="276">
        <v>5122.1943420331963</v>
      </c>
      <c r="AB32" s="276">
        <v>5195.8352246091135</v>
      </c>
      <c r="AC32" s="276">
        <v>5158.5778627088739</v>
      </c>
      <c r="AD32" s="276">
        <v>5157.0843116332289</v>
      </c>
      <c r="AE32" s="276">
        <v>5003.7884152739916</v>
      </c>
      <c r="AF32" s="276">
        <v>4965.169829679885</v>
      </c>
      <c r="AG32" s="276">
        <v>5164.8143058177739</v>
      </c>
      <c r="AH32" s="276">
        <v>5194.8340140065939</v>
      </c>
      <c r="AI32" s="276">
        <v>5135.6710447092919</v>
      </c>
      <c r="AJ32" s="276">
        <v>5234.0544360280192</v>
      </c>
    </row>
    <row r="33" spans="1:36">
      <c r="A33" s="261" t="s">
        <v>368</v>
      </c>
      <c r="B33" s="288">
        <v>0</v>
      </c>
      <c r="C33" s="278" t="s">
        <v>45</v>
      </c>
      <c r="D33" s="267"/>
      <c r="E33" s="206" t="s">
        <v>368</v>
      </c>
      <c r="F33" s="276">
        <v>4276.2712917689014</v>
      </c>
      <c r="G33" s="276">
        <v>5019.5818263574211</v>
      </c>
      <c r="H33" s="276">
        <v>5033.490096446475</v>
      </c>
      <c r="I33" s="276">
        <v>4944.7210685256714</v>
      </c>
      <c r="J33" s="276">
        <v>5140.0735932567541</v>
      </c>
      <c r="K33" s="276">
        <v>4119.7339960971658</v>
      </c>
      <c r="L33" s="276">
        <v>3847.2568300078615</v>
      </c>
      <c r="M33" s="276">
        <v>4022.6475556192513</v>
      </c>
      <c r="N33" s="276">
        <v>3868.9917892390986</v>
      </c>
      <c r="O33" s="276">
        <v>3597.6639405856263</v>
      </c>
      <c r="P33" s="276">
        <v>4009.6531414387518</v>
      </c>
      <c r="Q33" s="276">
        <v>4349.0286542152207</v>
      </c>
      <c r="R33" s="276">
        <v>3032.2901763967393</v>
      </c>
      <c r="S33" s="276">
        <v>2977.3840084370263</v>
      </c>
      <c r="T33" s="276">
        <v>3332.8176378104386</v>
      </c>
      <c r="U33" s="276">
        <v>4483.8372252301642</v>
      </c>
      <c r="V33" s="276">
        <v>5586.7676125281114</v>
      </c>
      <c r="W33" s="276">
        <v>5411.5402895295947</v>
      </c>
      <c r="X33" s="276">
        <v>5526.0116918245894</v>
      </c>
      <c r="Y33" s="276">
        <v>5198.6593288285358</v>
      </c>
      <c r="Z33" s="276">
        <v>5036.0342399890524</v>
      </c>
      <c r="AA33" s="276">
        <v>5112.5100797197219</v>
      </c>
      <c r="AB33" s="276">
        <v>5185.6322096815738</v>
      </c>
      <c r="AC33" s="276">
        <v>5148.3285874199164</v>
      </c>
      <c r="AD33" s="276">
        <v>5147.0867216526913</v>
      </c>
      <c r="AE33" s="276">
        <v>4994.2496221017964</v>
      </c>
      <c r="AF33" s="276">
        <v>4955.3887521175657</v>
      </c>
      <c r="AG33" s="276">
        <v>5155.6111224412307</v>
      </c>
      <c r="AH33" s="276">
        <v>5184.9065346962934</v>
      </c>
      <c r="AI33" s="276">
        <v>5125.8335506726035</v>
      </c>
      <c r="AJ33" s="276">
        <v>5224.4453182136867</v>
      </c>
    </row>
    <row r="34" spans="1:36">
      <c r="A34" s="261" t="s">
        <v>369</v>
      </c>
      <c r="B34" s="288" t="s">
        <v>56</v>
      </c>
      <c r="C34" s="278" t="s">
        <v>45</v>
      </c>
      <c r="D34" s="267"/>
      <c r="E34" s="206" t="s">
        <v>369</v>
      </c>
      <c r="F34" s="276">
        <v>4280.8488642959255</v>
      </c>
      <c r="G34" s="276">
        <v>5024.1801575809268</v>
      </c>
      <c r="H34" s="276">
        <v>5037.7401950847952</v>
      </c>
      <c r="I34" s="276">
        <v>4949.2902133413872</v>
      </c>
      <c r="J34" s="276">
        <v>5144.80535602493</v>
      </c>
      <c r="K34" s="276">
        <v>4124.724987210262</v>
      </c>
      <c r="L34" s="276">
        <v>3852.4412160945672</v>
      </c>
      <c r="M34" s="276">
        <v>4027.5091528650346</v>
      </c>
      <c r="N34" s="276">
        <v>3874.137039118837</v>
      </c>
      <c r="O34" s="276">
        <v>3602.9721590611889</v>
      </c>
      <c r="P34" s="276">
        <v>4014.5364327575694</v>
      </c>
      <c r="Q34" s="276">
        <v>4353.7892071276901</v>
      </c>
      <c r="R34" s="276">
        <v>3037.8902868573869</v>
      </c>
      <c r="S34" s="276">
        <v>2982.9554875132312</v>
      </c>
      <c r="T34" s="276">
        <v>3338.2596071667413</v>
      </c>
      <c r="U34" s="276">
        <v>4488.3215237824334</v>
      </c>
      <c r="V34" s="276">
        <v>5591.3378142280044</v>
      </c>
      <c r="W34" s="276">
        <v>5415.9549953482619</v>
      </c>
      <c r="X34" s="276">
        <v>5531.1233276947205</v>
      </c>
      <c r="Y34" s="276">
        <v>5203.7500845540217</v>
      </c>
      <c r="Z34" s="276">
        <v>5041.2108107898639</v>
      </c>
      <c r="AA34" s="276">
        <v>5117.4293805095776</v>
      </c>
      <c r="AB34" s="276">
        <v>5190.6880366865653</v>
      </c>
      <c r="AC34" s="276">
        <v>5153.5184660492641</v>
      </c>
      <c r="AD34" s="276">
        <v>5151.995377598254</v>
      </c>
      <c r="AE34" s="276">
        <v>4999.0630400322489</v>
      </c>
      <c r="AF34" s="276">
        <v>4960.3907902376577</v>
      </c>
      <c r="AG34" s="276">
        <v>5160.0698013524752</v>
      </c>
      <c r="AH34" s="276">
        <v>5189.7803223298679</v>
      </c>
      <c r="AI34" s="276">
        <v>5130.7587557951983</v>
      </c>
      <c r="AJ34" s="276">
        <v>5229.0934789354142</v>
      </c>
    </row>
    <row r="35" spans="1:36">
      <c r="A35" s="261" t="s">
        <v>370</v>
      </c>
      <c r="B35" s="288" t="s">
        <v>57</v>
      </c>
      <c r="C35" s="278" t="s">
        <v>46</v>
      </c>
      <c r="D35" s="267"/>
      <c r="E35" s="206" t="s">
        <v>370</v>
      </c>
      <c r="F35" s="276">
        <v>33.323314516914863</v>
      </c>
      <c r="G35" s="276">
        <v>33.005303633737498</v>
      </c>
      <c r="H35" s="276">
        <v>32.223748108405189</v>
      </c>
      <c r="I35" s="276">
        <v>31.803625151735613</v>
      </c>
      <c r="J35" s="276">
        <v>32.590492094046994</v>
      </c>
      <c r="K35" s="276">
        <v>32.997533001186902</v>
      </c>
      <c r="L35" s="276">
        <v>32.844153180574068</v>
      </c>
      <c r="M35" s="276">
        <v>32.800427970331789</v>
      </c>
      <c r="N35" s="276">
        <v>32.799304591981226</v>
      </c>
      <c r="O35" s="276">
        <v>32.799931354138849</v>
      </c>
      <c r="P35" s="276">
        <v>32.800973587708945</v>
      </c>
      <c r="Q35" s="276">
        <v>32.799968563240213</v>
      </c>
      <c r="R35" s="276">
        <v>32.797633152152351</v>
      </c>
      <c r="S35" s="276">
        <v>32.781340999047828</v>
      </c>
      <c r="T35" s="276">
        <v>32.984185254427409</v>
      </c>
      <c r="U35" s="276">
        <v>33.688829000291896</v>
      </c>
      <c r="V35" s="276">
        <v>33.135061650420781</v>
      </c>
      <c r="W35" s="276">
        <v>31.815974236497166</v>
      </c>
      <c r="X35" s="276">
        <v>34.578806381758312</v>
      </c>
      <c r="Y35" s="276">
        <v>34.634783833021238</v>
      </c>
      <c r="Z35" s="276">
        <v>34.57245952601653</v>
      </c>
      <c r="AA35" s="276">
        <v>34.601880515433969</v>
      </c>
      <c r="AB35" s="276">
        <v>34.58291550594204</v>
      </c>
      <c r="AC35" s="276">
        <v>34.583143217510425</v>
      </c>
      <c r="AD35" s="276">
        <v>34.540716044972697</v>
      </c>
      <c r="AE35" s="276">
        <v>33.154172037242219</v>
      </c>
      <c r="AF35" s="276">
        <v>33.183830991771629</v>
      </c>
      <c r="AG35" s="276">
        <v>33.801671849593632</v>
      </c>
      <c r="AH35" s="276">
        <v>33.980107623728543</v>
      </c>
      <c r="AI35" s="276">
        <v>33.362762714059087</v>
      </c>
      <c r="AJ35" s="276">
        <v>34.457049022536282</v>
      </c>
    </row>
    <row r="36" spans="1:36">
      <c r="A36" s="261" t="s">
        <v>371</v>
      </c>
      <c r="B36" s="288" t="s">
        <v>58</v>
      </c>
      <c r="C36" s="278" t="s">
        <v>46</v>
      </c>
      <c r="D36" s="267"/>
      <c r="E36" s="206" t="s">
        <v>371</v>
      </c>
      <c r="F36" s="276">
        <v>33.749768622909905</v>
      </c>
      <c r="G36" s="276">
        <v>33.532567194994058</v>
      </c>
      <c r="H36" s="276">
        <v>32.774761928439162</v>
      </c>
      <c r="I36" s="276">
        <v>32.338810580873044</v>
      </c>
      <c r="J36" s="276">
        <v>33.154824957621251</v>
      </c>
      <c r="K36" s="276">
        <v>33.465845327431815</v>
      </c>
      <c r="L36" s="276">
        <v>33.278706861298289</v>
      </c>
      <c r="M36" s="276">
        <v>33.250927498939056</v>
      </c>
      <c r="N36" s="276">
        <v>33.223528835409539</v>
      </c>
      <c r="O36" s="276">
        <v>33.188207166590047</v>
      </c>
      <c r="P36" s="276">
        <v>33.232005799858676</v>
      </c>
      <c r="Q36" s="276">
        <v>33.273030315433004</v>
      </c>
      <c r="R36" s="276">
        <v>33.128569207469056</v>
      </c>
      <c r="S36" s="276">
        <v>33.108984085455894</v>
      </c>
      <c r="T36" s="276">
        <v>33.342194030669937</v>
      </c>
      <c r="U36" s="276">
        <v>34.192923774049099</v>
      </c>
      <c r="V36" s="276">
        <v>33.803751931724008</v>
      </c>
      <c r="W36" s="276">
        <v>32.422047789047419</v>
      </c>
      <c r="X36" s="276">
        <v>35.263333779949789</v>
      </c>
      <c r="Y36" s="276">
        <v>35.252031648893841</v>
      </c>
      <c r="Z36" s="276">
        <v>35.176696278811917</v>
      </c>
      <c r="AA36" s="276">
        <v>35.219348695356267</v>
      </c>
      <c r="AB36" s="276">
        <v>35.209895828921589</v>
      </c>
      <c r="AC36" s="276">
        <v>35.201866669540038</v>
      </c>
      <c r="AD36" s="276">
        <v>35.158866459760858</v>
      </c>
      <c r="AE36" s="276">
        <v>33.71859568006596</v>
      </c>
      <c r="AF36" s="276">
        <v>33.735408862028862</v>
      </c>
      <c r="AG36" s="276">
        <v>34.392021657020905</v>
      </c>
      <c r="AH36" s="276">
        <v>34.576942574218371</v>
      </c>
      <c r="AI36" s="276">
        <v>33.937629164401486</v>
      </c>
      <c r="AJ36" s="276">
        <v>35.067802509461814</v>
      </c>
    </row>
    <row r="37" spans="1:36">
      <c r="A37" s="261" t="s">
        <v>372</v>
      </c>
      <c r="B37" s="288" t="s">
        <v>64</v>
      </c>
      <c r="C37" s="278" t="s">
        <v>9</v>
      </c>
      <c r="D37" s="267"/>
      <c r="E37" s="206" t="s">
        <v>372</v>
      </c>
      <c r="F37" s="276">
        <v>3.4997912354832872</v>
      </c>
      <c r="G37" s="276">
        <v>3.4996422141924572</v>
      </c>
      <c r="H37" s="276">
        <v>3.4998225140911918</v>
      </c>
      <c r="I37" s="276">
        <v>3.5001771879891748</v>
      </c>
      <c r="J37" s="276">
        <v>3.5000370019679874</v>
      </c>
      <c r="K37" s="276">
        <v>3.4999756267581028</v>
      </c>
      <c r="L37" s="276">
        <v>3.499856332688553</v>
      </c>
      <c r="M37" s="276">
        <v>3.4997384309883084</v>
      </c>
      <c r="N37" s="276">
        <v>3.4999436796534367</v>
      </c>
      <c r="O37" s="276">
        <v>3.5002458868748247</v>
      </c>
      <c r="P37" s="276">
        <v>3.5000611896511171</v>
      </c>
      <c r="Q37" s="276">
        <v>3.4999062349982792</v>
      </c>
      <c r="R37" s="276">
        <v>3.5000269492445026</v>
      </c>
      <c r="S37" s="276">
        <v>3.49987347243784</v>
      </c>
      <c r="T37" s="276">
        <v>3.4998924321228064</v>
      </c>
      <c r="U37" s="276">
        <v>3.4998975464180608</v>
      </c>
      <c r="V37" s="276">
        <v>3.5000461761536599</v>
      </c>
      <c r="W37" s="276">
        <v>3.4999050690322635</v>
      </c>
      <c r="X37" s="276">
        <v>3.4997082361792531</v>
      </c>
      <c r="Y37" s="276">
        <v>3.4999716236277205</v>
      </c>
      <c r="Z37" s="276">
        <v>3.5002829264065212</v>
      </c>
      <c r="AA37" s="276">
        <v>3.499926328334213</v>
      </c>
      <c r="AB37" s="276">
        <v>3.5001380194173812</v>
      </c>
      <c r="AC37" s="276">
        <v>3.4999511223365993</v>
      </c>
      <c r="AD37" s="276">
        <v>3.4999887202678082</v>
      </c>
      <c r="AE37" s="276">
        <v>3.5000125953424956</v>
      </c>
      <c r="AF37" s="276">
        <v>3.499931188884764</v>
      </c>
      <c r="AG37" s="276">
        <v>3.5000869239664052</v>
      </c>
      <c r="AH37" s="276">
        <v>3.5000863737636951</v>
      </c>
      <c r="AI37" s="276">
        <v>3.4998704820441016</v>
      </c>
      <c r="AJ37" s="276">
        <v>3.4998577300062874</v>
      </c>
    </row>
    <row r="38" spans="1:36">
      <c r="A38" s="261" t="s">
        <v>373</v>
      </c>
      <c r="B38" s="288" t="s">
        <v>69</v>
      </c>
      <c r="C38" s="278" t="s">
        <v>9</v>
      </c>
      <c r="D38" s="267"/>
      <c r="E38" s="206" t="s">
        <v>373</v>
      </c>
      <c r="F38" s="276">
        <v>8.0266814130637609</v>
      </c>
      <c r="G38" s="276">
        <v>11.578448309262011</v>
      </c>
      <c r="H38" s="276">
        <v>11.953033176505997</v>
      </c>
      <c r="I38" s="276">
        <v>12.075272480360589</v>
      </c>
      <c r="J38" s="276">
        <v>12.060502672947521</v>
      </c>
      <c r="K38" s="276">
        <v>12.136465773795129</v>
      </c>
      <c r="L38" s="276">
        <v>12.583466743525165</v>
      </c>
      <c r="M38" s="276">
        <v>12.286707736563605</v>
      </c>
      <c r="N38" s="276">
        <v>14.308876775034342</v>
      </c>
      <c r="O38" s="276">
        <v>15.039738469057479</v>
      </c>
      <c r="P38" s="276">
        <v>14.747526839990886</v>
      </c>
      <c r="Q38" s="276">
        <v>14.262079487506551</v>
      </c>
      <c r="R38" s="276">
        <v>14.21235233046472</v>
      </c>
      <c r="S38" s="276">
        <v>14.094345188237435</v>
      </c>
      <c r="T38" s="276">
        <v>14.10189133671588</v>
      </c>
      <c r="U38" s="276">
        <v>13.918446624068828</v>
      </c>
      <c r="V38" s="276">
        <v>13.882125451902711</v>
      </c>
      <c r="W38" s="276">
        <v>13.840987333322708</v>
      </c>
      <c r="X38" s="276">
        <v>13.644897492303146</v>
      </c>
      <c r="Y38" s="276">
        <v>12.958606726549759</v>
      </c>
      <c r="Z38" s="276">
        <v>14.461660532758124</v>
      </c>
      <c r="AA38" s="276">
        <v>16.995293647545857</v>
      </c>
      <c r="AB38" s="276">
        <v>19.771210687533678</v>
      </c>
      <c r="AC38" s="276">
        <v>19.577009574968187</v>
      </c>
      <c r="AD38" s="276">
        <v>19.432510317579865</v>
      </c>
      <c r="AE38" s="276">
        <v>19.620219618515701</v>
      </c>
      <c r="AF38" s="276">
        <v>19.790423482852713</v>
      </c>
      <c r="AG38" s="276">
        <v>19.84853435091609</v>
      </c>
      <c r="AH38" s="276">
        <v>19.872612838545564</v>
      </c>
      <c r="AI38" s="276">
        <v>19.734870956552662</v>
      </c>
      <c r="AJ38" s="276">
        <v>19.967847821523016</v>
      </c>
    </row>
    <row r="39" spans="1:36">
      <c r="A39" s="261" t="s">
        <v>73</v>
      </c>
      <c r="B39" s="288" t="s">
        <v>72</v>
      </c>
      <c r="C39" s="278" t="s">
        <v>432</v>
      </c>
      <c r="D39" s="267"/>
      <c r="E39" s="206" t="s">
        <v>73</v>
      </c>
      <c r="F39" s="276">
        <v>449.221983643675</v>
      </c>
      <c r="G39" s="276">
        <v>446.57338146262379</v>
      </c>
      <c r="H39" s="276">
        <v>446.9104369803606</v>
      </c>
      <c r="I39" s="276">
        <v>447.77019184788122</v>
      </c>
      <c r="J39" s="276">
        <v>453.45571523578081</v>
      </c>
      <c r="K39" s="276">
        <v>459.30697829599416</v>
      </c>
      <c r="L39" s="276">
        <v>459.21823908411699</v>
      </c>
      <c r="M39" s="276">
        <v>459.52279766837279</v>
      </c>
      <c r="N39" s="276">
        <v>460.96198355002593</v>
      </c>
      <c r="O39" s="276">
        <v>461.54839360126914</v>
      </c>
      <c r="P39" s="276">
        <v>461.70668305869651</v>
      </c>
      <c r="Q39" s="276">
        <v>461.77752821372496</v>
      </c>
      <c r="R39" s="276">
        <v>461.92291302392897</v>
      </c>
      <c r="S39" s="276">
        <v>460.98037751519257</v>
      </c>
      <c r="T39" s="276">
        <v>461.35592214759583</v>
      </c>
      <c r="U39" s="276">
        <v>465.56727116215336</v>
      </c>
      <c r="V39" s="276">
        <v>464.54759129991953</v>
      </c>
      <c r="W39" s="276">
        <v>463.52702073215517</v>
      </c>
      <c r="X39" s="276">
        <v>461.72901867962668</v>
      </c>
      <c r="Y39" s="276">
        <v>458.00612151483796</v>
      </c>
      <c r="Z39" s="276">
        <v>457.34157147437332</v>
      </c>
      <c r="AA39" s="276">
        <v>458.05550230896762</v>
      </c>
      <c r="AB39" s="276">
        <v>457.62957162805765</v>
      </c>
      <c r="AC39" s="276">
        <v>457.50144982751863</v>
      </c>
      <c r="AD39" s="276">
        <v>456.74538605835227</v>
      </c>
      <c r="AE39" s="276">
        <v>456.20760866017656</v>
      </c>
      <c r="AF39" s="276">
        <v>456.48032790752944</v>
      </c>
      <c r="AG39" s="276">
        <v>457.49916215397633</v>
      </c>
      <c r="AH39" s="276">
        <v>457.81813883417124</v>
      </c>
      <c r="AI39" s="276">
        <v>457.77064315235845</v>
      </c>
      <c r="AJ39" s="276">
        <v>457.66103871964367</v>
      </c>
    </row>
    <row r="40" spans="1:36">
      <c r="A40" s="261" t="s">
        <v>75</v>
      </c>
      <c r="B40" s="288" t="s">
        <v>74</v>
      </c>
      <c r="C40" s="278" t="s">
        <v>432</v>
      </c>
      <c r="D40" s="267"/>
      <c r="E40" s="206" t="s">
        <v>75</v>
      </c>
      <c r="F40" s="276">
        <v>798.54952011376895</v>
      </c>
      <c r="G40" s="276">
        <v>800.26996231903058</v>
      </c>
      <c r="H40" s="276">
        <v>803.07765615715027</v>
      </c>
      <c r="I40" s="276">
        <v>802.97043261172212</v>
      </c>
      <c r="J40" s="276">
        <v>802.57538338578206</v>
      </c>
      <c r="K40" s="276">
        <v>802.99549865292022</v>
      </c>
      <c r="L40" s="276">
        <v>803.02020441775301</v>
      </c>
      <c r="M40" s="276">
        <v>803.11794738411936</v>
      </c>
      <c r="N40" s="276">
        <v>802.95950462427072</v>
      </c>
      <c r="O40" s="276">
        <v>803.03401419407908</v>
      </c>
      <c r="P40" s="276">
        <v>802.95933228341687</v>
      </c>
      <c r="Q40" s="276">
        <v>803.00768204831741</v>
      </c>
      <c r="R40" s="276">
        <v>803.00266251119194</v>
      </c>
      <c r="S40" s="276">
        <v>802.90557338361077</v>
      </c>
      <c r="T40" s="276">
        <v>803.19932496568651</v>
      </c>
      <c r="U40" s="276">
        <v>803.24092680970807</v>
      </c>
      <c r="V40" s="276">
        <v>803.02694873582266</v>
      </c>
      <c r="W40" s="276">
        <v>802.92293442170512</v>
      </c>
      <c r="X40" s="276">
        <v>803.01269282921908</v>
      </c>
      <c r="Y40" s="276">
        <v>802.63713657019775</v>
      </c>
      <c r="Z40" s="276">
        <v>802.9208619991573</v>
      </c>
      <c r="AA40" s="276">
        <v>802.95028982250119</v>
      </c>
      <c r="AB40" s="276">
        <v>803.009958408947</v>
      </c>
      <c r="AC40" s="276">
        <v>802.96625316131588</v>
      </c>
      <c r="AD40" s="276">
        <v>802.9797372654341</v>
      </c>
      <c r="AE40" s="276">
        <v>802.97436679043449</v>
      </c>
      <c r="AF40" s="276">
        <v>803.00939200759706</v>
      </c>
      <c r="AG40" s="276">
        <v>803.00102051465183</v>
      </c>
      <c r="AH40" s="276">
        <v>803.05600163666895</v>
      </c>
      <c r="AI40" s="276">
        <v>803.0099819814817</v>
      </c>
      <c r="AJ40" s="276">
        <v>803.00174445142886</v>
      </c>
    </row>
    <row r="41" spans="1:36">
      <c r="A41" s="261" t="s">
        <v>374</v>
      </c>
      <c r="B41" s="288" t="s">
        <v>76</v>
      </c>
      <c r="C41" s="278" t="s">
        <v>9</v>
      </c>
      <c r="D41" s="267"/>
      <c r="E41" s="206" t="s">
        <v>374</v>
      </c>
      <c r="F41" s="276">
        <v>4731.0128112828079</v>
      </c>
      <c r="G41" s="276">
        <v>5068.4044362682198</v>
      </c>
      <c r="H41" s="276">
        <v>5121.3144859514287</v>
      </c>
      <c r="I41" s="276">
        <v>5130.2947132686004</v>
      </c>
      <c r="J41" s="276">
        <v>5410.7451565562778</v>
      </c>
      <c r="K41" s="276">
        <v>5931.0870410364832</v>
      </c>
      <c r="L41" s="276">
        <v>5941.6708230420845</v>
      </c>
      <c r="M41" s="276">
        <v>5934.0519760061252</v>
      </c>
      <c r="N41" s="276">
        <v>5945.3783671427564</v>
      </c>
      <c r="O41" s="276">
        <v>5888.8034126508501</v>
      </c>
      <c r="P41" s="276">
        <v>5852.4720342881492</v>
      </c>
      <c r="Q41" s="276">
        <v>5935.8741772873627</v>
      </c>
      <c r="R41" s="276">
        <v>5973.9277055253297</v>
      </c>
      <c r="S41" s="276">
        <v>5911.7084126091713</v>
      </c>
      <c r="T41" s="276">
        <v>5886.7533841513068</v>
      </c>
      <c r="U41" s="276">
        <v>5904.6682466902312</v>
      </c>
      <c r="V41" s="276">
        <v>5938.3560397873825</v>
      </c>
      <c r="W41" s="276">
        <v>5950.2760424828257</v>
      </c>
      <c r="X41" s="276">
        <v>5954.1083752487511</v>
      </c>
      <c r="Y41" s="276">
        <v>5906.1859940511122</v>
      </c>
      <c r="Z41" s="276">
        <v>5891.7913305482843</v>
      </c>
      <c r="AA41" s="276">
        <v>5944.120734550409</v>
      </c>
      <c r="AB41" s="276">
        <v>5948.0720571924558</v>
      </c>
      <c r="AC41" s="276">
        <v>5929.5219120838137</v>
      </c>
      <c r="AD41" s="276">
        <v>5944.0895027856677</v>
      </c>
      <c r="AE41" s="276">
        <v>5921.6944278230176</v>
      </c>
      <c r="AF41" s="276">
        <v>5919.4018244215695</v>
      </c>
      <c r="AG41" s="276">
        <v>5905.0369608821929</v>
      </c>
      <c r="AH41" s="276">
        <v>5925.835548255639</v>
      </c>
      <c r="AI41" s="276">
        <v>5969.6921143086538</v>
      </c>
      <c r="AJ41" s="276">
        <v>5977.6852323760904</v>
      </c>
    </row>
    <row r="42" spans="1:36">
      <c r="A42" s="261" t="s">
        <v>375</v>
      </c>
      <c r="B42" s="288" t="s">
        <v>77</v>
      </c>
      <c r="C42" s="278" t="s">
        <v>432</v>
      </c>
      <c r="D42" s="267"/>
      <c r="E42" s="206" t="s">
        <v>375</v>
      </c>
      <c r="F42" s="276">
        <v>325.71572431669586</v>
      </c>
      <c r="G42" s="276">
        <v>328.80409034234901</v>
      </c>
      <c r="H42" s="276">
        <v>329.16440570565624</v>
      </c>
      <c r="I42" s="276">
        <v>329.31584757845303</v>
      </c>
      <c r="J42" s="276">
        <v>329.3553235587089</v>
      </c>
      <c r="K42" s="276">
        <v>330.16961678332513</v>
      </c>
      <c r="L42" s="276">
        <v>330.43694459909688</v>
      </c>
      <c r="M42" s="276">
        <v>330.43531600677318</v>
      </c>
      <c r="N42" s="276">
        <v>329.74578482725991</v>
      </c>
      <c r="O42" s="276">
        <v>329.52192033547055</v>
      </c>
      <c r="P42" s="276">
        <v>329.27114891531608</v>
      </c>
      <c r="Q42" s="276">
        <v>329.50792572983448</v>
      </c>
      <c r="R42" s="276">
        <v>330.06323180268146</v>
      </c>
      <c r="S42" s="276">
        <v>330.36978918364053</v>
      </c>
      <c r="T42" s="276">
        <v>329.41531399098716</v>
      </c>
      <c r="U42" s="276">
        <v>325.81908857351641</v>
      </c>
      <c r="V42" s="276">
        <v>324.61581105304202</v>
      </c>
      <c r="W42" s="276">
        <v>324.86182008325426</v>
      </c>
      <c r="X42" s="276">
        <v>325.8055656680242</v>
      </c>
      <c r="Y42" s="276">
        <v>327.31230585343349</v>
      </c>
      <c r="Z42" s="276">
        <v>329.57588543349328</v>
      </c>
      <c r="AA42" s="276">
        <v>330.03020782198877</v>
      </c>
      <c r="AB42" s="276">
        <v>331.0512841709135</v>
      </c>
      <c r="AC42" s="276">
        <v>331.3550392259051</v>
      </c>
      <c r="AD42" s="276">
        <v>331.66137433692643</v>
      </c>
      <c r="AE42" s="276">
        <v>331.93904615996979</v>
      </c>
      <c r="AF42" s="276">
        <v>331.61962597109806</v>
      </c>
      <c r="AG42" s="276">
        <v>331.63542920087298</v>
      </c>
      <c r="AH42" s="276">
        <v>331.70022103795395</v>
      </c>
      <c r="AI42" s="276">
        <v>331.52793917058773</v>
      </c>
      <c r="AJ42" s="276">
        <v>331.40383877024084</v>
      </c>
    </row>
    <row r="43" spans="1:36">
      <c r="A43" s="261" t="s">
        <v>376</v>
      </c>
      <c r="B43" s="288">
        <v>0</v>
      </c>
      <c r="C43" s="278" t="s">
        <v>432</v>
      </c>
      <c r="D43" s="267"/>
      <c r="E43" s="206" t="s">
        <v>376</v>
      </c>
      <c r="F43" s="276">
        <v>368.50433416842554</v>
      </c>
      <c r="G43" s="276">
        <v>372.53179355104265</v>
      </c>
      <c r="H43" s="276">
        <v>372.99571844115837</v>
      </c>
      <c r="I43" s="276">
        <v>373.07681332964285</v>
      </c>
      <c r="J43" s="276">
        <v>373.50677054374165</v>
      </c>
      <c r="K43" s="276">
        <v>374.45004211277285</v>
      </c>
      <c r="L43" s="276">
        <v>374.32472805264399</v>
      </c>
      <c r="M43" s="276">
        <v>373.69073627485125</v>
      </c>
      <c r="N43" s="276">
        <v>372.94175922039562</v>
      </c>
      <c r="O43" s="276">
        <v>372.55796455599955</v>
      </c>
      <c r="P43" s="276">
        <v>372.33244683224365</v>
      </c>
      <c r="Q43" s="276">
        <v>372.62668513667381</v>
      </c>
      <c r="R43" s="276">
        <v>372.85170354158396</v>
      </c>
      <c r="S43" s="276">
        <v>373.39654816702114</v>
      </c>
      <c r="T43" s="276">
        <v>372.52950123664488</v>
      </c>
      <c r="U43" s="276">
        <v>370.10586142179056</v>
      </c>
      <c r="V43" s="276">
        <v>369.34926490263274</v>
      </c>
      <c r="W43" s="276">
        <v>370.18547324790836</v>
      </c>
      <c r="X43" s="276">
        <v>370.65229518326146</v>
      </c>
      <c r="Y43" s="276">
        <v>371.71998421933625</v>
      </c>
      <c r="Z43" s="276">
        <v>373.99710241880234</v>
      </c>
      <c r="AA43" s="276">
        <v>374.68036020723554</v>
      </c>
      <c r="AB43" s="276">
        <v>374.56731874919996</v>
      </c>
      <c r="AC43" s="276">
        <v>374.49302902185894</v>
      </c>
      <c r="AD43" s="276">
        <v>374.54830033639706</v>
      </c>
      <c r="AE43" s="276">
        <v>374.75651869662011</v>
      </c>
      <c r="AF43" s="276">
        <v>374.93320850741156</v>
      </c>
      <c r="AG43" s="276">
        <v>374.98545821251747</v>
      </c>
      <c r="AH43" s="276">
        <v>375.00361518484539</v>
      </c>
      <c r="AI43" s="276">
        <v>375.23393739974489</v>
      </c>
      <c r="AJ43" s="276">
        <v>375.55506480065327</v>
      </c>
    </row>
    <row r="44" spans="1:36">
      <c r="A44" s="261" t="s">
        <v>377</v>
      </c>
      <c r="B44" s="288">
        <v>0</v>
      </c>
      <c r="C44" s="278" t="s">
        <v>432</v>
      </c>
      <c r="D44" s="267"/>
      <c r="E44" s="206" t="s">
        <v>377</v>
      </c>
      <c r="F44" s="276">
        <v>200.08185993120742</v>
      </c>
      <c r="G44" s="276">
        <v>200.0152541978018</v>
      </c>
      <c r="H44" s="276">
        <v>199.9933684282301</v>
      </c>
      <c r="I44" s="276">
        <v>200.00023789814276</v>
      </c>
      <c r="J44" s="276">
        <v>199.99528240640208</v>
      </c>
      <c r="K44" s="276">
        <v>200.00319803899043</v>
      </c>
      <c r="L44" s="276">
        <v>200.00449264893541</v>
      </c>
      <c r="M44" s="276">
        <v>199.99148819555958</v>
      </c>
      <c r="N44" s="276">
        <v>199.9961907334939</v>
      </c>
      <c r="O44" s="276">
        <v>199.9934271032854</v>
      </c>
      <c r="P44" s="276">
        <v>200.00066226837615</v>
      </c>
      <c r="Q44" s="276">
        <v>199.99631761860448</v>
      </c>
      <c r="R44" s="276">
        <v>199.99845587131261</v>
      </c>
      <c r="S44" s="276">
        <v>200.01043903611884</v>
      </c>
      <c r="T44" s="276">
        <v>199.96293363489522</v>
      </c>
      <c r="U44" s="276">
        <v>199.96853598671839</v>
      </c>
      <c r="V44" s="276">
        <v>199.99540238961086</v>
      </c>
      <c r="W44" s="276">
        <v>200.01878961527404</v>
      </c>
      <c r="X44" s="276">
        <v>200.00192651886428</v>
      </c>
      <c r="Y44" s="276">
        <v>200.03690483374564</v>
      </c>
      <c r="Z44" s="276">
        <v>199.99659998069956</v>
      </c>
      <c r="AA44" s="276">
        <v>200.0135110086035</v>
      </c>
      <c r="AB44" s="276">
        <v>199.99894062510614</v>
      </c>
      <c r="AC44" s="276">
        <v>200.00729931893881</v>
      </c>
      <c r="AD44" s="276">
        <v>200.0118595104075</v>
      </c>
      <c r="AE44" s="276">
        <v>199.97999946457881</v>
      </c>
      <c r="AF44" s="276">
        <v>200.01016202017553</v>
      </c>
      <c r="AG44" s="276">
        <v>199.99090609576766</v>
      </c>
      <c r="AH44" s="276">
        <v>199.99836244581837</v>
      </c>
      <c r="AI44" s="276">
        <v>200.0122255282885</v>
      </c>
      <c r="AJ44" s="276">
        <v>200.00247766996071</v>
      </c>
    </row>
    <row r="45" spans="1:36">
      <c r="A45" s="261" t="s">
        <v>378</v>
      </c>
      <c r="B45" s="288">
        <v>0</v>
      </c>
      <c r="C45" s="278" t="s">
        <v>432</v>
      </c>
      <c r="D45" s="267"/>
      <c r="E45" s="206" t="s">
        <v>378</v>
      </c>
      <c r="F45" s="276">
        <v>206.09759251384406</v>
      </c>
      <c r="G45" s="276">
        <v>206.18926194589719</v>
      </c>
      <c r="H45" s="276">
        <v>206.19939541609591</v>
      </c>
      <c r="I45" s="276">
        <v>206.23000500645523</v>
      </c>
      <c r="J45" s="276">
        <v>206.24665822169089</v>
      </c>
      <c r="K45" s="276">
        <v>206.25896279733124</v>
      </c>
      <c r="L45" s="276">
        <v>206.20518694050162</v>
      </c>
      <c r="M45" s="276">
        <v>206.13218291709259</v>
      </c>
      <c r="N45" s="276">
        <v>206.19822316493088</v>
      </c>
      <c r="O45" s="276">
        <v>206.16137015675207</v>
      </c>
      <c r="P45" s="276">
        <v>206.24297868164197</v>
      </c>
      <c r="Q45" s="276">
        <v>206.2682593336437</v>
      </c>
      <c r="R45" s="276">
        <v>206.30783265400078</v>
      </c>
      <c r="S45" s="276">
        <v>206.32439745364059</v>
      </c>
      <c r="T45" s="276">
        <v>206.33898462835248</v>
      </c>
      <c r="U45" s="276">
        <v>206.70273776839949</v>
      </c>
      <c r="V45" s="276">
        <v>206.81097497389118</v>
      </c>
      <c r="W45" s="276">
        <v>206.97214081451409</v>
      </c>
      <c r="X45" s="276">
        <v>206.9580590577265</v>
      </c>
      <c r="Y45" s="276">
        <v>206.80660386340926</v>
      </c>
      <c r="Z45" s="276">
        <v>206.69484522096258</v>
      </c>
      <c r="AA45" s="276">
        <v>206.85117728040368</v>
      </c>
      <c r="AB45" s="276">
        <v>206.68464637177877</v>
      </c>
      <c r="AC45" s="276">
        <v>206.68523391735016</v>
      </c>
      <c r="AD45" s="276">
        <v>206.69322751208207</v>
      </c>
      <c r="AE45" s="276">
        <v>206.5816860295642</v>
      </c>
      <c r="AF45" s="276">
        <v>206.72174441346095</v>
      </c>
      <c r="AG45" s="276">
        <v>206.76369990742998</v>
      </c>
      <c r="AH45" s="276">
        <v>206.88420727978789</v>
      </c>
      <c r="AI45" s="276">
        <v>206.97821780286458</v>
      </c>
      <c r="AJ45" s="276">
        <v>206.87648051998454</v>
      </c>
    </row>
    <row r="46" spans="1:36">
      <c r="A46" s="261" t="s">
        <v>379</v>
      </c>
      <c r="B46" s="288" t="s">
        <v>79</v>
      </c>
      <c r="C46" s="278" t="s">
        <v>432</v>
      </c>
      <c r="D46" s="267"/>
      <c r="E46" s="206" t="s">
        <v>379</v>
      </c>
      <c r="F46" s="276">
        <v>295.2470993240396</v>
      </c>
      <c r="G46" s="276">
        <v>296.64649280078959</v>
      </c>
      <c r="H46" s="276">
        <v>297.29404791943722</v>
      </c>
      <c r="I46" s="276">
        <v>297.23334792724296</v>
      </c>
      <c r="J46" s="276">
        <v>297.64577581528783</v>
      </c>
      <c r="K46" s="276">
        <v>298.1039023344253</v>
      </c>
      <c r="L46" s="276">
        <v>298.23731535271713</v>
      </c>
      <c r="M46" s="276">
        <v>297.99809129675532</v>
      </c>
      <c r="N46" s="276">
        <v>297.73685442819277</v>
      </c>
      <c r="O46" s="276">
        <v>297.0482221377128</v>
      </c>
      <c r="P46" s="276">
        <v>296.59345483354213</v>
      </c>
      <c r="Q46" s="276">
        <v>296.92655222642242</v>
      </c>
      <c r="R46" s="276">
        <v>297.78344939606399</v>
      </c>
      <c r="S46" s="276">
        <v>297.89546544705581</v>
      </c>
      <c r="T46" s="276">
        <v>297.20680930256776</v>
      </c>
      <c r="U46" s="276">
        <v>295.70631021773136</v>
      </c>
      <c r="V46" s="276">
        <v>295.55303863272911</v>
      </c>
      <c r="W46" s="276">
        <v>296.24679056274812</v>
      </c>
      <c r="X46" s="276">
        <v>296.72546636232386</v>
      </c>
      <c r="Y46" s="276">
        <v>297.1021686806406</v>
      </c>
      <c r="Z46" s="276">
        <v>297.93583949644039</v>
      </c>
      <c r="AA46" s="276">
        <v>298.3540872723238</v>
      </c>
      <c r="AB46" s="276">
        <v>298.5811513407636</v>
      </c>
      <c r="AC46" s="276">
        <v>298.58489428562041</v>
      </c>
      <c r="AD46" s="276">
        <v>298.52076277194965</v>
      </c>
      <c r="AE46" s="276">
        <v>298.85155210068746</v>
      </c>
      <c r="AF46" s="276">
        <v>298.46436056543786</v>
      </c>
      <c r="AG46" s="276">
        <v>298.96587822470303</v>
      </c>
      <c r="AH46" s="276">
        <v>298.55716760487815</v>
      </c>
      <c r="AI46" s="276">
        <v>299.20413449280727</v>
      </c>
      <c r="AJ46" s="276">
        <v>299.33238424368631</v>
      </c>
    </row>
    <row r="47" spans="1:36">
      <c r="A47" s="261" t="s">
        <v>380</v>
      </c>
      <c r="B47" s="288" t="s">
        <v>81</v>
      </c>
      <c r="C47" s="278" t="s">
        <v>432</v>
      </c>
      <c r="D47" s="267"/>
      <c r="E47" s="206" t="s">
        <v>380</v>
      </c>
      <c r="F47" s="276">
        <v>304.58876795864524</v>
      </c>
      <c r="G47" s="276">
        <v>307.71964412786349</v>
      </c>
      <c r="H47" s="276">
        <v>307.9921008539751</v>
      </c>
      <c r="I47" s="276">
        <v>307.51255517037947</v>
      </c>
      <c r="J47" s="276">
        <v>308.00677846519528</v>
      </c>
      <c r="K47" s="276">
        <v>308.61907647258346</v>
      </c>
      <c r="L47" s="276">
        <v>308.34735480719428</v>
      </c>
      <c r="M47" s="276">
        <v>307.67890635176616</v>
      </c>
      <c r="N47" s="276">
        <v>307.2518909423103</v>
      </c>
      <c r="O47" s="276">
        <v>306.64569398728418</v>
      </c>
      <c r="P47" s="276">
        <v>306.21672184117097</v>
      </c>
      <c r="Q47" s="276">
        <v>306.47436440872019</v>
      </c>
      <c r="R47" s="276">
        <v>306.95060700592558</v>
      </c>
      <c r="S47" s="276">
        <v>307.3263700822427</v>
      </c>
      <c r="T47" s="276">
        <v>306.39793001361988</v>
      </c>
      <c r="U47" s="276">
        <v>304.43240247299315</v>
      </c>
      <c r="V47" s="276">
        <v>304.07291433790294</v>
      </c>
      <c r="W47" s="276">
        <v>305.49498399461243</v>
      </c>
      <c r="X47" s="276">
        <v>305.91246870611877</v>
      </c>
      <c r="Y47" s="276">
        <v>306.39125750955697</v>
      </c>
      <c r="Z47" s="276">
        <v>307.74616558745277</v>
      </c>
      <c r="AA47" s="276">
        <v>308.30577763814284</v>
      </c>
      <c r="AB47" s="276">
        <v>308.0301279473282</v>
      </c>
      <c r="AC47" s="276">
        <v>308.23281372127605</v>
      </c>
      <c r="AD47" s="276">
        <v>308.31709520034292</v>
      </c>
      <c r="AE47" s="276">
        <v>308.49266748318405</v>
      </c>
      <c r="AF47" s="276">
        <v>308.13880465215328</v>
      </c>
      <c r="AG47" s="276">
        <v>308.39015266126472</v>
      </c>
      <c r="AH47" s="276">
        <v>308.27535504055146</v>
      </c>
      <c r="AI47" s="276">
        <v>308.91515607167582</v>
      </c>
      <c r="AJ47" s="276">
        <v>308.95640180842781</v>
      </c>
    </row>
    <row r="48" spans="1:36">
      <c r="A48" s="261" t="s">
        <v>381</v>
      </c>
      <c r="B48" s="288" t="s">
        <v>83</v>
      </c>
      <c r="C48" s="278" t="s">
        <v>432</v>
      </c>
      <c r="D48" s="267"/>
      <c r="E48" s="206" t="s">
        <v>381</v>
      </c>
      <c r="F48" s="276">
        <v>34.601791474742029</v>
      </c>
      <c r="G48" s="276">
        <v>33.166352613259576</v>
      </c>
      <c r="H48" s="276">
        <v>32.200875295817077</v>
      </c>
      <c r="I48" s="276">
        <v>31.191070521305033</v>
      </c>
      <c r="J48" s="276">
        <v>31.569694777976061</v>
      </c>
      <c r="K48" s="276">
        <v>31.099280523456734</v>
      </c>
      <c r="L48" s="276">
        <v>31.463176326924401</v>
      </c>
      <c r="M48" s="276">
        <v>32.192817945210891</v>
      </c>
      <c r="N48" s="276">
        <v>31.564681224932233</v>
      </c>
      <c r="O48" s="276">
        <v>31.59615802194562</v>
      </c>
      <c r="P48" s="276">
        <v>31.209434270360799</v>
      </c>
      <c r="Q48" s="276">
        <v>31.07274230390896</v>
      </c>
      <c r="R48" s="276">
        <v>29.870896364038707</v>
      </c>
      <c r="S48" s="276">
        <v>30.332988692607312</v>
      </c>
      <c r="T48" s="276">
        <v>29.983726954610962</v>
      </c>
      <c r="U48" s="276">
        <v>30.066784856891118</v>
      </c>
      <c r="V48" s="276">
        <v>30.451501615445402</v>
      </c>
      <c r="W48" s="276">
        <v>30.507766185609572</v>
      </c>
      <c r="X48" s="276">
        <v>29.814835418214241</v>
      </c>
      <c r="Y48" s="276">
        <v>31.126215491212776</v>
      </c>
      <c r="Z48" s="276">
        <v>30.221755073826955</v>
      </c>
      <c r="AA48" s="276">
        <v>30.006212425009632</v>
      </c>
      <c r="AB48" s="276">
        <v>30.068411390516552</v>
      </c>
      <c r="AC48" s="276">
        <v>30.374667222755871</v>
      </c>
      <c r="AD48" s="276">
        <v>31.123696596902267</v>
      </c>
      <c r="AE48" s="276">
        <v>31.387818888165558</v>
      </c>
      <c r="AF48" s="276">
        <v>30.115569900143111</v>
      </c>
      <c r="AG48" s="276">
        <v>29.248243812010369</v>
      </c>
      <c r="AH48" s="276">
        <v>28.590013514126504</v>
      </c>
      <c r="AI48" s="276">
        <v>28.880322249508257</v>
      </c>
      <c r="AJ48" s="276">
        <v>28.370490990800484</v>
      </c>
    </row>
    <row r="49" spans="1:36">
      <c r="A49" s="261" t="s">
        <v>382</v>
      </c>
      <c r="B49" s="288" t="s">
        <v>84</v>
      </c>
      <c r="C49" s="278" t="s">
        <v>46</v>
      </c>
      <c r="D49" s="267"/>
      <c r="E49" s="206" t="s">
        <v>382</v>
      </c>
      <c r="F49" s="276">
        <v>7.0383621388676882</v>
      </c>
      <c r="G49" s="276">
        <v>7.0297894712378275</v>
      </c>
      <c r="H49" s="276">
        <v>7.0323054622113421</v>
      </c>
      <c r="I49" s="276">
        <v>7.037097006299657</v>
      </c>
      <c r="J49" s="276">
        <v>7.081652685485774</v>
      </c>
      <c r="K49" s="276">
        <v>7.1054276956289524</v>
      </c>
      <c r="L49" s="276">
        <v>7.1430206326781898</v>
      </c>
      <c r="M49" s="276">
        <v>7.194199678729805</v>
      </c>
      <c r="N49" s="276">
        <v>7.2025157873427927</v>
      </c>
      <c r="O49" s="276">
        <v>7.2265094226961564</v>
      </c>
      <c r="P49" s="276">
        <v>7.2476492873613729</v>
      </c>
      <c r="Q49" s="276">
        <v>7.276516625722822</v>
      </c>
      <c r="R49" s="276">
        <v>7.2684662644355962</v>
      </c>
      <c r="S49" s="276">
        <v>7.3071090476943965</v>
      </c>
      <c r="T49" s="276">
        <v>7.3308874158350088</v>
      </c>
      <c r="U49" s="276">
        <v>7.360405215702535</v>
      </c>
      <c r="V49" s="276">
        <v>7.3954423749634319</v>
      </c>
      <c r="W49" s="276">
        <v>7.4296079678177689</v>
      </c>
      <c r="X49" s="276">
        <v>7.4350110896426456</v>
      </c>
      <c r="Y49" s="276">
        <v>7.4962595173090572</v>
      </c>
      <c r="Z49" s="276">
        <v>7.4900098588351032</v>
      </c>
      <c r="AA49" s="276">
        <v>7.5061895146528235</v>
      </c>
      <c r="AB49" s="276">
        <v>7.5338417849252872</v>
      </c>
      <c r="AC49" s="276">
        <v>7.5676646483118803</v>
      </c>
      <c r="AD49" s="276">
        <v>7.6126006495653771</v>
      </c>
      <c r="AE49" s="276">
        <v>7.6420263089059111</v>
      </c>
      <c r="AF49" s="276">
        <v>7.6221301990625125</v>
      </c>
      <c r="AG49" s="276">
        <v>7.607814939633978</v>
      </c>
      <c r="AH49" s="276">
        <v>7.6012973318815638</v>
      </c>
      <c r="AI49" s="276">
        <v>7.6179307853895022</v>
      </c>
      <c r="AJ49" s="276">
        <v>7.6156124372947378</v>
      </c>
    </row>
    <row r="50" spans="1:36">
      <c r="A50" s="261" t="s">
        <v>383</v>
      </c>
      <c r="B50" s="288" t="s">
        <v>98</v>
      </c>
      <c r="C50" s="278" t="s">
        <v>432</v>
      </c>
      <c r="D50" s="267"/>
      <c r="E50" s="206" t="s">
        <v>383</v>
      </c>
      <c r="F50" s="276">
        <v>48.88530443786717</v>
      </c>
      <c r="G50" s="276">
        <v>49.0134275759197</v>
      </c>
      <c r="H50" s="276">
        <v>49.45403356733982</v>
      </c>
      <c r="I50" s="276">
        <v>48.773898947432492</v>
      </c>
      <c r="J50" s="276">
        <v>49.281866919904928</v>
      </c>
      <c r="K50" s="276">
        <v>50.232324320648033</v>
      </c>
      <c r="L50" s="276">
        <v>50.188240222875123</v>
      </c>
      <c r="M50" s="276">
        <v>50.398128186654304</v>
      </c>
      <c r="N50" s="276">
        <v>49.452289917233884</v>
      </c>
      <c r="O50" s="276">
        <v>49.135086994288031</v>
      </c>
      <c r="P50" s="276">
        <v>48.344663086635492</v>
      </c>
      <c r="Q50" s="276">
        <v>48.203846314077396</v>
      </c>
      <c r="R50" s="276">
        <v>47.146495764194285</v>
      </c>
      <c r="S50" s="276">
        <v>47.495795877083658</v>
      </c>
      <c r="T50" s="276">
        <v>47.038864804639246</v>
      </c>
      <c r="U50" s="276">
        <v>49.01156859757684</v>
      </c>
      <c r="V50" s="276">
        <v>54.465396064754145</v>
      </c>
      <c r="W50" s="276">
        <v>55.04986558197826</v>
      </c>
      <c r="X50" s="276">
        <v>57.256913756515701</v>
      </c>
      <c r="Y50" s="276">
        <v>54.852643286812395</v>
      </c>
      <c r="Z50" s="276">
        <v>52.303857386903061</v>
      </c>
      <c r="AA50" s="276">
        <v>52.597175358144739</v>
      </c>
      <c r="AB50" s="276">
        <v>52.690338772142972</v>
      </c>
      <c r="AC50" s="276">
        <v>52.654031357061854</v>
      </c>
      <c r="AD50" s="276">
        <v>52.72357595689143</v>
      </c>
      <c r="AE50" s="276">
        <v>50.458887613857677</v>
      </c>
      <c r="AF50" s="276">
        <v>48.829380120833349</v>
      </c>
      <c r="AG50" s="276">
        <v>49.109068723736812</v>
      </c>
      <c r="AH50" s="276">
        <v>49.304813938339045</v>
      </c>
      <c r="AI50" s="276">
        <v>48.196434791528901</v>
      </c>
      <c r="AJ50" s="276">
        <v>48.943624695821846</v>
      </c>
    </row>
    <row r="51" spans="1:36">
      <c r="A51" s="261" t="s">
        <v>384</v>
      </c>
      <c r="B51" s="288" t="s">
        <v>99</v>
      </c>
      <c r="C51" s="278" t="s">
        <v>46</v>
      </c>
      <c r="D51" s="267"/>
      <c r="E51" s="206" t="s">
        <v>384</v>
      </c>
      <c r="F51" s="276">
        <v>14.808551009227045</v>
      </c>
      <c r="G51" s="276">
        <v>14.783094908269431</v>
      </c>
      <c r="H51" s="276">
        <v>14.781759116617625</v>
      </c>
      <c r="I51" s="276">
        <v>14.785733654704654</v>
      </c>
      <c r="J51" s="276">
        <v>14.787166397883544</v>
      </c>
      <c r="K51" s="276">
        <v>14.791020123636191</v>
      </c>
      <c r="L51" s="276">
        <v>14.79163395190114</v>
      </c>
      <c r="M51" s="276">
        <v>14.793964278308145</v>
      </c>
      <c r="N51" s="276">
        <v>14.7964923010411</v>
      </c>
      <c r="O51" s="276">
        <v>14.798580761649342</v>
      </c>
      <c r="P51" s="276">
        <v>14.797709970922162</v>
      </c>
      <c r="Q51" s="276">
        <v>14.797096085726572</v>
      </c>
      <c r="R51" s="276">
        <v>14.801177958595934</v>
      </c>
      <c r="S51" s="276">
        <v>14.801341958867933</v>
      </c>
      <c r="T51" s="276">
        <v>14.797797670766059</v>
      </c>
      <c r="U51" s="276">
        <v>14.79339589653603</v>
      </c>
      <c r="V51" s="276">
        <v>14.819633843438494</v>
      </c>
      <c r="W51" s="276">
        <v>14.831736233617557</v>
      </c>
      <c r="X51" s="276">
        <v>14.8139658288259</v>
      </c>
      <c r="Y51" s="276">
        <v>14.799616942670189</v>
      </c>
      <c r="Z51" s="276">
        <v>14.794679001740569</v>
      </c>
      <c r="AA51" s="276">
        <v>14.789240442007086</v>
      </c>
      <c r="AB51" s="276">
        <v>14.784802163957551</v>
      </c>
      <c r="AC51" s="276">
        <v>14.783788497171837</v>
      </c>
      <c r="AD51" s="276">
        <v>14.798337239453947</v>
      </c>
      <c r="AE51" s="276">
        <v>14.791152123733299</v>
      </c>
      <c r="AF51" s="276">
        <v>14.812321607435477</v>
      </c>
      <c r="AG51" s="276">
        <v>14.773569754481542</v>
      </c>
      <c r="AH51" s="276">
        <v>14.785765475962307</v>
      </c>
      <c r="AI51" s="276">
        <v>14.789537772288714</v>
      </c>
      <c r="AJ51" s="276">
        <v>14.791721395005625</v>
      </c>
    </row>
    <row r="52" spans="1:36">
      <c r="A52" s="261" t="s">
        <v>385</v>
      </c>
      <c r="B52" s="288" t="s">
        <v>101</v>
      </c>
      <c r="C52" s="278" t="s">
        <v>432</v>
      </c>
      <c r="D52" s="267"/>
      <c r="E52" s="206" t="s">
        <v>385</v>
      </c>
      <c r="F52" s="276">
        <v>95.089753291592132</v>
      </c>
      <c r="G52" s="276">
        <v>92.951817177234801</v>
      </c>
      <c r="H52" s="276">
        <v>92.05585628487259</v>
      </c>
      <c r="I52" s="276">
        <v>92.222675427383408</v>
      </c>
      <c r="J52" s="276">
        <v>92.661843297455889</v>
      </c>
      <c r="K52" s="276">
        <v>93.524199695057959</v>
      </c>
      <c r="L52" s="276">
        <v>93.483428558649464</v>
      </c>
      <c r="M52" s="276">
        <v>93.814484848531464</v>
      </c>
      <c r="N52" s="276">
        <v>94.025577999530256</v>
      </c>
      <c r="O52" s="276">
        <v>93.940767818268654</v>
      </c>
      <c r="P52" s="276">
        <v>93.746958498136067</v>
      </c>
      <c r="Q52" s="276">
        <v>94.112986888081068</v>
      </c>
      <c r="R52" s="276">
        <v>94.534758637729851</v>
      </c>
      <c r="S52" s="276">
        <v>94.159125621353155</v>
      </c>
      <c r="T52" s="276">
        <v>94.201525604219455</v>
      </c>
      <c r="U52" s="276">
        <v>93.558109296625275</v>
      </c>
      <c r="V52" s="276">
        <v>90.865557627643256</v>
      </c>
      <c r="W52" s="276">
        <v>92.31889934358189</v>
      </c>
      <c r="X52" s="276">
        <v>93.25197487963429</v>
      </c>
      <c r="Y52" s="276">
        <v>93.702020255373569</v>
      </c>
      <c r="Z52" s="276">
        <v>93.801300343215814</v>
      </c>
      <c r="AA52" s="276">
        <v>93.694546840247227</v>
      </c>
      <c r="AB52" s="276">
        <v>93.66990502164704</v>
      </c>
      <c r="AC52" s="276">
        <v>93.769857845493874</v>
      </c>
      <c r="AD52" s="276">
        <v>93.799835749852789</v>
      </c>
      <c r="AE52" s="276">
        <v>93.483474999179947</v>
      </c>
      <c r="AF52" s="276">
        <v>93.612482357251352</v>
      </c>
      <c r="AG52" s="276">
        <v>93.848599399798672</v>
      </c>
      <c r="AH52" s="276">
        <v>93.993984413884093</v>
      </c>
      <c r="AI52" s="276">
        <v>93.859320813392273</v>
      </c>
      <c r="AJ52" s="276">
        <v>94.228294825966955</v>
      </c>
    </row>
    <row r="53" spans="1:36">
      <c r="A53" s="261" t="s">
        <v>386</v>
      </c>
      <c r="B53" s="288" t="s">
        <v>102</v>
      </c>
      <c r="C53" s="278" t="s">
        <v>46</v>
      </c>
      <c r="D53" s="267"/>
      <c r="E53" s="206" t="s">
        <v>386</v>
      </c>
      <c r="F53" s="276">
        <v>33.323299574564651</v>
      </c>
      <c r="G53" s="276">
        <v>33.005268502946571</v>
      </c>
      <c r="H53" s="276">
        <v>32.223687499830561</v>
      </c>
      <c r="I53" s="276">
        <v>31.803533941225506</v>
      </c>
      <c r="J53" s="276">
        <v>32.590695349275194</v>
      </c>
      <c r="K53" s="276">
        <v>32.997478927889858</v>
      </c>
      <c r="L53" s="276">
        <v>32.84406493668552</v>
      </c>
      <c r="M53" s="276">
        <v>32.800409741463241</v>
      </c>
      <c r="N53" s="276">
        <v>32.799379663379661</v>
      </c>
      <c r="O53" s="276">
        <v>32.800033592706434</v>
      </c>
      <c r="P53" s="276">
        <v>32.801072377893476</v>
      </c>
      <c r="Q53" s="276">
        <v>32.800017151312971</v>
      </c>
      <c r="R53" s="276">
        <v>32.797422423617398</v>
      </c>
      <c r="S53" s="276">
        <v>32.781327636063061</v>
      </c>
      <c r="T53" s="276">
        <v>32.984242715700965</v>
      </c>
      <c r="U53" s="276">
        <v>33.688842583074333</v>
      </c>
      <c r="V53" s="276">
        <v>33.135231884238749</v>
      </c>
      <c r="W53" s="276">
        <v>31.816058197003521</v>
      </c>
      <c r="X53" s="276">
        <v>34.578822248983315</v>
      </c>
      <c r="Y53" s="276">
        <v>34.634714213834513</v>
      </c>
      <c r="Z53" s="276">
        <v>34.572498263689489</v>
      </c>
      <c r="AA53" s="276">
        <v>34.601958992166821</v>
      </c>
      <c r="AB53" s="276">
        <v>34.582872900640623</v>
      </c>
      <c r="AC53" s="276">
        <v>34.583110055421272</v>
      </c>
      <c r="AD53" s="276">
        <v>34.540795439716589</v>
      </c>
      <c r="AE53" s="276">
        <v>33.15436806383822</v>
      </c>
      <c r="AF53" s="276">
        <v>33.183895557145441</v>
      </c>
      <c r="AG53" s="276">
        <v>33.801996549401437</v>
      </c>
      <c r="AH53" s="276">
        <v>33.980261862632346</v>
      </c>
      <c r="AI53" s="276">
        <v>33.362663817090649</v>
      </c>
      <c r="AJ53" s="276">
        <v>34.456933955020176</v>
      </c>
    </row>
    <row r="54" spans="1:36">
      <c r="A54" s="261" t="s">
        <v>387</v>
      </c>
      <c r="B54" s="288" t="s">
        <v>433</v>
      </c>
      <c r="C54" s="278" t="s">
        <v>9</v>
      </c>
      <c r="D54" s="267"/>
      <c r="E54" s="206" t="s">
        <v>387</v>
      </c>
      <c r="F54" s="276">
        <v>845.24260998597742</v>
      </c>
      <c r="G54" s="276">
        <v>999.00877429305785</v>
      </c>
      <c r="H54" s="276">
        <v>1022.5361363739622</v>
      </c>
      <c r="I54" s="276">
        <v>1066.0682948690669</v>
      </c>
      <c r="J54" s="276">
        <v>1072.7744551279902</v>
      </c>
      <c r="K54" s="276">
        <v>1057.1089396980824</v>
      </c>
      <c r="L54" s="276">
        <v>1067.3641162633949</v>
      </c>
      <c r="M54" s="276">
        <v>1052.5669511143481</v>
      </c>
      <c r="N54" s="276">
        <v>1028.1598834378462</v>
      </c>
      <c r="O54" s="276">
        <v>1055.2741439217057</v>
      </c>
      <c r="P54" s="276">
        <v>999.85931166087039</v>
      </c>
      <c r="Q54" s="276">
        <v>972.76733748148285</v>
      </c>
      <c r="R54" s="276">
        <v>1018.9479069317946</v>
      </c>
      <c r="S54" s="276">
        <v>1032.2153098925614</v>
      </c>
      <c r="T54" s="276">
        <v>989.55281679189466</v>
      </c>
      <c r="U54" s="276">
        <v>945.63812409592572</v>
      </c>
      <c r="V54" s="276">
        <v>911.95918245686437</v>
      </c>
      <c r="W54" s="276">
        <v>893.85525291062015</v>
      </c>
      <c r="X54" s="276">
        <v>924.75081623237998</v>
      </c>
      <c r="Y54" s="276">
        <v>986.65281805887093</v>
      </c>
      <c r="Z54" s="276">
        <v>993.2833727652104</v>
      </c>
      <c r="AA54" s="276">
        <v>979.42883433615702</v>
      </c>
      <c r="AB54" s="276">
        <v>1001.9543891900771</v>
      </c>
      <c r="AC54" s="276">
        <v>978.64112333735</v>
      </c>
      <c r="AD54" s="276">
        <v>964.37602186797483</v>
      </c>
      <c r="AE54" s="276">
        <v>988.13927727879832</v>
      </c>
      <c r="AF54" s="276">
        <v>989.01960591077943</v>
      </c>
      <c r="AG54" s="276">
        <v>977.42124404028891</v>
      </c>
      <c r="AH54" s="276">
        <v>986.69466865623701</v>
      </c>
      <c r="AI54" s="276">
        <v>966.50790498932656</v>
      </c>
      <c r="AJ54" s="276">
        <v>966.23010464287347</v>
      </c>
    </row>
    <row r="55" spans="1:36">
      <c r="A55" s="261" t="s">
        <v>388</v>
      </c>
      <c r="B55" s="288" t="s">
        <v>105</v>
      </c>
      <c r="C55" s="278" t="s">
        <v>9</v>
      </c>
      <c r="D55" s="267"/>
      <c r="E55" s="206" t="s">
        <v>388</v>
      </c>
      <c r="F55" s="276">
        <v>356.58639573734359</v>
      </c>
      <c r="G55" s="276">
        <v>378.83144456243286</v>
      </c>
      <c r="H55" s="276">
        <v>379.54205370565211</v>
      </c>
      <c r="I55" s="276">
        <v>379.59160063491652</v>
      </c>
      <c r="J55" s="276">
        <v>379.71643594093803</v>
      </c>
      <c r="K55" s="276">
        <v>379.82533093349701</v>
      </c>
      <c r="L55" s="276">
        <v>380.37206927400814</v>
      </c>
      <c r="M55" s="276">
        <v>381.03103486840052</v>
      </c>
      <c r="N55" s="276">
        <v>380.68268135956623</v>
      </c>
      <c r="O55" s="276">
        <v>389.42553857746157</v>
      </c>
      <c r="P55" s="276">
        <v>513.36883556801365</v>
      </c>
      <c r="Q55" s="276">
        <v>790.20365220513213</v>
      </c>
      <c r="R55" s="276">
        <v>805.17954843287316</v>
      </c>
      <c r="S55" s="276">
        <v>814.09117711996544</v>
      </c>
      <c r="T55" s="276">
        <v>857.63759818542235</v>
      </c>
      <c r="U55" s="276">
        <v>874.03802219440104</v>
      </c>
      <c r="V55" s="276">
        <v>835.8587122248432</v>
      </c>
      <c r="W55" s="276">
        <v>825.2329174058674</v>
      </c>
      <c r="X55" s="276">
        <v>822.06510842190949</v>
      </c>
      <c r="Y55" s="276">
        <v>797.90714344794969</v>
      </c>
      <c r="Z55" s="276">
        <v>787.64645862354826</v>
      </c>
      <c r="AA55" s="276">
        <v>787.46573302898366</v>
      </c>
      <c r="AB55" s="276">
        <v>788.55490195393611</v>
      </c>
      <c r="AC55" s="276">
        <v>788.76781313109814</v>
      </c>
      <c r="AD55" s="276">
        <v>798.65017073134231</v>
      </c>
      <c r="AE55" s="276">
        <v>866.46244160930507</v>
      </c>
      <c r="AF55" s="276">
        <v>867.30531067797006</v>
      </c>
      <c r="AG55" s="276">
        <v>868.42556731112427</v>
      </c>
      <c r="AH55" s="276">
        <v>859.55355225618587</v>
      </c>
      <c r="AI55" s="276">
        <v>860.95064918376511</v>
      </c>
      <c r="AJ55" s="276">
        <v>846.07285372176239</v>
      </c>
    </row>
    <row r="56" spans="1:36">
      <c r="A56" s="261" t="s">
        <v>389</v>
      </c>
      <c r="B56" s="288" t="s">
        <v>105</v>
      </c>
      <c r="C56" s="278" t="s">
        <v>9</v>
      </c>
      <c r="D56" s="267"/>
      <c r="E56" s="206" t="s">
        <v>389</v>
      </c>
      <c r="F56" s="276">
        <v>357.32272684908168</v>
      </c>
      <c r="G56" s="276">
        <v>379.10831975350226</v>
      </c>
      <c r="H56" s="276">
        <v>379.73613525358928</v>
      </c>
      <c r="I56" s="276">
        <v>379.79351058582097</v>
      </c>
      <c r="J56" s="276">
        <v>379.96114447040321</v>
      </c>
      <c r="K56" s="276">
        <v>380.01622039864463</v>
      </c>
      <c r="L56" s="276">
        <v>380.60848297798805</v>
      </c>
      <c r="M56" s="276">
        <v>381.36410484552493</v>
      </c>
      <c r="N56" s="276">
        <v>381.04862183958124</v>
      </c>
      <c r="O56" s="276">
        <v>389.76735269503712</v>
      </c>
      <c r="P56" s="276">
        <v>513.44011331652825</v>
      </c>
      <c r="Q56" s="276">
        <v>789.89866412161609</v>
      </c>
      <c r="R56" s="276">
        <v>804.81240516215075</v>
      </c>
      <c r="S56" s="276">
        <v>813.75787455919021</v>
      </c>
      <c r="T56" s="276">
        <v>857.2738733301087</v>
      </c>
      <c r="U56" s="276">
        <v>873.65081439666142</v>
      </c>
      <c r="V56" s="276">
        <v>835.59464529258025</v>
      </c>
      <c r="W56" s="276">
        <v>824.94434981923951</v>
      </c>
      <c r="X56" s="276">
        <v>821.75675586609827</v>
      </c>
      <c r="Y56" s="276">
        <v>797.77112293680148</v>
      </c>
      <c r="Z56" s="276">
        <v>787.32332092929369</v>
      </c>
      <c r="AA56" s="276">
        <v>787.12150330549798</v>
      </c>
      <c r="AB56" s="276">
        <v>788.20641288420904</v>
      </c>
      <c r="AC56" s="276">
        <v>788.50276877292265</v>
      </c>
      <c r="AD56" s="276">
        <v>798.42405631532233</v>
      </c>
      <c r="AE56" s="276">
        <v>866.1167592328128</v>
      </c>
      <c r="AF56" s="276">
        <v>866.86759589018072</v>
      </c>
      <c r="AG56" s="276">
        <v>867.9741143035933</v>
      </c>
      <c r="AH56" s="276">
        <v>859.10051498772918</v>
      </c>
      <c r="AI56" s="276">
        <v>860.56364907589102</v>
      </c>
      <c r="AJ56" s="276">
        <v>845.71116813453</v>
      </c>
    </row>
    <row r="57" spans="1:36">
      <c r="A57" s="261" t="s">
        <v>390</v>
      </c>
      <c r="B57" s="288" t="s">
        <v>106</v>
      </c>
      <c r="C57" s="278" t="s">
        <v>107</v>
      </c>
      <c r="D57" s="267"/>
      <c r="E57" s="206" t="s">
        <v>390</v>
      </c>
      <c r="F57" s="276">
        <v>34.61657268534632</v>
      </c>
      <c r="G57" s="276">
        <v>34.262488999248369</v>
      </c>
      <c r="H57" s="276">
        <v>34.250180774902127</v>
      </c>
      <c r="I57" s="276">
        <v>34.203417360048725</v>
      </c>
      <c r="J57" s="276">
        <v>34.200162043681289</v>
      </c>
      <c r="K57" s="276">
        <v>34.201060652418029</v>
      </c>
      <c r="L57" s="276">
        <v>34.199540993202767</v>
      </c>
      <c r="M57" s="276">
        <v>34.224757185531651</v>
      </c>
      <c r="N57" s="276">
        <v>34.241636679741831</v>
      </c>
      <c r="O57" s="276">
        <v>34.222150638688881</v>
      </c>
      <c r="P57" s="276">
        <v>34.284350897808594</v>
      </c>
      <c r="Q57" s="276">
        <v>34.292915963721782</v>
      </c>
      <c r="R57" s="276">
        <v>34.254257186568239</v>
      </c>
      <c r="S57" s="276">
        <v>34.249530614384547</v>
      </c>
      <c r="T57" s="276">
        <v>34.296446657932961</v>
      </c>
      <c r="U57" s="276">
        <v>34.354783124127117</v>
      </c>
      <c r="V57" s="276">
        <v>34.38715586015983</v>
      </c>
      <c r="W57" s="276">
        <v>34.402444169899177</v>
      </c>
      <c r="X57" s="276">
        <v>34.354209886135081</v>
      </c>
      <c r="Y57" s="276">
        <v>34.313426876234651</v>
      </c>
      <c r="Z57" s="276">
        <v>34.299654006714135</v>
      </c>
      <c r="AA57" s="276">
        <v>34.305989554332648</v>
      </c>
      <c r="AB57" s="276">
        <v>34.292000039950807</v>
      </c>
      <c r="AC57" s="276">
        <v>34.31887922561851</v>
      </c>
      <c r="AD57" s="276">
        <v>34.324191381337492</v>
      </c>
      <c r="AE57" s="276">
        <v>34.317666305832454</v>
      </c>
      <c r="AF57" s="276">
        <v>34.30053926534724</v>
      </c>
      <c r="AG57" s="276">
        <v>34.299883030502635</v>
      </c>
      <c r="AH57" s="276">
        <v>34.299358814405494</v>
      </c>
      <c r="AI57" s="276">
        <v>34.315366979619832</v>
      </c>
      <c r="AJ57" s="276">
        <v>34.320410064263875</v>
      </c>
    </row>
    <row r="58" spans="1:36">
      <c r="A58" s="261" t="s">
        <v>391</v>
      </c>
      <c r="B58" s="288" t="s">
        <v>117</v>
      </c>
      <c r="C58" s="278" t="s">
        <v>9</v>
      </c>
      <c r="D58" s="267"/>
      <c r="E58" s="206" t="s">
        <v>391</v>
      </c>
      <c r="F58" s="276">
        <v>406.52981476137546</v>
      </c>
      <c r="G58" s="276">
        <v>472.59984255335485</v>
      </c>
      <c r="H58" s="276">
        <v>480.93525457362938</v>
      </c>
      <c r="I58" s="276">
        <v>476.09772085326557</v>
      </c>
      <c r="J58" s="276">
        <v>496.58190913977023</v>
      </c>
      <c r="K58" s="276">
        <v>555.58055854831036</v>
      </c>
      <c r="L58" s="276">
        <v>549.59887341227818</v>
      </c>
      <c r="M58" s="276">
        <v>531.78012144092793</v>
      </c>
      <c r="N58" s="276">
        <v>539.15316979282909</v>
      </c>
      <c r="O58" s="276">
        <v>531.01400848000844</v>
      </c>
      <c r="P58" s="276">
        <v>521.23896494574569</v>
      </c>
      <c r="Q58" s="276">
        <v>524.98108122108943</v>
      </c>
      <c r="R58" s="276">
        <v>529.55937928350795</v>
      </c>
      <c r="S58" s="276">
        <v>526.40570782988118</v>
      </c>
      <c r="T58" s="276">
        <v>522.77534269705916</v>
      </c>
      <c r="U58" s="276">
        <v>571.87727709797571</v>
      </c>
      <c r="V58" s="276">
        <v>602.30527920603186</v>
      </c>
      <c r="W58" s="276">
        <v>615.77740401864037</v>
      </c>
      <c r="X58" s="276">
        <v>604.94636557221986</v>
      </c>
      <c r="Y58" s="276">
        <v>598.79874993107353</v>
      </c>
      <c r="Z58" s="276">
        <v>580.59697532610085</v>
      </c>
      <c r="AA58" s="276">
        <v>588.66411391103929</v>
      </c>
      <c r="AB58" s="276">
        <v>563.55007812930933</v>
      </c>
      <c r="AC58" s="276">
        <v>557.41143284728344</v>
      </c>
      <c r="AD58" s="276">
        <v>552.26979133326768</v>
      </c>
      <c r="AE58" s="276">
        <v>543.30207362543683</v>
      </c>
      <c r="AF58" s="276">
        <v>553.93615610840425</v>
      </c>
      <c r="AG58" s="276">
        <v>550.77939643236959</v>
      </c>
      <c r="AH58" s="276">
        <v>547.41793952126898</v>
      </c>
      <c r="AI58" s="276">
        <v>562.35126870310114</v>
      </c>
      <c r="AJ58" s="276">
        <v>574.67719888049055</v>
      </c>
    </row>
    <row r="59" spans="1:36">
      <c r="A59" s="261" t="s">
        <v>392</v>
      </c>
      <c r="B59" s="288">
        <v>0</v>
      </c>
      <c r="C59" s="278" t="s">
        <v>118</v>
      </c>
      <c r="D59" s="267"/>
      <c r="E59" s="206" t="s">
        <v>392</v>
      </c>
      <c r="F59" s="276">
        <v>46.007677499374175</v>
      </c>
      <c r="G59" s="276">
        <v>46.000434368751456</v>
      </c>
      <c r="H59" s="276">
        <v>45.999972069996183</v>
      </c>
      <c r="I59" s="276">
        <v>45.99969413798312</v>
      </c>
      <c r="J59" s="276">
        <v>46.002826199067485</v>
      </c>
      <c r="K59" s="276">
        <v>45.999968696864947</v>
      </c>
      <c r="L59" s="276">
        <v>45.99985881819881</v>
      </c>
      <c r="M59" s="276">
        <v>45.998673223714789</v>
      </c>
      <c r="N59" s="276">
        <v>46.000852095326714</v>
      </c>
      <c r="O59" s="276">
        <v>45.999293802013312</v>
      </c>
      <c r="P59" s="276">
        <v>46.000421602851553</v>
      </c>
      <c r="Q59" s="276">
        <v>46.000093950139991</v>
      </c>
      <c r="R59" s="276">
        <v>45.999717902839656</v>
      </c>
      <c r="S59" s="276">
        <v>45.999686675258182</v>
      </c>
      <c r="T59" s="276">
        <v>46.001871006556129</v>
      </c>
      <c r="U59" s="276">
        <v>45.999974234727915</v>
      </c>
      <c r="V59" s="276">
        <v>46.001736656269543</v>
      </c>
      <c r="W59" s="276">
        <v>45.99956856416236</v>
      </c>
      <c r="X59" s="276">
        <v>45.99966185241847</v>
      </c>
      <c r="Y59" s="276">
        <v>45.999131375516512</v>
      </c>
      <c r="Z59" s="276">
        <v>46.000232062071134</v>
      </c>
      <c r="AA59" s="276">
        <v>45.999061801046267</v>
      </c>
      <c r="AB59" s="276">
        <v>45.999876051156946</v>
      </c>
      <c r="AC59" s="276">
        <v>45.999951974010095</v>
      </c>
      <c r="AD59" s="276">
        <v>45.999856760534477</v>
      </c>
      <c r="AE59" s="276">
        <v>46.000040445415429</v>
      </c>
      <c r="AF59" s="276">
        <v>45.999901650512257</v>
      </c>
      <c r="AG59" s="276">
        <v>45.999740795913638</v>
      </c>
      <c r="AH59" s="276">
        <v>45.999557896943678</v>
      </c>
      <c r="AI59" s="276">
        <v>46.000839986484394</v>
      </c>
      <c r="AJ59" s="276">
        <v>45.999880797386936</v>
      </c>
    </row>
    <row r="60" spans="1:36">
      <c r="A60" s="261" t="s">
        <v>393</v>
      </c>
      <c r="B60" s="288">
        <v>0</v>
      </c>
      <c r="C60" s="278" t="s">
        <v>432</v>
      </c>
      <c r="D60" s="267"/>
      <c r="E60" s="206" t="s">
        <v>393</v>
      </c>
      <c r="F60" s="276">
        <v>465.50742903347577</v>
      </c>
      <c r="G60" s="276">
        <v>467.62355575239968</v>
      </c>
      <c r="H60" s="276">
        <v>468.05502270413518</v>
      </c>
      <c r="I60" s="276">
        <v>468.60998764885704</v>
      </c>
      <c r="J60" s="276">
        <v>475.91079262226572</v>
      </c>
      <c r="K60" s="276">
        <v>485.04945064575384</v>
      </c>
      <c r="L60" s="276">
        <v>484.9599211422402</v>
      </c>
      <c r="M60" s="276">
        <v>484.30948178449501</v>
      </c>
      <c r="N60" s="276">
        <v>486.2648951526113</v>
      </c>
      <c r="O60" s="276">
        <v>486.31451687709824</v>
      </c>
      <c r="P60" s="276">
        <v>485.91595430324469</v>
      </c>
      <c r="Q60" s="276">
        <v>486.40168533162182</v>
      </c>
      <c r="R60" s="276">
        <v>486.75192954710349</v>
      </c>
      <c r="S60" s="276">
        <v>484.18272648075441</v>
      </c>
      <c r="T60" s="276">
        <v>482.51682152051274</v>
      </c>
      <c r="U60" s="276">
        <v>488.78148421511935</v>
      </c>
      <c r="V60" s="276">
        <v>488.7776462982813</v>
      </c>
      <c r="W60" s="276">
        <v>488.75956677625709</v>
      </c>
      <c r="X60" s="276">
        <v>489.53992338502087</v>
      </c>
      <c r="Y60" s="276">
        <v>485.83216871678724</v>
      </c>
      <c r="Z60" s="276">
        <v>484.07675924973103</v>
      </c>
      <c r="AA60" s="276">
        <v>485.16686025699141</v>
      </c>
      <c r="AB60" s="276">
        <v>482.80691988128882</v>
      </c>
      <c r="AC60" s="276">
        <v>482.22278993318565</v>
      </c>
      <c r="AD60" s="276">
        <v>481.38126911047749</v>
      </c>
      <c r="AE60" s="276">
        <v>480.3960698583445</v>
      </c>
      <c r="AF60" s="276">
        <v>481.56749754297118</v>
      </c>
      <c r="AG60" s="276">
        <v>482.55154113742117</v>
      </c>
      <c r="AH60" s="276">
        <v>482.72196599791386</v>
      </c>
      <c r="AI60" s="276">
        <v>483.50603628545673</v>
      </c>
      <c r="AJ60" s="276">
        <v>484.05494958903728</v>
      </c>
    </row>
    <row r="61" spans="1:36">
      <c r="A61" s="261" t="s">
        <v>394</v>
      </c>
      <c r="B61" s="288" t="s">
        <v>121</v>
      </c>
      <c r="C61" s="278" t="s">
        <v>9</v>
      </c>
      <c r="D61" s="267"/>
      <c r="E61" s="206" t="s">
        <v>394</v>
      </c>
      <c r="F61" s="276">
        <v>3089.7898044185686</v>
      </c>
      <c r="G61" s="276">
        <v>3317.6693617201486</v>
      </c>
      <c r="H61" s="276">
        <v>3329.2467716933161</v>
      </c>
      <c r="I61" s="276">
        <v>3323.3720314482848</v>
      </c>
      <c r="J61" s="276">
        <v>3330.2706120661928</v>
      </c>
      <c r="K61" s="276">
        <v>3348.9432694808856</v>
      </c>
      <c r="L61" s="276">
        <v>3346.9469182847811</v>
      </c>
      <c r="M61" s="276">
        <v>3346.0756395337407</v>
      </c>
      <c r="N61" s="276">
        <v>3291.5066530580239</v>
      </c>
      <c r="O61" s="276">
        <v>3288.5977629135296</v>
      </c>
      <c r="P61" s="276">
        <v>3289.4500419538758</v>
      </c>
      <c r="Q61" s="276">
        <v>3287.1880737984948</v>
      </c>
      <c r="R61" s="276">
        <v>3285.140970629117</v>
      </c>
      <c r="S61" s="276">
        <v>3314.4320635059808</v>
      </c>
      <c r="T61" s="276">
        <v>3268.9400066702419</v>
      </c>
      <c r="U61" s="276">
        <v>3051.7729507810714</v>
      </c>
      <c r="V61" s="276">
        <v>2967.2779722570563</v>
      </c>
      <c r="W61" s="276">
        <v>2969.5295048768794</v>
      </c>
      <c r="X61" s="276">
        <v>3010.6955366694365</v>
      </c>
      <c r="Y61" s="276">
        <v>3087.8502010648458</v>
      </c>
      <c r="Z61" s="276">
        <v>3220.8470348319433</v>
      </c>
      <c r="AA61" s="276">
        <v>3236.9790454236627</v>
      </c>
      <c r="AB61" s="276">
        <v>3290.5369136534487</v>
      </c>
      <c r="AC61" s="276">
        <v>3296.5360499856547</v>
      </c>
      <c r="AD61" s="276">
        <v>3303.5042441687278</v>
      </c>
      <c r="AE61" s="276">
        <v>3329.9974893210629</v>
      </c>
      <c r="AF61" s="276">
        <v>3317.3215404651542</v>
      </c>
      <c r="AG61" s="276">
        <v>3318.2764927861895</v>
      </c>
      <c r="AH61" s="276">
        <v>3318.3252509502968</v>
      </c>
      <c r="AI61" s="276">
        <v>3291.976916101476</v>
      </c>
      <c r="AJ61" s="276">
        <v>3286.2136446536738</v>
      </c>
    </row>
    <row r="62" spans="1:36">
      <c r="A62" s="261" t="s">
        <v>395</v>
      </c>
      <c r="B62" s="288" t="s">
        <v>122</v>
      </c>
      <c r="C62" s="278" t="s">
        <v>9</v>
      </c>
      <c r="D62" s="267"/>
      <c r="E62" s="206" t="s">
        <v>395</v>
      </c>
      <c r="F62" s="276">
        <v>3518.4908271161294</v>
      </c>
      <c r="G62" s="276">
        <v>3779.5813155269429</v>
      </c>
      <c r="H62" s="276">
        <v>3801.0139949515233</v>
      </c>
      <c r="I62" s="276">
        <v>3789.5753047459857</v>
      </c>
      <c r="J62" s="276">
        <v>3799.1280675705798</v>
      </c>
      <c r="K62" s="276">
        <v>3838.82508558264</v>
      </c>
      <c r="L62" s="276">
        <v>3832.9809948993852</v>
      </c>
      <c r="M62" s="276">
        <v>3814.9448953722454</v>
      </c>
      <c r="N62" s="276">
        <v>3765.5550481161226</v>
      </c>
      <c r="O62" s="276">
        <v>3749.2656516442539</v>
      </c>
      <c r="P62" s="276">
        <v>3738.6127708173053</v>
      </c>
      <c r="Q62" s="276">
        <v>3744.0154308280871</v>
      </c>
      <c r="R62" s="276">
        <v>3748.1470944174289</v>
      </c>
      <c r="S62" s="276">
        <v>3772.1733880450661</v>
      </c>
      <c r="T62" s="276">
        <v>3721.7124069066931</v>
      </c>
      <c r="U62" s="276">
        <v>3545.9879580552201</v>
      </c>
      <c r="V62" s="276">
        <v>3484.5605515401053</v>
      </c>
      <c r="W62" s="276">
        <v>3500.1978379027855</v>
      </c>
      <c r="X62" s="276">
        <v>3533.3604863008331</v>
      </c>
      <c r="Y62" s="276">
        <v>3598.6301540073623</v>
      </c>
      <c r="Z62" s="276">
        <v>3716.3861760775771</v>
      </c>
      <c r="AA62" s="276">
        <v>3740.8278472887023</v>
      </c>
      <c r="AB62" s="276">
        <v>3771.6120314356176</v>
      </c>
      <c r="AC62" s="276">
        <v>3772.1578098407704</v>
      </c>
      <c r="AD62" s="276">
        <v>3776.247849454292</v>
      </c>
      <c r="AE62" s="276">
        <v>3794.2575026445215</v>
      </c>
      <c r="AF62" s="276">
        <v>3789.1383895018753</v>
      </c>
      <c r="AG62" s="276">
        <v>3786.9430753879892</v>
      </c>
      <c r="AH62" s="276">
        <v>3785.2940504702933</v>
      </c>
      <c r="AI62" s="276">
        <v>3776.3689141689915</v>
      </c>
      <c r="AJ62" s="276">
        <v>3780.9690104074857</v>
      </c>
    </row>
    <row r="63" spans="1:36">
      <c r="A63" s="261" t="s">
        <v>422</v>
      </c>
      <c r="B63" s="288" t="s">
        <v>123</v>
      </c>
      <c r="C63" s="278" t="s">
        <v>5</v>
      </c>
      <c r="D63" s="267"/>
      <c r="E63" s="206" t="s">
        <v>422</v>
      </c>
      <c r="F63" s="276">
        <v>0</v>
      </c>
      <c r="G63" s="276">
        <v>0</v>
      </c>
      <c r="H63" s="276">
        <v>0</v>
      </c>
      <c r="I63" s="276">
        <v>0</v>
      </c>
      <c r="J63" s="276">
        <v>0</v>
      </c>
      <c r="K63" s="276">
        <v>0</v>
      </c>
      <c r="L63" s="276">
        <v>0</v>
      </c>
      <c r="M63" s="276">
        <v>0</v>
      </c>
      <c r="N63" s="276">
        <v>0</v>
      </c>
      <c r="O63" s="276">
        <v>0</v>
      </c>
      <c r="P63" s="276">
        <v>0</v>
      </c>
      <c r="Q63" s="276">
        <v>0</v>
      </c>
      <c r="R63" s="276">
        <v>0</v>
      </c>
      <c r="S63" s="276">
        <v>0</v>
      </c>
      <c r="T63" s="276">
        <v>0</v>
      </c>
      <c r="U63" s="276">
        <v>0</v>
      </c>
      <c r="V63" s="276">
        <v>0</v>
      </c>
      <c r="W63" s="276">
        <v>0</v>
      </c>
      <c r="X63" s="276">
        <v>0</v>
      </c>
      <c r="Y63" s="276">
        <v>0</v>
      </c>
      <c r="Z63" s="276">
        <v>0</v>
      </c>
      <c r="AA63" s="276">
        <v>0</v>
      </c>
      <c r="AB63" s="276">
        <v>0</v>
      </c>
      <c r="AC63" s="276">
        <v>0</v>
      </c>
      <c r="AD63" s="276">
        <v>0</v>
      </c>
      <c r="AE63" s="276">
        <v>0</v>
      </c>
      <c r="AF63" s="276">
        <v>0</v>
      </c>
      <c r="AG63" s="276">
        <v>0</v>
      </c>
      <c r="AH63" s="276">
        <v>0</v>
      </c>
      <c r="AI63" s="276">
        <v>0</v>
      </c>
      <c r="AJ63" s="276">
        <v>0</v>
      </c>
    </row>
    <row r="64" spans="1:36">
      <c r="A64" s="261" t="s">
        <v>396</v>
      </c>
      <c r="B64" s="288" t="s">
        <v>125</v>
      </c>
      <c r="C64" s="278" t="s">
        <v>9</v>
      </c>
      <c r="D64" s="267"/>
      <c r="E64" s="206" t="s">
        <v>396</v>
      </c>
      <c r="F64" s="276">
        <v>324.16676648814445</v>
      </c>
      <c r="G64" s="276">
        <v>332.89450423141625</v>
      </c>
      <c r="H64" s="276">
        <v>332.44718730771098</v>
      </c>
      <c r="I64" s="276">
        <v>330.8416797310399</v>
      </c>
      <c r="J64" s="276">
        <v>298.80791710075175</v>
      </c>
      <c r="K64" s="276">
        <v>298.77604986565763</v>
      </c>
      <c r="L64" s="276">
        <v>298.82041565326176</v>
      </c>
      <c r="M64" s="276">
        <v>298.74243598333817</v>
      </c>
      <c r="N64" s="276">
        <v>298.66710757134712</v>
      </c>
      <c r="O64" s="276">
        <v>298.8312114239597</v>
      </c>
      <c r="P64" s="276">
        <v>298.7945522397082</v>
      </c>
      <c r="Q64" s="276">
        <v>298.78399133183819</v>
      </c>
      <c r="R64" s="276">
        <v>298.74263300284497</v>
      </c>
      <c r="S64" s="276">
        <v>298.75039665949947</v>
      </c>
      <c r="T64" s="276">
        <v>298.76866628286712</v>
      </c>
      <c r="U64" s="276">
        <v>298.76956566778045</v>
      </c>
      <c r="V64" s="276">
        <v>298.37717061731792</v>
      </c>
      <c r="W64" s="276">
        <v>296.9805211389052</v>
      </c>
      <c r="X64" s="276">
        <v>298.53843872203299</v>
      </c>
      <c r="Y64" s="276">
        <v>298.66494516623874</v>
      </c>
      <c r="Z64" s="276">
        <v>298.79019201746644</v>
      </c>
      <c r="AA64" s="276">
        <v>298.72485562492409</v>
      </c>
      <c r="AB64" s="276">
        <v>298.76936832873383</v>
      </c>
      <c r="AC64" s="276">
        <v>298.78651131956093</v>
      </c>
      <c r="AD64" s="276">
        <v>298.77841662523548</v>
      </c>
      <c r="AE64" s="276">
        <v>298.8740102977294</v>
      </c>
      <c r="AF64" s="276">
        <v>298.77815740255056</v>
      </c>
      <c r="AG64" s="276">
        <v>298.84263999168689</v>
      </c>
      <c r="AH64" s="276">
        <v>298.83417681336766</v>
      </c>
      <c r="AI64" s="276">
        <v>298.80656569128558</v>
      </c>
      <c r="AJ64" s="276">
        <v>298.84747845732812</v>
      </c>
    </row>
    <row r="65" spans="1:36">
      <c r="A65" s="261" t="s">
        <v>397</v>
      </c>
      <c r="B65" s="288" t="s">
        <v>126</v>
      </c>
      <c r="C65" s="278" t="s">
        <v>9</v>
      </c>
      <c r="D65" s="267"/>
      <c r="E65" s="206" t="s">
        <v>397</v>
      </c>
      <c r="F65" s="276">
        <v>11.143605999568781</v>
      </c>
      <c r="G65" s="276">
        <v>11.909298487615901</v>
      </c>
      <c r="H65" s="276">
        <v>12.132769355764577</v>
      </c>
      <c r="I65" s="276">
        <v>12.313770696437308</v>
      </c>
      <c r="J65" s="276">
        <v>12.371218025710249</v>
      </c>
      <c r="K65" s="276">
        <v>12.43644127983829</v>
      </c>
      <c r="L65" s="276">
        <v>12.380814824381439</v>
      </c>
      <c r="M65" s="276">
        <v>12.243364172953635</v>
      </c>
      <c r="N65" s="276">
        <v>12.251209233993208</v>
      </c>
      <c r="O65" s="276">
        <v>12.185226931060388</v>
      </c>
      <c r="P65" s="276">
        <v>12.359482098406259</v>
      </c>
      <c r="Q65" s="276">
        <v>12.469431976284101</v>
      </c>
      <c r="R65" s="276">
        <v>12.614340513002979</v>
      </c>
      <c r="S65" s="276">
        <v>12.620499361982544</v>
      </c>
      <c r="T65" s="276">
        <v>12.578840179196696</v>
      </c>
      <c r="U65" s="276">
        <v>12.273008614161323</v>
      </c>
      <c r="V65" s="276">
        <v>12.131237355816172</v>
      </c>
      <c r="W65" s="276">
        <v>12.196933706592501</v>
      </c>
      <c r="X65" s="276">
        <v>12.282644234073882</v>
      </c>
      <c r="Y65" s="276">
        <v>12.294593456262579</v>
      </c>
      <c r="Z65" s="276">
        <v>12.626519079941783</v>
      </c>
      <c r="AA65" s="276">
        <v>12.731062737141519</v>
      </c>
      <c r="AB65" s="276">
        <v>12.756675475614477</v>
      </c>
      <c r="AC65" s="276">
        <v>12.645451923413564</v>
      </c>
      <c r="AD65" s="276">
        <v>12.630325828891708</v>
      </c>
      <c r="AE65" s="276">
        <v>12.570786285992648</v>
      </c>
      <c r="AF65" s="276">
        <v>12.735336962499879</v>
      </c>
      <c r="AG65" s="276">
        <v>12.896821689104135</v>
      </c>
      <c r="AH65" s="276">
        <v>12.999093800024138</v>
      </c>
      <c r="AI65" s="276">
        <v>13.083563265734352</v>
      </c>
      <c r="AJ65" s="276">
        <v>13.20317204447576</v>
      </c>
    </row>
    <row r="66" spans="1:36">
      <c r="A66" s="261" t="s">
        <v>398</v>
      </c>
      <c r="B66" s="288" t="s">
        <v>129</v>
      </c>
      <c r="C66" s="278" t="s">
        <v>9</v>
      </c>
      <c r="D66" s="267"/>
      <c r="E66" s="206" t="s">
        <v>398</v>
      </c>
      <c r="F66" s="276">
        <v>3389.8588469197334</v>
      </c>
      <c r="G66" s="276">
        <v>3664.5952355789309</v>
      </c>
      <c r="H66" s="276">
        <v>3685.7111485994869</v>
      </c>
      <c r="I66" s="276">
        <v>3675.4642526030425</v>
      </c>
      <c r="J66" s="276">
        <v>3683.867063100894</v>
      </c>
      <c r="K66" s="276">
        <v>3725.7587858615852</v>
      </c>
      <c r="L66" s="276">
        <v>3719.2905825952366</v>
      </c>
      <c r="M66" s="276">
        <v>3700.2337685233001</v>
      </c>
      <c r="N66" s="276">
        <v>3649.851602896289</v>
      </c>
      <c r="O66" s="276">
        <v>3637.1914899750932</v>
      </c>
      <c r="P66" s="276">
        <v>3627.2442637044992</v>
      </c>
      <c r="Q66" s="276">
        <v>3629.5329375266774</v>
      </c>
      <c r="R66" s="276">
        <v>3628.8439537399931</v>
      </c>
      <c r="S66" s="276">
        <v>3658.6980660280283</v>
      </c>
      <c r="T66" s="276">
        <v>3608.7045150178642</v>
      </c>
      <c r="U66" s="276">
        <v>3425.1374725565888</v>
      </c>
      <c r="V66" s="276">
        <v>3356.4123275061002</v>
      </c>
      <c r="W66" s="276">
        <v>3373.1574650700245</v>
      </c>
      <c r="X66" s="276">
        <v>3403.8482652642315</v>
      </c>
      <c r="Y66" s="276">
        <v>3475.676102528168</v>
      </c>
      <c r="Z66" s="276">
        <v>3600.9721194943022</v>
      </c>
      <c r="AA66" s="276">
        <v>3625.7115190519839</v>
      </c>
      <c r="AB66" s="276">
        <v>3658.3314396322789</v>
      </c>
      <c r="AC66" s="276">
        <v>3658.2126200764083</v>
      </c>
      <c r="AD66" s="276">
        <v>3660.4719725434356</v>
      </c>
      <c r="AE66" s="276">
        <v>3683.3951501293095</v>
      </c>
      <c r="AF66" s="276">
        <v>3677.9198539064569</v>
      </c>
      <c r="AG66" s="276">
        <v>3675.8043289944203</v>
      </c>
      <c r="AH66" s="276">
        <v>3675.1906047618968</v>
      </c>
      <c r="AI66" s="276">
        <v>3661.5178652721788</v>
      </c>
      <c r="AJ66" s="276">
        <v>3667.7344592661148</v>
      </c>
    </row>
    <row r="67" spans="1:36">
      <c r="A67" s="261" t="s">
        <v>399</v>
      </c>
      <c r="B67" s="288" t="s">
        <v>130</v>
      </c>
      <c r="C67" s="278" t="s">
        <v>9</v>
      </c>
      <c r="D67" s="267"/>
      <c r="E67" s="206" t="s">
        <v>399</v>
      </c>
      <c r="F67" s="276">
        <v>44.827314791557505</v>
      </c>
      <c r="G67" s="276">
        <v>65.494207482786763</v>
      </c>
      <c r="H67" s="276">
        <v>63.429567403588592</v>
      </c>
      <c r="I67" s="276">
        <v>61.566810598655664</v>
      </c>
      <c r="J67" s="276">
        <v>57.421625596831298</v>
      </c>
      <c r="K67" s="276">
        <v>70.260243648370093</v>
      </c>
      <c r="L67" s="276">
        <v>70.255795119385951</v>
      </c>
      <c r="M67" s="276">
        <v>70.249288193056643</v>
      </c>
      <c r="N67" s="276">
        <v>70.263426884822564</v>
      </c>
      <c r="O67" s="276">
        <v>70.251937960579269</v>
      </c>
      <c r="P67" s="276">
        <v>70.270091985530144</v>
      </c>
      <c r="Q67" s="276">
        <v>70.25657869062519</v>
      </c>
      <c r="R67" s="276">
        <v>70.266172212887184</v>
      </c>
      <c r="S67" s="276">
        <v>70.25826907931885</v>
      </c>
      <c r="T67" s="276">
        <v>70.265224532098941</v>
      </c>
      <c r="U67" s="276">
        <v>73.638300047476648</v>
      </c>
      <c r="V67" s="276">
        <v>84.991223175705841</v>
      </c>
      <c r="W67" s="276">
        <v>87.069610360812788</v>
      </c>
      <c r="X67" s="276">
        <v>87.990797824980987</v>
      </c>
      <c r="Y67" s="276">
        <v>99.924574674669486</v>
      </c>
      <c r="Z67" s="276">
        <v>93.319856439541667</v>
      </c>
      <c r="AA67" s="276">
        <v>89.984682591118528</v>
      </c>
      <c r="AB67" s="276">
        <v>89.989262583470648</v>
      </c>
      <c r="AC67" s="276">
        <v>90.002259998196706</v>
      </c>
      <c r="AD67" s="276">
        <v>89.993977716590138</v>
      </c>
      <c r="AE67" s="276">
        <v>90.028060077208821</v>
      </c>
      <c r="AF67" s="276">
        <v>89.400916803798296</v>
      </c>
      <c r="AG67" s="276">
        <v>85.602063368972509</v>
      </c>
      <c r="AH67" s="276">
        <v>83.998363356776636</v>
      </c>
      <c r="AI67" s="276">
        <v>83.999552026282643</v>
      </c>
      <c r="AJ67" s="276">
        <v>83.997488070970974</v>
      </c>
    </row>
    <row r="68" spans="1:36">
      <c r="A68" s="261" t="s">
        <v>400</v>
      </c>
      <c r="B68" s="288" t="s">
        <v>131</v>
      </c>
      <c r="C68" s="278" t="s">
        <v>9</v>
      </c>
      <c r="D68" s="267"/>
      <c r="E68" s="206" t="s">
        <v>400</v>
      </c>
      <c r="F68" s="276">
        <v>64.435585207243705</v>
      </c>
      <c r="G68" s="276">
        <v>67.717366666305907</v>
      </c>
      <c r="H68" s="276">
        <v>67.829990312269615</v>
      </c>
      <c r="I68" s="276">
        <v>68.380181658041053</v>
      </c>
      <c r="J68" s="276">
        <v>68.623165906064173</v>
      </c>
      <c r="K68" s="276">
        <v>67.674918678436512</v>
      </c>
      <c r="L68" s="276">
        <v>67.432783860414403</v>
      </c>
      <c r="M68" s="276">
        <v>67.401967375238826</v>
      </c>
      <c r="N68" s="276">
        <v>66.801651102614258</v>
      </c>
      <c r="O68" s="276">
        <v>66.887273585296967</v>
      </c>
      <c r="P68" s="276">
        <v>67.393411804539667</v>
      </c>
      <c r="Q68" s="276">
        <v>66.590571749911987</v>
      </c>
      <c r="R68" s="276">
        <v>66.67751013257211</v>
      </c>
      <c r="S68" s="276">
        <v>65.658132508533697</v>
      </c>
      <c r="T68" s="276">
        <v>64.008958131573351</v>
      </c>
      <c r="U68" s="276">
        <v>63.437993764313511</v>
      </c>
      <c r="V68" s="276">
        <v>65.969798661411986</v>
      </c>
      <c r="W68" s="276">
        <v>67.930464253349129</v>
      </c>
      <c r="X68" s="276">
        <v>64.198659587459417</v>
      </c>
      <c r="Y68" s="276">
        <v>68.296173134541306</v>
      </c>
      <c r="Z68" s="276">
        <v>66.739765325110284</v>
      </c>
      <c r="AA68" s="276">
        <v>67.012865866984896</v>
      </c>
      <c r="AB68" s="276">
        <v>67.695306100029853</v>
      </c>
      <c r="AC68" s="276">
        <v>67.479939049617997</v>
      </c>
      <c r="AD68" s="276">
        <v>68.602745621164189</v>
      </c>
      <c r="AE68" s="276">
        <v>68.104212215481041</v>
      </c>
      <c r="AF68" s="276">
        <v>68.736496580385847</v>
      </c>
      <c r="AG68" s="276">
        <v>68.272403642342994</v>
      </c>
      <c r="AH68" s="276">
        <v>69.136759121385083</v>
      </c>
      <c r="AI68" s="276">
        <v>69.229354722545409</v>
      </c>
      <c r="AJ68" s="276">
        <v>69.277880759357274</v>
      </c>
    </row>
    <row r="69" spans="1:36">
      <c r="A69" s="261" t="s">
        <v>401</v>
      </c>
      <c r="B69" s="288" t="s">
        <v>132</v>
      </c>
      <c r="C69" s="278" t="s">
        <v>9</v>
      </c>
      <c r="D69" s="267"/>
      <c r="E69" s="206" t="s">
        <v>401</v>
      </c>
      <c r="F69" s="276">
        <v>4.7598831384685747</v>
      </c>
      <c r="G69" s="276">
        <v>4.7120430253014378</v>
      </c>
      <c r="H69" s="276">
        <v>4.7259447990255117</v>
      </c>
      <c r="I69" s="276">
        <v>4.7466986326344474</v>
      </c>
      <c r="J69" s="276">
        <v>4.752398882970434</v>
      </c>
      <c r="K69" s="276">
        <v>4.7581413911165082</v>
      </c>
      <c r="L69" s="276">
        <v>4.7565780970163933</v>
      </c>
      <c r="M69" s="276">
        <v>4.7608676964476677</v>
      </c>
      <c r="N69" s="276">
        <v>4.781246017621247</v>
      </c>
      <c r="O69" s="276">
        <v>4.7843023717207531</v>
      </c>
      <c r="P69" s="276">
        <v>4.7980110349147269</v>
      </c>
      <c r="Q69" s="276">
        <v>4.7949166009113888</v>
      </c>
      <c r="R69" s="276">
        <v>4.7906290428729372</v>
      </c>
      <c r="S69" s="276">
        <v>4.7638157262541689</v>
      </c>
      <c r="T69" s="276">
        <v>4.7631617886326634</v>
      </c>
      <c r="U69" s="276">
        <v>5.6040311087185124</v>
      </c>
      <c r="V69" s="276">
        <v>6.7571506820102787</v>
      </c>
      <c r="W69" s="276">
        <v>6.7003962057524431</v>
      </c>
      <c r="X69" s="276">
        <v>5.2984779394608577</v>
      </c>
      <c r="Y69" s="276">
        <v>4.8957967453488411</v>
      </c>
      <c r="Z69" s="276">
        <v>4.8562441514443604</v>
      </c>
      <c r="AA69" s="276">
        <v>4.8661216424749663</v>
      </c>
      <c r="AB69" s="276">
        <v>4.8780582769416565</v>
      </c>
      <c r="AC69" s="276">
        <v>4.8781987628970587</v>
      </c>
      <c r="AD69" s="276">
        <v>4.8932441330636269</v>
      </c>
      <c r="AE69" s="276">
        <v>4.8900656109899137</v>
      </c>
      <c r="AF69" s="276">
        <v>4.8798495351309521</v>
      </c>
      <c r="AG69" s="276">
        <v>4.8903257050463838</v>
      </c>
      <c r="AH69" s="276">
        <v>4.9082425445420386</v>
      </c>
      <c r="AI69" s="276">
        <v>4.9221852955208103</v>
      </c>
      <c r="AJ69" s="276">
        <v>4.9264733162800205</v>
      </c>
    </row>
    <row r="70" spans="1:36">
      <c r="A70" s="261" t="s">
        <v>409</v>
      </c>
      <c r="B70" s="288" t="s">
        <v>411</v>
      </c>
      <c r="C70" s="278" t="s">
        <v>5</v>
      </c>
      <c r="D70" s="267"/>
      <c r="E70" s="206" t="s">
        <v>409</v>
      </c>
      <c r="F70" s="276">
        <v>0</v>
      </c>
      <c r="G70" s="276">
        <v>0</v>
      </c>
      <c r="H70" s="276">
        <v>0</v>
      </c>
      <c r="I70" s="276">
        <v>0</v>
      </c>
      <c r="J70" s="276">
        <v>0</v>
      </c>
      <c r="K70" s="276">
        <v>0</v>
      </c>
      <c r="L70" s="276">
        <v>0</v>
      </c>
      <c r="M70" s="276">
        <v>0</v>
      </c>
      <c r="N70" s="276">
        <v>0</v>
      </c>
      <c r="O70" s="276">
        <v>0</v>
      </c>
      <c r="P70" s="276">
        <v>0</v>
      </c>
      <c r="Q70" s="276">
        <v>0</v>
      </c>
      <c r="R70" s="276">
        <v>0</v>
      </c>
      <c r="S70" s="276">
        <v>0</v>
      </c>
      <c r="T70" s="276">
        <v>0</v>
      </c>
      <c r="U70" s="276">
        <v>0</v>
      </c>
      <c r="V70" s="276">
        <v>11.701256396926755</v>
      </c>
      <c r="W70" s="276">
        <v>11.745831609681456</v>
      </c>
      <c r="X70" s="276">
        <v>0</v>
      </c>
      <c r="Y70" s="276">
        <v>0</v>
      </c>
      <c r="Z70" s="276">
        <v>0</v>
      </c>
      <c r="AA70" s="276">
        <v>0</v>
      </c>
      <c r="AB70" s="276">
        <v>0</v>
      </c>
      <c r="AC70" s="276">
        <v>0</v>
      </c>
      <c r="AD70" s="276">
        <v>0</v>
      </c>
      <c r="AE70" s="276">
        <v>0</v>
      </c>
      <c r="AF70" s="276">
        <v>0</v>
      </c>
      <c r="AG70" s="276">
        <v>0</v>
      </c>
      <c r="AH70" s="276">
        <v>0</v>
      </c>
      <c r="AI70" s="276">
        <v>0</v>
      </c>
      <c r="AJ70" s="276">
        <v>0</v>
      </c>
    </row>
    <row r="71" spans="1:36">
      <c r="A71" s="261" t="s">
        <v>412</v>
      </c>
      <c r="B71" s="288" t="s">
        <v>410</v>
      </c>
      <c r="C71" s="278" t="s">
        <v>5</v>
      </c>
      <c r="D71" s="267"/>
      <c r="E71" s="206" t="s">
        <v>412</v>
      </c>
      <c r="F71" s="276">
        <v>0</v>
      </c>
      <c r="G71" s="276">
        <v>0</v>
      </c>
      <c r="H71" s="276">
        <v>0</v>
      </c>
      <c r="I71" s="276">
        <v>0</v>
      </c>
      <c r="J71" s="276">
        <v>0</v>
      </c>
      <c r="K71" s="276">
        <v>0</v>
      </c>
      <c r="L71" s="276">
        <v>0</v>
      </c>
      <c r="M71" s="276">
        <v>0</v>
      </c>
      <c r="N71" s="276">
        <v>0</v>
      </c>
      <c r="O71" s="276">
        <v>0</v>
      </c>
      <c r="P71" s="276">
        <v>0</v>
      </c>
      <c r="Q71" s="276">
        <v>0</v>
      </c>
      <c r="R71" s="276">
        <v>0</v>
      </c>
      <c r="S71" s="276">
        <v>0</v>
      </c>
      <c r="T71" s="276">
        <v>0</v>
      </c>
      <c r="U71" s="276">
        <v>0</v>
      </c>
      <c r="V71" s="276">
        <v>0</v>
      </c>
      <c r="W71" s="276">
        <v>0</v>
      </c>
      <c r="X71" s="276">
        <v>0</v>
      </c>
      <c r="Y71" s="276">
        <v>0</v>
      </c>
      <c r="Z71" s="276">
        <v>0</v>
      </c>
      <c r="AA71" s="276">
        <v>0</v>
      </c>
      <c r="AB71" s="276">
        <v>0</v>
      </c>
      <c r="AC71" s="276">
        <v>0</v>
      </c>
      <c r="AD71" s="276">
        <v>0</v>
      </c>
      <c r="AE71" s="276">
        <v>0</v>
      </c>
      <c r="AF71" s="276">
        <v>0</v>
      </c>
      <c r="AG71" s="276">
        <v>0</v>
      </c>
      <c r="AH71" s="276">
        <v>0</v>
      </c>
      <c r="AI71" s="276">
        <v>0</v>
      </c>
      <c r="AJ71" s="276">
        <v>0</v>
      </c>
    </row>
    <row r="72" spans="1:36">
      <c r="A72" s="261" t="s">
        <v>402</v>
      </c>
      <c r="B72" s="288" t="s">
        <v>134</v>
      </c>
      <c r="C72" s="278" t="s">
        <v>9</v>
      </c>
      <c r="D72" s="267"/>
      <c r="E72" s="206" t="s">
        <v>402</v>
      </c>
      <c r="F72" s="276">
        <v>2445.7614843171959</v>
      </c>
      <c r="G72" s="276">
        <v>2592.9166809602698</v>
      </c>
      <c r="H72" s="276">
        <v>2607.2226021826923</v>
      </c>
      <c r="I72" s="276">
        <v>2604.6073823100819</v>
      </c>
      <c r="J72" s="276">
        <v>2568.9385945872164</v>
      </c>
      <c r="K72" s="276">
        <v>2566.8858527391908</v>
      </c>
      <c r="L72" s="276">
        <v>2570.6017614429675</v>
      </c>
      <c r="M72" s="276">
        <v>2580.0588171623863</v>
      </c>
      <c r="N72" s="276">
        <v>2542.7898876934432</v>
      </c>
      <c r="O72" s="276">
        <v>2541.2836636859047</v>
      </c>
      <c r="P72" s="276">
        <v>2542.5555196662781</v>
      </c>
      <c r="Q72" s="276">
        <v>2541.1198568128934</v>
      </c>
      <c r="R72" s="276">
        <v>2543.1509636687069</v>
      </c>
      <c r="S72" s="276">
        <v>2560.1591794095179</v>
      </c>
      <c r="T72" s="276">
        <v>2539.1840057557806</v>
      </c>
      <c r="U72" s="276">
        <v>2379.9960017627036</v>
      </c>
      <c r="V72" s="276">
        <v>2324.3467817550372</v>
      </c>
      <c r="W72" s="276">
        <v>2309.2366427822321</v>
      </c>
      <c r="X72" s="276">
        <v>2347.89889188297</v>
      </c>
      <c r="Y72" s="276">
        <v>2401.6364246006601</v>
      </c>
      <c r="Z72" s="276">
        <v>2491.4468132734819</v>
      </c>
      <c r="AA72" s="276">
        <v>2500.6148606016391</v>
      </c>
      <c r="AB72" s="276">
        <v>2560.1544675509053</v>
      </c>
      <c r="AC72" s="276">
        <v>2566.5906052732657</v>
      </c>
      <c r="AD72" s="276">
        <v>2573.7695657799277</v>
      </c>
      <c r="AE72" s="276">
        <v>2596.5063485281785</v>
      </c>
      <c r="AF72" s="276">
        <v>2582.6452659504193</v>
      </c>
      <c r="AG72" s="276">
        <v>2581.6056548355018</v>
      </c>
      <c r="AH72" s="276">
        <v>2582.9485586198639</v>
      </c>
      <c r="AI72" s="276">
        <v>2559.6359058901362</v>
      </c>
      <c r="AJ72" s="276">
        <v>2549.9349708285054</v>
      </c>
    </row>
    <row r="73" spans="1:36">
      <c r="A73" s="261" t="s">
        <v>403</v>
      </c>
      <c r="B73" s="288" t="s">
        <v>142</v>
      </c>
      <c r="C73" s="278" t="s">
        <v>9</v>
      </c>
      <c r="D73" s="267"/>
      <c r="E73" s="206" t="s">
        <v>403</v>
      </c>
      <c r="F73" s="276" t="s">
        <v>443</v>
      </c>
      <c r="G73" s="276" t="s">
        <v>443</v>
      </c>
      <c r="H73" s="276" t="s">
        <v>443</v>
      </c>
      <c r="I73" s="276" t="s">
        <v>443</v>
      </c>
      <c r="J73" s="276" t="s">
        <v>443</v>
      </c>
      <c r="K73" s="276" t="s">
        <v>443</v>
      </c>
      <c r="L73" s="276" t="s">
        <v>443</v>
      </c>
      <c r="M73" s="276" t="s">
        <v>443</v>
      </c>
      <c r="N73" s="276" t="s">
        <v>443</v>
      </c>
      <c r="O73" s="276" t="s">
        <v>443</v>
      </c>
      <c r="P73" s="276" t="s">
        <v>443</v>
      </c>
      <c r="Q73" s="276" t="s">
        <v>443</v>
      </c>
      <c r="R73" s="276" t="s">
        <v>443</v>
      </c>
      <c r="S73" s="276" t="s">
        <v>443</v>
      </c>
      <c r="T73" s="276" t="s">
        <v>443</v>
      </c>
      <c r="U73" s="276" t="s">
        <v>443</v>
      </c>
      <c r="V73" s="276" t="s">
        <v>443</v>
      </c>
      <c r="W73" s="276" t="s">
        <v>443</v>
      </c>
      <c r="X73" s="276" t="s">
        <v>443</v>
      </c>
      <c r="Y73" s="276" t="s">
        <v>443</v>
      </c>
      <c r="Z73" s="276" t="s">
        <v>443</v>
      </c>
      <c r="AA73" s="276" t="s">
        <v>443</v>
      </c>
      <c r="AB73" s="276" t="s">
        <v>443</v>
      </c>
      <c r="AC73" s="276" t="s">
        <v>443</v>
      </c>
      <c r="AD73" s="276" t="s">
        <v>443</v>
      </c>
      <c r="AE73" s="276" t="s">
        <v>443</v>
      </c>
      <c r="AF73" s="276" t="s">
        <v>443</v>
      </c>
      <c r="AG73" s="276" t="s">
        <v>443</v>
      </c>
      <c r="AH73" s="276" t="s">
        <v>443</v>
      </c>
      <c r="AI73" s="276" t="s">
        <v>443</v>
      </c>
      <c r="AJ73" s="276" t="s">
        <v>443</v>
      </c>
    </row>
    <row r="74" spans="1:36">
      <c r="A74" s="261" t="s">
        <v>435</v>
      </c>
      <c r="B74" s="288" t="s">
        <v>436</v>
      </c>
      <c r="C74" s="278"/>
      <c r="D74" s="267"/>
      <c r="E74" s="206" t="s">
        <v>330</v>
      </c>
      <c r="F74" s="276">
        <v>7.7279660997690209</v>
      </c>
      <c r="G74" s="276">
        <v>7.7303224221183022</v>
      </c>
      <c r="H74" s="276">
        <v>7.3125413334366414</v>
      </c>
      <c r="I74" s="276">
        <v>7.3564318161493309</v>
      </c>
      <c r="J74" s="276">
        <v>7.3837764145766291</v>
      </c>
      <c r="K74" s="276">
        <v>7.4697811417389905</v>
      </c>
      <c r="L74" s="276">
        <v>7.5239990287547078</v>
      </c>
      <c r="M74" s="276">
        <v>7.5938149259472025</v>
      </c>
      <c r="N74" s="276">
        <v>7.9582365279016596</v>
      </c>
      <c r="O74" s="276">
        <v>8.6289094443747221</v>
      </c>
      <c r="P74" s="276">
        <v>8.4682452695124919</v>
      </c>
      <c r="Q74" s="276">
        <v>8.440505541590495</v>
      </c>
      <c r="R74" s="276">
        <v>8.6526504696691742</v>
      </c>
      <c r="S74" s="276">
        <v>8.6225011748267057</v>
      </c>
      <c r="T74" s="276">
        <v>8.6996619133078799</v>
      </c>
      <c r="U74" s="276">
        <v>8.7913844755574146</v>
      </c>
      <c r="V74" s="276">
        <v>8.8410992016483316</v>
      </c>
      <c r="W74" s="276">
        <v>8.9198275626088268</v>
      </c>
      <c r="X74" s="276">
        <v>8.8196159632266831</v>
      </c>
      <c r="Y74" s="276">
        <v>8.7267449256141401</v>
      </c>
      <c r="Z74" s="276">
        <v>8.7498650881695621</v>
      </c>
      <c r="AA74" s="276">
        <v>8.8039731073656302</v>
      </c>
      <c r="AB74" s="276">
        <v>8.7858126783896253</v>
      </c>
      <c r="AC74" s="276">
        <v>8.9024445671828971</v>
      </c>
      <c r="AD74" s="276">
        <v>9.0131641765213946</v>
      </c>
      <c r="AE74" s="276">
        <v>8.7480458769460938</v>
      </c>
      <c r="AF74" s="276">
        <v>8.742150992262971</v>
      </c>
      <c r="AG74" s="276">
        <v>8.751144177902642</v>
      </c>
      <c r="AH74" s="276">
        <v>8.5309400552808601</v>
      </c>
      <c r="AI74" s="276">
        <v>8.2720674214075363</v>
      </c>
      <c r="AJ74" s="276">
        <v>8.2636323803532843</v>
      </c>
    </row>
    <row r="75" spans="1:36">
      <c r="A75" s="261" t="s">
        <v>330</v>
      </c>
      <c r="B75" s="288" t="s">
        <v>437</v>
      </c>
      <c r="C75" s="278"/>
      <c r="D75" s="267"/>
      <c r="E75" s="206" t="s">
        <v>331</v>
      </c>
      <c r="F75" s="276">
        <v>88.147258949662117</v>
      </c>
      <c r="G75" s="276">
        <v>88.277515973404476</v>
      </c>
      <c r="H75" s="276">
        <v>89.174940954354767</v>
      </c>
      <c r="I75" s="276">
        <v>89.15497046429067</v>
      </c>
      <c r="J75" s="276">
        <v>89.08731592207117</v>
      </c>
      <c r="K75" s="276">
        <v>89.003320499361394</v>
      </c>
      <c r="L75" s="276">
        <v>89.023175574154934</v>
      </c>
      <c r="M75" s="276">
        <v>88.822127729292873</v>
      </c>
      <c r="N75" s="276">
        <v>88.550442470752529</v>
      </c>
      <c r="O75" s="276">
        <v>87.92216850003274</v>
      </c>
      <c r="P75" s="276">
        <v>88.099635909258424</v>
      </c>
      <c r="Q75" s="276">
        <v>88.101176708826046</v>
      </c>
      <c r="R75" s="276">
        <v>87.861880776946364</v>
      </c>
      <c r="S75" s="276">
        <v>87.966367875650462</v>
      </c>
      <c r="T75" s="276">
        <v>88.160841388969317</v>
      </c>
      <c r="U75" s="276">
        <v>87.706284104460934</v>
      </c>
      <c r="V75" s="276">
        <v>87.750786125955258</v>
      </c>
      <c r="W75" s="276">
        <v>87.611236273486668</v>
      </c>
      <c r="X75" s="276">
        <v>87.675747832111995</v>
      </c>
      <c r="Y75" s="276">
        <v>87.682347761853066</v>
      </c>
      <c r="Z75" s="276">
        <v>87.782026093448437</v>
      </c>
      <c r="AA75" s="276">
        <v>87.759341299360855</v>
      </c>
      <c r="AB75" s="276">
        <v>87.788837119368907</v>
      </c>
      <c r="AC75" s="276">
        <v>87.555786259232761</v>
      </c>
      <c r="AD75" s="276">
        <v>87.437295682718315</v>
      </c>
      <c r="AE75" s="276">
        <v>87.761213149261906</v>
      </c>
      <c r="AF75" s="276">
        <v>87.911582058887021</v>
      </c>
      <c r="AG75" s="276">
        <v>87.912938908085309</v>
      </c>
      <c r="AH75" s="276">
        <v>88.202012659809711</v>
      </c>
      <c r="AI75" s="276">
        <v>88.576867560270969</v>
      </c>
      <c r="AJ75" s="276">
        <v>88.83807121951169</v>
      </c>
    </row>
    <row r="76" spans="1:36">
      <c r="A76" s="261" t="s">
        <v>331</v>
      </c>
      <c r="B76" s="288" t="s">
        <v>14</v>
      </c>
      <c r="C76" s="278"/>
      <c r="D76" s="267"/>
      <c r="E76" s="206" t="s">
        <v>332</v>
      </c>
      <c r="F76" s="276">
        <v>1.0768106759223911E-3</v>
      </c>
      <c r="G76" s="276">
        <v>4.2777948025667203E-4</v>
      </c>
      <c r="H76" s="276">
        <v>2.5636045406684073E-4</v>
      </c>
      <c r="I76" s="276">
        <v>5.5366194175893147E-4</v>
      </c>
      <c r="J76" s="276">
        <v>2.8491858539049828E-4</v>
      </c>
      <c r="K76" s="276">
        <v>2.7200350753805942E-4</v>
      </c>
      <c r="L76" s="276">
        <v>2.5433331999068291E-4</v>
      </c>
      <c r="M76" s="276">
        <v>2.8216969972573176E-4</v>
      </c>
      <c r="N76" s="276">
        <v>2.5001161155032944E-4</v>
      </c>
      <c r="O76" s="276">
        <v>3.7049382516093763E-4</v>
      </c>
      <c r="P76" s="276">
        <v>2.9520641682524956E-4</v>
      </c>
      <c r="Q76" s="276">
        <v>3.2666959364468541E-4</v>
      </c>
      <c r="R76" s="276">
        <v>1.2606924594154792E-2</v>
      </c>
      <c r="S76" s="276">
        <v>2.895756285132876E-2</v>
      </c>
      <c r="T76" s="276">
        <v>4.4135322699687472E-2</v>
      </c>
      <c r="U76" s="276">
        <v>6.5875687001639593E-2</v>
      </c>
      <c r="V76" s="276">
        <v>7.5131448057581637E-2</v>
      </c>
      <c r="W76" s="276">
        <v>8.3312904494529216E-2</v>
      </c>
      <c r="X76" s="276">
        <v>8.8734973105793744E-2</v>
      </c>
      <c r="Y76" s="276">
        <v>0.10794991470709107</v>
      </c>
      <c r="Z76" s="276">
        <v>7.443853182242624E-2</v>
      </c>
      <c r="AA76" s="276">
        <v>7.5787048310875765E-2</v>
      </c>
      <c r="AB76" s="276">
        <v>0.10760653073834694</v>
      </c>
      <c r="AC76" s="276">
        <v>0.12220989087616016</v>
      </c>
      <c r="AD76" s="276">
        <v>0.13966363899963585</v>
      </c>
      <c r="AE76" s="276">
        <v>0.11098187801504156</v>
      </c>
      <c r="AF76" s="276">
        <v>0.10106534144935506</v>
      </c>
      <c r="AG76" s="276">
        <v>0.10620566418101682</v>
      </c>
      <c r="AH76" s="276">
        <v>0.10317431011010149</v>
      </c>
      <c r="AI76" s="276">
        <v>4.3961490144120166E-2</v>
      </c>
      <c r="AJ76" s="276">
        <v>1.0910050003442898E-2</v>
      </c>
    </row>
    <row r="77" spans="1:36">
      <c r="A77" s="261" t="s">
        <v>332</v>
      </c>
      <c r="B77" s="288" t="s">
        <v>438</v>
      </c>
      <c r="C77" s="278"/>
      <c r="D77" s="267"/>
      <c r="E77" s="206" t="s">
        <v>333</v>
      </c>
      <c r="F77" s="276">
        <v>2.1352399969360381</v>
      </c>
      <c r="G77" s="276">
        <v>2.1452692663599766</v>
      </c>
      <c r="H77" s="276">
        <v>1.8485041864208984</v>
      </c>
      <c r="I77" s="276">
        <v>1.8353206855991469</v>
      </c>
      <c r="J77" s="276">
        <v>1.7642152219786531</v>
      </c>
      <c r="K77" s="276">
        <v>1.8074711590419146</v>
      </c>
      <c r="L77" s="276">
        <v>1.7921235956977524</v>
      </c>
      <c r="M77" s="276">
        <v>1.9168920183786065</v>
      </c>
      <c r="N77" s="276">
        <v>1.8594962290560202</v>
      </c>
      <c r="O77" s="276">
        <v>1.7337593174475627</v>
      </c>
      <c r="P77" s="276">
        <v>1.7331548043610321</v>
      </c>
      <c r="Q77" s="276">
        <v>1.7575840261934252</v>
      </c>
      <c r="R77" s="276">
        <v>1.7862934566281465</v>
      </c>
      <c r="S77" s="276">
        <v>1.7103668789137387</v>
      </c>
      <c r="T77" s="276">
        <v>1.7539247837869463</v>
      </c>
      <c r="U77" s="276">
        <v>1.7266013943498344</v>
      </c>
      <c r="V77" s="276">
        <v>1.6779370929590887</v>
      </c>
      <c r="W77" s="276">
        <v>1.6599944356731602</v>
      </c>
      <c r="X77" s="276">
        <v>1.7070012238020842</v>
      </c>
      <c r="Y77" s="276">
        <v>1.7345854740699385</v>
      </c>
      <c r="Z77" s="276">
        <v>1.7317852315342463</v>
      </c>
      <c r="AA77" s="276">
        <v>1.758488690221871</v>
      </c>
      <c r="AB77" s="276">
        <v>1.7177189688541912</v>
      </c>
      <c r="AC77" s="276">
        <v>1.7291251613826164</v>
      </c>
      <c r="AD77" s="276">
        <v>1.6166292360615928</v>
      </c>
      <c r="AE77" s="276">
        <v>1.6101672910179843</v>
      </c>
      <c r="AF77" s="276">
        <v>1.630350226980487</v>
      </c>
      <c r="AG77" s="276">
        <v>1.6191264888696484</v>
      </c>
      <c r="AH77" s="276">
        <v>1.5368326357396658</v>
      </c>
      <c r="AI77" s="276">
        <v>1.4778263885964926</v>
      </c>
      <c r="AJ77" s="276">
        <v>1.4172751108210959</v>
      </c>
    </row>
    <row r="78" spans="1:36">
      <c r="A78" s="261" t="s">
        <v>333</v>
      </c>
      <c r="B78" s="288" t="s">
        <v>16</v>
      </c>
      <c r="C78" s="278"/>
      <c r="D78" s="267"/>
      <c r="E78" s="206" t="s">
        <v>334</v>
      </c>
      <c r="F78" s="276">
        <v>0.27931194366407608</v>
      </c>
      <c r="G78" s="276">
        <v>0.28543725314205931</v>
      </c>
      <c r="H78" s="276">
        <v>0.2699479909239163</v>
      </c>
      <c r="I78" s="276">
        <v>0.27048602210796574</v>
      </c>
      <c r="J78" s="276">
        <v>0.26941204183516471</v>
      </c>
      <c r="K78" s="276">
        <v>0.27069062160454171</v>
      </c>
      <c r="L78" s="276">
        <v>0.27269587366201914</v>
      </c>
      <c r="M78" s="276">
        <v>0.27296588698401714</v>
      </c>
      <c r="N78" s="276">
        <v>0.28161823000208902</v>
      </c>
      <c r="O78" s="276">
        <v>0.29582078721884603</v>
      </c>
      <c r="P78" s="276">
        <v>0.2952823693868708</v>
      </c>
      <c r="Q78" s="276">
        <v>0.29291077192347165</v>
      </c>
      <c r="R78" s="276">
        <v>0.29960904140160444</v>
      </c>
      <c r="S78" s="276">
        <v>0.29785910325423942</v>
      </c>
      <c r="T78" s="276">
        <v>0.37689054684723688</v>
      </c>
      <c r="U78" s="276">
        <v>0.29750035381102341</v>
      </c>
      <c r="V78" s="276">
        <v>0.29885751066942123</v>
      </c>
      <c r="W78" s="276">
        <v>0.30222185473026975</v>
      </c>
      <c r="X78" s="276">
        <v>0.3006772359793784</v>
      </c>
      <c r="Y78" s="276">
        <v>0.30161635949974747</v>
      </c>
      <c r="Z78" s="276">
        <v>0.29659410008327775</v>
      </c>
      <c r="AA78" s="276">
        <v>0.3134944301005268</v>
      </c>
      <c r="AB78" s="276">
        <v>0.30776990692325729</v>
      </c>
      <c r="AC78" s="276">
        <v>0.30877147825220125</v>
      </c>
      <c r="AD78" s="276">
        <v>0.30414709303571452</v>
      </c>
      <c r="AE78" s="276">
        <v>0.29562546481542534</v>
      </c>
      <c r="AF78" s="276">
        <v>0.29928223916484231</v>
      </c>
      <c r="AG78" s="276">
        <v>0.29449545625196527</v>
      </c>
      <c r="AH78" s="276">
        <v>0.26998983595098419</v>
      </c>
      <c r="AI78" s="276">
        <v>0.24899654963941148</v>
      </c>
      <c r="AJ78" s="276">
        <v>0.23273979144253468</v>
      </c>
    </row>
    <row r="79" spans="1:36">
      <c r="A79" s="261" t="s">
        <v>334</v>
      </c>
      <c r="B79" s="288" t="s">
        <v>17</v>
      </c>
      <c r="C79" s="278"/>
      <c r="D79" s="267"/>
      <c r="E79" s="206" t="s">
        <v>335</v>
      </c>
      <c r="F79" s="276">
        <v>5.4195789209816707E-2</v>
      </c>
      <c r="G79" s="276">
        <v>5.5449643416622216E-2</v>
      </c>
      <c r="H79" s="276">
        <v>5.2345703798479359E-2</v>
      </c>
      <c r="I79" s="276">
        <v>5.2701320790778126E-2</v>
      </c>
      <c r="J79" s="276">
        <v>5.2325068555869894E-2</v>
      </c>
      <c r="K79" s="276">
        <v>5.282158929519612E-2</v>
      </c>
      <c r="L79" s="276">
        <v>5.3743391806774968E-2</v>
      </c>
      <c r="M79" s="276">
        <v>5.3758841868506241E-2</v>
      </c>
      <c r="N79" s="276">
        <v>5.6507040360293054E-2</v>
      </c>
      <c r="O79" s="276">
        <v>6.1867882590876583E-2</v>
      </c>
      <c r="P79" s="276">
        <v>6.1092106857874327E-2</v>
      </c>
      <c r="Q79" s="276">
        <v>6.0387433570936892E-2</v>
      </c>
      <c r="R79" s="276">
        <v>6.2296620682843001E-2</v>
      </c>
      <c r="S79" s="276">
        <v>6.1917820646586505E-2</v>
      </c>
      <c r="T79" s="276">
        <v>6.0835631496606167E-2</v>
      </c>
      <c r="U79" s="276">
        <v>6.1299821612785362E-2</v>
      </c>
      <c r="V79" s="276">
        <v>6.1555317488037123E-2</v>
      </c>
      <c r="W79" s="276">
        <v>6.2449337053263512E-2</v>
      </c>
      <c r="X79" s="276">
        <v>6.1113983010087927E-2</v>
      </c>
      <c r="Y79" s="276">
        <v>6.1441449642970658E-2</v>
      </c>
      <c r="Z79" s="276">
        <v>6.1038450680722701E-2</v>
      </c>
      <c r="AA79" s="276">
        <v>6.3301275666604831E-2</v>
      </c>
      <c r="AB79" s="276">
        <v>6.2633309641779655E-2</v>
      </c>
      <c r="AC79" s="276">
        <v>6.3526501579225431E-2</v>
      </c>
      <c r="AD79" s="276">
        <v>6.2970491170553547E-2</v>
      </c>
      <c r="AE79" s="276">
        <v>6.0993916384592457E-2</v>
      </c>
      <c r="AF79" s="276">
        <v>6.0527213108452695E-2</v>
      </c>
      <c r="AG79" s="276">
        <v>5.9758558783353878E-2</v>
      </c>
      <c r="AH79" s="276">
        <v>5.4877542742893685E-2</v>
      </c>
      <c r="AI79" s="276">
        <v>4.951485968198082E-2</v>
      </c>
      <c r="AJ79" s="276">
        <v>4.7352105802345848E-2</v>
      </c>
    </row>
    <row r="80" spans="1:36">
      <c r="A80" s="261" t="s">
        <v>335</v>
      </c>
      <c r="B80" s="288" t="s">
        <v>18</v>
      </c>
      <c r="C80" s="278"/>
      <c r="D80" s="267"/>
      <c r="E80" s="206" t="s">
        <v>336</v>
      </c>
      <c r="F80" s="276">
        <v>8.1152857171729889E-2</v>
      </c>
      <c r="G80" s="276">
        <v>8.2472509878320166E-2</v>
      </c>
      <c r="H80" s="276">
        <v>7.7388772998728747E-2</v>
      </c>
      <c r="I80" s="276">
        <v>7.7781541190412709E-2</v>
      </c>
      <c r="J80" s="276">
        <v>7.7204572032803676E-2</v>
      </c>
      <c r="K80" s="276">
        <v>7.8175444602754426E-2</v>
      </c>
      <c r="L80" s="276">
        <v>7.8830256737322218E-2</v>
      </c>
      <c r="M80" s="276">
        <v>7.8056082281891717E-2</v>
      </c>
      <c r="N80" s="276">
        <v>8.1791965756599222E-2</v>
      </c>
      <c r="O80" s="276">
        <v>8.9047452980902081E-2</v>
      </c>
      <c r="P80" s="276">
        <v>8.8777518229217464E-2</v>
      </c>
      <c r="Q80" s="276">
        <v>8.7248204937033169E-2</v>
      </c>
      <c r="R80" s="276">
        <v>9.0397641179485205E-2</v>
      </c>
      <c r="S80" s="276">
        <v>8.9986254339666213E-2</v>
      </c>
      <c r="T80" s="276">
        <v>8.8595001919238817E-2</v>
      </c>
      <c r="U80" s="276">
        <v>8.9053306042436373E-2</v>
      </c>
      <c r="V80" s="276">
        <v>8.8910167381491934E-2</v>
      </c>
      <c r="W80" s="276">
        <v>9.0099467461157864E-2</v>
      </c>
      <c r="X80" s="276">
        <v>9.0140373003668367E-2</v>
      </c>
      <c r="Y80" s="276">
        <v>9.0932834651658148E-2</v>
      </c>
      <c r="Z80" s="276">
        <v>8.8430627105545695E-2</v>
      </c>
      <c r="AA80" s="276">
        <v>9.2886585293064386E-2</v>
      </c>
      <c r="AB80" s="276">
        <v>9.135050214995416E-2</v>
      </c>
      <c r="AC80" s="276">
        <v>9.1589146089343529E-2</v>
      </c>
      <c r="AD80" s="276">
        <v>9.1446626472676346E-2</v>
      </c>
      <c r="AE80" s="276">
        <v>8.854195036751969E-2</v>
      </c>
      <c r="AF80" s="276">
        <v>8.8308478589154957E-2</v>
      </c>
      <c r="AG80" s="276">
        <v>8.7674361341446821E-2</v>
      </c>
      <c r="AH80" s="276">
        <v>7.853696923056247E-2</v>
      </c>
      <c r="AI80" s="276">
        <v>7.1322199576792075E-2</v>
      </c>
      <c r="AJ80" s="276">
        <v>6.6273841084900961E-2</v>
      </c>
    </row>
    <row r="81" spans="1:36">
      <c r="A81" s="261" t="s">
        <v>336</v>
      </c>
      <c r="B81" s="288" t="s">
        <v>19</v>
      </c>
      <c r="C81" s="278"/>
      <c r="D81" s="267"/>
      <c r="E81" s="206" t="s">
        <v>337</v>
      </c>
      <c r="F81" s="276">
        <v>9.7025171212289429E-2</v>
      </c>
      <c r="G81" s="276">
        <v>0.10012798649914127</v>
      </c>
      <c r="H81" s="276">
        <v>9.434084581734474E-2</v>
      </c>
      <c r="I81" s="276">
        <v>9.4290205177959663E-2</v>
      </c>
      <c r="J81" s="276">
        <v>9.4132406949396855E-2</v>
      </c>
      <c r="K81" s="276">
        <v>9.5121002270749808E-2</v>
      </c>
      <c r="L81" s="276">
        <v>9.7070027842286188E-2</v>
      </c>
      <c r="M81" s="276">
        <v>9.6668019221397936E-2</v>
      </c>
      <c r="N81" s="276">
        <v>0.10161223278288446</v>
      </c>
      <c r="O81" s="276">
        <v>0.11351589110821605</v>
      </c>
      <c r="P81" s="276">
        <v>0.11144793771214735</v>
      </c>
      <c r="Q81" s="276">
        <v>0.10995940809733541</v>
      </c>
      <c r="R81" s="276">
        <v>0.11235251358399492</v>
      </c>
      <c r="S81" s="276">
        <v>0.1109122653632552</v>
      </c>
      <c r="T81" s="276">
        <v>0.10912004249465183</v>
      </c>
      <c r="U81" s="276">
        <v>0.10974812660330618</v>
      </c>
      <c r="V81" s="276">
        <v>0.10980160836865997</v>
      </c>
      <c r="W81" s="276">
        <v>0.11100352745917832</v>
      </c>
      <c r="X81" s="276">
        <v>0.10911131967923779</v>
      </c>
      <c r="Y81" s="276">
        <v>0.10942069328949393</v>
      </c>
      <c r="Z81" s="276">
        <v>0.10854459972205571</v>
      </c>
      <c r="AA81" s="276">
        <v>0.11107362071501777</v>
      </c>
      <c r="AB81" s="276">
        <v>0.11250260909122797</v>
      </c>
      <c r="AC81" s="276">
        <v>0.11266059582450159</v>
      </c>
      <c r="AD81" s="276">
        <v>0.11180979605927664</v>
      </c>
      <c r="AE81" s="276">
        <v>0.1087339923591418</v>
      </c>
      <c r="AF81" s="276">
        <v>0.10710347415888605</v>
      </c>
      <c r="AG81" s="276">
        <v>0.10613308355142001</v>
      </c>
      <c r="AH81" s="276">
        <v>9.672309864322072E-2</v>
      </c>
      <c r="AI81" s="276">
        <v>8.8096902236918656E-2</v>
      </c>
      <c r="AJ81" s="276">
        <v>8.2572191896683828E-2</v>
      </c>
    </row>
    <row r="82" spans="1:36">
      <c r="A82" s="261" t="s">
        <v>337</v>
      </c>
      <c r="B82" s="288" t="s">
        <v>20</v>
      </c>
      <c r="C82" s="278"/>
      <c r="D82" s="267"/>
      <c r="E82" s="206" t="s">
        <v>338</v>
      </c>
      <c r="F82" s="276">
        <v>3.1329740208162593E-2</v>
      </c>
      <c r="G82" s="276">
        <v>3.5078352705111053E-2</v>
      </c>
      <c r="H82" s="276">
        <v>2.8477921022974844E-2</v>
      </c>
      <c r="I82" s="276">
        <v>2.6933449991359475E-2</v>
      </c>
      <c r="J82" s="276">
        <v>2.4942701510228135E-2</v>
      </c>
      <c r="K82" s="276">
        <v>1.6983322286347167E-2</v>
      </c>
      <c r="L82" s="276">
        <v>1.3515952108795477E-2</v>
      </c>
      <c r="M82" s="276">
        <v>1.61128514699099E-2</v>
      </c>
      <c r="N82" s="276">
        <v>1.83798332329916E-2</v>
      </c>
      <c r="O82" s="276">
        <v>2.340622637540141E-2</v>
      </c>
      <c r="P82" s="276">
        <v>2.4353328529195788E-2</v>
      </c>
      <c r="Q82" s="276">
        <v>2.2124492726199551E-2</v>
      </c>
      <c r="R82" s="276">
        <v>1.6653490900558746E-2</v>
      </c>
      <c r="S82" s="276">
        <v>1.7729697629942528E-2</v>
      </c>
      <c r="T82" s="276">
        <v>1.841100452673056E-2</v>
      </c>
      <c r="U82" s="276">
        <v>1.8328957852109546E-2</v>
      </c>
      <c r="V82" s="276">
        <v>1.8136383634243167E-2</v>
      </c>
      <c r="W82" s="276">
        <v>2.6530300409205516E-2</v>
      </c>
      <c r="X82" s="276">
        <v>2.7263056715846244E-2</v>
      </c>
      <c r="Y82" s="276">
        <v>2.5760917479666252E-2</v>
      </c>
      <c r="Z82" s="276">
        <v>2.9011191013758059E-2</v>
      </c>
      <c r="AA82" s="276">
        <v>2.5039888388177917E-2</v>
      </c>
      <c r="AB82" s="276">
        <v>1.4476075050745338</v>
      </c>
      <c r="AC82" s="276">
        <v>3.0396199226379403</v>
      </c>
      <c r="AD82" s="276">
        <v>3.0396199226379395</v>
      </c>
      <c r="AE82" s="276">
        <v>3.0396199226379395</v>
      </c>
      <c r="AF82" s="276">
        <v>1.87322492703343</v>
      </c>
      <c r="AG82" s="276">
        <v>1.1196979558424378</v>
      </c>
      <c r="AH82" s="276">
        <v>1.1494359597393495</v>
      </c>
      <c r="AI82" s="276">
        <v>1.1696172271414771</v>
      </c>
      <c r="AJ82" s="276">
        <v>1.1874019149342068</v>
      </c>
    </row>
    <row r="83" spans="1:36">
      <c r="A83" s="261" t="s">
        <v>338</v>
      </c>
      <c r="B83" s="288"/>
      <c r="C83" s="278"/>
      <c r="D83" s="267"/>
      <c r="E83" s="206" t="s">
        <v>339</v>
      </c>
      <c r="F83" s="276" t="s">
        <v>443</v>
      </c>
      <c r="G83" s="276" t="s">
        <v>443</v>
      </c>
      <c r="H83" s="276" t="s">
        <v>443</v>
      </c>
      <c r="I83" s="276" t="s">
        <v>443</v>
      </c>
      <c r="J83" s="276" t="s">
        <v>443</v>
      </c>
      <c r="K83" s="276" t="s">
        <v>443</v>
      </c>
      <c r="L83" s="276" t="s">
        <v>443</v>
      </c>
      <c r="M83" s="276" t="s">
        <v>443</v>
      </c>
      <c r="N83" s="276" t="s">
        <v>443</v>
      </c>
      <c r="O83" s="276" t="s">
        <v>443</v>
      </c>
      <c r="P83" s="276" t="s">
        <v>443</v>
      </c>
      <c r="Q83" s="276" t="s">
        <v>443</v>
      </c>
      <c r="R83" s="276" t="s">
        <v>443</v>
      </c>
      <c r="S83" s="276" t="s">
        <v>443</v>
      </c>
      <c r="T83" s="276" t="s">
        <v>443</v>
      </c>
      <c r="U83" s="276" t="s">
        <v>443</v>
      </c>
      <c r="V83" s="276" t="s">
        <v>443</v>
      </c>
      <c r="W83" s="276" t="s">
        <v>443</v>
      </c>
      <c r="X83" s="276" t="s">
        <v>443</v>
      </c>
      <c r="Y83" s="276" t="s">
        <v>443</v>
      </c>
      <c r="Z83" s="276" t="s">
        <v>443</v>
      </c>
      <c r="AA83" s="276" t="s">
        <v>443</v>
      </c>
      <c r="AB83" s="276" t="s">
        <v>443</v>
      </c>
      <c r="AC83" s="276" t="s">
        <v>443</v>
      </c>
      <c r="AD83" s="276" t="s">
        <v>443</v>
      </c>
      <c r="AE83" s="276" t="s">
        <v>443</v>
      </c>
      <c r="AF83" s="276" t="s">
        <v>443</v>
      </c>
      <c r="AG83" s="276" t="s">
        <v>443</v>
      </c>
      <c r="AH83" s="276" t="s">
        <v>443</v>
      </c>
      <c r="AI83" s="276" t="s">
        <v>443</v>
      </c>
      <c r="AJ83" s="276" t="s">
        <v>443</v>
      </c>
    </row>
    <row r="84" spans="1:36">
      <c r="A84" s="261" t="s">
        <v>339</v>
      </c>
      <c r="B84" s="288"/>
      <c r="C84" s="278"/>
      <c r="D84" s="267"/>
      <c r="E84" s="206" t="s">
        <v>340</v>
      </c>
      <c r="F84" s="276" t="s">
        <v>443</v>
      </c>
      <c r="G84" s="276" t="s">
        <v>443</v>
      </c>
      <c r="H84" s="276" t="s">
        <v>443</v>
      </c>
      <c r="I84" s="276" t="s">
        <v>443</v>
      </c>
      <c r="J84" s="276" t="s">
        <v>443</v>
      </c>
      <c r="K84" s="276" t="s">
        <v>443</v>
      </c>
      <c r="L84" s="276" t="s">
        <v>443</v>
      </c>
      <c r="M84" s="276" t="s">
        <v>443</v>
      </c>
      <c r="N84" s="276" t="s">
        <v>443</v>
      </c>
      <c r="O84" s="276" t="s">
        <v>443</v>
      </c>
      <c r="P84" s="276" t="s">
        <v>443</v>
      </c>
      <c r="Q84" s="276" t="s">
        <v>443</v>
      </c>
      <c r="R84" s="276" t="s">
        <v>443</v>
      </c>
      <c r="S84" s="276" t="s">
        <v>443</v>
      </c>
      <c r="T84" s="276" t="s">
        <v>443</v>
      </c>
      <c r="U84" s="276" t="s">
        <v>443</v>
      </c>
      <c r="V84" s="276" t="s">
        <v>443</v>
      </c>
      <c r="W84" s="276" t="s">
        <v>443</v>
      </c>
      <c r="X84" s="276" t="s">
        <v>443</v>
      </c>
      <c r="Y84" s="276" t="s">
        <v>443</v>
      </c>
      <c r="Z84" s="276" t="s">
        <v>443</v>
      </c>
      <c r="AA84" s="276" t="s">
        <v>443</v>
      </c>
      <c r="AB84" s="276" t="s">
        <v>443</v>
      </c>
      <c r="AC84" s="276" t="s">
        <v>443</v>
      </c>
      <c r="AD84" s="276" t="s">
        <v>443</v>
      </c>
      <c r="AE84" s="276" t="s">
        <v>443</v>
      </c>
      <c r="AF84" s="276" t="s">
        <v>443</v>
      </c>
      <c r="AG84" s="276" t="s">
        <v>443</v>
      </c>
      <c r="AH84" s="276" t="s">
        <v>443</v>
      </c>
      <c r="AI84" s="276" t="s">
        <v>443</v>
      </c>
      <c r="AJ84" s="276" t="s">
        <v>443</v>
      </c>
    </row>
    <row r="85" spans="1:36">
      <c r="A85" s="261" t="s">
        <v>340</v>
      </c>
      <c r="B85" s="288"/>
      <c r="C85" s="278"/>
      <c r="D85" s="267"/>
      <c r="E85" s="206" t="s">
        <v>341</v>
      </c>
      <c r="F85" s="276" t="s">
        <v>443</v>
      </c>
      <c r="G85" s="276" t="s">
        <v>443</v>
      </c>
      <c r="H85" s="276" t="s">
        <v>443</v>
      </c>
      <c r="I85" s="276" t="s">
        <v>443</v>
      </c>
      <c r="J85" s="276" t="s">
        <v>443</v>
      </c>
      <c r="K85" s="276" t="s">
        <v>443</v>
      </c>
      <c r="L85" s="276" t="s">
        <v>443</v>
      </c>
      <c r="M85" s="276" t="s">
        <v>443</v>
      </c>
      <c r="N85" s="276" t="s">
        <v>443</v>
      </c>
      <c r="O85" s="276" t="s">
        <v>443</v>
      </c>
      <c r="P85" s="276" t="s">
        <v>443</v>
      </c>
      <c r="Q85" s="276" t="s">
        <v>443</v>
      </c>
      <c r="R85" s="276" t="s">
        <v>443</v>
      </c>
      <c r="S85" s="276" t="s">
        <v>443</v>
      </c>
      <c r="T85" s="276" t="s">
        <v>443</v>
      </c>
      <c r="U85" s="276" t="s">
        <v>443</v>
      </c>
      <c r="V85" s="276" t="s">
        <v>443</v>
      </c>
      <c r="W85" s="276" t="s">
        <v>443</v>
      </c>
      <c r="X85" s="276" t="s">
        <v>443</v>
      </c>
      <c r="Y85" s="276" t="s">
        <v>443</v>
      </c>
      <c r="Z85" s="276" t="s">
        <v>443</v>
      </c>
      <c r="AA85" s="276" t="s">
        <v>443</v>
      </c>
      <c r="AB85" s="276" t="s">
        <v>443</v>
      </c>
      <c r="AC85" s="276" t="s">
        <v>443</v>
      </c>
      <c r="AD85" s="276" t="s">
        <v>443</v>
      </c>
      <c r="AE85" s="276" t="s">
        <v>443</v>
      </c>
      <c r="AF85" s="276" t="s">
        <v>443</v>
      </c>
      <c r="AG85" s="276" t="s">
        <v>443</v>
      </c>
      <c r="AH85" s="276" t="s">
        <v>443</v>
      </c>
      <c r="AI85" s="276" t="s">
        <v>443</v>
      </c>
      <c r="AJ85" s="276" t="s">
        <v>443</v>
      </c>
    </row>
    <row r="86" spans="1:36">
      <c r="A86" s="261" t="s">
        <v>341</v>
      </c>
      <c r="B86" s="288"/>
      <c r="C86" s="278"/>
      <c r="D86" s="267"/>
      <c r="E86" s="206" t="s">
        <v>342</v>
      </c>
      <c r="F86" s="276" t="s">
        <v>443</v>
      </c>
      <c r="G86" s="276" t="s">
        <v>443</v>
      </c>
      <c r="H86" s="276" t="s">
        <v>443</v>
      </c>
      <c r="I86" s="276" t="s">
        <v>443</v>
      </c>
      <c r="J86" s="276">
        <v>99.802078247069616</v>
      </c>
      <c r="K86" s="276">
        <v>99.802078247069389</v>
      </c>
      <c r="L86" s="276">
        <v>99.802078247069176</v>
      </c>
      <c r="M86" s="276">
        <v>99.80207824706882</v>
      </c>
      <c r="N86" s="276">
        <v>99.802078247069147</v>
      </c>
      <c r="O86" s="276">
        <v>99.802078247069403</v>
      </c>
      <c r="P86" s="276">
        <v>99.802078247069517</v>
      </c>
      <c r="Q86" s="276">
        <v>99.802078247069147</v>
      </c>
      <c r="R86" s="276">
        <v>99.802078247069062</v>
      </c>
      <c r="S86" s="276">
        <v>99.80207824706936</v>
      </c>
      <c r="T86" s="276">
        <v>99.802078247069389</v>
      </c>
      <c r="U86" s="276">
        <v>99.802078247069176</v>
      </c>
      <c r="V86" s="276">
        <v>99.80207824706909</v>
      </c>
      <c r="W86" s="276">
        <v>99.802078247069431</v>
      </c>
      <c r="X86" s="276">
        <v>99.802078247068977</v>
      </c>
      <c r="Y86" s="276">
        <v>99.802078247069147</v>
      </c>
      <c r="Z86" s="276">
        <v>99.802078247068991</v>
      </c>
      <c r="AA86" s="276">
        <v>99.802078247069304</v>
      </c>
      <c r="AB86" s="276">
        <v>99.802078247069176</v>
      </c>
      <c r="AC86" s="276">
        <v>99.802078247069147</v>
      </c>
      <c r="AD86" s="276">
        <v>99.802078247069133</v>
      </c>
      <c r="AE86" s="276">
        <v>99.802078247069431</v>
      </c>
      <c r="AF86" s="276">
        <v>99.80207824706936</v>
      </c>
      <c r="AG86" s="276">
        <v>99.802078247069218</v>
      </c>
      <c r="AH86" s="276">
        <v>99.802078247069346</v>
      </c>
      <c r="AI86" s="276">
        <v>99.80207824706919</v>
      </c>
      <c r="AJ86" s="276">
        <v>99.802078247069261</v>
      </c>
    </row>
    <row r="87" spans="1:36">
      <c r="A87" s="261" t="s">
        <v>342</v>
      </c>
      <c r="B87" s="288"/>
      <c r="C87" s="278"/>
      <c r="D87" s="267"/>
      <c r="E87" s="206">
        <v>0</v>
      </c>
      <c r="F87" s="276" t="s">
        <v>443</v>
      </c>
      <c r="G87" s="276" t="s">
        <v>443</v>
      </c>
      <c r="H87" s="276" t="s">
        <v>443</v>
      </c>
      <c r="I87" s="276" t="s">
        <v>443</v>
      </c>
      <c r="J87" s="276" t="s">
        <v>443</v>
      </c>
      <c r="K87" s="276" t="s">
        <v>443</v>
      </c>
      <c r="L87" s="276" t="s">
        <v>443</v>
      </c>
      <c r="M87" s="276" t="s">
        <v>443</v>
      </c>
      <c r="N87" s="276" t="s">
        <v>443</v>
      </c>
      <c r="O87" s="276" t="s">
        <v>443</v>
      </c>
      <c r="P87" s="276" t="s">
        <v>443</v>
      </c>
      <c r="Q87" s="276" t="s">
        <v>443</v>
      </c>
      <c r="R87" s="276" t="s">
        <v>443</v>
      </c>
      <c r="S87" s="276" t="s">
        <v>443</v>
      </c>
      <c r="T87" s="276" t="s">
        <v>443</v>
      </c>
      <c r="U87" s="276" t="s">
        <v>443</v>
      </c>
      <c r="V87" s="276" t="s">
        <v>443</v>
      </c>
      <c r="W87" s="276" t="s">
        <v>443</v>
      </c>
      <c r="X87" s="276" t="s">
        <v>443</v>
      </c>
      <c r="Y87" s="276" t="s">
        <v>443</v>
      </c>
      <c r="Z87" s="276" t="s">
        <v>443</v>
      </c>
      <c r="AA87" s="276" t="s">
        <v>443</v>
      </c>
      <c r="AB87" s="276" t="s">
        <v>443</v>
      </c>
      <c r="AC87" s="276" t="s">
        <v>443</v>
      </c>
      <c r="AD87" s="276" t="s">
        <v>443</v>
      </c>
      <c r="AE87" s="276" t="s">
        <v>443</v>
      </c>
      <c r="AF87" s="276" t="s">
        <v>443</v>
      </c>
      <c r="AG87" s="276" t="s">
        <v>443</v>
      </c>
      <c r="AH87" s="276" t="s">
        <v>443</v>
      </c>
      <c r="AI87" s="276" t="s">
        <v>443</v>
      </c>
      <c r="AJ87" s="276" t="s">
        <v>443</v>
      </c>
    </row>
    <row r="88" spans="1:36">
      <c r="A88" s="261"/>
      <c r="B88" s="288"/>
      <c r="C88" s="278"/>
      <c r="D88" s="267"/>
      <c r="E88" s="206">
        <v>0</v>
      </c>
      <c r="F88" s="276" t="s">
        <v>443</v>
      </c>
      <c r="G88" s="276" t="s">
        <v>443</v>
      </c>
      <c r="H88" s="276" t="s">
        <v>443</v>
      </c>
      <c r="I88" s="276" t="s">
        <v>443</v>
      </c>
      <c r="J88" s="276" t="s">
        <v>443</v>
      </c>
      <c r="K88" s="276" t="s">
        <v>443</v>
      </c>
      <c r="L88" s="276" t="s">
        <v>443</v>
      </c>
      <c r="M88" s="276" t="s">
        <v>443</v>
      </c>
      <c r="N88" s="276" t="s">
        <v>443</v>
      </c>
      <c r="O88" s="276" t="s">
        <v>443</v>
      </c>
      <c r="P88" s="276" t="s">
        <v>443</v>
      </c>
      <c r="Q88" s="276" t="s">
        <v>443</v>
      </c>
      <c r="R88" s="276" t="s">
        <v>443</v>
      </c>
      <c r="S88" s="276" t="s">
        <v>443</v>
      </c>
      <c r="T88" s="276" t="s">
        <v>443</v>
      </c>
      <c r="U88" s="276" t="s">
        <v>443</v>
      </c>
      <c r="V88" s="276" t="s">
        <v>443</v>
      </c>
      <c r="W88" s="276" t="s">
        <v>443</v>
      </c>
      <c r="X88" s="276" t="s">
        <v>443</v>
      </c>
      <c r="Y88" s="276" t="s">
        <v>443</v>
      </c>
      <c r="Z88" s="276" t="s">
        <v>443</v>
      </c>
      <c r="AA88" s="276" t="s">
        <v>443</v>
      </c>
      <c r="AB88" s="276" t="s">
        <v>443</v>
      </c>
      <c r="AC88" s="276" t="s">
        <v>443</v>
      </c>
      <c r="AD88" s="276" t="s">
        <v>443</v>
      </c>
      <c r="AE88" s="276" t="s">
        <v>443</v>
      </c>
      <c r="AF88" s="276" t="s">
        <v>443</v>
      </c>
      <c r="AG88" s="276" t="s">
        <v>443</v>
      </c>
      <c r="AH88" s="276" t="s">
        <v>443</v>
      </c>
      <c r="AI88" s="276" t="s">
        <v>443</v>
      </c>
      <c r="AJ88" s="276" t="s">
        <v>443</v>
      </c>
    </row>
    <row r="89" spans="1:36">
      <c r="A89" s="261"/>
      <c r="B89" s="288"/>
      <c r="C89" s="278"/>
      <c r="D89" s="267"/>
      <c r="E89" s="206">
        <v>0</v>
      </c>
      <c r="F89" s="276" t="s">
        <v>443</v>
      </c>
      <c r="G89" s="276" t="s">
        <v>443</v>
      </c>
      <c r="H89" s="276" t="s">
        <v>443</v>
      </c>
      <c r="I89" s="276" t="s">
        <v>443</v>
      </c>
      <c r="J89" s="276" t="s">
        <v>443</v>
      </c>
      <c r="K89" s="276" t="s">
        <v>443</v>
      </c>
      <c r="L89" s="276" t="s">
        <v>443</v>
      </c>
      <c r="M89" s="276" t="s">
        <v>443</v>
      </c>
      <c r="N89" s="276" t="s">
        <v>443</v>
      </c>
      <c r="O89" s="276" t="s">
        <v>443</v>
      </c>
      <c r="P89" s="276" t="s">
        <v>443</v>
      </c>
      <c r="Q89" s="276" t="s">
        <v>443</v>
      </c>
      <c r="R89" s="276" t="s">
        <v>443</v>
      </c>
      <c r="S89" s="276" t="s">
        <v>443</v>
      </c>
      <c r="T89" s="276" t="s">
        <v>443</v>
      </c>
      <c r="U89" s="276" t="s">
        <v>443</v>
      </c>
      <c r="V89" s="276" t="s">
        <v>443</v>
      </c>
      <c r="W89" s="276" t="s">
        <v>443</v>
      </c>
      <c r="X89" s="276" t="s">
        <v>443</v>
      </c>
      <c r="Y89" s="276" t="s">
        <v>443</v>
      </c>
      <c r="Z89" s="276" t="s">
        <v>443</v>
      </c>
      <c r="AA89" s="276" t="s">
        <v>443</v>
      </c>
      <c r="AB89" s="276" t="s">
        <v>443</v>
      </c>
      <c r="AC89" s="276" t="s">
        <v>443</v>
      </c>
      <c r="AD89" s="276" t="s">
        <v>443</v>
      </c>
      <c r="AE89" s="276" t="s">
        <v>443</v>
      </c>
      <c r="AF89" s="276" t="s">
        <v>443</v>
      </c>
      <c r="AG89" s="276" t="s">
        <v>443</v>
      </c>
      <c r="AH89" s="276" t="s">
        <v>443</v>
      </c>
      <c r="AI89" s="276" t="s">
        <v>443</v>
      </c>
      <c r="AJ89" s="276" t="s">
        <v>443</v>
      </c>
    </row>
    <row r="90" spans="1:36">
      <c r="A90" s="261"/>
      <c r="B90" s="288"/>
      <c r="C90" s="278"/>
      <c r="D90" s="267"/>
      <c r="E90" s="206">
        <v>0</v>
      </c>
      <c r="F90" s="276" t="s">
        <v>443</v>
      </c>
      <c r="G90" s="276" t="s">
        <v>443</v>
      </c>
      <c r="H90" s="276" t="s">
        <v>443</v>
      </c>
      <c r="I90" s="276" t="s">
        <v>443</v>
      </c>
      <c r="J90" s="276" t="s">
        <v>443</v>
      </c>
      <c r="K90" s="276" t="s">
        <v>443</v>
      </c>
      <c r="L90" s="276" t="s">
        <v>443</v>
      </c>
      <c r="M90" s="276" t="s">
        <v>443</v>
      </c>
      <c r="N90" s="276" t="s">
        <v>443</v>
      </c>
      <c r="O90" s="276" t="s">
        <v>443</v>
      </c>
      <c r="P90" s="276" t="s">
        <v>443</v>
      </c>
      <c r="Q90" s="276" t="s">
        <v>443</v>
      </c>
      <c r="R90" s="276" t="s">
        <v>443</v>
      </c>
      <c r="S90" s="276" t="s">
        <v>443</v>
      </c>
      <c r="T90" s="276" t="s">
        <v>443</v>
      </c>
      <c r="U90" s="276" t="s">
        <v>443</v>
      </c>
      <c r="V90" s="276" t="s">
        <v>443</v>
      </c>
      <c r="W90" s="276" t="s">
        <v>443</v>
      </c>
      <c r="X90" s="276" t="s">
        <v>443</v>
      </c>
      <c r="Y90" s="276" t="s">
        <v>443</v>
      </c>
      <c r="Z90" s="276" t="s">
        <v>443</v>
      </c>
      <c r="AA90" s="276" t="s">
        <v>443</v>
      </c>
      <c r="AB90" s="276" t="s">
        <v>443</v>
      </c>
      <c r="AC90" s="276" t="s">
        <v>443</v>
      </c>
      <c r="AD90" s="276" t="s">
        <v>443</v>
      </c>
      <c r="AE90" s="276" t="s">
        <v>443</v>
      </c>
      <c r="AF90" s="276" t="s">
        <v>443</v>
      </c>
      <c r="AG90" s="276" t="s">
        <v>443</v>
      </c>
      <c r="AH90" s="276" t="s">
        <v>443</v>
      </c>
      <c r="AI90" s="276" t="s">
        <v>443</v>
      </c>
      <c r="AJ90" s="276" t="s">
        <v>443</v>
      </c>
    </row>
    <row r="91" spans="1:36">
      <c r="A91" s="261"/>
      <c r="B91" s="288"/>
      <c r="C91" s="278"/>
      <c r="D91" s="267"/>
      <c r="E91" s="206">
        <v>0</v>
      </c>
      <c r="F91" s="276" t="s">
        <v>443</v>
      </c>
      <c r="G91" s="276" t="s">
        <v>443</v>
      </c>
      <c r="H91" s="276" t="s">
        <v>443</v>
      </c>
      <c r="I91" s="276" t="s">
        <v>443</v>
      </c>
      <c r="J91" s="276" t="s">
        <v>443</v>
      </c>
      <c r="K91" s="276" t="s">
        <v>443</v>
      </c>
      <c r="L91" s="276" t="s">
        <v>443</v>
      </c>
      <c r="M91" s="276" t="s">
        <v>443</v>
      </c>
      <c r="N91" s="276" t="s">
        <v>443</v>
      </c>
      <c r="O91" s="276" t="s">
        <v>443</v>
      </c>
      <c r="P91" s="276" t="s">
        <v>443</v>
      </c>
      <c r="Q91" s="276" t="s">
        <v>443</v>
      </c>
      <c r="R91" s="276" t="s">
        <v>443</v>
      </c>
      <c r="S91" s="276" t="s">
        <v>443</v>
      </c>
      <c r="T91" s="276" t="s">
        <v>443</v>
      </c>
      <c r="U91" s="276" t="s">
        <v>443</v>
      </c>
      <c r="V91" s="276" t="s">
        <v>443</v>
      </c>
      <c r="W91" s="276" t="s">
        <v>443</v>
      </c>
      <c r="X91" s="276" t="s">
        <v>443</v>
      </c>
      <c r="Y91" s="276" t="s">
        <v>443</v>
      </c>
      <c r="Z91" s="276" t="s">
        <v>443</v>
      </c>
      <c r="AA91" s="276" t="s">
        <v>443</v>
      </c>
      <c r="AB91" s="276" t="s">
        <v>443</v>
      </c>
      <c r="AC91" s="276" t="s">
        <v>443</v>
      </c>
      <c r="AD91" s="276" t="s">
        <v>443</v>
      </c>
      <c r="AE91" s="276" t="s">
        <v>443</v>
      </c>
      <c r="AF91" s="276" t="s">
        <v>443</v>
      </c>
      <c r="AG91" s="276" t="s">
        <v>443</v>
      </c>
      <c r="AH91" s="276" t="s">
        <v>443</v>
      </c>
      <c r="AI91" s="276" t="s">
        <v>443</v>
      </c>
      <c r="AJ91" s="276" t="s">
        <v>443</v>
      </c>
    </row>
    <row r="92" spans="1:36">
      <c r="A92" s="261"/>
      <c r="B92" s="288"/>
      <c r="C92" s="278"/>
      <c r="D92" s="267"/>
      <c r="E92" s="206">
        <v>0</v>
      </c>
      <c r="F92" s="276" t="s">
        <v>443</v>
      </c>
      <c r="G92" s="276" t="s">
        <v>443</v>
      </c>
      <c r="H92" s="276" t="s">
        <v>443</v>
      </c>
      <c r="I92" s="276" t="s">
        <v>443</v>
      </c>
      <c r="J92" s="276" t="s">
        <v>443</v>
      </c>
      <c r="K92" s="276" t="s">
        <v>443</v>
      </c>
      <c r="L92" s="276" t="s">
        <v>443</v>
      </c>
      <c r="M92" s="276" t="s">
        <v>443</v>
      </c>
      <c r="N92" s="276" t="s">
        <v>443</v>
      </c>
      <c r="O92" s="276" t="s">
        <v>443</v>
      </c>
      <c r="P92" s="276" t="s">
        <v>443</v>
      </c>
      <c r="Q92" s="276" t="s">
        <v>443</v>
      </c>
      <c r="R92" s="276" t="s">
        <v>443</v>
      </c>
      <c r="S92" s="276" t="s">
        <v>443</v>
      </c>
      <c r="T92" s="276" t="s">
        <v>443</v>
      </c>
      <c r="U92" s="276" t="s">
        <v>443</v>
      </c>
      <c r="V92" s="276" t="s">
        <v>443</v>
      </c>
      <c r="W92" s="276" t="s">
        <v>443</v>
      </c>
      <c r="X92" s="276" t="s">
        <v>443</v>
      </c>
      <c r="Y92" s="276" t="s">
        <v>443</v>
      </c>
      <c r="Z92" s="276" t="s">
        <v>443</v>
      </c>
      <c r="AA92" s="276" t="s">
        <v>443</v>
      </c>
      <c r="AB92" s="276" t="s">
        <v>443</v>
      </c>
      <c r="AC92" s="276" t="s">
        <v>443</v>
      </c>
      <c r="AD92" s="276" t="s">
        <v>443</v>
      </c>
      <c r="AE92" s="276" t="s">
        <v>443</v>
      </c>
      <c r="AF92" s="276" t="s">
        <v>443</v>
      </c>
      <c r="AG92" s="276" t="s">
        <v>443</v>
      </c>
      <c r="AH92" s="276" t="s">
        <v>443</v>
      </c>
      <c r="AI92" s="276" t="s">
        <v>443</v>
      </c>
      <c r="AJ92" s="276" t="s">
        <v>443</v>
      </c>
    </row>
    <row r="93" spans="1:36">
      <c r="A93" s="261"/>
      <c r="B93" s="288"/>
      <c r="C93" s="278"/>
      <c r="D93" s="267"/>
      <c r="E93" s="206">
        <v>0</v>
      </c>
      <c r="F93" s="276" t="s">
        <v>443</v>
      </c>
      <c r="G93" s="276" t="s">
        <v>443</v>
      </c>
      <c r="H93" s="276" t="s">
        <v>443</v>
      </c>
      <c r="I93" s="276" t="s">
        <v>443</v>
      </c>
      <c r="J93" s="276" t="s">
        <v>443</v>
      </c>
      <c r="K93" s="276" t="s">
        <v>443</v>
      </c>
      <c r="L93" s="276" t="s">
        <v>443</v>
      </c>
      <c r="M93" s="276" t="s">
        <v>443</v>
      </c>
      <c r="N93" s="276" t="s">
        <v>443</v>
      </c>
      <c r="O93" s="276" t="s">
        <v>443</v>
      </c>
      <c r="P93" s="276" t="s">
        <v>443</v>
      </c>
      <c r="Q93" s="276" t="s">
        <v>443</v>
      </c>
      <c r="R93" s="276" t="s">
        <v>443</v>
      </c>
      <c r="S93" s="276" t="s">
        <v>443</v>
      </c>
      <c r="T93" s="276" t="s">
        <v>443</v>
      </c>
      <c r="U93" s="276" t="s">
        <v>443</v>
      </c>
      <c r="V93" s="276" t="s">
        <v>443</v>
      </c>
      <c r="W93" s="276" t="s">
        <v>443</v>
      </c>
      <c r="X93" s="276" t="s">
        <v>443</v>
      </c>
      <c r="Y93" s="276" t="s">
        <v>443</v>
      </c>
      <c r="Z93" s="276" t="s">
        <v>443</v>
      </c>
      <c r="AA93" s="276" t="s">
        <v>443</v>
      </c>
      <c r="AB93" s="276" t="s">
        <v>443</v>
      </c>
      <c r="AC93" s="276" t="s">
        <v>443</v>
      </c>
      <c r="AD93" s="276" t="s">
        <v>443</v>
      </c>
      <c r="AE93" s="276" t="s">
        <v>443</v>
      </c>
      <c r="AF93" s="276" t="s">
        <v>443</v>
      </c>
      <c r="AG93" s="276" t="s">
        <v>443</v>
      </c>
      <c r="AH93" s="276" t="s">
        <v>443</v>
      </c>
      <c r="AI93" s="276" t="s">
        <v>443</v>
      </c>
      <c r="AJ93" s="276" t="s">
        <v>443</v>
      </c>
    </row>
    <row r="94" spans="1:36">
      <c r="A94" s="261"/>
      <c r="B94" s="288"/>
      <c r="C94" s="278"/>
      <c r="D94" s="267"/>
      <c r="E94" s="206">
        <v>0</v>
      </c>
      <c r="F94" s="276" t="s">
        <v>443</v>
      </c>
      <c r="G94" s="276" t="s">
        <v>443</v>
      </c>
      <c r="H94" s="276" t="s">
        <v>443</v>
      </c>
      <c r="I94" s="276" t="s">
        <v>443</v>
      </c>
      <c r="J94" s="276" t="s">
        <v>443</v>
      </c>
      <c r="K94" s="276" t="s">
        <v>443</v>
      </c>
      <c r="L94" s="276" t="s">
        <v>443</v>
      </c>
      <c r="M94" s="276" t="s">
        <v>443</v>
      </c>
      <c r="N94" s="276" t="s">
        <v>443</v>
      </c>
      <c r="O94" s="276" t="s">
        <v>443</v>
      </c>
      <c r="P94" s="276" t="s">
        <v>443</v>
      </c>
      <c r="Q94" s="276" t="s">
        <v>443</v>
      </c>
      <c r="R94" s="276" t="s">
        <v>443</v>
      </c>
      <c r="S94" s="276" t="s">
        <v>443</v>
      </c>
      <c r="T94" s="276" t="s">
        <v>443</v>
      </c>
      <c r="U94" s="276" t="s">
        <v>443</v>
      </c>
      <c r="V94" s="276" t="s">
        <v>443</v>
      </c>
      <c r="W94" s="276" t="s">
        <v>443</v>
      </c>
      <c r="X94" s="276" t="s">
        <v>443</v>
      </c>
      <c r="Y94" s="276" t="s">
        <v>443</v>
      </c>
      <c r="Z94" s="276" t="s">
        <v>443</v>
      </c>
      <c r="AA94" s="276" t="s">
        <v>443</v>
      </c>
      <c r="AB94" s="276" t="s">
        <v>443</v>
      </c>
      <c r="AC94" s="276" t="s">
        <v>443</v>
      </c>
      <c r="AD94" s="276" t="s">
        <v>443</v>
      </c>
      <c r="AE94" s="276" t="s">
        <v>443</v>
      </c>
      <c r="AF94" s="276" t="s">
        <v>443</v>
      </c>
      <c r="AG94" s="276" t="s">
        <v>443</v>
      </c>
      <c r="AH94" s="276" t="s">
        <v>443</v>
      </c>
      <c r="AI94" s="276" t="s">
        <v>443</v>
      </c>
      <c r="AJ94" s="276" t="s">
        <v>443</v>
      </c>
    </row>
    <row r="95" spans="1:36">
      <c r="A95" s="261"/>
      <c r="B95" s="288"/>
      <c r="C95" s="278"/>
      <c r="D95" s="267"/>
      <c r="E95" s="206">
        <v>0</v>
      </c>
      <c r="F95" s="276" t="s">
        <v>443</v>
      </c>
      <c r="G95" s="276" t="s">
        <v>443</v>
      </c>
      <c r="H95" s="276" t="s">
        <v>443</v>
      </c>
      <c r="I95" s="276" t="s">
        <v>443</v>
      </c>
      <c r="J95" s="276" t="s">
        <v>443</v>
      </c>
      <c r="K95" s="276" t="s">
        <v>443</v>
      </c>
      <c r="L95" s="276" t="s">
        <v>443</v>
      </c>
      <c r="M95" s="276" t="s">
        <v>443</v>
      </c>
      <c r="N95" s="276" t="s">
        <v>443</v>
      </c>
      <c r="O95" s="276" t="s">
        <v>443</v>
      </c>
      <c r="P95" s="276" t="s">
        <v>443</v>
      </c>
      <c r="Q95" s="276" t="s">
        <v>443</v>
      </c>
      <c r="R95" s="276" t="s">
        <v>443</v>
      </c>
      <c r="S95" s="276" t="s">
        <v>443</v>
      </c>
      <c r="T95" s="276" t="s">
        <v>443</v>
      </c>
      <c r="U95" s="276" t="s">
        <v>443</v>
      </c>
      <c r="V95" s="276" t="s">
        <v>443</v>
      </c>
      <c r="W95" s="276" t="s">
        <v>443</v>
      </c>
      <c r="X95" s="276" t="s">
        <v>443</v>
      </c>
      <c r="Y95" s="276" t="s">
        <v>443</v>
      </c>
      <c r="Z95" s="276" t="s">
        <v>443</v>
      </c>
      <c r="AA95" s="276" t="s">
        <v>443</v>
      </c>
      <c r="AB95" s="276" t="s">
        <v>443</v>
      </c>
      <c r="AC95" s="276" t="s">
        <v>443</v>
      </c>
      <c r="AD95" s="276" t="s">
        <v>443</v>
      </c>
      <c r="AE95" s="276" t="s">
        <v>443</v>
      </c>
      <c r="AF95" s="276" t="s">
        <v>443</v>
      </c>
      <c r="AG95" s="276" t="s">
        <v>443</v>
      </c>
      <c r="AH95" s="276" t="s">
        <v>443</v>
      </c>
      <c r="AI95" s="276" t="s">
        <v>443</v>
      </c>
      <c r="AJ95" s="276" t="s">
        <v>443</v>
      </c>
    </row>
    <row r="96" spans="1:36">
      <c r="A96" s="261"/>
      <c r="B96" s="288"/>
      <c r="C96" s="278"/>
      <c r="D96" s="267"/>
      <c r="E96" s="206">
        <v>0</v>
      </c>
      <c r="F96" s="276" t="s">
        <v>443</v>
      </c>
      <c r="G96" s="276" t="s">
        <v>443</v>
      </c>
      <c r="H96" s="276" t="s">
        <v>443</v>
      </c>
      <c r="I96" s="276" t="s">
        <v>443</v>
      </c>
      <c r="J96" s="276" t="s">
        <v>443</v>
      </c>
      <c r="K96" s="276" t="s">
        <v>443</v>
      </c>
      <c r="L96" s="276" t="s">
        <v>443</v>
      </c>
      <c r="M96" s="276" t="s">
        <v>443</v>
      </c>
      <c r="N96" s="276" t="s">
        <v>443</v>
      </c>
      <c r="O96" s="276" t="s">
        <v>443</v>
      </c>
      <c r="P96" s="276" t="s">
        <v>443</v>
      </c>
      <c r="Q96" s="276" t="s">
        <v>443</v>
      </c>
      <c r="R96" s="276" t="s">
        <v>443</v>
      </c>
      <c r="S96" s="276" t="s">
        <v>443</v>
      </c>
      <c r="T96" s="276" t="s">
        <v>443</v>
      </c>
      <c r="U96" s="276" t="s">
        <v>443</v>
      </c>
      <c r="V96" s="276" t="s">
        <v>443</v>
      </c>
      <c r="W96" s="276" t="s">
        <v>443</v>
      </c>
      <c r="X96" s="276" t="s">
        <v>443</v>
      </c>
      <c r="Y96" s="276" t="s">
        <v>443</v>
      </c>
      <c r="Z96" s="276" t="s">
        <v>443</v>
      </c>
      <c r="AA96" s="276" t="s">
        <v>443</v>
      </c>
      <c r="AB96" s="276" t="s">
        <v>443</v>
      </c>
      <c r="AC96" s="276" t="s">
        <v>443</v>
      </c>
      <c r="AD96" s="276" t="s">
        <v>443</v>
      </c>
      <c r="AE96" s="276" t="s">
        <v>443</v>
      </c>
      <c r="AF96" s="276" t="s">
        <v>443</v>
      </c>
      <c r="AG96" s="276" t="s">
        <v>443</v>
      </c>
      <c r="AH96" s="276" t="s">
        <v>443</v>
      </c>
      <c r="AI96" s="276" t="s">
        <v>443</v>
      </c>
      <c r="AJ96" s="276" t="s">
        <v>443</v>
      </c>
    </row>
    <row r="97" spans="1:36">
      <c r="A97" s="261"/>
      <c r="B97" s="288"/>
      <c r="C97" s="278"/>
      <c r="D97" s="267"/>
      <c r="E97" s="206">
        <v>0</v>
      </c>
      <c r="F97" s="276" t="s">
        <v>443</v>
      </c>
      <c r="G97" s="276" t="s">
        <v>443</v>
      </c>
      <c r="H97" s="276" t="s">
        <v>443</v>
      </c>
      <c r="I97" s="276" t="s">
        <v>443</v>
      </c>
      <c r="J97" s="276" t="s">
        <v>443</v>
      </c>
      <c r="K97" s="276" t="s">
        <v>443</v>
      </c>
      <c r="L97" s="276" t="s">
        <v>443</v>
      </c>
      <c r="M97" s="276" t="s">
        <v>443</v>
      </c>
      <c r="N97" s="276" t="s">
        <v>443</v>
      </c>
      <c r="O97" s="276" t="s">
        <v>443</v>
      </c>
      <c r="P97" s="276" t="s">
        <v>443</v>
      </c>
      <c r="Q97" s="276" t="s">
        <v>443</v>
      </c>
      <c r="R97" s="276" t="s">
        <v>443</v>
      </c>
      <c r="S97" s="276" t="s">
        <v>443</v>
      </c>
      <c r="T97" s="276" t="s">
        <v>443</v>
      </c>
      <c r="U97" s="276" t="s">
        <v>443</v>
      </c>
      <c r="V97" s="276" t="s">
        <v>443</v>
      </c>
      <c r="W97" s="276" t="s">
        <v>443</v>
      </c>
      <c r="X97" s="276" t="s">
        <v>443</v>
      </c>
      <c r="Y97" s="276" t="s">
        <v>443</v>
      </c>
      <c r="Z97" s="276" t="s">
        <v>443</v>
      </c>
      <c r="AA97" s="276" t="s">
        <v>443</v>
      </c>
      <c r="AB97" s="276" t="s">
        <v>443</v>
      </c>
      <c r="AC97" s="276" t="s">
        <v>443</v>
      </c>
      <c r="AD97" s="276" t="s">
        <v>443</v>
      </c>
      <c r="AE97" s="276" t="s">
        <v>443</v>
      </c>
      <c r="AF97" s="276" t="s">
        <v>443</v>
      </c>
      <c r="AG97" s="276" t="s">
        <v>443</v>
      </c>
      <c r="AH97" s="276" t="s">
        <v>443</v>
      </c>
      <c r="AI97" s="276" t="s">
        <v>443</v>
      </c>
      <c r="AJ97" s="276" t="s">
        <v>443</v>
      </c>
    </row>
    <row r="98" spans="1:36">
      <c r="A98" s="261"/>
      <c r="B98" s="288"/>
      <c r="C98" s="278"/>
      <c r="D98" s="267"/>
      <c r="E98" s="206">
        <v>0</v>
      </c>
      <c r="F98" s="276" t="s">
        <v>443</v>
      </c>
      <c r="G98" s="276" t="s">
        <v>443</v>
      </c>
      <c r="H98" s="276" t="s">
        <v>443</v>
      </c>
      <c r="I98" s="276" t="s">
        <v>443</v>
      </c>
      <c r="J98" s="276" t="s">
        <v>443</v>
      </c>
      <c r="K98" s="276" t="s">
        <v>443</v>
      </c>
      <c r="L98" s="276" t="s">
        <v>443</v>
      </c>
      <c r="M98" s="276" t="s">
        <v>443</v>
      </c>
      <c r="N98" s="276" t="s">
        <v>443</v>
      </c>
      <c r="O98" s="276" t="s">
        <v>443</v>
      </c>
      <c r="P98" s="276" t="s">
        <v>443</v>
      </c>
      <c r="Q98" s="276" t="s">
        <v>443</v>
      </c>
      <c r="R98" s="276" t="s">
        <v>443</v>
      </c>
      <c r="S98" s="276" t="s">
        <v>443</v>
      </c>
      <c r="T98" s="276" t="s">
        <v>443</v>
      </c>
      <c r="U98" s="276" t="s">
        <v>443</v>
      </c>
      <c r="V98" s="276" t="s">
        <v>443</v>
      </c>
      <c r="W98" s="276" t="s">
        <v>443</v>
      </c>
      <c r="X98" s="276" t="s">
        <v>443</v>
      </c>
      <c r="Y98" s="276" t="s">
        <v>443</v>
      </c>
      <c r="Z98" s="276" t="s">
        <v>443</v>
      </c>
      <c r="AA98" s="276" t="s">
        <v>443</v>
      </c>
      <c r="AB98" s="276" t="s">
        <v>443</v>
      </c>
      <c r="AC98" s="276" t="s">
        <v>443</v>
      </c>
      <c r="AD98" s="276" t="s">
        <v>443</v>
      </c>
      <c r="AE98" s="276" t="s">
        <v>443</v>
      </c>
      <c r="AF98" s="276" t="s">
        <v>443</v>
      </c>
      <c r="AG98" s="276" t="s">
        <v>443</v>
      </c>
      <c r="AH98" s="276" t="s">
        <v>443</v>
      </c>
      <c r="AI98" s="276" t="s">
        <v>443</v>
      </c>
      <c r="AJ98" s="276" t="s">
        <v>443</v>
      </c>
    </row>
    <row r="99" spans="1:36">
      <c r="A99" s="261"/>
      <c r="B99" s="288"/>
      <c r="C99" s="278"/>
      <c r="D99" s="267"/>
      <c r="E99" s="206">
        <v>0</v>
      </c>
      <c r="F99" s="276" t="s">
        <v>443</v>
      </c>
      <c r="G99" s="276" t="s">
        <v>443</v>
      </c>
      <c r="H99" s="276" t="s">
        <v>443</v>
      </c>
      <c r="I99" s="276" t="s">
        <v>443</v>
      </c>
      <c r="J99" s="276" t="s">
        <v>443</v>
      </c>
      <c r="K99" s="276" t="s">
        <v>443</v>
      </c>
      <c r="L99" s="276" t="s">
        <v>443</v>
      </c>
      <c r="M99" s="276" t="s">
        <v>443</v>
      </c>
      <c r="N99" s="276" t="s">
        <v>443</v>
      </c>
      <c r="O99" s="276" t="s">
        <v>443</v>
      </c>
      <c r="P99" s="276" t="s">
        <v>443</v>
      </c>
      <c r="Q99" s="276" t="s">
        <v>443</v>
      </c>
      <c r="R99" s="276" t="s">
        <v>443</v>
      </c>
      <c r="S99" s="276" t="s">
        <v>443</v>
      </c>
      <c r="T99" s="276" t="s">
        <v>443</v>
      </c>
      <c r="U99" s="276" t="s">
        <v>443</v>
      </c>
      <c r="V99" s="276" t="s">
        <v>443</v>
      </c>
      <c r="W99" s="276" t="s">
        <v>443</v>
      </c>
      <c r="X99" s="276" t="s">
        <v>443</v>
      </c>
      <c r="Y99" s="276" t="s">
        <v>443</v>
      </c>
      <c r="Z99" s="276" t="s">
        <v>443</v>
      </c>
      <c r="AA99" s="276" t="s">
        <v>443</v>
      </c>
      <c r="AB99" s="276" t="s">
        <v>443</v>
      </c>
      <c r="AC99" s="276" t="s">
        <v>443</v>
      </c>
      <c r="AD99" s="276" t="s">
        <v>443</v>
      </c>
      <c r="AE99" s="276" t="s">
        <v>443</v>
      </c>
      <c r="AF99" s="276" t="s">
        <v>443</v>
      </c>
      <c r="AG99" s="276" t="s">
        <v>443</v>
      </c>
      <c r="AH99" s="276" t="s">
        <v>443</v>
      </c>
      <c r="AI99" s="276" t="s">
        <v>443</v>
      </c>
      <c r="AJ99" s="276" t="s">
        <v>443</v>
      </c>
    </row>
    <row r="100" spans="1:36">
      <c r="A100" s="261"/>
      <c r="B100" s="288"/>
      <c r="C100" s="278"/>
      <c r="D100" s="267"/>
      <c r="E100" s="206" t="s">
        <v>443</v>
      </c>
      <c r="F100" s="276" t="s">
        <v>443</v>
      </c>
      <c r="G100" s="276" t="s">
        <v>443</v>
      </c>
      <c r="H100" s="276" t="s">
        <v>443</v>
      </c>
      <c r="I100" s="276" t="s">
        <v>443</v>
      </c>
      <c r="J100" s="276" t="s">
        <v>443</v>
      </c>
      <c r="K100" s="276" t="s">
        <v>443</v>
      </c>
      <c r="L100" s="276" t="s">
        <v>443</v>
      </c>
      <c r="M100" s="276" t="s">
        <v>443</v>
      </c>
      <c r="N100" s="276" t="s">
        <v>443</v>
      </c>
      <c r="O100" s="276" t="s">
        <v>443</v>
      </c>
      <c r="P100" s="276" t="s">
        <v>443</v>
      </c>
      <c r="Q100" s="276" t="s">
        <v>443</v>
      </c>
      <c r="R100" s="276" t="s">
        <v>443</v>
      </c>
      <c r="S100" s="276" t="s">
        <v>443</v>
      </c>
      <c r="T100" s="276" t="s">
        <v>443</v>
      </c>
      <c r="U100" s="276" t="s">
        <v>443</v>
      </c>
      <c r="V100" s="276" t="s">
        <v>443</v>
      </c>
      <c r="W100" s="276" t="s">
        <v>443</v>
      </c>
      <c r="X100" s="276" t="s">
        <v>443</v>
      </c>
      <c r="Y100" s="276" t="s">
        <v>443</v>
      </c>
      <c r="Z100" s="276" t="s">
        <v>443</v>
      </c>
      <c r="AA100" s="276" t="s">
        <v>443</v>
      </c>
      <c r="AB100" s="276" t="s">
        <v>443</v>
      </c>
      <c r="AC100" s="276" t="s">
        <v>443</v>
      </c>
      <c r="AD100" s="276" t="s">
        <v>443</v>
      </c>
      <c r="AE100" s="276" t="s">
        <v>443</v>
      </c>
      <c r="AF100" s="276" t="s">
        <v>443</v>
      </c>
      <c r="AG100" s="276" t="s">
        <v>443</v>
      </c>
      <c r="AH100" s="276" t="s">
        <v>443</v>
      </c>
      <c r="AI100" s="276" t="s">
        <v>443</v>
      </c>
      <c r="AJ100" s="276" t="s">
        <v>443</v>
      </c>
    </row>
  </sheetData>
  <conditionalFormatting sqref="A4:A100">
    <cfRule type="containsText" dxfId="23" priority="1" operator="containsText" text="sta">
      <formula>NOT(ISERROR(SEARCH("sta",A4)))</formula>
    </cfRule>
    <cfRule type="containsText" dxfId="22" priority="2" operator="containsText" text="code">
      <formula>NOT(ISERROR(SEARCH("code",A4)))</formula>
    </cfRule>
    <cfRule type="containsText" dxfId="21" priority="3" operator="containsText" text="uiea">
      <formula>NOT(ISERROR(SEARCH("uiea",A4)))</formula>
    </cfRule>
    <cfRule type="containsText" dxfId="20" priority="4" operator="containsText" text="ALL">
      <formula>NOT(ISERROR(SEARCH("ALL",A4)))</formula>
    </cfRule>
    <cfRule type="containsText" dxfId="19" priority="5" operator="containsText" text="all">
      <formula>NOT(ISERROR(SEARCH("all",A4)))</formula>
    </cfRule>
    <cfRule type="containsText" dxfId="18" priority="6" operator="containsText" text="xcv0">
      <formula>NOT(ISERROR(SEARCH("xcv0",A4)))</formula>
    </cfRule>
    <cfRule type="containsText" dxfId="17" priority="7" operator="containsText" text="sldg">
      <formula>NOT(ISERROR(SEARCH("sldg",A4)))</formula>
    </cfRule>
  </conditionalFormatting>
  <conditionalFormatting sqref="A1:B2 E1:E2">
    <cfRule type="containsText" dxfId="16" priority="22" operator="containsText" text="sta">
      <formula>NOT(ISERROR(SEARCH("sta",A1)))</formula>
    </cfRule>
    <cfRule type="containsText" dxfId="15" priority="23" operator="containsText" text="code">
      <formula>NOT(ISERROR(SEARCH("code",A1)))</formula>
    </cfRule>
    <cfRule type="containsText" dxfId="14" priority="24" operator="containsText" text="uiea">
      <formula>NOT(ISERROR(SEARCH("uiea",A1)))</formula>
    </cfRule>
    <cfRule type="containsText" dxfId="13" priority="25" operator="containsText" text="ALL">
      <formula>NOT(ISERROR(SEARCH("ALL",A1)))</formula>
    </cfRule>
    <cfRule type="containsText" dxfId="12" priority="26" operator="containsText" text="all">
      <formula>NOT(ISERROR(SEARCH("all",A1)))</formula>
    </cfRule>
    <cfRule type="containsText" dxfId="11" priority="27" operator="containsText" text="xcv0">
      <formula>NOT(ISERROR(SEARCH("xcv0",A1)))</formula>
    </cfRule>
    <cfRule type="containsText" dxfId="10" priority="28" operator="containsText" text="sldg">
      <formula>NOT(ISERROR(SEARCH("sldg",A1)))</formula>
    </cfRule>
  </conditionalFormatting>
  <pageMargins left="0.7" right="0.7" top="0.75" bottom="0.75" header="0.3" footer="0.3"/>
  <pageSetup paperSize="8" orientation="portrait"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tabColor rgb="FF00B0F0"/>
  </sheetPr>
  <dimension ref="A1:BHW166"/>
  <sheetViews>
    <sheetView showGridLines="0" tabSelected="1" zoomScale="93" zoomScaleNormal="85" workbookViewId="0">
      <pane xSplit="8" ySplit="2" topLeftCell="I3" activePane="bottomRight" state="frozen"/>
      <selection pane="topRight" activeCell="F1" sqref="F1"/>
      <selection pane="bottomLeft" activeCell="A3" sqref="A3"/>
      <selection pane="bottomRight" activeCell="G1" sqref="G1:G1048576"/>
    </sheetView>
  </sheetViews>
  <sheetFormatPr defaultColWidth="9" defaultRowHeight="15"/>
  <cols>
    <col min="1" max="1" width="39.375" style="226" customWidth="1"/>
    <col min="2" max="2" width="24.25" style="244" customWidth="1"/>
    <col min="3" max="3" width="24.25" style="244" hidden="1" customWidth="1"/>
    <col min="4" max="4" width="39.375" style="244" hidden="1" customWidth="1"/>
    <col min="5" max="5" width="15.875" style="214" customWidth="1"/>
    <col min="6" max="6" width="12.125" style="244" hidden="1" customWidth="1"/>
    <col min="7" max="7" width="39.5" style="244" hidden="1" customWidth="1"/>
    <col min="8" max="8" width="16.125" style="312" customWidth="1"/>
    <col min="9" max="9" width="8.875" style="245" bestFit="1" customWidth="1"/>
    <col min="10" max="10" width="5.625" style="255" customWidth="1"/>
    <col min="11" max="40" width="8.875" style="245" bestFit="1" customWidth="1"/>
    <col min="41" max="16384" width="9" style="214"/>
  </cols>
  <sheetData>
    <row r="1" spans="1:1583" ht="87" customHeight="1" thickBot="1">
      <c r="A1" s="483" t="s">
        <v>235</v>
      </c>
      <c r="B1" s="484"/>
      <c r="C1" s="484"/>
      <c r="D1" s="484"/>
      <c r="E1" s="484"/>
      <c r="F1" s="484"/>
      <c r="G1" s="442"/>
      <c r="H1" s="485" t="s">
        <v>240</v>
      </c>
      <c r="I1" s="301">
        <f>'DCS Data'!F$2</f>
        <v>45931</v>
      </c>
      <c r="K1" s="301">
        <f>'DCS Data'!G$2</f>
        <v>45932</v>
      </c>
      <c r="L1" s="301">
        <f>'DCS Data'!H$2</f>
        <v>45933</v>
      </c>
      <c r="M1" s="301">
        <f>'DCS Data'!I$2</f>
        <v>45934</v>
      </c>
      <c r="N1" s="301">
        <f>'DCS Data'!J$2</f>
        <v>45935</v>
      </c>
      <c r="O1" s="301">
        <f>'DCS Data'!K$2</f>
        <v>45936</v>
      </c>
      <c r="P1" s="301">
        <f>'DCS Data'!L$2</f>
        <v>45937</v>
      </c>
      <c r="Q1" s="301">
        <f>'DCS Data'!M$2</f>
        <v>45938</v>
      </c>
      <c r="R1" s="301">
        <f>'DCS Data'!N$2</f>
        <v>45939</v>
      </c>
      <c r="S1" s="301">
        <f>'DCS Data'!O$2</f>
        <v>45940</v>
      </c>
      <c r="T1" s="301">
        <f>'DCS Data'!P$2</f>
        <v>45941</v>
      </c>
      <c r="U1" s="301">
        <f>'DCS Data'!Q$2</f>
        <v>45942</v>
      </c>
      <c r="V1" s="301">
        <f>'DCS Data'!R$2</f>
        <v>45943</v>
      </c>
      <c r="W1" s="301">
        <f>'DCS Data'!S$2</f>
        <v>45944</v>
      </c>
      <c r="X1" s="301">
        <f>'DCS Data'!T$2</f>
        <v>45945</v>
      </c>
      <c r="Y1" s="301">
        <f>'DCS Data'!U$2</f>
        <v>45946</v>
      </c>
      <c r="Z1" s="301">
        <f>'DCS Data'!V$2</f>
        <v>45947</v>
      </c>
      <c r="AA1" s="301">
        <f>'DCS Data'!W$2</f>
        <v>45948</v>
      </c>
      <c r="AB1" s="301">
        <f>'DCS Data'!X$2</f>
        <v>45949</v>
      </c>
      <c r="AC1" s="301">
        <f>'DCS Data'!Y$2</f>
        <v>45950</v>
      </c>
      <c r="AD1" s="301">
        <f>'DCS Data'!Z$2</f>
        <v>45951</v>
      </c>
      <c r="AE1" s="301">
        <f>'DCS Data'!AA$2</f>
        <v>45952</v>
      </c>
      <c r="AF1" s="301">
        <f>'DCS Data'!AB$2</f>
        <v>45953</v>
      </c>
      <c r="AG1" s="301">
        <f>'DCS Data'!AC$2</f>
        <v>45954</v>
      </c>
      <c r="AH1" s="301">
        <f>'DCS Data'!AD$2</f>
        <v>45955</v>
      </c>
      <c r="AI1" s="301">
        <f>'DCS Data'!AE$2</f>
        <v>45956</v>
      </c>
      <c r="AJ1" s="301">
        <f>'DCS Data'!AF$2</f>
        <v>45957</v>
      </c>
      <c r="AK1" s="301">
        <f>'DCS Data'!AG$2</f>
        <v>45958</v>
      </c>
      <c r="AL1" s="301">
        <f>'DCS Data'!AH$2</f>
        <v>45959</v>
      </c>
      <c r="AM1" s="301">
        <f>'DCS Data'!AI$2</f>
        <v>45960</v>
      </c>
      <c r="AN1" s="301">
        <f>'DCS Data'!AJ$2</f>
        <v>45961</v>
      </c>
    </row>
    <row r="2" spans="1:1583" ht="27.95" customHeight="1" thickBot="1">
      <c r="A2" s="91" t="s">
        <v>3</v>
      </c>
      <c r="B2" s="130" t="s">
        <v>528</v>
      </c>
      <c r="C2" s="130" t="s">
        <v>529</v>
      </c>
      <c r="D2" s="130"/>
      <c r="E2" s="57" t="s">
        <v>1</v>
      </c>
      <c r="F2" s="130" t="s">
        <v>2</v>
      </c>
      <c r="G2" s="478"/>
      <c r="H2" s="485"/>
      <c r="I2" s="302"/>
      <c r="K2" s="302"/>
      <c r="L2" s="302"/>
      <c r="M2" s="302"/>
      <c r="N2" s="302"/>
      <c r="O2" s="302"/>
      <c r="P2" s="302"/>
      <c r="Q2" s="302"/>
      <c r="R2" s="302"/>
      <c r="S2" s="302"/>
      <c r="T2" s="302"/>
      <c r="U2" s="302"/>
      <c r="V2" s="302"/>
      <c r="W2" s="302"/>
      <c r="X2" s="302"/>
      <c r="Y2" s="302"/>
      <c r="Z2" s="302"/>
      <c r="AA2" s="302"/>
      <c r="AB2" s="302"/>
      <c r="AC2" s="302"/>
      <c r="AD2" s="302"/>
      <c r="AE2" s="302"/>
      <c r="AF2" s="302"/>
      <c r="AG2" s="302"/>
      <c r="AH2" s="302"/>
      <c r="AI2" s="302"/>
      <c r="AJ2" s="302"/>
      <c r="AK2" s="302"/>
      <c r="AL2" s="302"/>
      <c r="AM2" s="302"/>
      <c r="AN2" s="302"/>
    </row>
    <row r="3" spans="1:1583" s="215" customFormat="1" ht="18.95" customHeight="1" thickBot="1">
      <c r="A3" s="82" t="s">
        <v>4</v>
      </c>
      <c r="B3" s="126" t="s">
        <v>404</v>
      </c>
      <c r="C3" s="126"/>
      <c r="D3" s="126"/>
      <c r="E3" s="80" t="s">
        <v>5</v>
      </c>
      <c r="F3" s="126"/>
      <c r="G3" s="60" t="s">
        <v>785</v>
      </c>
      <c r="H3" s="473">
        <f>AVERAGE(I3:AN3)</f>
        <v>84.244126944894134</v>
      </c>
      <c r="I3" s="113">
        <f>((I6)/$F$6)*100</f>
        <v>77.724795523276441</v>
      </c>
      <c r="J3" s="437"/>
      <c r="K3" s="113">
        <f t="shared" ref="K3:AN3" si="0">((K6)/$F$6)*100</f>
        <v>86.087509155898118</v>
      </c>
      <c r="L3" s="113">
        <f t="shared" si="0"/>
        <v>85.230090913750232</v>
      </c>
      <c r="M3" s="113">
        <f t="shared" si="0"/>
        <v>84.945965870271564</v>
      </c>
      <c r="N3" s="113">
        <f t="shared" si="0"/>
        <v>85.752281201446124</v>
      </c>
      <c r="O3" s="113">
        <f t="shared" si="0"/>
        <v>86.519915144980885</v>
      </c>
      <c r="P3" s="113">
        <f t="shared" si="0"/>
        <v>85.861779841358938</v>
      </c>
      <c r="Q3" s="113">
        <f t="shared" si="0"/>
        <v>84.4878942784527</v>
      </c>
      <c r="R3" s="113">
        <f t="shared" si="0"/>
        <v>83.655579788994032</v>
      </c>
      <c r="S3" s="113">
        <f t="shared" si="0"/>
        <v>84.252419430068358</v>
      </c>
      <c r="T3" s="113">
        <f t="shared" si="0"/>
        <v>83.391256717572062</v>
      </c>
      <c r="U3" s="113">
        <f t="shared" si="0"/>
        <v>83.558429758524539</v>
      </c>
      <c r="V3" s="113">
        <f t="shared" si="0"/>
        <v>83.395333097778135</v>
      </c>
      <c r="W3" s="113">
        <f t="shared" si="0"/>
        <v>84.891638490206049</v>
      </c>
      <c r="X3" s="113">
        <f t="shared" si="0"/>
        <v>83.332363965011751</v>
      </c>
      <c r="Y3" s="113">
        <f t="shared" si="0"/>
        <v>79.252482389806417</v>
      </c>
      <c r="Z3" s="113">
        <f t="shared" si="0"/>
        <v>77.940783897403662</v>
      </c>
      <c r="AA3" s="113">
        <f t="shared" si="0"/>
        <v>79.348119942883997</v>
      </c>
      <c r="AB3" s="113">
        <f t="shared" si="0"/>
        <v>79.662433402367625</v>
      </c>
      <c r="AC3" s="113">
        <f t="shared" si="0"/>
        <v>81.721160491754176</v>
      </c>
      <c r="AD3" s="113">
        <f t="shared" si="0"/>
        <v>85.70638541862526</v>
      </c>
      <c r="AE3" s="113">
        <f t="shared" si="0"/>
        <v>86.824706274995592</v>
      </c>
      <c r="AF3" s="113">
        <f t="shared" si="0"/>
        <v>86.338373686538915</v>
      </c>
      <c r="AG3" s="113">
        <f t="shared" si="0"/>
        <v>86.316483628699501</v>
      </c>
      <c r="AH3" s="113">
        <f t="shared" si="0"/>
        <v>86.541972438702061</v>
      </c>
      <c r="AI3" s="113">
        <f t="shared" si="0"/>
        <v>86.373567276188794</v>
      </c>
      <c r="AJ3" s="113">
        <f t="shared" si="0"/>
        <v>86.874995836468187</v>
      </c>
      <c r="AK3" s="113">
        <f t="shared" si="0"/>
        <v>86.594426309421209</v>
      </c>
      <c r="AL3" s="113">
        <f t="shared" si="0"/>
        <v>86.165007089611905</v>
      </c>
      <c r="AM3" s="113">
        <f t="shared" si="0"/>
        <v>86.075889382568718</v>
      </c>
      <c r="AN3" s="113">
        <f t="shared" si="0"/>
        <v>86.743894648091697</v>
      </c>
      <c r="AO3" s="214"/>
      <c r="AP3" s="214"/>
      <c r="AQ3" s="214"/>
      <c r="AR3" s="214"/>
      <c r="AS3" s="214"/>
      <c r="AT3" s="214"/>
      <c r="AU3" s="214"/>
      <c r="AV3" s="214"/>
      <c r="AW3" s="214"/>
      <c r="AX3" s="214"/>
      <c r="AY3" s="214"/>
      <c r="AZ3" s="214"/>
      <c r="BA3" s="214"/>
      <c r="BB3" s="214"/>
      <c r="BC3" s="214"/>
      <c r="BD3" s="214"/>
      <c r="BE3" s="214"/>
      <c r="BF3" s="214"/>
      <c r="BG3" s="214"/>
      <c r="BH3" s="214"/>
      <c r="BI3" s="214"/>
      <c r="BJ3" s="214"/>
      <c r="BK3" s="214"/>
      <c r="BL3" s="214"/>
      <c r="BM3" s="214"/>
      <c r="BN3" s="214"/>
      <c r="BO3" s="214"/>
      <c r="BP3" s="214"/>
      <c r="BQ3" s="214"/>
      <c r="BR3" s="214"/>
      <c r="BS3" s="214"/>
      <c r="BT3" s="214"/>
      <c r="BU3" s="214"/>
      <c r="BV3" s="214"/>
      <c r="BW3" s="214"/>
      <c r="BX3" s="214"/>
      <c r="BY3" s="214"/>
      <c r="BZ3" s="214"/>
      <c r="CA3" s="214"/>
      <c r="CB3" s="214"/>
      <c r="CC3" s="214"/>
      <c r="CD3" s="214"/>
      <c r="CE3" s="214"/>
      <c r="CF3" s="214"/>
      <c r="CG3" s="214"/>
      <c r="CH3" s="214"/>
      <c r="CI3" s="214"/>
      <c r="CJ3" s="214"/>
      <c r="CK3" s="214"/>
      <c r="CL3" s="214"/>
      <c r="CM3" s="214"/>
      <c r="CN3" s="214"/>
      <c r="CO3" s="214"/>
      <c r="CP3" s="214"/>
      <c r="CQ3" s="214"/>
      <c r="CR3" s="214"/>
      <c r="CS3" s="214"/>
      <c r="CT3" s="214"/>
      <c r="CU3" s="214"/>
      <c r="CV3" s="214"/>
      <c r="CW3" s="214"/>
      <c r="CX3" s="214"/>
      <c r="CY3" s="214"/>
      <c r="CZ3" s="214"/>
      <c r="DA3" s="214"/>
      <c r="DB3" s="214"/>
      <c r="DC3" s="214"/>
      <c r="DD3" s="214"/>
      <c r="DE3" s="214"/>
      <c r="DF3" s="214"/>
      <c r="DG3" s="214"/>
      <c r="DH3" s="214"/>
      <c r="DI3" s="214"/>
      <c r="DJ3" s="214"/>
      <c r="DK3" s="214"/>
      <c r="DL3" s="214"/>
      <c r="DM3" s="214"/>
      <c r="DN3" s="214"/>
      <c r="DO3" s="214"/>
      <c r="DP3" s="214"/>
      <c r="DQ3" s="214"/>
      <c r="DR3" s="214"/>
      <c r="DS3" s="214"/>
      <c r="DT3" s="214"/>
      <c r="DU3" s="214"/>
      <c r="DV3" s="214"/>
      <c r="DW3" s="214"/>
      <c r="DX3" s="214"/>
      <c r="DY3" s="214"/>
      <c r="DZ3" s="214"/>
      <c r="EA3" s="214"/>
      <c r="EB3" s="214"/>
      <c r="EC3" s="214"/>
      <c r="ED3" s="214"/>
      <c r="EE3" s="214"/>
      <c r="EF3" s="214"/>
      <c r="EG3" s="214"/>
      <c r="EH3" s="214"/>
      <c r="EI3" s="214"/>
      <c r="EJ3" s="214"/>
      <c r="EK3" s="214"/>
      <c r="EL3" s="214"/>
      <c r="EM3" s="214"/>
      <c r="EN3" s="214"/>
      <c r="EO3" s="214"/>
      <c r="EP3" s="214"/>
      <c r="EQ3" s="214"/>
      <c r="ER3" s="214"/>
      <c r="ES3" s="214"/>
      <c r="ET3" s="214"/>
      <c r="EU3" s="214"/>
      <c r="EV3" s="214"/>
      <c r="EW3" s="214"/>
      <c r="EX3" s="214"/>
      <c r="EY3" s="214"/>
      <c r="EZ3" s="214"/>
      <c r="FA3" s="214"/>
      <c r="FB3" s="214"/>
      <c r="FC3" s="214"/>
      <c r="FD3" s="214"/>
      <c r="FE3" s="214"/>
      <c r="FF3" s="214"/>
      <c r="FG3" s="214"/>
      <c r="FH3" s="214"/>
      <c r="FI3" s="214"/>
      <c r="FJ3" s="214"/>
      <c r="FK3" s="214"/>
      <c r="FL3" s="214"/>
      <c r="FM3" s="214"/>
      <c r="FN3" s="214"/>
      <c r="FO3" s="214"/>
      <c r="FP3" s="214"/>
      <c r="FQ3" s="214"/>
      <c r="FR3" s="214"/>
      <c r="FS3" s="214"/>
      <c r="FT3" s="214"/>
      <c r="FU3" s="214"/>
      <c r="FV3" s="214"/>
      <c r="FW3" s="214"/>
      <c r="FX3" s="214"/>
      <c r="FY3" s="214"/>
      <c r="FZ3" s="214"/>
      <c r="GA3" s="214"/>
      <c r="GB3" s="214"/>
      <c r="GC3" s="214"/>
      <c r="GD3" s="214"/>
      <c r="GE3" s="214"/>
      <c r="GF3" s="214"/>
      <c r="GG3" s="214"/>
      <c r="GH3" s="214"/>
      <c r="GI3" s="214"/>
      <c r="GJ3" s="214"/>
      <c r="GK3" s="214"/>
      <c r="GL3" s="214"/>
      <c r="GM3" s="214"/>
      <c r="GN3" s="214"/>
      <c r="GO3" s="214"/>
      <c r="GP3" s="214"/>
      <c r="GQ3" s="214"/>
      <c r="GR3" s="214"/>
      <c r="GS3" s="214"/>
      <c r="GT3" s="214"/>
      <c r="GU3" s="214"/>
      <c r="GV3" s="214"/>
      <c r="GW3" s="214"/>
      <c r="GX3" s="214"/>
      <c r="GY3" s="214"/>
      <c r="GZ3" s="214"/>
      <c r="HA3" s="214"/>
      <c r="HB3" s="214"/>
      <c r="HC3" s="214"/>
      <c r="HD3" s="214"/>
      <c r="HE3" s="214"/>
      <c r="HF3" s="214"/>
      <c r="HG3" s="214"/>
      <c r="HH3" s="214"/>
      <c r="HI3" s="214"/>
      <c r="HJ3" s="214"/>
      <c r="HK3" s="214"/>
      <c r="HL3" s="214"/>
      <c r="HM3" s="214"/>
      <c r="HN3" s="214"/>
      <c r="HO3" s="214"/>
      <c r="HP3" s="214"/>
      <c r="HQ3" s="214"/>
      <c r="HR3" s="214"/>
      <c r="HS3" s="214"/>
      <c r="HT3" s="214"/>
      <c r="HU3" s="214"/>
      <c r="HV3" s="214"/>
      <c r="HW3" s="214"/>
      <c r="HX3" s="214"/>
      <c r="HY3" s="214"/>
      <c r="HZ3" s="214"/>
      <c r="IA3" s="214"/>
      <c r="IB3" s="214"/>
      <c r="IC3" s="214"/>
      <c r="ID3" s="214"/>
      <c r="IE3" s="214"/>
      <c r="IF3" s="214"/>
      <c r="IG3" s="214"/>
      <c r="IH3" s="214"/>
      <c r="II3" s="214"/>
      <c r="IJ3" s="214"/>
      <c r="IK3" s="214"/>
      <c r="IL3" s="214"/>
      <c r="IM3" s="214"/>
      <c r="IN3" s="214"/>
      <c r="IO3" s="214"/>
      <c r="IP3" s="214"/>
      <c r="IQ3" s="214"/>
      <c r="IR3" s="214"/>
      <c r="IS3" s="214"/>
      <c r="IT3" s="214"/>
      <c r="IU3" s="214"/>
      <c r="IV3" s="214"/>
      <c r="IW3" s="214"/>
      <c r="IX3" s="214"/>
      <c r="IY3" s="214"/>
      <c r="IZ3" s="214"/>
      <c r="JA3" s="214"/>
      <c r="JB3" s="214"/>
      <c r="JC3" s="214"/>
      <c r="JD3" s="214"/>
      <c r="JE3" s="214"/>
      <c r="JF3" s="214"/>
      <c r="JG3" s="214"/>
      <c r="JH3" s="214"/>
      <c r="JI3" s="214"/>
      <c r="JJ3" s="214"/>
      <c r="JK3" s="214"/>
      <c r="JL3" s="214"/>
      <c r="JM3" s="214"/>
      <c r="JN3" s="214"/>
      <c r="JO3" s="214"/>
      <c r="JP3" s="214"/>
      <c r="JQ3" s="214"/>
      <c r="JR3" s="214"/>
      <c r="JS3" s="214"/>
      <c r="JT3" s="214"/>
      <c r="JU3" s="214"/>
      <c r="JV3" s="214"/>
      <c r="JW3" s="214"/>
      <c r="JX3" s="214"/>
      <c r="JY3" s="214"/>
      <c r="JZ3" s="214"/>
      <c r="KA3" s="214"/>
      <c r="KB3" s="214"/>
      <c r="KC3" s="214"/>
      <c r="KD3" s="214"/>
      <c r="KE3" s="214"/>
      <c r="KF3" s="214"/>
      <c r="KG3" s="214"/>
      <c r="KH3" s="214"/>
      <c r="KI3" s="214"/>
      <c r="KJ3" s="214"/>
      <c r="KK3" s="214"/>
      <c r="KL3" s="214"/>
      <c r="KM3" s="214"/>
      <c r="KN3" s="214"/>
      <c r="KO3" s="214"/>
      <c r="KP3" s="214"/>
      <c r="KQ3" s="214"/>
      <c r="KR3" s="214"/>
      <c r="KS3" s="214"/>
      <c r="KT3" s="214"/>
      <c r="KU3" s="214"/>
      <c r="KV3" s="214"/>
      <c r="KW3" s="214"/>
      <c r="KX3" s="214"/>
      <c r="KY3" s="214"/>
      <c r="KZ3" s="214"/>
      <c r="LA3" s="214"/>
      <c r="LB3" s="214"/>
      <c r="LC3" s="214"/>
      <c r="LD3" s="214"/>
      <c r="LE3" s="214"/>
      <c r="LF3" s="214"/>
      <c r="LG3" s="214"/>
      <c r="LH3" s="214"/>
      <c r="LI3" s="214"/>
      <c r="LJ3" s="214"/>
      <c r="LK3" s="214"/>
      <c r="LL3" s="214"/>
      <c r="LM3" s="214"/>
      <c r="LN3" s="214"/>
      <c r="LO3" s="214"/>
      <c r="LP3" s="214"/>
      <c r="LQ3" s="214"/>
      <c r="LR3" s="214"/>
      <c r="LS3" s="214"/>
      <c r="LT3" s="214"/>
      <c r="LU3" s="214"/>
      <c r="LV3" s="214"/>
      <c r="LW3" s="214"/>
      <c r="LX3" s="214"/>
      <c r="LY3" s="214"/>
      <c r="LZ3" s="214"/>
      <c r="MA3" s="214"/>
      <c r="MB3" s="214"/>
      <c r="MC3" s="214"/>
      <c r="MD3" s="214"/>
      <c r="ME3" s="214"/>
      <c r="MF3" s="214"/>
      <c r="MG3" s="214"/>
      <c r="MH3" s="214"/>
      <c r="MI3" s="214"/>
      <c r="MJ3" s="214"/>
      <c r="MK3" s="214"/>
      <c r="ML3" s="214"/>
      <c r="MM3" s="214"/>
      <c r="MN3" s="214"/>
      <c r="MO3" s="214"/>
      <c r="MP3" s="214"/>
      <c r="MQ3" s="214"/>
      <c r="MR3" s="214"/>
      <c r="MS3" s="214"/>
      <c r="MT3" s="214"/>
      <c r="MU3" s="214"/>
      <c r="MV3" s="214"/>
      <c r="MW3" s="214"/>
      <c r="MX3" s="214"/>
      <c r="MY3" s="214"/>
      <c r="MZ3" s="214"/>
      <c r="NA3" s="214"/>
      <c r="NB3" s="214"/>
      <c r="NC3" s="214"/>
      <c r="ND3" s="214"/>
      <c r="NE3" s="214"/>
      <c r="NF3" s="214"/>
      <c r="NG3" s="214"/>
      <c r="NH3" s="214"/>
      <c r="NI3" s="214"/>
      <c r="NJ3" s="214"/>
      <c r="NK3" s="214"/>
      <c r="NL3" s="214"/>
      <c r="NM3" s="214"/>
      <c r="NN3" s="214"/>
      <c r="NO3" s="214"/>
      <c r="NP3" s="214"/>
      <c r="NQ3" s="214"/>
      <c r="NR3" s="214"/>
      <c r="NS3" s="214"/>
      <c r="NT3" s="214"/>
      <c r="NU3" s="214"/>
      <c r="NV3" s="214"/>
      <c r="NW3" s="214"/>
      <c r="NX3" s="214"/>
      <c r="NY3" s="214"/>
      <c r="NZ3" s="214"/>
      <c r="OA3" s="214"/>
      <c r="OB3" s="214"/>
      <c r="OC3" s="214"/>
      <c r="OD3" s="214"/>
      <c r="OE3" s="214"/>
      <c r="OF3" s="214"/>
      <c r="OG3" s="214"/>
      <c r="OH3" s="214"/>
      <c r="OI3" s="214"/>
      <c r="OJ3" s="214"/>
      <c r="OK3" s="214"/>
      <c r="OL3" s="214"/>
      <c r="OM3" s="214"/>
      <c r="ON3" s="214"/>
      <c r="OO3" s="214"/>
      <c r="OP3" s="214"/>
      <c r="OQ3" s="214"/>
      <c r="OR3" s="214"/>
      <c r="OS3" s="214"/>
      <c r="OT3" s="214"/>
      <c r="OU3" s="214"/>
      <c r="OV3" s="214"/>
      <c r="OW3" s="214"/>
      <c r="OX3" s="214"/>
      <c r="OY3" s="214"/>
      <c r="OZ3" s="214"/>
      <c r="PA3" s="214"/>
      <c r="PB3" s="214"/>
      <c r="PC3" s="214"/>
      <c r="PD3" s="214"/>
      <c r="PE3" s="214"/>
      <c r="PF3" s="214"/>
      <c r="PG3" s="214"/>
      <c r="PH3" s="214"/>
      <c r="PI3" s="214"/>
      <c r="PJ3" s="214"/>
      <c r="PK3" s="214"/>
      <c r="PL3" s="214"/>
      <c r="PM3" s="214"/>
      <c r="PN3" s="214"/>
      <c r="PO3" s="214"/>
      <c r="PP3" s="214"/>
      <c r="PQ3" s="214"/>
      <c r="PR3" s="214"/>
      <c r="PS3" s="214"/>
      <c r="PT3" s="214"/>
      <c r="PU3" s="214"/>
      <c r="PV3" s="214"/>
      <c r="PW3" s="214"/>
      <c r="PX3" s="214"/>
      <c r="PY3" s="214"/>
      <c r="PZ3" s="214"/>
      <c r="QA3" s="214"/>
      <c r="QB3" s="214"/>
      <c r="QC3" s="214"/>
      <c r="QD3" s="214"/>
      <c r="QE3" s="214"/>
      <c r="QF3" s="214"/>
      <c r="QG3" s="214"/>
      <c r="QH3" s="214"/>
      <c r="QI3" s="214"/>
      <c r="QJ3" s="214"/>
      <c r="QK3" s="214"/>
      <c r="QL3" s="214"/>
      <c r="QM3" s="214"/>
      <c r="QN3" s="214"/>
      <c r="QO3" s="214"/>
      <c r="QP3" s="214"/>
      <c r="QQ3" s="214"/>
      <c r="QR3" s="214"/>
      <c r="QS3" s="214"/>
      <c r="QT3" s="214"/>
      <c r="QU3" s="214"/>
      <c r="QV3" s="214"/>
      <c r="QW3" s="214"/>
      <c r="QX3" s="214"/>
      <c r="QY3" s="214"/>
      <c r="QZ3" s="214"/>
      <c r="RA3" s="214"/>
      <c r="RB3" s="214"/>
      <c r="RC3" s="214"/>
      <c r="RD3" s="214"/>
      <c r="RE3" s="214"/>
      <c r="RF3" s="214"/>
      <c r="RG3" s="214"/>
      <c r="RH3" s="214"/>
      <c r="RI3" s="214"/>
      <c r="RJ3" s="214"/>
      <c r="RK3" s="214"/>
      <c r="RL3" s="214"/>
      <c r="RM3" s="214"/>
      <c r="RN3" s="214"/>
      <c r="RO3" s="214"/>
      <c r="RP3" s="214"/>
      <c r="RQ3" s="214"/>
      <c r="RR3" s="214"/>
      <c r="RS3" s="214"/>
      <c r="RT3" s="214"/>
      <c r="RU3" s="214"/>
      <c r="RV3" s="214"/>
      <c r="RW3" s="214"/>
      <c r="RX3" s="214"/>
      <c r="RY3" s="214"/>
      <c r="RZ3" s="214"/>
      <c r="SA3" s="214"/>
      <c r="SB3" s="214"/>
      <c r="SC3" s="214"/>
      <c r="SD3" s="214"/>
      <c r="SE3" s="214"/>
      <c r="SF3" s="214"/>
      <c r="SG3" s="214"/>
      <c r="SH3" s="214"/>
      <c r="SI3" s="214"/>
      <c r="SJ3" s="214"/>
      <c r="SK3" s="214"/>
      <c r="SL3" s="214"/>
      <c r="SM3" s="214"/>
      <c r="SN3" s="214"/>
      <c r="SO3" s="214"/>
      <c r="SP3" s="214"/>
      <c r="SQ3" s="214"/>
      <c r="SR3" s="214"/>
      <c r="SS3" s="214"/>
      <c r="ST3" s="214"/>
      <c r="SU3" s="214"/>
      <c r="SV3" s="214"/>
      <c r="SW3" s="214"/>
      <c r="SX3" s="214"/>
      <c r="SY3" s="214"/>
      <c r="SZ3" s="214"/>
      <c r="TA3" s="214"/>
      <c r="TB3" s="214"/>
      <c r="TC3" s="214"/>
      <c r="TD3" s="214"/>
      <c r="TE3" s="214"/>
      <c r="TF3" s="214"/>
      <c r="TG3" s="214"/>
      <c r="TH3" s="214"/>
      <c r="TI3" s="214"/>
      <c r="TJ3" s="214"/>
      <c r="TK3" s="214"/>
      <c r="TL3" s="214"/>
      <c r="TM3" s="214"/>
      <c r="TN3" s="214"/>
      <c r="TO3" s="214"/>
      <c r="TP3" s="214"/>
      <c r="TQ3" s="214"/>
      <c r="TR3" s="214"/>
      <c r="TS3" s="214"/>
      <c r="TT3" s="214"/>
      <c r="TU3" s="214"/>
      <c r="TV3" s="214"/>
      <c r="TW3" s="214"/>
      <c r="TX3" s="214"/>
      <c r="TY3" s="214"/>
      <c r="TZ3" s="214"/>
      <c r="UA3" s="214"/>
      <c r="UB3" s="214"/>
      <c r="UC3" s="214"/>
      <c r="UD3" s="214"/>
      <c r="UE3" s="214"/>
      <c r="UF3" s="214"/>
      <c r="UG3" s="214"/>
      <c r="UH3" s="214"/>
      <c r="UI3" s="214"/>
      <c r="UJ3" s="214"/>
      <c r="UK3" s="214"/>
      <c r="UL3" s="214"/>
      <c r="UM3" s="214"/>
      <c r="UN3" s="214"/>
      <c r="UO3" s="214"/>
      <c r="UP3" s="214"/>
      <c r="UQ3" s="214"/>
      <c r="UR3" s="214"/>
      <c r="US3" s="214"/>
      <c r="UT3" s="214"/>
      <c r="UU3" s="214"/>
      <c r="UV3" s="214"/>
      <c r="UW3" s="214"/>
      <c r="UX3" s="214"/>
      <c r="UY3" s="214"/>
      <c r="UZ3" s="214"/>
      <c r="VA3" s="214"/>
      <c r="VB3" s="214"/>
      <c r="VC3" s="214"/>
      <c r="VD3" s="214"/>
      <c r="VE3" s="214"/>
      <c r="VF3" s="214"/>
      <c r="VG3" s="214"/>
      <c r="VH3" s="214"/>
      <c r="VI3" s="214"/>
      <c r="VJ3" s="214"/>
      <c r="VK3" s="214"/>
      <c r="VL3" s="214"/>
      <c r="VM3" s="214"/>
      <c r="VN3" s="214"/>
      <c r="VO3" s="214"/>
      <c r="VP3" s="214"/>
      <c r="VQ3" s="214"/>
      <c r="VR3" s="214"/>
      <c r="VS3" s="214"/>
      <c r="VT3" s="214"/>
      <c r="VU3" s="214"/>
      <c r="VV3" s="214"/>
      <c r="VW3" s="214"/>
      <c r="VX3" s="214"/>
      <c r="VY3" s="214"/>
      <c r="VZ3" s="214"/>
      <c r="WA3" s="214"/>
      <c r="WB3" s="214"/>
      <c r="WC3" s="214"/>
      <c r="WD3" s="214"/>
      <c r="WE3" s="214"/>
      <c r="WF3" s="214"/>
      <c r="WG3" s="214"/>
      <c r="WH3" s="214"/>
      <c r="WI3" s="214"/>
      <c r="WJ3" s="214"/>
      <c r="WK3" s="214"/>
      <c r="WL3" s="214"/>
      <c r="WM3" s="214"/>
      <c r="WN3" s="214"/>
      <c r="WO3" s="214"/>
      <c r="WP3" s="214"/>
      <c r="WQ3" s="214"/>
      <c r="WR3" s="214"/>
      <c r="WS3" s="214"/>
      <c r="WT3" s="214"/>
      <c r="WU3" s="214"/>
      <c r="WV3" s="214"/>
      <c r="WW3" s="214"/>
      <c r="WX3" s="214"/>
      <c r="WY3" s="214"/>
      <c r="WZ3" s="214"/>
      <c r="XA3" s="214"/>
      <c r="XB3" s="214"/>
      <c r="XC3" s="214"/>
      <c r="XD3" s="214"/>
      <c r="XE3" s="214"/>
      <c r="XF3" s="214"/>
      <c r="XG3" s="214"/>
      <c r="XH3" s="214"/>
      <c r="XI3" s="214"/>
      <c r="XJ3" s="214"/>
      <c r="XK3" s="214"/>
      <c r="XL3" s="214"/>
      <c r="XM3" s="214"/>
      <c r="XN3" s="214"/>
      <c r="XO3" s="214"/>
      <c r="XP3" s="214"/>
      <c r="XQ3" s="214"/>
      <c r="XR3" s="214"/>
      <c r="XS3" s="214"/>
      <c r="XT3" s="214"/>
      <c r="XU3" s="214"/>
      <c r="XV3" s="214"/>
      <c r="XW3" s="214"/>
      <c r="XX3" s="214"/>
      <c r="XY3" s="214"/>
      <c r="XZ3" s="214"/>
      <c r="YA3" s="214"/>
      <c r="YB3" s="214"/>
      <c r="YC3" s="214"/>
      <c r="YD3" s="214"/>
      <c r="YE3" s="214"/>
      <c r="YF3" s="214"/>
      <c r="YG3" s="214"/>
      <c r="YH3" s="214"/>
      <c r="YI3" s="214"/>
      <c r="YJ3" s="214"/>
      <c r="YK3" s="214"/>
      <c r="YL3" s="214"/>
      <c r="YM3" s="214"/>
      <c r="YN3" s="214"/>
      <c r="YO3" s="214"/>
      <c r="YP3" s="214"/>
      <c r="YQ3" s="214"/>
      <c r="YR3" s="214"/>
      <c r="YS3" s="214"/>
      <c r="YT3" s="214"/>
      <c r="YU3" s="214"/>
      <c r="YV3" s="214"/>
      <c r="YW3" s="214"/>
      <c r="YX3" s="214"/>
      <c r="YY3" s="214"/>
      <c r="YZ3" s="214"/>
      <c r="ZA3" s="214"/>
      <c r="ZB3" s="214"/>
      <c r="ZC3" s="214"/>
      <c r="ZD3" s="214"/>
      <c r="ZE3" s="214"/>
      <c r="ZF3" s="214"/>
      <c r="ZG3" s="214"/>
      <c r="ZH3" s="214"/>
      <c r="ZI3" s="214"/>
      <c r="ZJ3" s="214"/>
      <c r="ZK3" s="214"/>
      <c r="ZL3" s="214"/>
      <c r="ZM3" s="214"/>
      <c r="ZN3" s="214"/>
      <c r="ZO3" s="214"/>
      <c r="ZP3" s="214"/>
      <c r="ZQ3" s="214"/>
      <c r="ZR3" s="214"/>
      <c r="ZS3" s="214"/>
      <c r="ZT3" s="214"/>
      <c r="ZU3" s="214"/>
      <c r="ZV3" s="214"/>
      <c r="ZW3" s="214"/>
      <c r="ZX3" s="214"/>
      <c r="ZY3" s="214"/>
      <c r="ZZ3" s="214"/>
      <c r="AAA3" s="214"/>
      <c r="AAB3" s="214"/>
      <c r="AAC3" s="214"/>
      <c r="AAD3" s="214"/>
      <c r="AAE3" s="214"/>
      <c r="AAF3" s="214"/>
      <c r="AAG3" s="214"/>
      <c r="AAH3" s="214"/>
      <c r="AAI3" s="214"/>
      <c r="AAJ3" s="214"/>
      <c r="AAK3" s="214"/>
      <c r="AAL3" s="214"/>
      <c r="AAM3" s="214"/>
      <c r="AAN3" s="214"/>
      <c r="AAO3" s="214"/>
      <c r="AAP3" s="214"/>
      <c r="AAQ3" s="214"/>
      <c r="AAR3" s="214"/>
      <c r="AAS3" s="214"/>
      <c r="AAT3" s="214"/>
      <c r="AAU3" s="214"/>
      <c r="AAV3" s="214"/>
      <c r="AAW3" s="214"/>
      <c r="AAX3" s="214"/>
      <c r="AAY3" s="214"/>
      <c r="AAZ3" s="214"/>
      <c r="ABA3" s="214"/>
      <c r="ABB3" s="214"/>
      <c r="ABC3" s="214"/>
      <c r="ABD3" s="214"/>
      <c r="ABE3" s="214"/>
      <c r="ABF3" s="214"/>
      <c r="ABG3" s="214"/>
      <c r="ABH3" s="214"/>
      <c r="ABI3" s="214"/>
      <c r="ABJ3" s="214"/>
      <c r="ABK3" s="214"/>
      <c r="ABL3" s="214"/>
      <c r="ABM3" s="214"/>
      <c r="ABN3" s="214"/>
      <c r="ABO3" s="214"/>
      <c r="ABP3" s="214"/>
      <c r="ABQ3" s="214"/>
      <c r="ABR3" s="214"/>
      <c r="ABS3" s="214"/>
      <c r="ABT3" s="214"/>
      <c r="ABU3" s="214"/>
      <c r="ABV3" s="214"/>
      <c r="ABW3" s="214"/>
      <c r="ABX3" s="214"/>
      <c r="ABY3" s="214"/>
      <c r="ABZ3" s="214"/>
      <c r="ACA3" s="214"/>
      <c r="ACB3" s="214"/>
      <c r="ACC3" s="214"/>
      <c r="ACD3" s="214"/>
      <c r="ACE3" s="214"/>
      <c r="ACF3" s="214"/>
      <c r="ACG3" s="214"/>
      <c r="ACH3" s="214"/>
      <c r="ACI3" s="214"/>
      <c r="ACJ3" s="214"/>
      <c r="ACK3" s="214"/>
      <c r="ACL3" s="214"/>
      <c r="ACM3" s="214"/>
      <c r="ACN3" s="214"/>
      <c r="ACO3" s="214"/>
      <c r="ACP3" s="214"/>
      <c r="ACQ3" s="214"/>
      <c r="ACR3" s="214"/>
      <c r="ACS3" s="214"/>
      <c r="ACT3" s="214"/>
      <c r="ACU3" s="214"/>
      <c r="ACV3" s="214"/>
      <c r="ACW3" s="214"/>
      <c r="ACX3" s="214"/>
      <c r="ACY3" s="214"/>
      <c r="ACZ3" s="214"/>
      <c r="ADA3" s="214"/>
      <c r="ADB3" s="214"/>
      <c r="ADC3" s="214"/>
      <c r="ADD3" s="214"/>
      <c r="ADE3" s="214"/>
      <c r="ADF3" s="214"/>
      <c r="ADG3" s="214"/>
      <c r="ADH3" s="214"/>
      <c r="ADI3" s="214"/>
      <c r="ADJ3" s="214"/>
      <c r="ADK3" s="214"/>
      <c r="ADL3" s="214"/>
      <c r="ADM3" s="214"/>
      <c r="ADN3" s="214"/>
      <c r="ADO3" s="214"/>
      <c r="ADP3" s="214"/>
      <c r="ADQ3" s="214"/>
      <c r="ADR3" s="214"/>
      <c r="ADS3" s="214"/>
      <c r="ADT3" s="214"/>
      <c r="ADU3" s="214"/>
      <c r="ADV3" s="214"/>
      <c r="ADW3" s="214"/>
      <c r="ADX3" s="214"/>
      <c r="ADY3" s="214"/>
      <c r="ADZ3" s="214"/>
      <c r="AEA3" s="214"/>
      <c r="AEB3" s="214"/>
      <c r="AEC3" s="214"/>
      <c r="AED3" s="214"/>
      <c r="AEE3" s="214"/>
      <c r="AEF3" s="214"/>
      <c r="AEG3" s="214"/>
      <c r="AEH3" s="214"/>
      <c r="AEI3" s="214"/>
      <c r="AEJ3" s="214"/>
      <c r="AEK3" s="214"/>
      <c r="AEL3" s="214"/>
      <c r="AEM3" s="214"/>
      <c r="AEN3" s="214"/>
      <c r="AEO3" s="214"/>
      <c r="AEP3" s="214"/>
      <c r="AEQ3" s="214"/>
      <c r="AER3" s="214"/>
      <c r="AES3" s="214"/>
      <c r="AET3" s="214"/>
      <c r="AEU3" s="214"/>
      <c r="AEV3" s="214"/>
      <c r="AEW3" s="214"/>
      <c r="AEX3" s="214"/>
      <c r="AEY3" s="214"/>
      <c r="AEZ3" s="214"/>
      <c r="AFA3" s="214"/>
      <c r="AFB3" s="214"/>
      <c r="AFC3" s="214"/>
      <c r="AFD3" s="214"/>
      <c r="AFE3" s="214"/>
      <c r="AFF3" s="214"/>
      <c r="AFG3" s="214"/>
      <c r="AFH3" s="214"/>
      <c r="AFI3" s="214"/>
      <c r="AFJ3" s="214"/>
      <c r="AFK3" s="214"/>
      <c r="AFL3" s="214"/>
      <c r="AFM3" s="214"/>
      <c r="AFN3" s="214"/>
      <c r="AFO3" s="214"/>
      <c r="AFP3" s="214"/>
      <c r="AFQ3" s="214"/>
      <c r="AFR3" s="214"/>
      <c r="AFS3" s="214"/>
      <c r="AFT3" s="214"/>
      <c r="AFU3" s="214"/>
      <c r="AFV3" s="214"/>
      <c r="AFW3" s="214"/>
      <c r="AFX3" s="214"/>
      <c r="AFY3" s="214"/>
      <c r="AFZ3" s="214"/>
      <c r="AGA3" s="214"/>
      <c r="AGB3" s="214"/>
      <c r="AGC3" s="214"/>
      <c r="AGD3" s="214"/>
      <c r="AGE3" s="214"/>
      <c r="AGF3" s="214"/>
      <c r="AGG3" s="214"/>
      <c r="AGH3" s="214"/>
      <c r="AGI3" s="214"/>
      <c r="AGJ3" s="214"/>
      <c r="AGK3" s="214"/>
      <c r="AGL3" s="214"/>
      <c r="AGM3" s="214"/>
      <c r="AGN3" s="214"/>
      <c r="AGO3" s="214"/>
      <c r="AGP3" s="214"/>
      <c r="AGQ3" s="214"/>
      <c r="AGR3" s="214"/>
      <c r="AGS3" s="214"/>
      <c r="AGT3" s="214"/>
      <c r="AGU3" s="214"/>
      <c r="AGV3" s="214"/>
      <c r="AGW3" s="214"/>
      <c r="AGX3" s="214"/>
      <c r="AGY3" s="214"/>
      <c r="AGZ3" s="214"/>
      <c r="AHA3" s="214"/>
      <c r="AHB3" s="214"/>
      <c r="AHC3" s="214"/>
      <c r="AHD3" s="214"/>
      <c r="AHE3" s="214"/>
      <c r="AHF3" s="214"/>
      <c r="AHG3" s="214"/>
      <c r="AHH3" s="214"/>
      <c r="AHI3" s="214"/>
      <c r="AHJ3" s="214"/>
      <c r="AHK3" s="214"/>
      <c r="AHL3" s="214"/>
      <c r="AHM3" s="214"/>
      <c r="AHN3" s="214"/>
      <c r="AHO3" s="214"/>
      <c r="AHP3" s="214"/>
      <c r="AHQ3" s="214"/>
      <c r="AHR3" s="214"/>
      <c r="AHS3" s="214"/>
      <c r="AHT3" s="214"/>
      <c r="AHU3" s="214"/>
      <c r="AHV3" s="214"/>
      <c r="AHW3" s="214"/>
      <c r="AHX3" s="214"/>
      <c r="AHY3" s="214"/>
      <c r="AHZ3" s="214"/>
      <c r="AIA3" s="214"/>
      <c r="AIB3" s="214"/>
      <c r="AIC3" s="214"/>
      <c r="AID3" s="214"/>
      <c r="AIE3" s="214"/>
      <c r="AIF3" s="214"/>
      <c r="AIG3" s="214"/>
      <c r="AIH3" s="214"/>
      <c r="AII3" s="214"/>
      <c r="AIJ3" s="214"/>
      <c r="AIK3" s="214"/>
      <c r="AIL3" s="214"/>
      <c r="AIM3" s="214"/>
      <c r="AIN3" s="214"/>
      <c r="AIO3" s="214"/>
      <c r="AIP3" s="214"/>
      <c r="AIQ3" s="214"/>
      <c r="AIR3" s="214"/>
      <c r="AIS3" s="214"/>
      <c r="AIT3" s="214"/>
      <c r="AIU3" s="214"/>
      <c r="AIV3" s="214"/>
      <c r="AIW3" s="214"/>
      <c r="AIX3" s="214"/>
      <c r="AIY3" s="214"/>
      <c r="AIZ3" s="214"/>
      <c r="AJA3" s="214"/>
      <c r="AJB3" s="214"/>
      <c r="AJC3" s="214"/>
      <c r="AJD3" s="214"/>
      <c r="AJE3" s="214"/>
      <c r="AJF3" s="214"/>
      <c r="AJG3" s="214"/>
      <c r="AJH3" s="214"/>
      <c r="AJI3" s="214"/>
      <c r="AJJ3" s="214"/>
      <c r="AJK3" s="214"/>
      <c r="AJL3" s="214"/>
      <c r="AJM3" s="214"/>
      <c r="AJN3" s="214"/>
      <c r="AJO3" s="214"/>
      <c r="AJP3" s="214"/>
      <c r="AJQ3" s="214"/>
      <c r="AJR3" s="214"/>
      <c r="AJS3" s="214"/>
      <c r="AJT3" s="214"/>
      <c r="AJU3" s="214"/>
      <c r="AJV3" s="214"/>
      <c r="AJW3" s="214"/>
      <c r="AJX3" s="214"/>
      <c r="AJY3" s="214"/>
      <c r="AJZ3" s="214"/>
      <c r="AKA3" s="214"/>
      <c r="AKB3" s="214"/>
      <c r="AKC3" s="214"/>
      <c r="AKD3" s="214"/>
      <c r="AKE3" s="214"/>
      <c r="AKF3" s="214"/>
      <c r="AKG3" s="214"/>
      <c r="AKH3" s="214"/>
      <c r="AKI3" s="214"/>
      <c r="AKJ3" s="214"/>
      <c r="AKK3" s="214"/>
      <c r="AKL3" s="214"/>
      <c r="AKM3" s="214"/>
      <c r="AKN3" s="214"/>
      <c r="AKO3" s="214"/>
      <c r="AKP3" s="214"/>
      <c r="AKQ3" s="214"/>
      <c r="AKR3" s="214"/>
      <c r="AKS3" s="214"/>
      <c r="AKT3" s="214"/>
      <c r="AKU3" s="214"/>
      <c r="AKV3" s="214"/>
      <c r="AKW3" s="214"/>
      <c r="AKX3" s="214"/>
      <c r="AKY3" s="214"/>
      <c r="AKZ3" s="214"/>
      <c r="ALA3" s="214"/>
      <c r="ALB3" s="214"/>
      <c r="ALC3" s="214"/>
      <c r="ALD3" s="214"/>
      <c r="ALE3" s="214"/>
      <c r="ALF3" s="214"/>
      <c r="ALG3" s="214"/>
      <c r="ALH3" s="214"/>
      <c r="ALI3" s="214"/>
      <c r="ALJ3" s="214"/>
      <c r="ALK3" s="214"/>
      <c r="ALL3" s="214"/>
      <c r="ALM3" s="214"/>
      <c r="ALN3" s="214"/>
      <c r="ALO3" s="214"/>
      <c r="ALP3" s="214"/>
      <c r="ALQ3" s="214"/>
      <c r="ALR3" s="214"/>
      <c r="ALS3" s="214"/>
      <c r="ALT3" s="214"/>
      <c r="ALU3" s="214"/>
      <c r="ALV3" s="214"/>
      <c r="ALW3" s="214"/>
      <c r="ALX3" s="214"/>
      <c r="ALY3" s="214"/>
      <c r="ALZ3" s="214"/>
      <c r="AMA3" s="214"/>
      <c r="AMB3" s="214"/>
      <c r="AMC3" s="214"/>
      <c r="AMD3" s="214"/>
      <c r="AME3" s="214"/>
      <c r="AMF3" s="214"/>
      <c r="AMG3" s="214"/>
      <c r="AMH3" s="214"/>
      <c r="AMI3" s="214"/>
      <c r="AMJ3" s="214"/>
      <c r="AMK3" s="214"/>
      <c r="AML3" s="214"/>
      <c r="AMM3" s="214"/>
      <c r="AMN3" s="214"/>
      <c r="AMO3" s="214"/>
      <c r="AMP3" s="214"/>
      <c r="AMQ3" s="214"/>
      <c r="AMR3" s="214"/>
      <c r="AMS3" s="214"/>
      <c r="AMT3" s="214"/>
      <c r="AMU3" s="214"/>
      <c r="AMV3" s="214"/>
      <c r="AMW3" s="214"/>
      <c r="AMX3" s="214"/>
      <c r="AMY3" s="214"/>
      <c r="AMZ3" s="214"/>
      <c r="ANA3" s="214"/>
      <c r="ANB3" s="214"/>
      <c r="ANC3" s="214"/>
      <c r="AND3" s="214"/>
      <c r="ANE3" s="214"/>
      <c r="ANF3" s="214"/>
      <c r="ANG3" s="214"/>
      <c r="ANH3" s="214"/>
      <c r="ANI3" s="214"/>
      <c r="ANJ3" s="214"/>
      <c r="ANK3" s="214"/>
      <c r="ANL3" s="214"/>
      <c r="ANM3" s="214"/>
      <c r="ANN3" s="214"/>
      <c r="ANO3" s="214"/>
      <c r="ANP3" s="214"/>
      <c r="ANQ3" s="214"/>
      <c r="ANR3" s="214"/>
      <c r="ANS3" s="214"/>
      <c r="ANT3" s="214"/>
      <c r="ANU3" s="214"/>
      <c r="ANV3" s="214"/>
      <c r="ANW3" s="214"/>
      <c r="ANX3" s="214"/>
      <c r="ANY3" s="214"/>
      <c r="ANZ3" s="214"/>
      <c r="AOA3" s="214"/>
      <c r="AOB3" s="214"/>
      <c r="AOC3" s="214"/>
      <c r="AOD3" s="214"/>
      <c r="AOE3" s="214"/>
      <c r="AOF3" s="214"/>
      <c r="AOG3" s="214"/>
      <c r="AOH3" s="214"/>
      <c r="AOI3" s="214"/>
      <c r="AOJ3" s="214"/>
      <c r="AOK3" s="214"/>
      <c r="AOL3" s="214"/>
      <c r="AOM3" s="214"/>
      <c r="AON3" s="214"/>
      <c r="AOO3" s="214"/>
      <c r="AOP3" s="214"/>
      <c r="AOQ3" s="214"/>
      <c r="AOR3" s="214"/>
      <c r="AOS3" s="214"/>
      <c r="AOT3" s="214"/>
      <c r="AOU3" s="214"/>
      <c r="AOV3" s="214"/>
      <c r="AOW3" s="214"/>
      <c r="AOX3" s="214"/>
      <c r="AOY3" s="214"/>
      <c r="AOZ3" s="214"/>
      <c r="APA3" s="214"/>
      <c r="APB3" s="214"/>
      <c r="APC3" s="214"/>
      <c r="APD3" s="214"/>
      <c r="APE3" s="214"/>
      <c r="APF3" s="214"/>
      <c r="APG3" s="214"/>
      <c r="APH3" s="214"/>
      <c r="API3" s="214"/>
      <c r="APJ3" s="214"/>
      <c r="APK3" s="214"/>
      <c r="APL3" s="214"/>
      <c r="APM3" s="214"/>
      <c r="APN3" s="214"/>
      <c r="APO3" s="214"/>
      <c r="APP3" s="214"/>
      <c r="APQ3" s="214"/>
      <c r="APR3" s="214"/>
      <c r="APS3" s="214"/>
      <c r="APT3" s="214"/>
      <c r="APU3" s="214"/>
      <c r="APV3" s="214"/>
      <c r="APW3" s="214"/>
      <c r="APX3" s="214"/>
      <c r="APY3" s="214"/>
      <c r="APZ3" s="214"/>
      <c r="AQA3" s="214"/>
      <c r="AQB3" s="214"/>
      <c r="AQC3" s="214"/>
      <c r="AQD3" s="214"/>
      <c r="AQE3" s="214"/>
      <c r="AQF3" s="214"/>
      <c r="AQG3" s="214"/>
      <c r="AQH3" s="214"/>
      <c r="AQI3" s="214"/>
      <c r="AQJ3" s="214"/>
      <c r="AQK3" s="214"/>
      <c r="AQL3" s="214"/>
      <c r="AQM3" s="214"/>
      <c r="AQN3" s="214"/>
      <c r="AQO3" s="214"/>
      <c r="AQP3" s="214"/>
      <c r="AQQ3" s="214"/>
      <c r="AQR3" s="214"/>
      <c r="AQS3" s="214"/>
      <c r="AQT3" s="214"/>
      <c r="AQU3" s="214"/>
      <c r="AQV3" s="214"/>
      <c r="AQW3" s="214"/>
      <c r="AQX3" s="214"/>
      <c r="AQY3" s="214"/>
      <c r="AQZ3" s="214"/>
      <c r="ARA3" s="214"/>
      <c r="ARB3" s="214"/>
      <c r="ARC3" s="214"/>
      <c r="ARD3" s="214"/>
      <c r="ARE3" s="214"/>
      <c r="ARF3" s="214"/>
      <c r="ARG3" s="214"/>
      <c r="ARH3" s="214"/>
      <c r="ARI3" s="214"/>
      <c r="ARJ3" s="214"/>
      <c r="ARK3" s="214"/>
      <c r="ARL3" s="214"/>
      <c r="ARM3" s="214"/>
      <c r="ARN3" s="214"/>
      <c r="ARO3" s="214"/>
      <c r="ARP3" s="214"/>
      <c r="ARQ3" s="214"/>
      <c r="ARR3" s="214"/>
      <c r="ARS3" s="214"/>
      <c r="ART3" s="214"/>
      <c r="ARU3" s="214"/>
      <c r="ARV3" s="214"/>
      <c r="ARW3" s="214"/>
      <c r="ARX3" s="214"/>
      <c r="ARY3" s="214"/>
      <c r="ARZ3" s="214"/>
      <c r="ASA3" s="214"/>
      <c r="ASB3" s="214"/>
      <c r="ASC3" s="214"/>
      <c r="ASD3" s="214"/>
      <c r="ASE3" s="214"/>
      <c r="ASF3" s="214"/>
      <c r="ASG3" s="214"/>
      <c r="ASH3" s="214"/>
      <c r="ASI3" s="214"/>
      <c r="ASJ3" s="214"/>
      <c r="ASK3" s="214"/>
      <c r="ASL3" s="214"/>
      <c r="ASM3" s="214"/>
      <c r="ASN3" s="214"/>
      <c r="ASO3" s="214"/>
      <c r="ASP3" s="214"/>
      <c r="ASQ3" s="214"/>
      <c r="ASR3" s="214"/>
      <c r="ASS3" s="214"/>
      <c r="AST3" s="214"/>
      <c r="ASU3" s="214"/>
      <c r="ASV3" s="214"/>
      <c r="ASW3" s="214"/>
      <c r="ASX3" s="214"/>
      <c r="ASY3" s="214"/>
      <c r="ASZ3" s="214"/>
      <c r="ATA3" s="214"/>
      <c r="ATB3" s="214"/>
      <c r="ATC3" s="214"/>
      <c r="ATD3" s="214"/>
      <c r="ATE3" s="214"/>
      <c r="ATF3" s="214"/>
      <c r="ATG3" s="214"/>
      <c r="ATH3" s="214"/>
      <c r="ATI3" s="214"/>
      <c r="ATJ3" s="214"/>
      <c r="ATK3" s="214"/>
      <c r="ATL3" s="214"/>
      <c r="ATM3" s="214"/>
      <c r="ATN3" s="214"/>
      <c r="ATO3" s="214"/>
      <c r="ATP3" s="214"/>
      <c r="ATQ3" s="214"/>
      <c r="ATR3" s="214"/>
      <c r="ATS3" s="214"/>
      <c r="ATT3" s="214"/>
      <c r="ATU3" s="214"/>
      <c r="ATV3" s="214"/>
      <c r="ATW3" s="214"/>
      <c r="ATX3" s="214"/>
      <c r="ATY3" s="214"/>
      <c r="ATZ3" s="214"/>
      <c r="AUA3" s="214"/>
      <c r="AUB3" s="214"/>
      <c r="AUC3" s="214"/>
      <c r="AUD3" s="214"/>
      <c r="AUE3" s="214"/>
      <c r="AUF3" s="214"/>
      <c r="AUG3" s="214"/>
      <c r="AUH3" s="214"/>
      <c r="AUI3" s="214"/>
      <c r="AUJ3" s="214"/>
      <c r="AUK3" s="214"/>
      <c r="AUL3" s="214"/>
      <c r="AUM3" s="214"/>
      <c r="AUN3" s="214"/>
      <c r="AUO3" s="214"/>
      <c r="AUP3" s="214"/>
      <c r="AUQ3" s="214"/>
      <c r="AUR3" s="214"/>
      <c r="AUS3" s="214"/>
      <c r="AUT3" s="214"/>
      <c r="AUU3" s="214"/>
      <c r="AUV3" s="214"/>
      <c r="AUW3" s="214"/>
      <c r="AUX3" s="214"/>
      <c r="AUY3" s="214"/>
      <c r="AUZ3" s="214"/>
      <c r="AVA3" s="214"/>
      <c r="AVB3" s="214"/>
      <c r="AVC3" s="214"/>
      <c r="AVD3" s="214"/>
      <c r="AVE3" s="214"/>
      <c r="AVF3" s="214"/>
      <c r="AVG3" s="214"/>
      <c r="AVH3" s="214"/>
      <c r="AVI3" s="214"/>
      <c r="AVJ3" s="214"/>
      <c r="AVK3" s="214"/>
      <c r="AVL3" s="214"/>
      <c r="AVM3" s="214"/>
      <c r="AVN3" s="214"/>
      <c r="AVO3" s="214"/>
      <c r="AVP3" s="214"/>
      <c r="AVQ3" s="214"/>
      <c r="AVR3" s="214"/>
      <c r="AVS3" s="214"/>
      <c r="AVT3" s="214"/>
      <c r="AVU3" s="214"/>
      <c r="AVV3" s="214"/>
      <c r="AVW3" s="214"/>
      <c r="AVX3" s="214"/>
      <c r="AVY3" s="214"/>
      <c r="AVZ3" s="214"/>
      <c r="AWA3" s="214"/>
      <c r="AWB3" s="214"/>
      <c r="AWC3" s="214"/>
      <c r="AWD3" s="214"/>
      <c r="AWE3" s="214"/>
      <c r="AWF3" s="214"/>
      <c r="AWG3" s="214"/>
      <c r="AWH3" s="214"/>
      <c r="AWI3" s="214"/>
      <c r="AWJ3" s="214"/>
      <c r="AWK3" s="214"/>
      <c r="AWL3" s="214"/>
      <c r="AWM3" s="214"/>
      <c r="AWN3" s="214"/>
      <c r="AWO3" s="214"/>
      <c r="AWP3" s="214"/>
      <c r="AWQ3" s="214"/>
      <c r="AWR3" s="214"/>
      <c r="AWS3" s="214"/>
      <c r="AWT3" s="214"/>
      <c r="AWU3" s="214"/>
      <c r="AWV3" s="214"/>
      <c r="AWW3" s="214"/>
      <c r="AWX3" s="214"/>
      <c r="AWY3" s="214"/>
      <c r="AWZ3" s="214"/>
      <c r="AXA3" s="214"/>
      <c r="AXB3" s="214"/>
      <c r="AXC3" s="214"/>
      <c r="AXD3" s="214"/>
      <c r="AXE3" s="214"/>
      <c r="AXF3" s="214"/>
      <c r="AXG3" s="214"/>
      <c r="AXH3" s="214"/>
      <c r="AXI3" s="214"/>
      <c r="AXJ3" s="214"/>
      <c r="AXK3" s="214"/>
      <c r="AXL3" s="214"/>
      <c r="AXM3" s="214"/>
      <c r="AXN3" s="214"/>
      <c r="AXO3" s="214"/>
      <c r="AXP3" s="214"/>
      <c r="AXQ3" s="214"/>
      <c r="AXR3" s="214"/>
      <c r="AXS3" s="214"/>
      <c r="AXT3" s="214"/>
      <c r="AXU3" s="214"/>
      <c r="AXV3" s="214"/>
      <c r="AXW3" s="214"/>
      <c r="AXX3" s="214"/>
      <c r="AXY3" s="214"/>
      <c r="AXZ3" s="214"/>
      <c r="AYA3" s="214"/>
      <c r="AYB3" s="214"/>
      <c r="AYC3" s="214"/>
      <c r="AYD3" s="214"/>
      <c r="AYE3" s="214"/>
      <c r="AYF3" s="214"/>
      <c r="AYG3" s="214"/>
      <c r="AYH3" s="214"/>
      <c r="AYI3" s="214"/>
      <c r="AYJ3" s="214"/>
      <c r="AYK3" s="214"/>
      <c r="AYL3" s="214"/>
      <c r="AYM3" s="214"/>
      <c r="AYN3" s="214"/>
      <c r="AYO3" s="214"/>
      <c r="AYP3" s="214"/>
      <c r="AYQ3" s="214"/>
      <c r="AYR3" s="214"/>
      <c r="AYS3" s="214"/>
      <c r="AYT3" s="214"/>
      <c r="AYU3" s="214"/>
      <c r="AYV3" s="214"/>
      <c r="AYW3" s="214"/>
      <c r="AYX3" s="214"/>
      <c r="AYY3" s="214"/>
      <c r="AYZ3" s="214"/>
      <c r="AZA3" s="214"/>
      <c r="AZB3" s="214"/>
      <c r="AZC3" s="214"/>
      <c r="AZD3" s="214"/>
      <c r="AZE3" s="214"/>
      <c r="AZF3" s="214"/>
      <c r="AZG3" s="214"/>
      <c r="AZH3" s="214"/>
      <c r="AZI3" s="214"/>
      <c r="AZJ3" s="214"/>
      <c r="AZK3" s="214"/>
      <c r="AZL3" s="214"/>
      <c r="AZM3" s="214"/>
      <c r="AZN3" s="214"/>
      <c r="AZO3" s="214"/>
      <c r="AZP3" s="214"/>
      <c r="AZQ3" s="214"/>
      <c r="AZR3" s="214"/>
      <c r="AZS3" s="214"/>
      <c r="AZT3" s="214"/>
      <c r="AZU3" s="214"/>
      <c r="AZV3" s="214"/>
      <c r="AZW3" s="214"/>
      <c r="AZX3" s="214"/>
      <c r="AZY3" s="214"/>
      <c r="AZZ3" s="214"/>
      <c r="BAA3" s="214"/>
      <c r="BAB3" s="214"/>
      <c r="BAC3" s="214"/>
      <c r="BAD3" s="214"/>
      <c r="BAE3" s="214"/>
      <c r="BAF3" s="214"/>
      <c r="BAG3" s="214"/>
      <c r="BAH3" s="214"/>
      <c r="BAI3" s="214"/>
      <c r="BAJ3" s="214"/>
      <c r="BAK3" s="214"/>
      <c r="BAL3" s="214"/>
      <c r="BAM3" s="214"/>
      <c r="BAN3" s="214"/>
      <c r="BAO3" s="214"/>
      <c r="BAP3" s="214"/>
      <c r="BAQ3" s="214"/>
      <c r="BAR3" s="214"/>
      <c r="BAS3" s="214"/>
      <c r="BAT3" s="214"/>
      <c r="BAU3" s="214"/>
      <c r="BAV3" s="214"/>
      <c r="BAW3" s="214"/>
      <c r="BAX3" s="214"/>
      <c r="BAY3" s="214"/>
      <c r="BAZ3" s="214"/>
      <c r="BBA3" s="214"/>
      <c r="BBB3" s="214"/>
      <c r="BBC3" s="214"/>
      <c r="BBD3" s="214"/>
      <c r="BBE3" s="214"/>
      <c r="BBF3" s="214"/>
      <c r="BBG3" s="214"/>
      <c r="BBH3" s="214"/>
      <c r="BBI3" s="214"/>
      <c r="BBJ3" s="214"/>
      <c r="BBK3" s="214"/>
      <c r="BBL3" s="214"/>
      <c r="BBM3" s="214"/>
      <c r="BBN3" s="214"/>
      <c r="BBO3" s="214"/>
      <c r="BBP3" s="214"/>
      <c r="BBQ3" s="214"/>
      <c r="BBR3" s="214"/>
      <c r="BBS3" s="214"/>
      <c r="BBT3" s="214"/>
      <c r="BBU3" s="214"/>
      <c r="BBV3" s="214"/>
      <c r="BBW3" s="214"/>
      <c r="BBX3" s="214"/>
      <c r="BBY3" s="214"/>
      <c r="BBZ3" s="214"/>
      <c r="BCA3" s="214"/>
      <c r="BCB3" s="214"/>
      <c r="BCC3" s="214"/>
      <c r="BCD3" s="214"/>
      <c r="BCE3" s="214"/>
      <c r="BCF3" s="214"/>
      <c r="BCG3" s="214"/>
      <c r="BCH3" s="214"/>
      <c r="BCI3" s="214"/>
      <c r="BCJ3" s="214"/>
      <c r="BCK3" s="214"/>
      <c r="BCL3" s="214"/>
      <c r="BCM3" s="214"/>
      <c r="BCN3" s="214"/>
      <c r="BCO3" s="214"/>
      <c r="BCP3" s="214"/>
      <c r="BCQ3" s="214"/>
      <c r="BCR3" s="214"/>
      <c r="BCS3" s="214"/>
      <c r="BCT3" s="214"/>
      <c r="BCU3" s="214"/>
      <c r="BCV3" s="214"/>
      <c r="BCW3" s="214"/>
      <c r="BCX3" s="214"/>
      <c r="BCY3" s="214"/>
      <c r="BCZ3" s="214"/>
      <c r="BDA3" s="214"/>
      <c r="BDB3" s="214"/>
      <c r="BDC3" s="214"/>
      <c r="BDD3" s="214"/>
      <c r="BDE3" s="214"/>
      <c r="BDF3" s="214"/>
      <c r="BDG3" s="214"/>
      <c r="BDH3" s="214"/>
      <c r="BDI3" s="214"/>
      <c r="BDJ3" s="214"/>
      <c r="BDK3" s="214"/>
      <c r="BDL3" s="214"/>
      <c r="BDM3" s="214"/>
      <c r="BDN3" s="214"/>
      <c r="BDO3" s="214"/>
      <c r="BDP3" s="214"/>
      <c r="BDQ3" s="214"/>
      <c r="BDR3" s="214"/>
      <c r="BDS3" s="214"/>
      <c r="BDT3" s="214"/>
      <c r="BDU3" s="214"/>
      <c r="BDV3" s="214"/>
      <c r="BDW3" s="214"/>
      <c r="BDX3" s="214"/>
      <c r="BDY3" s="214"/>
      <c r="BDZ3" s="214"/>
      <c r="BEA3" s="214"/>
      <c r="BEB3" s="214"/>
      <c r="BEC3" s="214"/>
      <c r="BED3" s="214"/>
      <c r="BEE3" s="214"/>
      <c r="BEF3" s="214"/>
      <c r="BEG3" s="214"/>
      <c r="BEH3" s="214"/>
      <c r="BEI3" s="214"/>
      <c r="BEJ3" s="214"/>
      <c r="BEK3" s="214"/>
      <c r="BEL3" s="214"/>
      <c r="BEM3" s="214"/>
      <c r="BEN3" s="214"/>
      <c r="BEO3" s="214"/>
      <c r="BEP3" s="214"/>
      <c r="BEQ3" s="214"/>
      <c r="BER3" s="214"/>
      <c r="BES3" s="214"/>
      <c r="BET3" s="214"/>
      <c r="BEU3" s="214"/>
      <c r="BEV3" s="214"/>
      <c r="BEW3" s="214"/>
      <c r="BEX3" s="214"/>
      <c r="BEY3" s="214"/>
      <c r="BEZ3" s="214"/>
      <c r="BFA3" s="214"/>
      <c r="BFB3" s="214"/>
      <c r="BFC3" s="214"/>
      <c r="BFD3" s="214"/>
      <c r="BFE3" s="214"/>
      <c r="BFF3" s="214"/>
      <c r="BFG3" s="214"/>
      <c r="BFH3" s="214"/>
      <c r="BFI3" s="214"/>
      <c r="BFJ3" s="214"/>
      <c r="BFK3" s="214"/>
      <c r="BFL3" s="214"/>
      <c r="BFM3" s="214"/>
      <c r="BFN3" s="214"/>
      <c r="BFO3" s="214"/>
      <c r="BFP3" s="214"/>
      <c r="BFQ3" s="214"/>
      <c r="BFR3" s="214"/>
      <c r="BFS3" s="214"/>
      <c r="BFT3" s="214"/>
      <c r="BFU3" s="214"/>
      <c r="BFV3" s="214"/>
      <c r="BFW3" s="214"/>
      <c r="BFX3" s="214"/>
      <c r="BFY3" s="214"/>
      <c r="BFZ3" s="214"/>
      <c r="BGA3" s="214"/>
      <c r="BGB3" s="214"/>
      <c r="BGC3" s="214"/>
      <c r="BGD3" s="214"/>
      <c r="BGE3" s="214"/>
      <c r="BGF3" s="214"/>
      <c r="BGG3" s="214"/>
      <c r="BGH3" s="214"/>
      <c r="BGI3" s="214"/>
      <c r="BGJ3" s="214"/>
      <c r="BGK3" s="214"/>
      <c r="BGL3" s="214"/>
      <c r="BGM3" s="214"/>
      <c r="BGN3" s="214"/>
      <c r="BGO3" s="214"/>
      <c r="BGP3" s="214"/>
      <c r="BGQ3" s="214"/>
      <c r="BGR3" s="214"/>
      <c r="BGS3" s="214"/>
      <c r="BGT3" s="214"/>
      <c r="BGU3" s="214"/>
      <c r="BGV3" s="214"/>
      <c r="BGW3" s="214"/>
      <c r="BGX3" s="214"/>
      <c r="BGY3" s="214"/>
      <c r="BGZ3" s="214"/>
      <c r="BHA3" s="214"/>
      <c r="BHB3" s="214"/>
      <c r="BHC3" s="214"/>
      <c r="BHD3" s="214"/>
      <c r="BHE3" s="214"/>
      <c r="BHF3" s="214"/>
      <c r="BHG3" s="214"/>
      <c r="BHH3" s="214"/>
      <c r="BHI3" s="214"/>
      <c r="BHJ3" s="214"/>
      <c r="BHK3" s="214"/>
      <c r="BHL3" s="214"/>
      <c r="BHM3" s="214"/>
      <c r="BHN3" s="214"/>
      <c r="BHO3" s="214"/>
      <c r="BHP3" s="214"/>
      <c r="BHQ3" s="214"/>
      <c r="BHR3" s="214"/>
      <c r="BHS3" s="214"/>
      <c r="BHT3" s="214"/>
      <c r="BHU3" s="214"/>
      <c r="BHV3" s="214"/>
      <c r="BHW3" s="214"/>
    </row>
    <row r="4" spans="1:1583" s="216" customFormat="1">
      <c r="A4" s="251" t="s">
        <v>6</v>
      </c>
      <c r="B4" s="73"/>
      <c r="C4" s="73"/>
      <c r="D4" s="73"/>
      <c r="E4" s="63" t="s">
        <v>7</v>
      </c>
      <c r="F4" s="131">
        <v>24</v>
      </c>
      <c r="G4" s="60" t="s">
        <v>786</v>
      </c>
      <c r="H4" s="473">
        <f t="shared" ref="H4:H9" si="1">SUM(I4:AN4)</f>
        <v>744</v>
      </c>
      <c r="I4" s="142">
        <v>24</v>
      </c>
      <c r="J4" s="255"/>
      <c r="K4" s="142">
        <v>24</v>
      </c>
      <c r="L4" s="142">
        <v>24</v>
      </c>
      <c r="M4" s="142">
        <v>24</v>
      </c>
      <c r="N4" s="142">
        <v>24</v>
      </c>
      <c r="O4" s="142">
        <v>24</v>
      </c>
      <c r="P4" s="142">
        <v>24</v>
      </c>
      <c r="Q4" s="142">
        <v>24</v>
      </c>
      <c r="R4" s="142">
        <v>24</v>
      </c>
      <c r="S4" s="142">
        <v>24</v>
      </c>
      <c r="T4" s="142">
        <v>24</v>
      </c>
      <c r="U4" s="142">
        <v>24</v>
      </c>
      <c r="V4" s="142">
        <v>24</v>
      </c>
      <c r="W4" s="142">
        <v>24</v>
      </c>
      <c r="X4" s="142">
        <v>24</v>
      </c>
      <c r="Y4" s="142">
        <v>24</v>
      </c>
      <c r="Z4" s="142">
        <v>24</v>
      </c>
      <c r="AA4" s="142">
        <v>24</v>
      </c>
      <c r="AB4" s="142">
        <v>24</v>
      </c>
      <c r="AC4" s="142">
        <v>24</v>
      </c>
      <c r="AD4" s="142">
        <v>24</v>
      </c>
      <c r="AE4" s="142">
        <v>24</v>
      </c>
      <c r="AF4" s="142">
        <v>24</v>
      </c>
      <c r="AG4" s="142">
        <v>24</v>
      </c>
      <c r="AH4" s="142">
        <v>24</v>
      </c>
      <c r="AI4" s="142">
        <v>24</v>
      </c>
      <c r="AJ4" s="142">
        <v>24</v>
      </c>
      <c r="AK4" s="142">
        <v>24</v>
      </c>
      <c r="AL4" s="142">
        <v>24</v>
      </c>
      <c r="AM4" s="142">
        <v>24</v>
      </c>
      <c r="AN4" s="142">
        <v>24</v>
      </c>
      <c r="AO4" s="215"/>
      <c r="AP4" s="215"/>
      <c r="AQ4" s="215"/>
      <c r="AR4" s="215"/>
      <c r="AS4" s="215"/>
      <c r="AT4" s="215"/>
      <c r="AU4" s="215"/>
      <c r="AV4" s="215"/>
      <c r="AW4" s="215"/>
      <c r="AX4" s="215"/>
      <c r="AY4" s="215"/>
      <c r="AZ4" s="215"/>
      <c r="BA4" s="215"/>
      <c r="BB4" s="215"/>
      <c r="BC4" s="215"/>
      <c r="BD4" s="215"/>
      <c r="BE4" s="215"/>
      <c r="BF4" s="215"/>
      <c r="BG4" s="215"/>
      <c r="BH4" s="215"/>
      <c r="BI4" s="215"/>
      <c r="BJ4" s="215"/>
      <c r="BK4" s="215"/>
      <c r="BL4" s="215"/>
      <c r="BM4" s="215"/>
      <c r="BN4" s="215"/>
      <c r="BO4" s="215"/>
      <c r="BP4" s="215"/>
      <c r="BQ4" s="215"/>
      <c r="BR4" s="215"/>
      <c r="BS4" s="215"/>
      <c r="BT4" s="215"/>
      <c r="BU4" s="215"/>
      <c r="BV4" s="215"/>
      <c r="BW4" s="215"/>
      <c r="BX4" s="215"/>
      <c r="BY4" s="215"/>
      <c r="BZ4" s="215"/>
      <c r="CA4" s="215"/>
      <c r="CB4" s="215"/>
      <c r="CC4" s="215"/>
      <c r="CD4" s="215"/>
      <c r="CE4" s="215"/>
      <c r="CF4" s="215"/>
      <c r="CG4" s="215"/>
      <c r="CH4" s="215"/>
      <c r="CI4" s="215"/>
      <c r="CJ4" s="215"/>
      <c r="CK4" s="215"/>
      <c r="CL4" s="215"/>
      <c r="CM4" s="215"/>
      <c r="CN4" s="215"/>
      <c r="CO4" s="215"/>
      <c r="CP4" s="215"/>
      <c r="CQ4" s="215"/>
      <c r="CR4" s="215"/>
      <c r="CS4" s="215"/>
      <c r="CT4" s="215"/>
      <c r="CU4" s="215"/>
      <c r="CV4" s="215"/>
      <c r="CW4" s="215"/>
      <c r="CX4" s="215"/>
      <c r="CY4" s="215"/>
      <c r="CZ4" s="215"/>
      <c r="DA4" s="215"/>
      <c r="DB4" s="215"/>
      <c r="DC4" s="215"/>
      <c r="DD4" s="215"/>
      <c r="DE4" s="215"/>
      <c r="DF4" s="215"/>
      <c r="DG4" s="215"/>
      <c r="DH4" s="215"/>
      <c r="DI4" s="215"/>
      <c r="DJ4" s="215"/>
      <c r="DK4" s="215"/>
      <c r="DL4" s="215"/>
      <c r="DM4" s="215"/>
      <c r="DN4" s="215"/>
      <c r="DO4" s="215"/>
      <c r="DP4" s="215"/>
      <c r="DQ4" s="215"/>
      <c r="DR4" s="215"/>
      <c r="DS4" s="215"/>
      <c r="DT4" s="215"/>
      <c r="DU4" s="215"/>
      <c r="DV4" s="215"/>
      <c r="DW4" s="215"/>
      <c r="DX4" s="215"/>
      <c r="DY4" s="215"/>
      <c r="DZ4" s="215"/>
      <c r="EA4" s="215"/>
      <c r="EB4" s="215"/>
      <c r="EC4" s="215"/>
      <c r="ED4" s="215"/>
      <c r="EE4" s="215"/>
      <c r="EF4" s="215"/>
      <c r="EG4" s="215"/>
      <c r="EH4" s="215"/>
      <c r="EI4" s="215"/>
      <c r="EJ4" s="215"/>
      <c r="EK4" s="215"/>
      <c r="EL4" s="215"/>
      <c r="EM4" s="215"/>
      <c r="EN4" s="215"/>
      <c r="EO4" s="215"/>
      <c r="EP4" s="215"/>
      <c r="EQ4" s="215"/>
      <c r="ER4" s="215"/>
      <c r="ES4" s="215"/>
      <c r="ET4" s="215"/>
      <c r="EU4" s="215"/>
      <c r="EV4" s="215"/>
      <c r="EW4" s="215"/>
      <c r="EX4" s="215"/>
      <c r="EY4" s="215"/>
      <c r="EZ4" s="215"/>
      <c r="FA4" s="215"/>
      <c r="FB4" s="215"/>
      <c r="FC4" s="215"/>
      <c r="FD4" s="215"/>
      <c r="FE4" s="215"/>
      <c r="FF4" s="215"/>
      <c r="FG4" s="215"/>
      <c r="FH4" s="215"/>
      <c r="FI4" s="215"/>
      <c r="FJ4" s="215"/>
      <c r="FK4" s="215"/>
      <c r="FL4" s="215"/>
      <c r="FM4" s="215"/>
      <c r="FN4" s="215"/>
      <c r="FO4" s="215"/>
      <c r="FP4" s="215"/>
      <c r="FQ4" s="215"/>
      <c r="FR4" s="215"/>
      <c r="FS4" s="215"/>
      <c r="FT4" s="215"/>
      <c r="FU4" s="215"/>
      <c r="FV4" s="215"/>
      <c r="FW4" s="215"/>
      <c r="FX4" s="215"/>
      <c r="FY4" s="215"/>
      <c r="FZ4" s="215"/>
      <c r="GA4" s="215"/>
      <c r="GB4" s="215"/>
      <c r="GC4" s="215"/>
      <c r="GD4" s="215"/>
      <c r="GE4" s="215"/>
      <c r="GF4" s="215"/>
      <c r="GG4" s="215"/>
      <c r="GH4" s="215"/>
      <c r="GI4" s="215"/>
      <c r="GJ4" s="215"/>
      <c r="GK4" s="215"/>
      <c r="GL4" s="215"/>
      <c r="GM4" s="215"/>
      <c r="GN4" s="215"/>
      <c r="GO4" s="215"/>
      <c r="GP4" s="215"/>
      <c r="GQ4" s="215"/>
      <c r="GR4" s="215"/>
      <c r="GS4" s="215"/>
      <c r="GT4" s="215"/>
      <c r="GU4" s="215"/>
      <c r="GV4" s="215"/>
      <c r="GW4" s="215"/>
      <c r="GX4" s="215"/>
      <c r="GY4" s="215"/>
      <c r="GZ4" s="215"/>
      <c r="HA4" s="215"/>
      <c r="HB4" s="215"/>
      <c r="HC4" s="215"/>
      <c r="HD4" s="215"/>
      <c r="HE4" s="215"/>
      <c r="HF4" s="215"/>
      <c r="HG4" s="215"/>
      <c r="HH4" s="215"/>
      <c r="HI4" s="215"/>
      <c r="HJ4" s="215"/>
      <c r="HK4" s="215"/>
      <c r="HL4" s="215"/>
      <c r="HM4" s="215"/>
      <c r="HN4" s="215"/>
      <c r="HO4" s="215"/>
      <c r="HP4" s="215"/>
      <c r="HQ4" s="215"/>
      <c r="HR4" s="215"/>
      <c r="HS4" s="215"/>
      <c r="HT4" s="215"/>
      <c r="HU4" s="215"/>
      <c r="HV4" s="215"/>
      <c r="HW4" s="215"/>
      <c r="HX4" s="215"/>
      <c r="HY4" s="215"/>
      <c r="HZ4" s="215"/>
      <c r="IA4" s="215"/>
      <c r="IB4" s="215"/>
      <c r="IC4" s="215"/>
      <c r="ID4" s="215"/>
      <c r="IE4" s="215"/>
      <c r="IF4" s="215"/>
      <c r="IG4" s="215"/>
      <c r="IH4" s="215"/>
      <c r="II4" s="215"/>
      <c r="IJ4" s="215"/>
      <c r="IK4" s="215"/>
      <c r="IL4" s="215"/>
      <c r="IM4" s="215"/>
      <c r="IN4" s="215"/>
      <c r="IO4" s="215"/>
      <c r="IP4" s="215"/>
      <c r="IQ4" s="215"/>
      <c r="IR4" s="215"/>
      <c r="IS4" s="215"/>
      <c r="IT4" s="215"/>
      <c r="IU4" s="215"/>
      <c r="IV4" s="215"/>
      <c r="IW4" s="215"/>
      <c r="IX4" s="215"/>
      <c r="IY4" s="215"/>
      <c r="IZ4" s="215"/>
      <c r="JA4" s="215"/>
      <c r="JB4" s="215"/>
      <c r="JC4" s="215"/>
      <c r="JD4" s="215"/>
      <c r="JE4" s="215"/>
      <c r="JF4" s="215"/>
      <c r="JG4" s="215"/>
      <c r="JH4" s="215"/>
      <c r="JI4" s="215"/>
      <c r="JJ4" s="215"/>
      <c r="JK4" s="215"/>
      <c r="JL4" s="215"/>
      <c r="JM4" s="215"/>
      <c r="JN4" s="215"/>
      <c r="JO4" s="215"/>
      <c r="JP4" s="215"/>
      <c r="JQ4" s="215"/>
      <c r="JR4" s="215"/>
      <c r="JS4" s="215"/>
      <c r="JT4" s="215"/>
      <c r="JU4" s="215"/>
      <c r="JV4" s="215"/>
      <c r="JW4" s="215"/>
      <c r="JX4" s="215"/>
      <c r="JY4" s="215"/>
      <c r="JZ4" s="215"/>
      <c r="KA4" s="215"/>
      <c r="KB4" s="215"/>
      <c r="KC4" s="215"/>
      <c r="KD4" s="215"/>
      <c r="KE4" s="215"/>
      <c r="KF4" s="215"/>
      <c r="KG4" s="215"/>
      <c r="KH4" s="215"/>
      <c r="KI4" s="215"/>
      <c r="KJ4" s="215"/>
      <c r="KK4" s="215"/>
      <c r="KL4" s="215"/>
      <c r="KM4" s="215"/>
      <c r="KN4" s="215"/>
      <c r="KO4" s="215"/>
      <c r="KP4" s="215"/>
      <c r="KQ4" s="215"/>
      <c r="KR4" s="215"/>
      <c r="KS4" s="215"/>
      <c r="KT4" s="215"/>
      <c r="KU4" s="215"/>
      <c r="KV4" s="215"/>
      <c r="KW4" s="215"/>
      <c r="KX4" s="215"/>
      <c r="KY4" s="215"/>
      <c r="KZ4" s="215"/>
      <c r="LA4" s="215"/>
      <c r="LB4" s="215"/>
      <c r="LC4" s="215"/>
      <c r="LD4" s="215"/>
      <c r="LE4" s="215"/>
      <c r="LF4" s="215"/>
      <c r="LG4" s="215"/>
      <c r="LH4" s="215"/>
      <c r="LI4" s="215"/>
      <c r="LJ4" s="215"/>
      <c r="LK4" s="215"/>
      <c r="LL4" s="215"/>
      <c r="LM4" s="215"/>
      <c r="LN4" s="215"/>
      <c r="LO4" s="215"/>
      <c r="LP4" s="215"/>
      <c r="LQ4" s="215"/>
      <c r="LR4" s="215"/>
      <c r="LS4" s="215"/>
      <c r="LT4" s="215"/>
      <c r="LU4" s="215"/>
      <c r="LV4" s="215"/>
      <c r="LW4" s="215"/>
      <c r="LX4" s="215"/>
      <c r="LY4" s="215"/>
      <c r="LZ4" s="215"/>
      <c r="MA4" s="215"/>
      <c r="MB4" s="215"/>
      <c r="MC4" s="215"/>
      <c r="MD4" s="215"/>
      <c r="ME4" s="215"/>
      <c r="MF4" s="215"/>
      <c r="MG4" s="215"/>
      <c r="MH4" s="215"/>
      <c r="MI4" s="215"/>
      <c r="MJ4" s="215"/>
      <c r="MK4" s="215"/>
      <c r="ML4" s="215"/>
      <c r="MM4" s="215"/>
      <c r="MN4" s="215"/>
      <c r="MO4" s="215"/>
      <c r="MP4" s="215"/>
      <c r="MQ4" s="215"/>
      <c r="MR4" s="215"/>
      <c r="MS4" s="215"/>
      <c r="MT4" s="215"/>
      <c r="MU4" s="215"/>
      <c r="MV4" s="215"/>
      <c r="MW4" s="215"/>
      <c r="MX4" s="215"/>
      <c r="MY4" s="215"/>
      <c r="MZ4" s="215"/>
      <c r="NA4" s="215"/>
      <c r="NB4" s="215"/>
      <c r="NC4" s="215"/>
      <c r="ND4" s="215"/>
      <c r="NE4" s="215"/>
      <c r="NF4" s="215"/>
      <c r="NG4" s="215"/>
      <c r="NH4" s="215"/>
      <c r="NI4" s="215"/>
      <c r="NJ4" s="215"/>
      <c r="NK4" s="215"/>
      <c r="NL4" s="215"/>
      <c r="NM4" s="215"/>
      <c r="NN4" s="215"/>
      <c r="NO4" s="215"/>
      <c r="NP4" s="215"/>
      <c r="NQ4" s="215"/>
      <c r="NR4" s="215"/>
      <c r="NS4" s="215"/>
      <c r="NT4" s="215"/>
      <c r="NU4" s="215"/>
      <c r="NV4" s="215"/>
      <c r="NW4" s="215"/>
      <c r="NX4" s="215"/>
      <c r="NY4" s="215"/>
      <c r="NZ4" s="215"/>
      <c r="OA4" s="215"/>
      <c r="OB4" s="215"/>
      <c r="OC4" s="215"/>
      <c r="OD4" s="215"/>
      <c r="OE4" s="215"/>
      <c r="OF4" s="215"/>
      <c r="OG4" s="215"/>
      <c r="OH4" s="215"/>
      <c r="OI4" s="215"/>
      <c r="OJ4" s="215"/>
      <c r="OK4" s="215"/>
      <c r="OL4" s="215"/>
      <c r="OM4" s="215"/>
      <c r="ON4" s="215"/>
      <c r="OO4" s="215"/>
      <c r="OP4" s="215"/>
      <c r="OQ4" s="215"/>
      <c r="OR4" s="215"/>
      <c r="OS4" s="215"/>
      <c r="OT4" s="215"/>
      <c r="OU4" s="215"/>
      <c r="OV4" s="215"/>
      <c r="OW4" s="215"/>
      <c r="OX4" s="215"/>
      <c r="OY4" s="215"/>
      <c r="OZ4" s="215"/>
      <c r="PA4" s="215"/>
      <c r="PB4" s="215"/>
      <c r="PC4" s="215"/>
      <c r="PD4" s="215"/>
      <c r="PE4" s="215"/>
      <c r="PF4" s="215"/>
      <c r="PG4" s="215"/>
      <c r="PH4" s="215"/>
      <c r="PI4" s="215"/>
      <c r="PJ4" s="215"/>
      <c r="PK4" s="215"/>
      <c r="PL4" s="215"/>
      <c r="PM4" s="215"/>
      <c r="PN4" s="215"/>
      <c r="PO4" s="215"/>
      <c r="PP4" s="215"/>
      <c r="PQ4" s="215"/>
      <c r="PR4" s="215"/>
      <c r="PS4" s="215"/>
      <c r="PT4" s="215"/>
      <c r="PU4" s="215"/>
      <c r="PV4" s="215"/>
      <c r="PW4" s="215"/>
      <c r="PX4" s="215"/>
      <c r="PY4" s="215"/>
      <c r="PZ4" s="215"/>
      <c r="QA4" s="215"/>
      <c r="QB4" s="215"/>
      <c r="QC4" s="215"/>
      <c r="QD4" s="215"/>
      <c r="QE4" s="215"/>
      <c r="QF4" s="215"/>
      <c r="QG4" s="215"/>
      <c r="QH4" s="215"/>
      <c r="QI4" s="215"/>
      <c r="QJ4" s="215"/>
      <c r="QK4" s="215"/>
      <c r="QL4" s="215"/>
      <c r="QM4" s="215"/>
      <c r="QN4" s="215"/>
      <c r="QO4" s="215"/>
      <c r="QP4" s="215"/>
      <c r="QQ4" s="215"/>
      <c r="QR4" s="215"/>
      <c r="QS4" s="215"/>
      <c r="QT4" s="215"/>
      <c r="QU4" s="215"/>
      <c r="QV4" s="215"/>
      <c r="QW4" s="215"/>
      <c r="QX4" s="215"/>
      <c r="QY4" s="215"/>
      <c r="QZ4" s="215"/>
      <c r="RA4" s="215"/>
      <c r="RB4" s="215"/>
      <c r="RC4" s="215"/>
      <c r="RD4" s="215"/>
      <c r="RE4" s="215"/>
      <c r="RF4" s="215"/>
      <c r="RG4" s="215"/>
      <c r="RH4" s="215"/>
      <c r="RI4" s="215"/>
      <c r="RJ4" s="215"/>
      <c r="RK4" s="215"/>
      <c r="RL4" s="215"/>
      <c r="RM4" s="215"/>
      <c r="RN4" s="215"/>
      <c r="RO4" s="215"/>
      <c r="RP4" s="215"/>
      <c r="RQ4" s="215"/>
      <c r="RR4" s="215"/>
      <c r="RS4" s="215"/>
      <c r="RT4" s="215"/>
      <c r="RU4" s="215"/>
      <c r="RV4" s="215"/>
      <c r="RW4" s="215"/>
      <c r="RX4" s="215"/>
      <c r="RY4" s="215"/>
      <c r="RZ4" s="215"/>
      <c r="SA4" s="215"/>
      <c r="SB4" s="215"/>
      <c r="SC4" s="215"/>
      <c r="SD4" s="215"/>
      <c r="SE4" s="215"/>
      <c r="SF4" s="215"/>
      <c r="SG4" s="215"/>
      <c r="SH4" s="215"/>
      <c r="SI4" s="215"/>
      <c r="SJ4" s="215"/>
      <c r="SK4" s="215"/>
      <c r="SL4" s="215"/>
      <c r="SM4" s="215"/>
      <c r="SN4" s="215"/>
      <c r="SO4" s="215"/>
      <c r="SP4" s="215"/>
      <c r="SQ4" s="215"/>
      <c r="SR4" s="215"/>
      <c r="SS4" s="215"/>
      <c r="ST4" s="215"/>
      <c r="SU4" s="215"/>
      <c r="SV4" s="215"/>
      <c r="SW4" s="215"/>
      <c r="SX4" s="215"/>
      <c r="SY4" s="215"/>
      <c r="SZ4" s="215"/>
      <c r="TA4" s="215"/>
      <c r="TB4" s="215"/>
      <c r="TC4" s="215"/>
      <c r="TD4" s="215"/>
      <c r="TE4" s="215"/>
      <c r="TF4" s="215"/>
      <c r="TG4" s="215"/>
      <c r="TH4" s="215"/>
      <c r="TI4" s="215"/>
      <c r="TJ4" s="215"/>
      <c r="TK4" s="215"/>
      <c r="TL4" s="215"/>
      <c r="TM4" s="215"/>
      <c r="TN4" s="215"/>
      <c r="TO4" s="215"/>
      <c r="TP4" s="215"/>
      <c r="TQ4" s="215"/>
      <c r="TR4" s="215"/>
      <c r="TS4" s="215"/>
      <c r="TT4" s="215"/>
      <c r="TU4" s="215"/>
      <c r="TV4" s="215"/>
      <c r="TW4" s="215"/>
      <c r="TX4" s="215"/>
      <c r="TY4" s="215"/>
      <c r="TZ4" s="215"/>
      <c r="UA4" s="215"/>
      <c r="UB4" s="215"/>
      <c r="UC4" s="215"/>
      <c r="UD4" s="215"/>
      <c r="UE4" s="215"/>
      <c r="UF4" s="215"/>
      <c r="UG4" s="215"/>
      <c r="UH4" s="215"/>
      <c r="UI4" s="215"/>
      <c r="UJ4" s="215"/>
      <c r="UK4" s="215"/>
      <c r="UL4" s="215"/>
      <c r="UM4" s="215"/>
      <c r="UN4" s="215"/>
      <c r="UO4" s="215"/>
      <c r="UP4" s="215"/>
      <c r="UQ4" s="215"/>
      <c r="UR4" s="215"/>
      <c r="US4" s="215"/>
      <c r="UT4" s="215"/>
      <c r="UU4" s="215"/>
      <c r="UV4" s="215"/>
      <c r="UW4" s="215"/>
      <c r="UX4" s="215"/>
      <c r="UY4" s="215"/>
      <c r="UZ4" s="215"/>
      <c r="VA4" s="215"/>
      <c r="VB4" s="215"/>
      <c r="VC4" s="215"/>
      <c r="VD4" s="215"/>
      <c r="VE4" s="215"/>
      <c r="VF4" s="215"/>
      <c r="VG4" s="215"/>
      <c r="VH4" s="215"/>
      <c r="VI4" s="215"/>
      <c r="VJ4" s="215"/>
      <c r="VK4" s="215"/>
      <c r="VL4" s="215"/>
      <c r="VM4" s="215"/>
      <c r="VN4" s="215"/>
      <c r="VO4" s="215"/>
      <c r="VP4" s="215"/>
      <c r="VQ4" s="215"/>
      <c r="VR4" s="215"/>
      <c r="VS4" s="215"/>
      <c r="VT4" s="215"/>
      <c r="VU4" s="215"/>
      <c r="VV4" s="215"/>
      <c r="VW4" s="215"/>
      <c r="VX4" s="215"/>
      <c r="VY4" s="215"/>
      <c r="VZ4" s="215"/>
      <c r="WA4" s="215"/>
      <c r="WB4" s="215"/>
      <c r="WC4" s="215"/>
      <c r="WD4" s="215"/>
      <c r="WE4" s="215"/>
      <c r="WF4" s="215"/>
      <c r="WG4" s="215"/>
      <c r="WH4" s="215"/>
      <c r="WI4" s="215"/>
      <c r="WJ4" s="215"/>
      <c r="WK4" s="215"/>
      <c r="WL4" s="215"/>
      <c r="WM4" s="215"/>
      <c r="WN4" s="215"/>
      <c r="WO4" s="215"/>
      <c r="WP4" s="215"/>
      <c r="WQ4" s="215"/>
      <c r="WR4" s="215"/>
      <c r="WS4" s="215"/>
      <c r="WT4" s="215"/>
      <c r="WU4" s="215"/>
      <c r="WV4" s="215"/>
      <c r="WW4" s="215"/>
      <c r="WX4" s="215"/>
      <c r="WY4" s="215"/>
      <c r="WZ4" s="215"/>
      <c r="XA4" s="215"/>
      <c r="XB4" s="215"/>
      <c r="XC4" s="215"/>
      <c r="XD4" s="215"/>
      <c r="XE4" s="215"/>
      <c r="XF4" s="215"/>
      <c r="XG4" s="215"/>
      <c r="XH4" s="215"/>
      <c r="XI4" s="215"/>
      <c r="XJ4" s="215"/>
      <c r="XK4" s="215"/>
      <c r="XL4" s="215"/>
      <c r="XM4" s="215"/>
      <c r="XN4" s="215"/>
      <c r="XO4" s="215"/>
      <c r="XP4" s="215"/>
      <c r="XQ4" s="215"/>
      <c r="XR4" s="215"/>
      <c r="XS4" s="215"/>
      <c r="XT4" s="215"/>
      <c r="XU4" s="215"/>
      <c r="XV4" s="215"/>
      <c r="XW4" s="215"/>
      <c r="XX4" s="215"/>
      <c r="XY4" s="215"/>
      <c r="XZ4" s="215"/>
      <c r="YA4" s="215"/>
      <c r="YB4" s="215"/>
      <c r="YC4" s="215"/>
      <c r="YD4" s="215"/>
      <c r="YE4" s="215"/>
      <c r="YF4" s="215"/>
      <c r="YG4" s="215"/>
      <c r="YH4" s="215"/>
      <c r="YI4" s="215"/>
      <c r="YJ4" s="215"/>
      <c r="YK4" s="215"/>
      <c r="YL4" s="215"/>
      <c r="YM4" s="215"/>
      <c r="YN4" s="215"/>
      <c r="YO4" s="215"/>
      <c r="YP4" s="215"/>
      <c r="YQ4" s="215"/>
      <c r="YR4" s="215"/>
      <c r="YS4" s="215"/>
      <c r="YT4" s="215"/>
      <c r="YU4" s="215"/>
      <c r="YV4" s="215"/>
      <c r="YW4" s="215"/>
      <c r="YX4" s="215"/>
      <c r="YY4" s="215"/>
      <c r="YZ4" s="215"/>
      <c r="ZA4" s="215"/>
      <c r="ZB4" s="215"/>
      <c r="ZC4" s="215"/>
      <c r="ZD4" s="215"/>
      <c r="ZE4" s="215"/>
      <c r="ZF4" s="215"/>
      <c r="ZG4" s="215"/>
      <c r="ZH4" s="215"/>
      <c r="ZI4" s="215"/>
      <c r="ZJ4" s="215"/>
      <c r="ZK4" s="215"/>
      <c r="ZL4" s="215"/>
      <c r="ZM4" s="215"/>
      <c r="ZN4" s="215"/>
      <c r="ZO4" s="215"/>
      <c r="ZP4" s="215"/>
      <c r="ZQ4" s="215"/>
      <c r="ZR4" s="215"/>
      <c r="ZS4" s="215"/>
      <c r="ZT4" s="215"/>
      <c r="ZU4" s="215"/>
      <c r="ZV4" s="215"/>
      <c r="ZW4" s="215"/>
      <c r="ZX4" s="215"/>
      <c r="ZY4" s="215"/>
      <c r="ZZ4" s="215"/>
      <c r="AAA4" s="215"/>
      <c r="AAB4" s="215"/>
      <c r="AAC4" s="215"/>
      <c r="AAD4" s="215"/>
      <c r="AAE4" s="215"/>
      <c r="AAF4" s="215"/>
      <c r="AAG4" s="215"/>
      <c r="AAH4" s="215"/>
      <c r="AAI4" s="215"/>
      <c r="AAJ4" s="215"/>
      <c r="AAK4" s="215"/>
      <c r="AAL4" s="215"/>
      <c r="AAM4" s="215"/>
      <c r="AAN4" s="215"/>
      <c r="AAO4" s="215"/>
      <c r="AAP4" s="215"/>
      <c r="AAQ4" s="215"/>
      <c r="AAR4" s="215"/>
      <c r="AAS4" s="215"/>
      <c r="AAT4" s="215"/>
      <c r="AAU4" s="215"/>
      <c r="AAV4" s="215"/>
      <c r="AAW4" s="215"/>
      <c r="AAX4" s="215"/>
      <c r="AAY4" s="215"/>
      <c r="AAZ4" s="215"/>
      <c r="ABA4" s="215"/>
      <c r="ABB4" s="215"/>
      <c r="ABC4" s="215"/>
      <c r="ABD4" s="215"/>
      <c r="ABE4" s="215"/>
      <c r="ABF4" s="215"/>
      <c r="ABG4" s="215"/>
      <c r="ABH4" s="215"/>
      <c r="ABI4" s="215"/>
      <c r="ABJ4" s="215"/>
      <c r="ABK4" s="215"/>
      <c r="ABL4" s="215"/>
      <c r="ABM4" s="215"/>
      <c r="ABN4" s="215"/>
      <c r="ABO4" s="215"/>
      <c r="ABP4" s="215"/>
      <c r="ABQ4" s="215"/>
      <c r="ABR4" s="215"/>
      <c r="ABS4" s="215"/>
      <c r="ABT4" s="215"/>
      <c r="ABU4" s="215"/>
      <c r="ABV4" s="215"/>
      <c r="ABW4" s="215"/>
      <c r="ABX4" s="215"/>
      <c r="ABY4" s="215"/>
      <c r="ABZ4" s="215"/>
      <c r="ACA4" s="215"/>
      <c r="ACB4" s="215"/>
      <c r="ACC4" s="215"/>
      <c r="ACD4" s="215"/>
      <c r="ACE4" s="215"/>
      <c r="ACF4" s="215"/>
      <c r="ACG4" s="215"/>
      <c r="ACH4" s="215"/>
      <c r="ACI4" s="215"/>
      <c r="ACJ4" s="215"/>
      <c r="ACK4" s="215"/>
      <c r="ACL4" s="215"/>
      <c r="ACM4" s="215"/>
      <c r="ACN4" s="215"/>
      <c r="ACO4" s="215"/>
      <c r="ACP4" s="215"/>
      <c r="ACQ4" s="215"/>
      <c r="ACR4" s="215"/>
      <c r="ACS4" s="215"/>
      <c r="ACT4" s="215"/>
      <c r="ACU4" s="215"/>
      <c r="ACV4" s="215"/>
      <c r="ACW4" s="215"/>
      <c r="ACX4" s="215"/>
      <c r="ACY4" s="215"/>
      <c r="ACZ4" s="215"/>
      <c r="ADA4" s="215"/>
      <c r="ADB4" s="215"/>
      <c r="ADC4" s="215"/>
      <c r="ADD4" s="215"/>
      <c r="ADE4" s="215"/>
      <c r="ADF4" s="215"/>
      <c r="ADG4" s="215"/>
      <c r="ADH4" s="215"/>
      <c r="ADI4" s="215"/>
      <c r="ADJ4" s="215"/>
      <c r="ADK4" s="215"/>
      <c r="ADL4" s="215"/>
      <c r="ADM4" s="215"/>
      <c r="ADN4" s="215"/>
      <c r="ADO4" s="215"/>
      <c r="ADP4" s="215"/>
      <c r="ADQ4" s="215"/>
      <c r="ADR4" s="215"/>
      <c r="ADS4" s="215"/>
      <c r="ADT4" s="215"/>
      <c r="ADU4" s="215"/>
      <c r="ADV4" s="215"/>
      <c r="ADW4" s="215"/>
      <c r="ADX4" s="215"/>
      <c r="ADY4" s="215"/>
      <c r="ADZ4" s="215"/>
      <c r="AEA4" s="215"/>
      <c r="AEB4" s="215"/>
      <c r="AEC4" s="215"/>
      <c r="AED4" s="215"/>
      <c r="AEE4" s="215"/>
      <c r="AEF4" s="215"/>
      <c r="AEG4" s="215"/>
      <c r="AEH4" s="215"/>
      <c r="AEI4" s="215"/>
      <c r="AEJ4" s="215"/>
      <c r="AEK4" s="215"/>
      <c r="AEL4" s="215"/>
      <c r="AEM4" s="215"/>
      <c r="AEN4" s="215"/>
      <c r="AEO4" s="215"/>
      <c r="AEP4" s="215"/>
      <c r="AEQ4" s="215"/>
      <c r="AER4" s="215"/>
      <c r="AES4" s="215"/>
      <c r="AET4" s="215"/>
      <c r="AEU4" s="215"/>
      <c r="AEV4" s="215"/>
      <c r="AEW4" s="215"/>
      <c r="AEX4" s="215"/>
      <c r="AEY4" s="215"/>
      <c r="AEZ4" s="215"/>
      <c r="AFA4" s="215"/>
      <c r="AFB4" s="215"/>
      <c r="AFC4" s="215"/>
      <c r="AFD4" s="215"/>
      <c r="AFE4" s="215"/>
      <c r="AFF4" s="215"/>
      <c r="AFG4" s="215"/>
      <c r="AFH4" s="215"/>
      <c r="AFI4" s="215"/>
      <c r="AFJ4" s="215"/>
      <c r="AFK4" s="215"/>
      <c r="AFL4" s="215"/>
      <c r="AFM4" s="215"/>
      <c r="AFN4" s="215"/>
      <c r="AFO4" s="215"/>
      <c r="AFP4" s="215"/>
      <c r="AFQ4" s="215"/>
      <c r="AFR4" s="215"/>
      <c r="AFS4" s="215"/>
      <c r="AFT4" s="215"/>
      <c r="AFU4" s="215"/>
      <c r="AFV4" s="215"/>
      <c r="AFW4" s="215"/>
      <c r="AFX4" s="215"/>
      <c r="AFY4" s="215"/>
      <c r="AFZ4" s="215"/>
      <c r="AGA4" s="215"/>
      <c r="AGB4" s="215"/>
      <c r="AGC4" s="215"/>
      <c r="AGD4" s="215"/>
      <c r="AGE4" s="215"/>
      <c r="AGF4" s="215"/>
      <c r="AGG4" s="215"/>
      <c r="AGH4" s="215"/>
      <c r="AGI4" s="215"/>
      <c r="AGJ4" s="215"/>
      <c r="AGK4" s="215"/>
      <c r="AGL4" s="215"/>
      <c r="AGM4" s="215"/>
      <c r="AGN4" s="215"/>
      <c r="AGO4" s="215"/>
      <c r="AGP4" s="215"/>
      <c r="AGQ4" s="215"/>
      <c r="AGR4" s="215"/>
      <c r="AGS4" s="215"/>
      <c r="AGT4" s="215"/>
      <c r="AGU4" s="215"/>
      <c r="AGV4" s="215"/>
      <c r="AGW4" s="215"/>
      <c r="AGX4" s="215"/>
      <c r="AGY4" s="215"/>
      <c r="AGZ4" s="215"/>
      <c r="AHA4" s="215"/>
      <c r="AHB4" s="215"/>
      <c r="AHC4" s="215"/>
      <c r="AHD4" s="215"/>
      <c r="AHE4" s="215"/>
      <c r="AHF4" s="215"/>
      <c r="AHG4" s="215"/>
      <c r="AHH4" s="215"/>
      <c r="AHI4" s="215"/>
      <c r="AHJ4" s="215"/>
      <c r="AHK4" s="215"/>
      <c r="AHL4" s="215"/>
      <c r="AHM4" s="215"/>
      <c r="AHN4" s="215"/>
      <c r="AHO4" s="215"/>
      <c r="AHP4" s="215"/>
      <c r="AHQ4" s="215"/>
      <c r="AHR4" s="215"/>
      <c r="AHS4" s="215"/>
      <c r="AHT4" s="215"/>
      <c r="AHU4" s="215"/>
      <c r="AHV4" s="215"/>
      <c r="AHW4" s="215"/>
      <c r="AHX4" s="215"/>
      <c r="AHY4" s="215"/>
      <c r="AHZ4" s="215"/>
      <c r="AIA4" s="215"/>
      <c r="AIB4" s="215"/>
      <c r="AIC4" s="215"/>
      <c r="AID4" s="215"/>
      <c r="AIE4" s="215"/>
      <c r="AIF4" s="215"/>
      <c r="AIG4" s="215"/>
      <c r="AIH4" s="215"/>
      <c r="AII4" s="215"/>
      <c r="AIJ4" s="215"/>
      <c r="AIK4" s="215"/>
      <c r="AIL4" s="215"/>
      <c r="AIM4" s="215"/>
      <c r="AIN4" s="215"/>
      <c r="AIO4" s="215"/>
      <c r="AIP4" s="215"/>
      <c r="AIQ4" s="215"/>
      <c r="AIR4" s="215"/>
      <c r="AIS4" s="215"/>
      <c r="AIT4" s="215"/>
      <c r="AIU4" s="215"/>
      <c r="AIV4" s="215"/>
      <c r="AIW4" s="215"/>
      <c r="AIX4" s="215"/>
      <c r="AIY4" s="215"/>
      <c r="AIZ4" s="215"/>
      <c r="AJA4" s="215"/>
      <c r="AJB4" s="215"/>
      <c r="AJC4" s="215"/>
      <c r="AJD4" s="215"/>
      <c r="AJE4" s="215"/>
      <c r="AJF4" s="215"/>
      <c r="AJG4" s="215"/>
      <c r="AJH4" s="215"/>
      <c r="AJI4" s="215"/>
      <c r="AJJ4" s="215"/>
      <c r="AJK4" s="215"/>
      <c r="AJL4" s="215"/>
      <c r="AJM4" s="215"/>
      <c r="AJN4" s="215"/>
      <c r="AJO4" s="215"/>
      <c r="AJP4" s="215"/>
      <c r="AJQ4" s="215"/>
      <c r="AJR4" s="215"/>
      <c r="AJS4" s="215"/>
      <c r="AJT4" s="215"/>
      <c r="AJU4" s="215"/>
      <c r="AJV4" s="215"/>
      <c r="AJW4" s="215"/>
      <c r="AJX4" s="215"/>
      <c r="AJY4" s="215"/>
      <c r="AJZ4" s="215"/>
      <c r="AKA4" s="215"/>
      <c r="AKB4" s="215"/>
      <c r="AKC4" s="215"/>
      <c r="AKD4" s="215"/>
      <c r="AKE4" s="215"/>
      <c r="AKF4" s="215"/>
      <c r="AKG4" s="215"/>
      <c r="AKH4" s="215"/>
      <c r="AKI4" s="215"/>
      <c r="AKJ4" s="215"/>
      <c r="AKK4" s="215"/>
      <c r="AKL4" s="215"/>
      <c r="AKM4" s="215"/>
      <c r="AKN4" s="215"/>
      <c r="AKO4" s="215"/>
      <c r="AKP4" s="215"/>
      <c r="AKQ4" s="215"/>
      <c r="AKR4" s="215"/>
      <c r="AKS4" s="215"/>
      <c r="AKT4" s="215"/>
      <c r="AKU4" s="215"/>
      <c r="AKV4" s="215"/>
      <c r="AKW4" s="215"/>
      <c r="AKX4" s="215"/>
      <c r="AKY4" s="215"/>
      <c r="AKZ4" s="215"/>
      <c r="ALA4" s="215"/>
      <c r="ALB4" s="215"/>
      <c r="ALC4" s="215"/>
      <c r="ALD4" s="215"/>
      <c r="ALE4" s="215"/>
      <c r="ALF4" s="215"/>
      <c r="ALG4" s="215"/>
      <c r="ALH4" s="215"/>
      <c r="ALI4" s="215"/>
      <c r="ALJ4" s="215"/>
      <c r="ALK4" s="215"/>
      <c r="ALL4" s="215"/>
      <c r="ALM4" s="215"/>
      <c r="ALN4" s="215"/>
      <c r="ALO4" s="215"/>
      <c r="ALP4" s="215"/>
      <c r="ALQ4" s="215"/>
      <c r="ALR4" s="215"/>
      <c r="ALS4" s="215"/>
      <c r="ALT4" s="215"/>
      <c r="ALU4" s="215"/>
      <c r="ALV4" s="215"/>
      <c r="ALW4" s="215"/>
      <c r="ALX4" s="215"/>
      <c r="ALY4" s="215"/>
      <c r="ALZ4" s="215"/>
      <c r="AMA4" s="215"/>
      <c r="AMB4" s="215"/>
      <c r="AMC4" s="215"/>
      <c r="AMD4" s="215"/>
      <c r="AME4" s="215"/>
      <c r="AMF4" s="215"/>
      <c r="AMG4" s="215"/>
      <c r="AMH4" s="215"/>
      <c r="AMI4" s="215"/>
      <c r="AMJ4" s="215"/>
      <c r="AMK4" s="215"/>
      <c r="AML4" s="215"/>
      <c r="AMM4" s="215"/>
      <c r="AMN4" s="215"/>
      <c r="AMO4" s="215"/>
      <c r="AMP4" s="215"/>
      <c r="AMQ4" s="215"/>
      <c r="AMR4" s="215"/>
      <c r="AMS4" s="215"/>
      <c r="AMT4" s="215"/>
      <c r="AMU4" s="215"/>
      <c r="AMV4" s="215"/>
      <c r="AMW4" s="215"/>
      <c r="AMX4" s="215"/>
      <c r="AMY4" s="215"/>
      <c r="AMZ4" s="215"/>
      <c r="ANA4" s="215"/>
      <c r="ANB4" s="215"/>
      <c r="ANC4" s="215"/>
      <c r="AND4" s="215"/>
      <c r="ANE4" s="215"/>
      <c r="ANF4" s="215"/>
      <c r="ANG4" s="215"/>
      <c r="ANH4" s="215"/>
      <c r="ANI4" s="215"/>
      <c r="ANJ4" s="215"/>
      <c r="ANK4" s="215"/>
      <c r="ANL4" s="215"/>
      <c r="ANM4" s="215"/>
      <c r="ANN4" s="215"/>
      <c r="ANO4" s="215"/>
      <c r="ANP4" s="215"/>
      <c r="ANQ4" s="215"/>
      <c r="ANR4" s="215"/>
      <c r="ANS4" s="215"/>
      <c r="ANT4" s="215"/>
      <c r="ANU4" s="215"/>
      <c r="ANV4" s="215"/>
      <c r="ANW4" s="215"/>
      <c r="ANX4" s="215"/>
      <c r="ANY4" s="215"/>
      <c r="ANZ4" s="215"/>
      <c r="AOA4" s="215"/>
      <c r="AOB4" s="215"/>
      <c r="AOC4" s="215"/>
      <c r="AOD4" s="215"/>
      <c r="AOE4" s="215"/>
      <c r="AOF4" s="215"/>
      <c r="AOG4" s="215"/>
      <c r="AOH4" s="215"/>
      <c r="AOI4" s="215"/>
      <c r="AOJ4" s="215"/>
      <c r="AOK4" s="215"/>
      <c r="AOL4" s="215"/>
      <c r="AOM4" s="215"/>
      <c r="AON4" s="215"/>
      <c r="AOO4" s="215"/>
      <c r="AOP4" s="215"/>
      <c r="AOQ4" s="215"/>
      <c r="AOR4" s="215"/>
      <c r="AOS4" s="215"/>
      <c r="AOT4" s="215"/>
      <c r="AOU4" s="215"/>
      <c r="AOV4" s="215"/>
      <c r="AOW4" s="215"/>
      <c r="AOX4" s="215"/>
      <c r="AOY4" s="215"/>
      <c r="AOZ4" s="215"/>
      <c r="APA4" s="215"/>
      <c r="APB4" s="215"/>
      <c r="APC4" s="215"/>
      <c r="APD4" s="215"/>
      <c r="APE4" s="215"/>
      <c r="APF4" s="215"/>
      <c r="APG4" s="215"/>
      <c r="APH4" s="215"/>
      <c r="API4" s="215"/>
      <c r="APJ4" s="215"/>
      <c r="APK4" s="215"/>
      <c r="APL4" s="215"/>
      <c r="APM4" s="215"/>
      <c r="APN4" s="215"/>
      <c r="APO4" s="215"/>
      <c r="APP4" s="215"/>
      <c r="APQ4" s="215"/>
      <c r="APR4" s="215"/>
      <c r="APS4" s="215"/>
      <c r="APT4" s="215"/>
      <c r="APU4" s="215"/>
      <c r="APV4" s="215"/>
      <c r="APW4" s="215"/>
      <c r="APX4" s="215"/>
      <c r="APY4" s="215"/>
      <c r="APZ4" s="215"/>
      <c r="AQA4" s="215"/>
      <c r="AQB4" s="215"/>
      <c r="AQC4" s="215"/>
      <c r="AQD4" s="215"/>
      <c r="AQE4" s="215"/>
      <c r="AQF4" s="215"/>
      <c r="AQG4" s="215"/>
      <c r="AQH4" s="215"/>
      <c r="AQI4" s="215"/>
      <c r="AQJ4" s="215"/>
      <c r="AQK4" s="215"/>
      <c r="AQL4" s="215"/>
      <c r="AQM4" s="215"/>
      <c r="AQN4" s="215"/>
      <c r="AQO4" s="215"/>
      <c r="AQP4" s="215"/>
      <c r="AQQ4" s="215"/>
      <c r="AQR4" s="215"/>
      <c r="AQS4" s="215"/>
      <c r="AQT4" s="215"/>
      <c r="AQU4" s="215"/>
      <c r="AQV4" s="215"/>
      <c r="AQW4" s="215"/>
      <c r="AQX4" s="215"/>
      <c r="AQY4" s="215"/>
      <c r="AQZ4" s="215"/>
      <c r="ARA4" s="215"/>
      <c r="ARB4" s="215"/>
      <c r="ARC4" s="215"/>
      <c r="ARD4" s="215"/>
      <c r="ARE4" s="215"/>
      <c r="ARF4" s="215"/>
      <c r="ARG4" s="215"/>
      <c r="ARH4" s="215"/>
      <c r="ARI4" s="215"/>
      <c r="ARJ4" s="215"/>
      <c r="ARK4" s="215"/>
      <c r="ARL4" s="215"/>
      <c r="ARM4" s="215"/>
      <c r="ARN4" s="215"/>
      <c r="ARO4" s="215"/>
      <c r="ARP4" s="215"/>
      <c r="ARQ4" s="215"/>
      <c r="ARR4" s="215"/>
      <c r="ARS4" s="215"/>
      <c r="ART4" s="215"/>
      <c r="ARU4" s="215"/>
      <c r="ARV4" s="215"/>
      <c r="ARW4" s="215"/>
      <c r="ARX4" s="215"/>
      <c r="ARY4" s="215"/>
      <c r="ARZ4" s="215"/>
      <c r="ASA4" s="215"/>
      <c r="ASB4" s="215"/>
      <c r="ASC4" s="215"/>
      <c r="ASD4" s="215"/>
      <c r="ASE4" s="215"/>
      <c r="ASF4" s="215"/>
      <c r="ASG4" s="215"/>
      <c r="ASH4" s="215"/>
      <c r="ASI4" s="215"/>
      <c r="ASJ4" s="215"/>
      <c r="ASK4" s="215"/>
      <c r="ASL4" s="215"/>
      <c r="ASM4" s="215"/>
      <c r="ASN4" s="215"/>
      <c r="ASO4" s="215"/>
      <c r="ASP4" s="215"/>
      <c r="ASQ4" s="215"/>
      <c r="ASR4" s="215"/>
      <c r="ASS4" s="215"/>
      <c r="AST4" s="215"/>
      <c r="ASU4" s="215"/>
      <c r="ASV4" s="215"/>
      <c r="ASW4" s="215"/>
      <c r="ASX4" s="215"/>
      <c r="ASY4" s="215"/>
      <c r="ASZ4" s="215"/>
      <c r="ATA4" s="215"/>
      <c r="ATB4" s="215"/>
      <c r="ATC4" s="215"/>
      <c r="ATD4" s="215"/>
      <c r="ATE4" s="215"/>
      <c r="ATF4" s="215"/>
      <c r="ATG4" s="215"/>
      <c r="ATH4" s="215"/>
      <c r="ATI4" s="215"/>
      <c r="ATJ4" s="215"/>
      <c r="ATK4" s="215"/>
      <c r="ATL4" s="215"/>
      <c r="ATM4" s="215"/>
      <c r="ATN4" s="215"/>
      <c r="ATO4" s="215"/>
      <c r="ATP4" s="215"/>
      <c r="ATQ4" s="215"/>
      <c r="ATR4" s="215"/>
      <c r="ATS4" s="215"/>
      <c r="ATT4" s="215"/>
      <c r="ATU4" s="215"/>
      <c r="ATV4" s="215"/>
      <c r="ATW4" s="215"/>
      <c r="ATX4" s="215"/>
      <c r="ATY4" s="215"/>
      <c r="ATZ4" s="215"/>
      <c r="AUA4" s="215"/>
      <c r="AUB4" s="215"/>
      <c r="AUC4" s="215"/>
      <c r="AUD4" s="215"/>
      <c r="AUE4" s="215"/>
      <c r="AUF4" s="215"/>
      <c r="AUG4" s="215"/>
      <c r="AUH4" s="215"/>
      <c r="AUI4" s="215"/>
      <c r="AUJ4" s="215"/>
      <c r="AUK4" s="215"/>
      <c r="AUL4" s="215"/>
      <c r="AUM4" s="215"/>
      <c r="AUN4" s="215"/>
      <c r="AUO4" s="215"/>
      <c r="AUP4" s="215"/>
      <c r="AUQ4" s="215"/>
      <c r="AUR4" s="215"/>
      <c r="AUS4" s="215"/>
      <c r="AUT4" s="215"/>
      <c r="AUU4" s="215"/>
      <c r="AUV4" s="215"/>
      <c r="AUW4" s="215"/>
      <c r="AUX4" s="215"/>
      <c r="AUY4" s="215"/>
      <c r="AUZ4" s="215"/>
      <c r="AVA4" s="215"/>
      <c r="AVB4" s="215"/>
      <c r="AVC4" s="215"/>
      <c r="AVD4" s="215"/>
      <c r="AVE4" s="215"/>
      <c r="AVF4" s="215"/>
      <c r="AVG4" s="215"/>
      <c r="AVH4" s="215"/>
      <c r="AVI4" s="215"/>
      <c r="AVJ4" s="215"/>
      <c r="AVK4" s="215"/>
      <c r="AVL4" s="215"/>
      <c r="AVM4" s="215"/>
      <c r="AVN4" s="215"/>
      <c r="AVO4" s="215"/>
      <c r="AVP4" s="215"/>
      <c r="AVQ4" s="215"/>
      <c r="AVR4" s="215"/>
      <c r="AVS4" s="215"/>
      <c r="AVT4" s="215"/>
      <c r="AVU4" s="215"/>
      <c r="AVV4" s="215"/>
      <c r="AVW4" s="215"/>
      <c r="AVX4" s="215"/>
      <c r="AVY4" s="215"/>
      <c r="AVZ4" s="215"/>
      <c r="AWA4" s="215"/>
      <c r="AWB4" s="215"/>
      <c r="AWC4" s="215"/>
      <c r="AWD4" s="215"/>
      <c r="AWE4" s="215"/>
      <c r="AWF4" s="215"/>
      <c r="AWG4" s="215"/>
      <c r="AWH4" s="215"/>
      <c r="AWI4" s="215"/>
      <c r="AWJ4" s="215"/>
      <c r="AWK4" s="215"/>
      <c r="AWL4" s="215"/>
      <c r="AWM4" s="215"/>
      <c r="AWN4" s="215"/>
      <c r="AWO4" s="215"/>
      <c r="AWP4" s="215"/>
      <c r="AWQ4" s="215"/>
      <c r="AWR4" s="215"/>
      <c r="AWS4" s="215"/>
      <c r="AWT4" s="215"/>
      <c r="AWU4" s="215"/>
      <c r="AWV4" s="215"/>
      <c r="AWW4" s="215"/>
      <c r="AWX4" s="215"/>
      <c r="AWY4" s="215"/>
      <c r="AWZ4" s="215"/>
      <c r="AXA4" s="215"/>
      <c r="AXB4" s="215"/>
      <c r="AXC4" s="215"/>
      <c r="AXD4" s="215"/>
      <c r="AXE4" s="215"/>
      <c r="AXF4" s="215"/>
      <c r="AXG4" s="215"/>
      <c r="AXH4" s="215"/>
      <c r="AXI4" s="215"/>
      <c r="AXJ4" s="215"/>
      <c r="AXK4" s="215"/>
      <c r="AXL4" s="215"/>
      <c r="AXM4" s="215"/>
      <c r="AXN4" s="215"/>
      <c r="AXO4" s="215"/>
      <c r="AXP4" s="215"/>
      <c r="AXQ4" s="215"/>
      <c r="AXR4" s="215"/>
      <c r="AXS4" s="215"/>
      <c r="AXT4" s="215"/>
      <c r="AXU4" s="215"/>
      <c r="AXV4" s="215"/>
      <c r="AXW4" s="215"/>
      <c r="AXX4" s="215"/>
      <c r="AXY4" s="215"/>
      <c r="AXZ4" s="215"/>
      <c r="AYA4" s="215"/>
      <c r="AYB4" s="215"/>
      <c r="AYC4" s="215"/>
      <c r="AYD4" s="215"/>
      <c r="AYE4" s="215"/>
      <c r="AYF4" s="215"/>
      <c r="AYG4" s="215"/>
      <c r="AYH4" s="215"/>
      <c r="AYI4" s="215"/>
      <c r="AYJ4" s="215"/>
      <c r="AYK4" s="215"/>
      <c r="AYL4" s="215"/>
      <c r="AYM4" s="215"/>
      <c r="AYN4" s="215"/>
      <c r="AYO4" s="215"/>
      <c r="AYP4" s="215"/>
      <c r="AYQ4" s="215"/>
      <c r="AYR4" s="215"/>
      <c r="AYS4" s="215"/>
      <c r="AYT4" s="215"/>
      <c r="AYU4" s="215"/>
      <c r="AYV4" s="215"/>
      <c r="AYW4" s="215"/>
      <c r="AYX4" s="215"/>
      <c r="AYY4" s="215"/>
      <c r="AYZ4" s="215"/>
      <c r="AZA4" s="215"/>
      <c r="AZB4" s="215"/>
      <c r="AZC4" s="215"/>
      <c r="AZD4" s="215"/>
      <c r="AZE4" s="215"/>
      <c r="AZF4" s="215"/>
      <c r="AZG4" s="215"/>
      <c r="AZH4" s="215"/>
      <c r="AZI4" s="215"/>
      <c r="AZJ4" s="215"/>
      <c r="AZK4" s="215"/>
      <c r="AZL4" s="215"/>
      <c r="AZM4" s="215"/>
      <c r="AZN4" s="215"/>
      <c r="AZO4" s="215"/>
      <c r="AZP4" s="215"/>
      <c r="AZQ4" s="215"/>
      <c r="AZR4" s="215"/>
      <c r="AZS4" s="215"/>
      <c r="AZT4" s="215"/>
      <c r="AZU4" s="215"/>
      <c r="AZV4" s="215"/>
      <c r="AZW4" s="215"/>
      <c r="AZX4" s="215"/>
      <c r="AZY4" s="215"/>
      <c r="AZZ4" s="215"/>
      <c r="BAA4" s="215"/>
      <c r="BAB4" s="215"/>
      <c r="BAC4" s="215"/>
      <c r="BAD4" s="215"/>
      <c r="BAE4" s="215"/>
      <c r="BAF4" s="215"/>
      <c r="BAG4" s="215"/>
      <c r="BAH4" s="215"/>
      <c r="BAI4" s="215"/>
      <c r="BAJ4" s="215"/>
      <c r="BAK4" s="215"/>
      <c r="BAL4" s="215"/>
      <c r="BAM4" s="215"/>
      <c r="BAN4" s="215"/>
      <c r="BAO4" s="215"/>
      <c r="BAP4" s="215"/>
      <c r="BAQ4" s="215"/>
      <c r="BAR4" s="215"/>
      <c r="BAS4" s="215"/>
      <c r="BAT4" s="215"/>
      <c r="BAU4" s="215"/>
      <c r="BAV4" s="215"/>
      <c r="BAW4" s="215"/>
      <c r="BAX4" s="215"/>
      <c r="BAY4" s="215"/>
      <c r="BAZ4" s="215"/>
      <c r="BBA4" s="215"/>
      <c r="BBB4" s="215"/>
      <c r="BBC4" s="215"/>
      <c r="BBD4" s="215"/>
      <c r="BBE4" s="215"/>
      <c r="BBF4" s="215"/>
      <c r="BBG4" s="215"/>
      <c r="BBH4" s="215"/>
      <c r="BBI4" s="215"/>
      <c r="BBJ4" s="215"/>
      <c r="BBK4" s="215"/>
      <c r="BBL4" s="215"/>
      <c r="BBM4" s="215"/>
      <c r="BBN4" s="215"/>
      <c r="BBO4" s="215"/>
      <c r="BBP4" s="215"/>
      <c r="BBQ4" s="215"/>
      <c r="BBR4" s="215"/>
      <c r="BBS4" s="215"/>
      <c r="BBT4" s="215"/>
      <c r="BBU4" s="215"/>
      <c r="BBV4" s="215"/>
      <c r="BBW4" s="215"/>
      <c r="BBX4" s="215"/>
      <c r="BBY4" s="215"/>
      <c r="BBZ4" s="215"/>
      <c r="BCA4" s="215"/>
      <c r="BCB4" s="215"/>
      <c r="BCC4" s="215"/>
      <c r="BCD4" s="215"/>
      <c r="BCE4" s="215"/>
      <c r="BCF4" s="215"/>
      <c r="BCG4" s="215"/>
      <c r="BCH4" s="215"/>
      <c r="BCI4" s="215"/>
      <c r="BCJ4" s="215"/>
      <c r="BCK4" s="215"/>
      <c r="BCL4" s="215"/>
      <c r="BCM4" s="215"/>
      <c r="BCN4" s="215"/>
      <c r="BCO4" s="215"/>
      <c r="BCP4" s="215"/>
      <c r="BCQ4" s="215"/>
      <c r="BCR4" s="215"/>
      <c r="BCS4" s="215"/>
      <c r="BCT4" s="215"/>
      <c r="BCU4" s="215"/>
      <c r="BCV4" s="215"/>
      <c r="BCW4" s="215"/>
      <c r="BCX4" s="215"/>
      <c r="BCY4" s="215"/>
      <c r="BCZ4" s="215"/>
      <c r="BDA4" s="215"/>
      <c r="BDB4" s="215"/>
      <c r="BDC4" s="215"/>
      <c r="BDD4" s="215"/>
      <c r="BDE4" s="215"/>
      <c r="BDF4" s="215"/>
      <c r="BDG4" s="215"/>
      <c r="BDH4" s="215"/>
      <c r="BDI4" s="215"/>
      <c r="BDJ4" s="215"/>
      <c r="BDK4" s="215"/>
      <c r="BDL4" s="215"/>
      <c r="BDM4" s="215"/>
      <c r="BDN4" s="215"/>
      <c r="BDO4" s="215"/>
      <c r="BDP4" s="215"/>
      <c r="BDQ4" s="215"/>
      <c r="BDR4" s="215"/>
      <c r="BDS4" s="215"/>
      <c r="BDT4" s="215"/>
      <c r="BDU4" s="215"/>
      <c r="BDV4" s="215"/>
      <c r="BDW4" s="215"/>
      <c r="BDX4" s="215"/>
      <c r="BDY4" s="215"/>
      <c r="BDZ4" s="215"/>
      <c r="BEA4" s="215"/>
      <c r="BEB4" s="215"/>
      <c r="BEC4" s="215"/>
      <c r="BED4" s="215"/>
      <c r="BEE4" s="215"/>
      <c r="BEF4" s="215"/>
      <c r="BEG4" s="215"/>
      <c r="BEH4" s="215"/>
      <c r="BEI4" s="215"/>
      <c r="BEJ4" s="215"/>
      <c r="BEK4" s="215"/>
      <c r="BEL4" s="215"/>
      <c r="BEM4" s="215"/>
      <c r="BEN4" s="215"/>
      <c r="BEO4" s="215"/>
      <c r="BEP4" s="215"/>
      <c r="BEQ4" s="215"/>
      <c r="BER4" s="215"/>
      <c r="BES4" s="215"/>
      <c r="BET4" s="215"/>
      <c r="BEU4" s="215"/>
      <c r="BEV4" s="215"/>
      <c r="BEW4" s="215"/>
      <c r="BEX4" s="215"/>
      <c r="BEY4" s="215"/>
      <c r="BEZ4" s="215"/>
      <c r="BFA4" s="215"/>
      <c r="BFB4" s="215"/>
      <c r="BFC4" s="215"/>
      <c r="BFD4" s="215"/>
      <c r="BFE4" s="215"/>
      <c r="BFF4" s="215"/>
      <c r="BFG4" s="215"/>
      <c r="BFH4" s="215"/>
      <c r="BFI4" s="215"/>
      <c r="BFJ4" s="215"/>
      <c r="BFK4" s="215"/>
      <c r="BFL4" s="215"/>
      <c r="BFM4" s="215"/>
      <c r="BFN4" s="215"/>
      <c r="BFO4" s="215"/>
      <c r="BFP4" s="215"/>
      <c r="BFQ4" s="215"/>
      <c r="BFR4" s="215"/>
      <c r="BFS4" s="215"/>
      <c r="BFT4" s="215"/>
      <c r="BFU4" s="215"/>
      <c r="BFV4" s="215"/>
      <c r="BFW4" s="215"/>
      <c r="BFX4" s="215"/>
      <c r="BFY4" s="215"/>
      <c r="BFZ4" s="215"/>
      <c r="BGA4" s="215"/>
      <c r="BGB4" s="215"/>
      <c r="BGC4" s="215"/>
      <c r="BGD4" s="215"/>
      <c r="BGE4" s="215"/>
      <c r="BGF4" s="215"/>
      <c r="BGG4" s="215"/>
      <c r="BGH4" s="215"/>
      <c r="BGI4" s="215"/>
      <c r="BGJ4" s="215"/>
      <c r="BGK4" s="215"/>
      <c r="BGL4" s="215"/>
      <c r="BGM4" s="215"/>
      <c r="BGN4" s="215"/>
      <c r="BGO4" s="215"/>
      <c r="BGP4" s="215"/>
      <c r="BGQ4" s="215"/>
      <c r="BGR4" s="215"/>
      <c r="BGS4" s="215"/>
      <c r="BGT4" s="215"/>
      <c r="BGU4" s="215"/>
      <c r="BGV4" s="215"/>
      <c r="BGW4" s="215"/>
      <c r="BGX4" s="215"/>
      <c r="BGY4" s="215"/>
      <c r="BGZ4" s="215"/>
      <c r="BHA4" s="215"/>
      <c r="BHB4" s="215"/>
      <c r="BHC4" s="215"/>
      <c r="BHD4" s="215"/>
      <c r="BHE4" s="215"/>
      <c r="BHF4" s="215"/>
      <c r="BHG4" s="215"/>
      <c r="BHH4" s="215"/>
      <c r="BHI4" s="215"/>
      <c r="BHJ4" s="215"/>
      <c r="BHK4" s="215"/>
      <c r="BHL4" s="215"/>
      <c r="BHM4" s="215"/>
      <c r="BHN4" s="215"/>
      <c r="BHO4" s="215"/>
      <c r="BHP4" s="215"/>
      <c r="BHQ4" s="215"/>
      <c r="BHR4" s="215"/>
      <c r="BHS4" s="215"/>
      <c r="BHT4" s="215"/>
      <c r="BHU4" s="215"/>
      <c r="BHV4" s="215"/>
      <c r="BHW4" s="215"/>
    </row>
    <row r="5" spans="1:1583" s="217" customFormat="1">
      <c r="A5" s="252" t="s">
        <v>8</v>
      </c>
      <c r="B5" s="180" t="s">
        <v>344</v>
      </c>
      <c r="C5" s="416" t="s">
        <v>465</v>
      </c>
      <c r="D5" s="435" t="s">
        <v>465</v>
      </c>
      <c r="E5" s="59" t="s">
        <v>9</v>
      </c>
      <c r="F5" s="132">
        <v>1059.5</v>
      </c>
      <c r="G5" s="60" t="s">
        <v>662</v>
      </c>
      <c r="H5" s="473">
        <f t="shared" si="1"/>
        <v>24244.796772978414</v>
      </c>
      <c r="I5" s="92">
        <f>VLOOKUP($B5,'DCS Data'!$E$2:$AJ$100,MATCH('Daily Report'!I$1,'DCS Data'!$E$2:$AJ$2,0),0)</f>
        <v>715.80968449017973</v>
      </c>
      <c r="J5" s="255"/>
      <c r="K5" s="92">
        <f>VLOOKUP($B5,'DCS Data'!$E$2:$AJ$100,MATCH('Daily Report'!K$1,'DCS Data'!$E$2:$AJ$2,0),0)</f>
        <v>784.31891657750793</v>
      </c>
      <c r="L5" s="92">
        <f>VLOOKUP($B5,'DCS Data'!$E$2:$AJ$100,MATCH('Daily Report'!L$1,'DCS Data'!$E$2:$AJ$2,0),0)</f>
        <v>779.28194631093868</v>
      </c>
      <c r="M5" s="92">
        <f>VLOOKUP($B5,'DCS Data'!$E$2:$AJ$100,MATCH('Daily Report'!M$1,'DCS Data'!$E$2:$AJ$2,0),0)</f>
        <v>776.8046794697251</v>
      </c>
      <c r="N5" s="92">
        <f>VLOOKUP($B5,'DCS Data'!$E$2:$AJ$100,MATCH('Daily Report'!N$1,'DCS Data'!$E$2:$AJ$2,0),0)</f>
        <v>784.98244899362635</v>
      </c>
      <c r="O5" s="92">
        <f>VLOOKUP($B5,'DCS Data'!$E$2:$AJ$100,MATCH('Daily Report'!O$1,'DCS Data'!$E$2:$AJ$2,0),0)</f>
        <v>796.34248518567756</v>
      </c>
      <c r="P5" s="92">
        <f>VLOOKUP($B5,'DCS Data'!$E$2:$AJ$100,MATCH('Daily Report'!P$1,'DCS Data'!$E$2:$AJ$2,0),0)</f>
        <v>792.2557678045207</v>
      </c>
      <c r="Q5" s="92">
        <f>VLOOKUP($B5,'DCS Data'!$E$2:$AJ$100,MATCH('Daily Report'!Q$1,'DCS Data'!$E$2:$AJ$2,0),0)</f>
        <v>782.73467412667833</v>
      </c>
      <c r="R5" s="92">
        <f>VLOOKUP($B5,'DCS Data'!$E$2:$AJ$100,MATCH('Daily Report'!R$1,'DCS Data'!$E$2:$AJ$2,0),0)</f>
        <v>777.76313263340217</v>
      </c>
      <c r="S5" s="92">
        <f>VLOOKUP($B5,'DCS Data'!$E$2:$AJ$100,MATCH('Daily Report'!S$1,'DCS Data'!$E$2:$AJ$2,0),0)</f>
        <v>784.58269022951856</v>
      </c>
      <c r="T5" s="92">
        <f>VLOOKUP($B5,'DCS Data'!$E$2:$AJ$100,MATCH('Daily Report'!T$1,'DCS Data'!$E$2:$AJ$2,0),0)</f>
        <v>777.22523364662948</v>
      </c>
      <c r="U5" s="92">
        <f>VLOOKUP($B5,'DCS Data'!$E$2:$AJ$100,MATCH('Daily Report'!U$1,'DCS Data'!$E$2:$AJ$2,0),0)</f>
        <v>778.39092709819579</v>
      </c>
      <c r="V5" s="92">
        <f>VLOOKUP($B5,'DCS Data'!$E$2:$AJ$100,MATCH('Daily Report'!V$1,'DCS Data'!$E$2:$AJ$2,0),0)</f>
        <v>778.24394272643815</v>
      </c>
      <c r="W5" s="92">
        <f>VLOOKUP($B5,'DCS Data'!$E$2:$AJ$100,MATCH('Daily Report'!W$1,'DCS Data'!$E$2:$AJ$2,0),0)</f>
        <v>789.26553634604284</v>
      </c>
      <c r="X5" s="92">
        <f>VLOOKUP($B5,'DCS Data'!$E$2:$AJ$100,MATCH('Daily Report'!X$1,'DCS Data'!$E$2:$AJ$2,0),0)</f>
        <v>778.29252612090306</v>
      </c>
      <c r="Y5" s="92">
        <f>VLOOKUP($B5,'DCS Data'!$E$2:$AJ$100,MATCH('Daily Report'!Y$1,'DCS Data'!$E$2:$AJ$2,0),0)</f>
        <v>745.81605652383189</v>
      </c>
      <c r="Z5" s="92">
        <f>VLOOKUP($B5,'DCS Data'!$E$2:$AJ$100,MATCH('Daily Report'!Z$1,'DCS Data'!$E$2:$AJ$2,0),0)</f>
        <v>736.26666080811901</v>
      </c>
      <c r="AA5" s="92">
        <f>VLOOKUP($B5,'DCS Data'!$E$2:$AJ$100,MATCH('Daily Report'!AA$1,'DCS Data'!$E$2:$AJ$2,0),0)</f>
        <v>746.40695311875709</v>
      </c>
      <c r="AB5" s="92">
        <f>VLOOKUP($B5,'DCS Data'!$E$2:$AJ$100,MATCH('Daily Report'!AB$1,'DCS Data'!$E$2:$AJ$2,0),0)</f>
        <v>749.23578931501356</v>
      </c>
      <c r="AC5" s="92">
        <f>VLOOKUP($B5,'DCS Data'!$E$2:$AJ$100,MATCH('Daily Report'!AC$1,'DCS Data'!$E$2:$AJ$2,0),0)</f>
        <v>765.45978846121568</v>
      </c>
      <c r="AD5" s="92">
        <f>VLOOKUP($B5,'DCS Data'!$E$2:$AJ$100,MATCH('Daily Report'!AD$1,'DCS Data'!$E$2:$AJ$2,0),0)</f>
        <v>795.85140810959433</v>
      </c>
      <c r="AE5" s="92">
        <f>VLOOKUP($B5,'DCS Data'!$E$2:$AJ$100,MATCH('Daily Report'!AE$1,'DCS Data'!$E$2:$AJ$2,0),0)</f>
        <v>804.30153079899947</v>
      </c>
      <c r="AF5" s="92">
        <f>VLOOKUP($B5,'DCS Data'!$E$2:$AJ$100,MATCH('Daily Report'!AF$1,'DCS Data'!$E$2:$AJ$2,0),0)</f>
        <v>802.33000848765812</v>
      </c>
      <c r="AG5" s="92">
        <f>VLOOKUP($B5,'DCS Data'!$E$2:$AJ$100,MATCH('Daily Report'!AG$1,'DCS Data'!$E$2:$AJ$2,0),0)</f>
        <v>802.67035278650815</v>
      </c>
      <c r="AH5" s="92">
        <f>VLOOKUP($B5,'DCS Data'!$E$2:$AJ$100,MATCH('Daily Report'!AH$1,'DCS Data'!$E$2:$AJ$2,0),0)</f>
        <v>804.83560248832077</v>
      </c>
      <c r="AI5" s="92">
        <f>VLOOKUP($B5,'DCS Data'!$E$2:$AJ$100,MATCH('Daily Report'!AI$1,'DCS Data'!$E$2:$AJ$2,0),0)</f>
        <v>802.91544376166053</v>
      </c>
      <c r="AJ5" s="92">
        <f>VLOOKUP($B5,'DCS Data'!$E$2:$AJ$100,MATCH('Daily Report'!AJ$1,'DCS Data'!$E$2:$AJ$2,0),0)</f>
        <v>806.56074136003747</v>
      </c>
      <c r="AK5" s="92">
        <f>VLOOKUP($B5,'DCS Data'!$E$2:$AJ$100,MATCH('Daily Report'!AK$1,'DCS Data'!$E$2:$AJ$2,0),0)</f>
        <v>803.92607484950645</v>
      </c>
      <c r="AL5" s="92">
        <f>VLOOKUP($B5,'DCS Data'!$E$2:$AJ$100,MATCH('Daily Report'!AL$1,'DCS Data'!$E$2:$AJ$2,0),0)</f>
        <v>800.54274610992002</v>
      </c>
      <c r="AM5" s="92">
        <f>VLOOKUP($B5,'DCS Data'!$E$2:$AJ$100,MATCH('Daily Report'!AM$1,'DCS Data'!$E$2:$AJ$2,0),0)</f>
        <v>798.26421942053969</v>
      </c>
      <c r="AN5" s="92">
        <f>VLOOKUP($B5,'DCS Data'!$E$2:$AJ$100,MATCH('Daily Report'!AN$1,'DCS Data'!$E$2:$AJ$2,0),0)</f>
        <v>803.11880481874368</v>
      </c>
      <c r="AO5" s="214"/>
      <c r="AP5" s="214"/>
      <c r="AQ5" s="214"/>
      <c r="AR5" s="214"/>
      <c r="AS5" s="214"/>
      <c r="AT5" s="214"/>
      <c r="AU5" s="214"/>
      <c r="AV5" s="214"/>
      <c r="AW5" s="214"/>
      <c r="AX5" s="214"/>
      <c r="AY5" s="214"/>
      <c r="AZ5" s="214"/>
      <c r="BA5" s="214"/>
      <c r="BB5" s="214"/>
      <c r="BC5" s="214"/>
      <c r="BD5" s="214"/>
      <c r="BE5" s="214"/>
      <c r="BF5" s="214"/>
      <c r="BG5" s="214"/>
      <c r="BH5" s="214"/>
      <c r="BI5" s="214"/>
      <c r="BJ5" s="214"/>
      <c r="BK5" s="214"/>
      <c r="BL5" s="214"/>
      <c r="BM5" s="214"/>
      <c r="BN5" s="214"/>
      <c r="BO5" s="214"/>
      <c r="BP5" s="214"/>
      <c r="BQ5" s="214"/>
      <c r="BR5" s="214"/>
      <c r="BS5" s="214"/>
      <c r="BT5" s="214"/>
      <c r="BU5" s="214"/>
      <c r="BV5" s="214"/>
      <c r="BW5" s="214"/>
      <c r="BX5" s="214"/>
      <c r="BY5" s="214"/>
      <c r="BZ5" s="214"/>
      <c r="CA5" s="214"/>
      <c r="CB5" s="214"/>
      <c r="CC5" s="214"/>
      <c r="CD5" s="214"/>
      <c r="CE5" s="214"/>
      <c r="CF5" s="214"/>
      <c r="CG5" s="214"/>
      <c r="CH5" s="214"/>
      <c r="CI5" s="214"/>
      <c r="CJ5" s="214"/>
      <c r="CK5" s="214"/>
      <c r="CL5" s="214"/>
      <c r="CM5" s="214"/>
      <c r="CN5" s="214"/>
      <c r="CO5" s="214"/>
      <c r="CP5" s="214"/>
      <c r="CQ5" s="214"/>
      <c r="CR5" s="214"/>
      <c r="CS5" s="214"/>
      <c r="CT5" s="214"/>
      <c r="CU5" s="214"/>
      <c r="CV5" s="214"/>
      <c r="CW5" s="214"/>
      <c r="CX5" s="214"/>
      <c r="CY5" s="214"/>
      <c r="CZ5" s="214"/>
      <c r="DA5" s="214"/>
      <c r="DB5" s="214"/>
      <c r="DC5" s="214"/>
      <c r="DD5" s="214"/>
      <c r="DE5" s="214"/>
      <c r="DF5" s="214"/>
      <c r="DG5" s="214"/>
      <c r="DH5" s="214"/>
      <c r="DI5" s="214"/>
      <c r="DJ5" s="214"/>
      <c r="DK5" s="214"/>
      <c r="DL5" s="214"/>
      <c r="DM5" s="214"/>
      <c r="DN5" s="214"/>
      <c r="DO5" s="214"/>
      <c r="DP5" s="214"/>
      <c r="DQ5" s="214"/>
      <c r="DR5" s="214"/>
      <c r="DS5" s="214"/>
      <c r="DT5" s="214"/>
      <c r="DU5" s="214"/>
      <c r="DV5" s="214"/>
      <c r="DW5" s="214"/>
      <c r="DX5" s="214"/>
      <c r="DY5" s="214"/>
      <c r="DZ5" s="214"/>
      <c r="EA5" s="214"/>
      <c r="EB5" s="214"/>
      <c r="EC5" s="214"/>
      <c r="ED5" s="214"/>
      <c r="EE5" s="214"/>
      <c r="EF5" s="214"/>
      <c r="EG5" s="214"/>
      <c r="EH5" s="214"/>
      <c r="EI5" s="214"/>
      <c r="EJ5" s="214"/>
      <c r="EK5" s="214"/>
      <c r="EL5" s="214"/>
      <c r="EM5" s="214"/>
      <c r="EN5" s="214"/>
      <c r="EO5" s="214"/>
      <c r="EP5" s="214"/>
      <c r="EQ5" s="214"/>
      <c r="ER5" s="214"/>
      <c r="ES5" s="214"/>
      <c r="ET5" s="214"/>
      <c r="EU5" s="214"/>
      <c r="EV5" s="214"/>
      <c r="EW5" s="214"/>
      <c r="EX5" s="214"/>
      <c r="EY5" s="214"/>
      <c r="EZ5" s="214"/>
      <c r="FA5" s="214"/>
      <c r="FB5" s="214"/>
      <c r="FC5" s="214"/>
      <c r="FD5" s="214"/>
      <c r="FE5" s="214"/>
      <c r="FF5" s="214"/>
      <c r="FG5" s="214"/>
      <c r="FH5" s="214"/>
      <c r="FI5" s="214"/>
      <c r="FJ5" s="214"/>
      <c r="FK5" s="214"/>
      <c r="FL5" s="214"/>
      <c r="FM5" s="214"/>
      <c r="FN5" s="214"/>
      <c r="FO5" s="214"/>
      <c r="FP5" s="214"/>
      <c r="FQ5" s="214"/>
      <c r="FR5" s="214"/>
      <c r="FS5" s="214"/>
      <c r="FT5" s="214"/>
      <c r="FU5" s="214"/>
      <c r="FV5" s="214"/>
      <c r="FW5" s="214"/>
      <c r="FX5" s="214"/>
      <c r="FY5" s="214"/>
      <c r="FZ5" s="214"/>
      <c r="GA5" s="214"/>
      <c r="GB5" s="214"/>
      <c r="GC5" s="214"/>
      <c r="GD5" s="214"/>
      <c r="GE5" s="214"/>
      <c r="GF5" s="214"/>
      <c r="GG5" s="214"/>
      <c r="GH5" s="214"/>
      <c r="GI5" s="214"/>
      <c r="GJ5" s="214"/>
      <c r="GK5" s="214"/>
      <c r="GL5" s="214"/>
      <c r="GM5" s="214"/>
      <c r="GN5" s="214"/>
      <c r="GO5" s="214"/>
      <c r="GP5" s="214"/>
      <c r="GQ5" s="214"/>
      <c r="GR5" s="214"/>
      <c r="GS5" s="214"/>
      <c r="GT5" s="214"/>
      <c r="GU5" s="214"/>
      <c r="GV5" s="214"/>
      <c r="GW5" s="214"/>
      <c r="GX5" s="214"/>
      <c r="GY5" s="214"/>
      <c r="GZ5" s="214"/>
      <c r="HA5" s="214"/>
      <c r="HB5" s="214"/>
      <c r="HC5" s="214"/>
      <c r="HD5" s="214"/>
      <c r="HE5" s="214"/>
      <c r="HF5" s="214"/>
      <c r="HG5" s="214"/>
      <c r="HH5" s="214"/>
      <c r="HI5" s="214"/>
      <c r="HJ5" s="214"/>
      <c r="HK5" s="214"/>
      <c r="HL5" s="214"/>
      <c r="HM5" s="214"/>
      <c r="HN5" s="214"/>
      <c r="HO5" s="214"/>
      <c r="HP5" s="214"/>
      <c r="HQ5" s="214"/>
      <c r="HR5" s="214"/>
      <c r="HS5" s="214"/>
      <c r="HT5" s="214"/>
      <c r="HU5" s="214"/>
      <c r="HV5" s="214"/>
      <c r="HW5" s="214"/>
      <c r="HX5" s="214"/>
      <c r="HY5" s="214"/>
      <c r="HZ5" s="214"/>
      <c r="IA5" s="214"/>
      <c r="IB5" s="214"/>
      <c r="IC5" s="214"/>
      <c r="ID5" s="214"/>
      <c r="IE5" s="214"/>
      <c r="IF5" s="214"/>
      <c r="IG5" s="214"/>
      <c r="IH5" s="214"/>
      <c r="II5" s="214"/>
      <c r="IJ5" s="214"/>
      <c r="IK5" s="214"/>
      <c r="IL5" s="214"/>
      <c r="IM5" s="214"/>
      <c r="IN5" s="214"/>
      <c r="IO5" s="214"/>
      <c r="IP5" s="214"/>
      <c r="IQ5" s="214"/>
      <c r="IR5" s="214"/>
      <c r="IS5" s="214"/>
      <c r="IT5" s="214"/>
      <c r="IU5" s="214"/>
      <c r="IV5" s="214"/>
      <c r="IW5" s="214"/>
      <c r="IX5" s="214"/>
      <c r="IY5" s="214"/>
      <c r="IZ5" s="214"/>
      <c r="JA5" s="214"/>
      <c r="JB5" s="214"/>
      <c r="JC5" s="214"/>
      <c r="JD5" s="214"/>
      <c r="JE5" s="214"/>
      <c r="JF5" s="214"/>
      <c r="JG5" s="214"/>
      <c r="JH5" s="214"/>
      <c r="JI5" s="214"/>
      <c r="JJ5" s="214"/>
      <c r="JK5" s="214"/>
      <c r="JL5" s="214"/>
      <c r="JM5" s="214"/>
      <c r="JN5" s="214"/>
      <c r="JO5" s="214"/>
      <c r="JP5" s="214"/>
      <c r="JQ5" s="214"/>
      <c r="JR5" s="214"/>
      <c r="JS5" s="214"/>
      <c r="JT5" s="214"/>
      <c r="JU5" s="214"/>
      <c r="JV5" s="214"/>
      <c r="JW5" s="214"/>
      <c r="JX5" s="214"/>
      <c r="JY5" s="214"/>
      <c r="JZ5" s="214"/>
      <c r="KA5" s="214"/>
      <c r="KB5" s="214"/>
      <c r="KC5" s="214"/>
      <c r="KD5" s="214"/>
      <c r="KE5" s="214"/>
      <c r="KF5" s="214"/>
      <c r="KG5" s="214"/>
      <c r="KH5" s="214"/>
      <c r="KI5" s="214"/>
      <c r="KJ5" s="214"/>
      <c r="KK5" s="214"/>
      <c r="KL5" s="214"/>
      <c r="KM5" s="214"/>
      <c r="KN5" s="214"/>
      <c r="KO5" s="214"/>
      <c r="KP5" s="214"/>
      <c r="KQ5" s="214"/>
      <c r="KR5" s="214"/>
      <c r="KS5" s="214"/>
      <c r="KT5" s="214"/>
      <c r="KU5" s="214"/>
      <c r="KV5" s="214"/>
      <c r="KW5" s="214"/>
      <c r="KX5" s="214"/>
      <c r="KY5" s="214"/>
      <c r="KZ5" s="214"/>
      <c r="LA5" s="214"/>
      <c r="LB5" s="214"/>
      <c r="LC5" s="214"/>
      <c r="LD5" s="214"/>
      <c r="LE5" s="214"/>
      <c r="LF5" s="214"/>
      <c r="LG5" s="214"/>
      <c r="LH5" s="214"/>
      <c r="LI5" s="214"/>
      <c r="LJ5" s="214"/>
      <c r="LK5" s="214"/>
      <c r="LL5" s="214"/>
      <c r="LM5" s="214"/>
      <c r="LN5" s="214"/>
      <c r="LO5" s="214"/>
      <c r="LP5" s="214"/>
      <c r="LQ5" s="214"/>
      <c r="LR5" s="214"/>
      <c r="LS5" s="214"/>
      <c r="LT5" s="214"/>
      <c r="LU5" s="214"/>
      <c r="LV5" s="214"/>
      <c r="LW5" s="214"/>
      <c r="LX5" s="214"/>
      <c r="LY5" s="214"/>
      <c r="LZ5" s="214"/>
      <c r="MA5" s="214"/>
      <c r="MB5" s="214"/>
      <c r="MC5" s="214"/>
      <c r="MD5" s="214"/>
      <c r="ME5" s="214"/>
      <c r="MF5" s="214"/>
      <c r="MG5" s="214"/>
      <c r="MH5" s="214"/>
      <c r="MI5" s="214"/>
      <c r="MJ5" s="214"/>
      <c r="MK5" s="214"/>
      <c r="ML5" s="214"/>
      <c r="MM5" s="214"/>
      <c r="MN5" s="214"/>
      <c r="MO5" s="214"/>
      <c r="MP5" s="214"/>
      <c r="MQ5" s="214"/>
      <c r="MR5" s="214"/>
      <c r="MS5" s="214"/>
      <c r="MT5" s="214"/>
      <c r="MU5" s="214"/>
      <c r="MV5" s="214"/>
      <c r="MW5" s="214"/>
      <c r="MX5" s="214"/>
      <c r="MY5" s="214"/>
      <c r="MZ5" s="214"/>
      <c r="NA5" s="214"/>
      <c r="NB5" s="214"/>
      <c r="NC5" s="214"/>
      <c r="ND5" s="214"/>
      <c r="NE5" s="214"/>
      <c r="NF5" s="214"/>
      <c r="NG5" s="214"/>
      <c r="NH5" s="214"/>
      <c r="NI5" s="214"/>
      <c r="NJ5" s="214"/>
      <c r="NK5" s="214"/>
      <c r="NL5" s="214"/>
      <c r="NM5" s="214"/>
      <c r="NN5" s="214"/>
      <c r="NO5" s="214"/>
      <c r="NP5" s="214"/>
      <c r="NQ5" s="214"/>
      <c r="NR5" s="214"/>
      <c r="NS5" s="214"/>
      <c r="NT5" s="214"/>
      <c r="NU5" s="214"/>
      <c r="NV5" s="214"/>
      <c r="NW5" s="214"/>
      <c r="NX5" s="214"/>
      <c r="NY5" s="214"/>
      <c r="NZ5" s="214"/>
      <c r="OA5" s="214"/>
      <c r="OB5" s="214"/>
      <c r="OC5" s="214"/>
      <c r="OD5" s="214"/>
      <c r="OE5" s="214"/>
      <c r="OF5" s="214"/>
      <c r="OG5" s="214"/>
      <c r="OH5" s="214"/>
      <c r="OI5" s="214"/>
      <c r="OJ5" s="214"/>
      <c r="OK5" s="214"/>
      <c r="OL5" s="214"/>
      <c r="OM5" s="214"/>
      <c r="ON5" s="214"/>
      <c r="OO5" s="214"/>
      <c r="OP5" s="214"/>
      <c r="OQ5" s="214"/>
      <c r="OR5" s="214"/>
      <c r="OS5" s="214"/>
      <c r="OT5" s="214"/>
      <c r="OU5" s="214"/>
      <c r="OV5" s="214"/>
      <c r="OW5" s="214"/>
      <c r="OX5" s="214"/>
      <c r="OY5" s="214"/>
      <c r="OZ5" s="214"/>
      <c r="PA5" s="214"/>
      <c r="PB5" s="214"/>
      <c r="PC5" s="214"/>
      <c r="PD5" s="214"/>
      <c r="PE5" s="214"/>
      <c r="PF5" s="214"/>
      <c r="PG5" s="214"/>
      <c r="PH5" s="214"/>
      <c r="PI5" s="214"/>
      <c r="PJ5" s="214"/>
      <c r="PK5" s="214"/>
      <c r="PL5" s="214"/>
      <c r="PM5" s="214"/>
      <c r="PN5" s="214"/>
      <c r="PO5" s="214"/>
      <c r="PP5" s="214"/>
      <c r="PQ5" s="214"/>
      <c r="PR5" s="214"/>
      <c r="PS5" s="214"/>
      <c r="PT5" s="214"/>
      <c r="PU5" s="214"/>
      <c r="PV5" s="214"/>
      <c r="PW5" s="214"/>
      <c r="PX5" s="214"/>
      <c r="PY5" s="214"/>
      <c r="PZ5" s="214"/>
      <c r="QA5" s="214"/>
      <c r="QB5" s="214"/>
      <c r="QC5" s="214"/>
      <c r="QD5" s="214"/>
      <c r="QE5" s="214"/>
      <c r="QF5" s="214"/>
      <c r="QG5" s="214"/>
      <c r="QH5" s="214"/>
      <c r="QI5" s="214"/>
      <c r="QJ5" s="214"/>
      <c r="QK5" s="214"/>
      <c r="QL5" s="214"/>
      <c r="QM5" s="214"/>
      <c r="QN5" s="214"/>
      <c r="QO5" s="214"/>
      <c r="QP5" s="214"/>
      <c r="QQ5" s="214"/>
      <c r="QR5" s="214"/>
      <c r="QS5" s="214"/>
      <c r="QT5" s="214"/>
      <c r="QU5" s="214"/>
      <c r="QV5" s="214"/>
      <c r="QW5" s="214"/>
      <c r="QX5" s="214"/>
      <c r="QY5" s="214"/>
      <c r="QZ5" s="214"/>
      <c r="RA5" s="214"/>
      <c r="RB5" s="214"/>
      <c r="RC5" s="214"/>
      <c r="RD5" s="214"/>
      <c r="RE5" s="214"/>
      <c r="RF5" s="214"/>
      <c r="RG5" s="214"/>
      <c r="RH5" s="214"/>
      <c r="RI5" s="214"/>
      <c r="RJ5" s="214"/>
      <c r="RK5" s="214"/>
      <c r="RL5" s="214"/>
      <c r="RM5" s="214"/>
      <c r="RN5" s="214"/>
      <c r="RO5" s="214"/>
      <c r="RP5" s="214"/>
      <c r="RQ5" s="214"/>
      <c r="RR5" s="214"/>
      <c r="RS5" s="214"/>
      <c r="RT5" s="214"/>
      <c r="RU5" s="214"/>
      <c r="RV5" s="214"/>
      <c r="RW5" s="214"/>
      <c r="RX5" s="214"/>
      <c r="RY5" s="214"/>
      <c r="RZ5" s="214"/>
      <c r="SA5" s="214"/>
      <c r="SB5" s="214"/>
      <c r="SC5" s="214"/>
      <c r="SD5" s="214"/>
      <c r="SE5" s="214"/>
      <c r="SF5" s="214"/>
      <c r="SG5" s="214"/>
      <c r="SH5" s="214"/>
      <c r="SI5" s="214"/>
      <c r="SJ5" s="214"/>
      <c r="SK5" s="214"/>
      <c r="SL5" s="214"/>
      <c r="SM5" s="214"/>
      <c r="SN5" s="214"/>
      <c r="SO5" s="214"/>
      <c r="SP5" s="214"/>
      <c r="SQ5" s="214"/>
      <c r="SR5" s="214"/>
      <c r="SS5" s="214"/>
      <c r="ST5" s="214"/>
      <c r="SU5" s="214"/>
      <c r="SV5" s="214"/>
      <c r="SW5" s="214"/>
      <c r="SX5" s="214"/>
      <c r="SY5" s="214"/>
      <c r="SZ5" s="214"/>
      <c r="TA5" s="214"/>
      <c r="TB5" s="214"/>
      <c r="TC5" s="214"/>
      <c r="TD5" s="214"/>
      <c r="TE5" s="214"/>
      <c r="TF5" s="214"/>
      <c r="TG5" s="214"/>
      <c r="TH5" s="214"/>
      <c r="TI5" s="214"/>
      <c r="TJ5" s="214"/>
      <c r="TK5" s="214"/>
      <c r="TL5" s="214"/>
      <c r="TM5" s="214"/>
      <c r="TN5" s="214"/>
      <c r="TO5" s="214"/>
      <c r="TP5" s="214"/>
      <c r="TQ5" s="214"/>
      <c r="TR5" s="214"/>
      <c r="TS5" s="214"/>
      <c r="TT5" s="214"/>
      <c r="TU5" s="214"/>
      <c r="TV5" s="214"/>
      <c r="TW5" s="214"/>
      <c r="TX5" s="214"/>
      <c r="TY5" s="214"/>
      <c r="TZ5" s="214"/>
      <c r="UA5" s="214"/>
      <c r="UB5" s="214"/>
      <c r="UC5" s="214"/>
      <c r="UD5" s="214"/>
      <c r="UE5" s="214"/>
      <c r="UF5" s="214"/>
      <c r="UG5" s="214"/>
      <c r="UH5" s="214"/>
      <c r="UI5" s="214"/>
      <c r="UJ5" s="214"/>
      <c r="UK5" s="214"/>
      <c r="UL5" s="214"/>
      <c r="UM5" s="214"/>
      <c r="UN5" s="214"/>
      <c r="UO5" s="214"/>
      <c r="UP5" s="214"/>
      <c r="UQ5" s="214"/>
      <c r="UR5" s="214"/>
      <c r="US5" s="214"/>
      <c r="UT5" s="214"/>
      <c r="UU5" s="214"/>
      <c r="UV5" s="214"/>
      <c r="UW5" s="214"/>
      <c r="UX5" s="214"/>
      <c r="UY5" s="214"/>
      <c r="UZ5" s="214"/>
      <c r="VA5" s="214"/>
      <c r="VB5" s="214"/>
      <c r="VC5" s="214"/>
      <c r="VD5" s="214"/>
      <c r="VE5" s="214"/>
      <c r="VF5" s="214"/>
      <c r="VG5" s="214"/>
      <c r="VH5" s="214"/>
      <c r="VI5" s="214"/>
      <c r="VJ5" s="214"/>
      <c r="VK5" s="214"/>
      <c r="VL5" s="214"/>
      <c r="VM5" s="214"/>
      <c r="VN5" s="214"/>
      <c r="VO5" s="214"/>
      <c r="VP5" s="214"/>
      <c r="VQ5" s="214"/>
      <c r="VR5" s="214"/>
      <c r="VS5" s="214"/>
      <c r="VT5" s="214"/>
      <c r="VU5" s="214"/>
      <c r="VV5" s="214"/>
      <c r="VW5" s="214"/>
      <c r="VX5" s="214"/>
      <c r="VY5" s="214"/>
      <c r="VZ5" s="214"/>
      <c r="WA5" s="214"/>
      <c r="WB5" s="214"/>
      <c r="WC5" s="214"/>
      <c r="WD5" s="214"/>
      <c r="WE5" s="214"/>
      <c r="WF5" s="214"/>
      <c r="WG5" s="214"/>
      <c r="WH5" s="214"/>
      <c r="WI5" s="214"/>
      <c r="WJ5" s="214"/>
      <c r="WK5" s="214"/>
      <c r="WL5" s="214"/>
      <c r="WM5" s="214"/>
      <c r="WN5" s="214"/>
      <c r="WO5" s="214"/>
      <c r="WP5" s="214"/>
      <c r="WQ5" s="214"/>
      <c r="WR5" s="214"/>
      <c r="WS5" s="214"/>
      <c r="WT5" s="214"/>
      <c r="WU5" s="214"/>
      <c r="WV5" s="214"/>
      <c r="WW5" s="214"/>
      <c r="WX5" s="214"/>
      <c r="WY5" s="214"/>
      <c r="WZ5" s="214"/>
      <c r="XA5" s="214"/>
      <c r="XB5" s="214"/>
      <c r="XC5" s="214"/>
      <c r="XD5" s="214"/>
      <c r="XE5" s="214"/>
      <c r="XF5" s="214"/>
      <c r="XG5" s="214"/>
      <c r="XH5" s="214"/>
      <c r="XI5" s="214"/>
      <c r="XJ5" s="214"/>
      <c r="XK5" s="214"/>
      <c r="XL5" s="214"/>
      <c r="XM5" s="214"/>
      <c r="XN5" s="214"/>
      <c r="XO5" s="214"/>
      <c r="XP5" s="214"/>
      <c r="XQ5" s="214"/>
      <c r="XR5" s="214"/>
      <c r="XS5" s="214"/>
      <c r="XT5" s="214"/>
      <c r="XU5" s="214"/>
      <c r="XV5" s="214"/>
      <c r="XW5" s="214"/>
      <c r="XX5" s="214"/>
      <c r="XY5" s="214"/>
      <c r="XZ5" s="214"/>
      <c r="YA5" s="214"/>
      <c r="YB5" s="214"/>
      <c r="YC5" s="214"/>
      <c r="YD5" s="214"/>
      <c r="YE5" s="214"/>
      <c r="YF5" s="214"/>
      <c r="YG5" s="214"/>
      <c r="YH5" s="214"/>
      <c r="YI5" s="214"/>
      <c r="YJ5" s="214"/>
      <c r="YK5" s="214"/>
      <c r="YL5" s="214"/>
      <c r="YM5" s="214"/>
      <c r="YN5" s="214"/>
      <c r="YO5" s="214"/>
      <c r="YP5" s="214"/>
      <c r="YQ5" s="214"/>
      <c r="YR5" s="214"/>
      <c r="YS5" s="214"/>
      <c r="YT5" s="214"/>
      <c r="YU5" s="214"/>
      <c r="YV5" s="214"/>
      <c r="YW5" s="214"/>
      <c r="YX5" s="214"/>
      <c r="YY5" s="214"/>
      <c r="YZ5" s="214"/>
      <c r="ZA5" s="214"/>
      <c r="ZB5" s="214"/>
      <c r="ZC5" s="214"/>
      <c r="ZD5" s="214"/>
      <c r="ZE5" s="214"/>
      <c r="ZF5" s="214"/>
      <c r="ZG5" s="214"/>
      <c r="ZH5" s="214"/>
      <c r="ZI5" s="214"/>
      <c r="ZJ5" s="214"/>
      <c r="ZK5" s="214"/>
      <c r="ZL5" s="214"/>
      <c r="ZM5" s="214"/>
      <c r="ZN5" s="214"/>
      <c r="ZO5" s="214"/>
      <c r="ZP5" s="214"/>
      <c r="ZQ5" s="214"/>
      <c r="ZR5" s="214"/>
      <c r="ZS5" s="214"/>
      <c r="ZT5" s="214"/>
      <c r="ZU5" s="214"/>
      <c r="ZV5" s="214"/>
      <c r="ZW5" s="214"/>
      <c r="ZX5" s="214"/>
      <c r="ZY5" s="214"/>
      <c r="ZZ5" s="214"/>
      <c r="AAA5" s="214"/>
      <c r="AAB5" s="214"/>
      <c r="AAC5" s="214"/>
      <c r="AAD5" s="214"/>
      <c r="AAE5" s="214"/>
      <c r="AAF5" s="214"/>
      <c r="AAG5" s="214"/>
      <c r="AAH5" s="214"/>
      <c r="AAI5" s="214"/>
      <c r="AAJ5" s="214"/>
      <c r="AAK5" s="214"/>
      <c r="AAL5" s="214"/>
      <c r="AAM5" s="214"/>
      <c r="AAN5" s="214"/>
      <c r="AAO5" s="214"/>
      <c r="AAP5" s="214"/>
      <c r="AAQ5" s="214"/>
      <c r="AAR5" s="214"/>
      <c r="AAS5" s="214"/>
      <c r="AAT5" s="214"/>
      <c r="AAU5" s="214"/>
      <c r="AAV5" s="214"/>
      <c r="AAW5" s="214"/>
      <c r="AAX5" s="214"/>
      <c r="AAY5" s="214"/>
      <c r="AAZ5" s="214"/>
      <c r="ABA5" s="214"/>
      <c r="ABB5" s="214"/>
      <c r="ABC5" s="214"/>
      <c r="ABD5" s="214"/>
      <c r="ABE5" s="214"/>
      <c r="ABF5" s="214"/>
      <c r="ABG5" s="214"/>
      <c r="ABH5" s="214"/>
      <c r="ABI5" s="214"/>
      <c r="ABJ5" s="214"/>
      <c r="ABK5" s="214"/>
      <c r="ABL5" s="214"/>
      <c r="ABM5" s="214"/>
      <c r="ABN5" s="214"/>
      <c r="ABO5" s="214"/>
      <c r="ABP5" s="214"/>
      <c r="ABQ5" s="214"/>
      <c r="ABR5" s="214"/>
      <c r="ABS5" s="214"/>
      <c r="ABT5" s="214"/>
      <c r="ABU5" s="214"/>
      <c r="ABV5" s="214"/>
      <c r="ABW5" s="214"/>
      <c r="ABX5" s="214"/>
      <c r="ABY5" s="214"/>
      <c r="ABZ5" s="214"/>
      <c r="ACA5" s="214"/>
      <c r="ACB5" s="214"/>
      <c r="ACC5" s="214"/>
      <c r="ACD5" s="214"/>
      <c r="ACE5" s="214"/>
      <c r="ACF5" s="214"/>
      <c r="ACG5" s="214"/>
      <c r="ACH5" s="214"/>
      <c r="ACI5" s="214"/>
      <c r="ACJ5" s="214"/>
      <c r="ACK5" s="214"/>
      <c r="ACL5" s="214"/>
      <c r="ACM5" s="214"/>
      <c r="ACN5" s="214"/>
      <c r="ACO5" s="214"/>
      <c r="ACP5" s="214"/>
      <c r="ACQ5" s="214"/>
      <c r="ACR5" s="214"/>
      <c r="ACS5" s="214"/>
      <c r="ACT5" s="214"/>
      <c r="ACU5" s="214"/>
      <c r="ACV5" s="214"/>
      <c r="ACW5" s="214"/>
      <c r="ACX5" s="214"/>
      <c r="ACY5" s="214"/>
      <c r="ACZ5" s="214"/>
      <c r="ADA5" s="214"/>
      <c r="ADB5" s="214"/>
      <c r="ADC5" s="214"/>
      <c r="ADD5" s="214"/>
      <c r="ADE5" s="214"/>
      <c r="ADF5" s="214"/>
      <c r="ADG5" s="214"/>
      <c r="ADH5" s="214"/>
      <c r="ADI5" s="214"/>
      <c r="ADJ5" s="214"/>
      <c r="ADK5" s="214"/>
      <c r="ADL5" s="214"/>
      <c r="ADM5" s="214"/>
      <c r="ADN5" s="214"/>
      <c r="ADO5" s="214"/>
      <c r="ADP5" s="214"/>
      <c r="ADQ5" s="214"/>
      <c r="ADR5" s="214"/>
      <c r="ADS5" s="214"/>
      <c r="ADT5" s="214"/>
      <c r="ADU5" s="214"/>
      <c r="ADV5" s="214"/>
      <c r="ADW5" s="214"/>
      <c r="ADX5" s="214"/>
      <c r="ADY5" s="214"/>
      <c r="ADZ5" s="214"/>
      <c r="AEA5" s="214"/>
      <c r="AEB5" s="214"/>
      <c r="AEC5" s="214"/>
      <c r="AED5" s="214"/>
      <c r="AEE5" s="214"/>
      <c r="AEF5" s="214"/>
      <c r="AEG5" s="214"/>
      <c r="AEH5" s="214"/>
      <c r="AEI5" s="214"/>
      <c r="AEJ5" s="214"/>
      <c r="AEK5" s="214"/>
      <c r="AEL5" s="214"/>
      <c r="AEM5" s="214"/>
      <c r="AEN5" s="214"/>
      <c r="AEO5" s="214"/>
      <c r="AEP5" s="214"/>
      <c r="AEQ5" s="214"/>
      <c r="AER5" s="214"/>
      <c r="AES5" s="214"/>
      <c r="AET5" s="214"/>
      <c r="AEU5" s="214"/>
      <c r="AEV5" s="214"/>
      <c r="AEW5" s="214"/>
      <c r="AEX5" s="214"/>
      <c r="AEY5" s="214"/>
      <c r="AEZ5" s="214"/>
      <c r="AFA5" s="214"/>
      <c r="AFB5" s="214"/>
      <c r="AFC5" s="214"/>
      <c r="AFD5" s="214"/>
      <c r="AFE5" s="214"/>
      <c r="AFF5" s="214"/>
      <c r="AFG5" s="214"/>
      <c r="AFH5" s="214"/>
      <c r="AFI5" s="214"/>
      <c r="AFJ5" s="214"/>
      <c r="AFK5" s="214"/>
      <c r="AFL5" s="214"/>
      <c r="AFM5" s="214"/>
      <c r="AFN5" s="214"/>
      <c r="AFO5" s="214"/>
      <c r="AFP5" s="214"/>
      <c r="AFQ5" s="214"/>
      <c r="AFR5" s="214"/>
      <c r="AFS5" s="214"/>
      <c r="AFT5" s="214"/>
      <c r="AFU5" s="214"/>
      <c r="AFV5" s="214"/>
      <c r="AFW5" s="214"/>
      <c r="AFX5" s="214"/>
      <c r="AFY5" s="214"/>
      <c r="AFZ5" s="214"/>
      <c r="AGA5" s="214"/>
      <c r="AGB5" s="214"/>
      <c r="AGC5" s="214"/>
      <c r="AGD5" s="214"/>
      <c r="AGE5" s="214"/>
      <c r="AGF5" s="214"/>
      <c r="AGG5" s="214"/>
      <c r="AGH5" s="214"/>
      <c r="AGI5" s="214"/>
      <c r="AGJ5" s="214"/>
      <c r="AGK5" s="214"/>
      <c r="AGL5" s="214"/>
      <c r="AGM5" s="214"/>
      <c r="AGN5" s="214"/>
      <c r="AGO5" s="214"/>
      <c r="AGP5" s="214"/>
      <c r="AGQ5" s="214"/>
      <c r="AGR5" s="214"/>
      <c r="AGS5" s="214"/>
      <c r="AGT5" s="214"/>
      <c r="AGU5" s="214"/>
      <c r="AGV5" s="214"/>
      <c r="AGW5" s="214"/>
      <c r="AGX5" s="214"/>
      <c r="AGY5" s="214"/>
      <c r="AGZ5" s="214"/>
      <c r="AHA5" s="214"/>
      <c r="AHB5" s="214"/>
      <c r="AHC5" s="214"/>
      <c r="AHD5" s="214"/>
      <c r="AHE5" s="214"/>
      <c r="AHF5" s="214"/>
      <c r="AHG5" s="214"/>
      <c r="AHH5" s="214"/>
      <c r="AHI5" s="214"/>
      <c r="AHJ5" s="214"/>
      <c r="AHK5" s="214"/>
      <c r="AHL5" s="214"/>
      <c r="AHM5" s="214"/>
      <c r="AHN5" s="214"/>
      <c r="AHO5" s="214"/>
      <c r="AHP5" s="214"/>
      <c r="AHQ5" s="214"/>
      <c r="AHR5" s="214"/>
      <c r="AHS5" s="214"/>
      <c r="AHT5" s="214"/>
      <c r="AHU5" s="214"/>
      <c r="AHV5" s="214"/>
      <c r="AHW5" s="214"/>
      <c r="AHX5" s="214"/>
      <c r="AHY5" s="214"/>
      <c r="AHZ5" s="214"/>
      <c r="AIA5" s="214"/>
      <c r="AIB5" s="214"/>
      <c r="AIC5" s="214"/>
      <c r="AID5" s="214"/>
      <c r="AIE5" s="214"/>
      <c r="AIF5" s="214"/>
      <c r="AIG5" s="214"/>
      <c r="AIH5" s="214"/>
      <c r="AII5" s="214"/>
      <c r="AIJ5" s="214"/>
      <c r="AIK5" s="214"/>
      <c r="AIL5" s="214"/>
      <c r="AIM5" s="214"/>
      <c r="AIN5" s="214"/>
      <c r="AIO5" s="214"/>
      <c r="AIP5" s="214"/>
      <c r="AIQ5" s="214"/>
      <c r="AIR5" s="214"/>
      <c r="AIS5" s="214"/>
      <c r="AIT5" s="214"/>
      <c r="AIU5" s="214"/>
      <c r="AIV5" s="214"/>
      <c r="AIW5" s="214"/>
      <c r="AIX5" s="214"/>
      <c r="AIY5" s="214"/>
      <c r="AIZ5" s="214"/>
      <c r="AJA5" s="214"/>
      <c r="AJB5" s="214"/>
      <c r="AJC5" s="214"/>
      <c r="AJD5" s="214"/>
      <c r="AJE5" s="214"/>
      <c r="AJF5" s="214"/>
      <c r="AJG5" s="214"/>
      <c r="AJH5" s="214"/>
      <c r="AJI5" s="214"/>
      <c r="AJJ5" s="214"/>
      <c r="AJK5" s="214"/>
      <c r="AJL5" s="214"/>
      <c r="AJM5" s="214"/>
      <c r="AJN5" s="214"/>
      <c r="AJO5" s="214"/>
      <c r="AJP5" s="214"/>
      <c r="AJQ5" s="214"/>
      <c r="AJR5" s="214"/>
      <c r="AJS5" s="214"/>
      <c r="AJT5" s="214"/>
      <c r="AJU5" s="214"/>
      <c r="AJV5" s="214"/>
      <c r="AJW5" s="214"/>
      <c r="AJX5" s="214"/>
      <c r="AJY5" s="214"/>
      <c r="AJZ5" s="214"/>
      <c r="AKA5" s="214"/>
      <c r="AKB5" s="214"/>
      <c r="AKC5" s="214"/>
      <c r="AKD5" s="214"/>
      <c r="AKE5" s="214"/>
      <c r="AKF5" s="214"/>
      <c r="AKG5" s="214"/>
      <c r="AKH5" s="214"/>
      <c r="AKI5" s="214"/>
      <c r="AKJ5" s="214"/>
      <c r="AKK5" s="214"/>
      <c r="AKL5" s="214"/>
      <c r="AKM5" s="214"/>
      <c r="AKN5" s="214"/>
      <c r="AKO5" s="214"/>
      <c r="AKP5" s="214"/>
      <c r="AKQ5" s="214"/>
      <c r="AKR5" s="214"/>
      <c r="AKS5" s="214"/>
      <c r="AKT5" s="214"/>
      <c r="AKU5" s="214"/>
      <c r="AKV5" s="214"/>
      <c r="AKW5" s="214"/>
      <c r="AKX5" s="214"/>
      <c r="AKY5" s="214"/>
      <c r="AKZ5" s="214"/>
      <c r="ALA5" s="214"/>
      <c r="ALB5" s="214"/>
      <c r="ALC5" s="214"/>
      <c r="ALD5" s="214"/>
      <c r="ALE5" s="214"/>
      <c r="ALF5" s="214"/>
      <c r="ALG5" s="214"/>
      <c r="ALH5" s="214"/>
      <c r="ALI5" s="214"/>
      <c r="ALJ5" s="214"/>
      <c r="ALK5" s="214"/>
      <c r="ALL5" s="214"/>
      <c r="ALM5" s="214"/>
      <c r="ALN5" s="214"/>
      <c r="ALO5" s="214"/>
      <c r="ALP5" s="214"/>
      <c r="ALQ5" s="214"/>
      <c r="ALR5" s="214"/>
      <c r="ALS5" s="214"/>
      <c r="ALT5" s="214"/>
      <c r="ALU5" s="214"/>
      <c r="ALV5" s="214"/>
      <c r="ALW5" s="214"/>
      <c r="ALX5" s="214"/>
      <c r="ALY5" s="214"/>
      <c r="ALZ5" s="214"/>
      <c r="AMA5" s="214"/>
      <c r="AMB5" s="214"/>
      <c r="AMC5" s="214"/>
      <c r="AMD5" s="214"/>
      <c r="AME5" s="214"/>
      <c r="AMF5" s="214"/>
      <c r="AMG5" s="214"/>
      <c r="AMH5" s="214"/>
      <c r="AMI5" s="214"/>
      <c r="AMJ5" s="214"/>
      <c r="AMK5" s="214"/>
      <c r="AML5" s="214"/>
      <c r="AMM5" s="214"/>
      <c r="AMN5" s="214"/>
      <c r="AMO5" s="214"/>
      <c r="AMP5" s="214"/>
      <c r="AMQ5" s="214"/>
      <c r="AMR5" s="214"/>
      <c r="AMS5" s="214"/>
      <c r="AMT5" s="214"/>
      <c r="AMU5" s="214"/>
      <c r="AMV5" s="214"/>
      <c r="AMW5" s="214"/>
      <c r="AMX5" s="214"/>
      <c r="AMY5" s="214"/>
      <c r="AMZ5" s="214"/>
      <c r="ANA5" s="214"/>
      <c r="ANB5" s="214"/>
      <c r="ANC5" s="214"/>
      <c r="AND5" s="214"/>
      <c r="ANE5" s="214"/>
      <c r="ANF5" s="214"/>
      <c r="ANG5" s="214"/>
      <c r="ANH5" s="214"/>
      <c r="ANI5" s="214"/>
      <c r="ANJ5" s="214"/>
      <c r="ANK5" s="214"/>
      <c r="ANL5" s="214"/>
      <c r="ANM5" s="214"/>
      <c r="ANN5" s="214"/>
      <c r="ANO5" s="214"/>
      <c r="ANP5" s="214"/>
      <c r="ANQ5" s="214"/>
      <c r="ANR5" s="214"/>
      <c r="ANS5" s="214"/>
      <c r="ANT5" s="214"/>
      <c r="ANU5" s="214"/>
      <c r="ANV5" s="214"/>
      <c r="ANW5" s="214"/>
      <c r="ANX5" s="214"/>
      <c r="ANY5" s="214"/>
      <c r="ANZ5" s="214"/>
      <c r="AOA5" s="214"/>
      <c r="AOB5" s="214"/>
      <c r="AOC5" s="214"/>
      <c r="AOD5" s="214"/>
      <c r="AOE5" s="214"/>
      <c r="AOF5" s="214"/>
      <c r="AOG5" s="214"/>
      <c r="AOH5" s="214"/>
      <c r="AOI5" s="214"/>
      <c r="AOJ5" s="214"/>
      <c r="AOK5" s="214"/>
      <c r="AOL5" s="214"/>
      <c r="AOM5" s="214"/>
      <c r="AON5" s="214"/>
      <c r="AOO5" s="214"/>
      <c r="AOP5" s="214"/>
      <c r="AOQ5" s="214"/>
      <c r="AOR5" s="214"/>
      <c r="AOS5" s="214"/>
      <c r="AOT5" s="214"/>
      <c r="AOU5" s="214"/>
      <c r="AOV5" s="214"/>
      <c r="AOW5" s="214"/>
      <c r="AOX5" s="214"/>
      <c r="AOY5" s="214"/>
      <c r="AOZ5" s="214"/>
      <c r="APA5" s="214"/>
      <c r="APB5" s="214"/>
      <c r="APC5" s="214"/>
      <c r="APD5" s="214"/>
      <c r="APE5" s="214"/>
      <c r="APF5" s="214"/>
      <c r="APG5" s="214"/>
      <c r="APH5" s="214"/>
      <c r="API5" s="214"/>
      <c r="APJ5" s="214"/>
      <c r="APK5" s="214"/>
      <c r="APL5" s="214"/>
      <c r="APM5" s="214"/>
      <c r="APN5" s="214"/>
      <c r="APO5" s="214"/>
      <c r="APP5" s="214"/>
      <c r="APQ5" s="214"/>
      <c r="APR5" s="214"/>
      <c r="APS5" s="214"/>
      <c r="APT5" s="214"/>
      <c r="APU5" s="214"/>
      <c r="APV5" s="214"/>
      <c r="APW5" s="214"/>
      <c r="APX5" s="214"/>
      <c r="APY5" s="214"/>
      <c r="APZ5" s="214"/>
      <c r="AQA5" s="214"/>
      <c r="AQB5" s="214"/>
      <c r="AQC5" s="214"/>
      <c r="AQD5" s="214"/>
      <c r="AQE5" s="214"/>
      <c r="AQF5" s="214"/>
      <c r="AQG5" s="214"/>
      <c r="AQH5" s="214"/>
      <c r="AQI5" s="214"/>
      <c r="AQJ5" s="214"/>
      <c r="AQK5" s="214"/>
      <c r="AQL5" s="214"/>
      <c r="AQM5" s="214"/>
      <c r="AQN5" s="214"/>
      <c r="AQO5" s="214"/>
      <c r="AQP5" s="214"/>
      <c r="AQQ5" s="214"/>
      <c r="AQR5" s="214"/>
      <c r="AQS5" s="214"/>
      <c r="AQT5" s="214"/>
      <c r="AQU5" s="214"/>
      <c r="AQV5" s="214"/>
      <c r="AQW5" s="214"/>
      <c r="AQX5" s="214"/>
      <c r="AQY5" s="214"/>
      <c r="AQZ5" s="214"/>
      <c r="ARA5" s="214"/>
      <c r="ARB5" s="214"/>
      <c r="ARC5" s="214"/>
      <c r="ARD5" s="214"/>
      <c r="ARE5" s="214"/>
      <c r="ARF5" s="214"/>
      <c r="ARG5" s="214"/>
      <c r="ARH5" s="214"/>
      <c r="ARI5" s="214"/>
      <c r="ARJ5" s="214"/>
      <c r="ARK5" s="214"/>
      <c r="ARL5" s="214"/>
      <c r="ARM5" s="214"/>
      <c r="ARN5" s="214"/>
      <c r="ARO5" s="214"/>
      <c r="ARP5" s="214"/>
      <c r="ARQ5" s="214"/>
      <c r="ARR5" s="214"/>
      <c r="ARS5" s="214"/>
      <c r="ART5" s="214"/>
      <c r="ARU5" s="214"/>
      <c r="ARV5" s="214"/>
      <c r="ARW5" s="214"/>
      <c r="ARX5" s="214"/>
      <c r="ARY5" s="214"/>
      <c r="ARZ5" s="214"/>
      <c r="ASA5" s="214"/>
      <c r="ASB5" s="214"/>
      <c r="ASC5" s="214"/>
      <c r="ASD5" s="214"/>
      <c r="ASE5" s="214"/>
      <c r="ASF5" s="214"/>
      <c r="ASG5" s="214"/>
      <c r="ASH5" s="214"/>
      <c r="ASI5" s="214"/>
      <c r="ASJ5" s="214"/>
      <c r="ASK5" s="214"/>
      <c r="ASL5" s="214"/>
      <c r="ASM5" s="214"/>
      <c r="ASN5" s="214"/>
      <c r="ASO5" s="214"/>
      <c r="ASP5" s="214"/>
      <c r="ASQ5" s="214"/>
      <c r="ASR5" s="214"/>
      <c r="ASS5" s="214"/>
      <c r="AST5" s="214"/>
      <c r="ASU5" s="214"/>
      <c r="ASV5" s="214"/>
      <c r="ASW5" s="214"/>
      <c r="ASX5" s="214"/>
      <c r="ASY5" s="214"/>
      <c r="ASZ5" s="214"/>
      <c r="ATA5" s="214"/>
      <c r="ATB5" s="214"/>
      <c r="ATC5" s="214"/>
      <c r="ATD5" s="214"/>
      <c r="ATE5" s="214"/>
      <c r="ATF5" s="214"/>
      <c r="ATG5" s="214"/>
      <c r="ATH5" s="214"/>
      <c r="ATI5" s="214"/>
      <c r="ATJ5" s="214"/>
      <c r="ATK5" s="214"/>
      <c r="ATL5" s="214"/>
      <c r="ATM5" s="214"/>
      <c r="ATN5" s="214"/>
      <c r="ATO5" s="214"/>
      <c r="ATP5" s="214"/>
      <c r="ATQ5" s="214"/>
      <c r="ATR5" s="214"/>
      <c r="ATS5" s="214"/>
      <c r="ATT5" s="214"/>
      <c r="ATU5" s="214"/>
      <c r="ATV5" s="214"/>
      <c r="ATW5" s="214"/>
      <c r="ATX5" s="214"/>
      <c r="ATY5" s="214"/>
      <c r="ATZ5" s="214"/>
      <c r="AUA5" s="214"/>
      <c r="AUB5" s="214"/>
      <c r="AUC5" s="214"/>
      <c r="AUD5" s="214"/>
      <c r="AUE5" s="214"/>
      <c r="AUF5" s="214"/>
      <c r="AUG5" s="214"/>
      <c r="AUH5" s="214"/>
      <c r="AUI5" s="214"/>
      <c r="AUJ5" s="214"/>
      <c r="AUK5" s="214"/>
      <c r="AUL5" s="214"/>
      <c r="AUM5" s="214"/>
      <c r="AUN5" s="214"/>
      <c r="AUO5" s="214"/>
      <c r="AUP5" s="214"/>
      <c r="AUQ5" s="214"/>
      <c r="AUR5" s="214"/>
      <c r="AUS5" s="214"/>
      <c r="AUT5" s="214"/>
      <c r="AUU5" s="214"/>
      <c r="AUV5" s="214"/>
      <c r="AUW5" s="214"/>
      <c r="AUX5" s="214"/>
      <c r="AUY5" s="214"/>
      <c r="AUZ5" s="214"/>
      <c r="AVA5" s="214"/>
      <c r="AVB5" s="214"/>
      <c r="AVC5" s="214"/>
      <c r="AVD5" s="214"/>
      <c r="AVE5" s="214"/>
      <c r="AVF5" s="214"/>
      <c r="AVG5" s="214"/>
      <c r="AVH5" s="214"/>
      <c r="AVI5" s="214"/>
      <c r="AVJ5" s="214"/>
      <c r="AVK5" s="214"/>
      <c r="AVL5" s="214"/>
      <c r="AVM5" s="214"/>
      <c r="AVN5" s="214"/>
      <c r="AVO5" s="214"/>
      <c r="AVP5" s="214"/>
      <c r="AVQ5" s="214"/>
      <c r="AVR5" s="214"/>
      <c r="AVS5" s="214"/>
      <c r="AVT5" s="214"/>
      <c r="AVU5" s="214"/>
      <c r="AVV5" s="214"/>
      <c r="AVW5" s="214"/>
      <c r="AVX5" s="214"/>
      <c r="AVY5" s="214"/>
      <c r="AVZ5" s="214"/>
      <c r="AWA5" s="214"/>
      <c r="AWB5" s="214"/>
      <c r="AWC5" s="214"/>
      <c r="AWD5" s="214"/>
      <c r="AWE5" s="214"/>
      <c r="AWF5" s="214"/>
      <c r="AWG5" s="214"/>
      <c r="AWH5" s="214"/>
      <c r="AWI5" s="214"/>
      <c r="AWJ5" s="214"/>
      <c r="AWK5" s="214"/>
      <c r="AWL5" s="214"/>
      <c r="AWM5" s="214"/>
      <c r="AWN5" s="214"/>
      <c r="AWO5" s="214"/>
      <c r="AWP5" s="214"/>
      <c r="AWQ5" s="214"/>
      <c r="AWR5" s="214"/>
      <c r="AWS5" s="214"/>
      <c r="AWT5" s="214"/>
      <c r="AWU5" s="214"/>
      <c r="AWV5" s="214"/>
      <c r="AWW5" s="214"/>
      <c r="AWX5" s="214"/>
      <c r="AWY5" s="214"/>
      <c r="AWZ5" s="214"/>
      <c r="AXA5" s="214"/>
      <c r="AXB5" s="214"/>
      <c r="AXC5" s="214"/>
      <c r="AXD5" s="214"/>
      <c r="AXE5" s="214"/>
      <c r="AXF5" s="214"/>
      <c r="AXG5" s="214"/>
      <c r="AXH5" s="214"/>
      <c r="AXI5" s="214"/>
      <c r="AXJ5" s="214"/>
      <c r="AXK5" s="214"/>
      <c r="AXL5" s="214"/>
      <c r="AXM5" s="214"/>
      <c r="AXN5" s="214"/>
      <c r="AXO5" s="214"/>
      <c r="AXP5" s="214"/>
      <c r="AXQ5" s="214"/>
      <c r="AXR5" s="214"/>
      <c r="AXS5" s="214"/>
      <c r="AXT5" s="214"/>
      <c r="AXU5" s="214"/>
      <c r="AXV5" s="214"/>
      <c r="AXW5" s="214"/>
      <c r="AXX5" s="214"/>
      <c r="AXY5" s="214"/>
      <c r="AXZ5" s="214"/>
      <c r="AYA5" s="214"/>
      <c r="AYB5" s="214"/>
      <c r="AYC5" s="214"/>
      <c r="AYD5" s="214"/>
      <c r="AYE5" s="214"/>
      <c r="AYF5" s="214"/>
      <c r="AYG5" s="214"/>
      <c r="AYH5" s="214"/>
      <c r="AYI5" s="214"/>
      <c r="AYJ5" s="214"/>
      <c r="AYK5" s="214"/>
      <c r="AYL5" s="214"/>
      <c r="AYM5" s="214"/>
      <c r="AYN5" s="214"/>
      <c r="AYO5" s="214"/>
      <c r="AYP5" s="214"/>
      <c r="AYQ5" s="214"/>
      <c r="AYR5" s="214"/>
      <c r="AYS5" s="214"/>
      <c r="AYT5" s="214"/>
      <c r="AYU5" s="214"/>
      <c r="AYV5" s="214"/>
      <c r="AYW5" s="214"/>
      <c r="AYX5" s="214"/>
      <c r="AYY5" s="214"/>
      <c r="AYZ5" s="214"/>
      <c r="AZA5" s="214"/>
      <c r="AZB5" s="214"/>
      <c r="AZC5" s="214"/>
      <c r="AZD5" s="214"/>
      <c r="AZE5" s="214"/>
      <c r="AZF5" s="214"/>
      <c r="AZG5" s="214"/>
      <c r="AZH5" s="214"/>
      <c r="AZI5" s="214"/>
      <c r="AZJ5" s="214"/>
      <c r="AZK5" s="214"/>
      <c r="AZL5" s="214"/>
      <c r="AZM5" s="214"/>
      <c r="AZN5" s="214"/>
      <c r="AZO5" s="214"/>
      <c r="AZP5" s="214"/>
      <c r="AZQ5" s="214"/>
      <c r="AZR5" s="214"/>
      <c r="AZS5" s="214"/>
      <c r="AZT5" s="214"/>
      <c r="AZU5" s="214"/>
      <c r="AZV5" s="214"/>
      <c r="AZW5" s="214"/>
      <c r="AZX5" s="214"/>
      <c r="AZY5" s="214"/>
      <c r="AZZ5" s="214"/>
      <c r="BAA5" s="214"/>
      <c r="BAB5" s="214"/>
      <c r="BAC5" s="214"/>
      <c r="BAD5" s="214"/>
      <c r="BAE5" s="214"/>
      <c r="BAF5" s="214"/>
      <c r="BAG5" s="214"/>
      <c r="BAH5" s="214"/>
      <c r="BAI5" s="214"/>
      <c r="BAJ5" s="214"/>
      <c r="BAK5" s="214"/>
      <c r="BAL5" s="214"/>
      <c r="BAM5" s="214"/>
      <c r="BAN5" s="214"/>
      <c r="BAO5" s="214"/>
      <c r="BAP5" s="214"/>
      <c r="BAQ5" s="214"/>
      <c r="BAR5" s="214"/>
      <c r="BAS5" s="214"/>
      <c r="BAT5" s="214"/>
      <c r="BAU5" s="214"/>
      <c r="BAV5" s="214"/>
      <c r="BAW5" s="214"/>
      <c r="BAX5" s="214"/>
      <c r="BAY5" s="214"/>
      <c r="BAZ5" s="214"/>
      <c r="BBA5" s="214"/>
      <c r="BBB5" s="214"/>
      <c r="BBC5" s="214"/>
      <c r="BBD5" s="214"/>
      <c r="BBE5" s="214"/>
      <c r="BBF5" s="214"/>
      <c r="BBG5" s="214"/>
      <c r="BBH5" s="214"/>
      <c r="BBI5" s="214"/>
      <c r="BBJ5" s="214"/>
      <c r="BBK5" s="214"/>
      <c r="BBL5" s="214"/>
      <c r="BBM5" s="214"/>
      <c r="BBN5" s="214"/>
      <c r="BBO5" s="214"/>
      <c r="BBP5" s="214"/>
      <c r="BBQ5" s="214"/>
      <c r="BBR5" s="214"/>
      <c r="BBS5" s="214"/>
      <c r="BBT5" s="214"/>
      <c r="BBU5" s="214"/>
      <c r="BBV5" s="214"/>
      <c r="BBW5" s="214"/>
      <c r="BBX5" s="214"/>
      <c r="BBY5" s="214"/>
      <c r="BBZ5" s="214"/>
      <c r="BCA5" s="214"/>
      <c r="BCB5" s="214"/>
      <c r="BCC5" s="214"/>
      <c r="BCD5" s="214"/>
      <c r="BCE5" s="214"/>
      <c r="BCF5" s="214"/>
      <c r="BCG5" s="214"/>
      <c r="BCH5" s="214"/>
      <c r="BCI5" s="214"/>
      <c r="BCJ5" s="214"/>
      <c r="BCK5" s="214"/>
      <c r="BCL5" s="214"/>
      <c r="BCM5" s="214"/>
      <c r="BCN5" s="214"/>
      <c r="BCO5" s="214"/>
      <c r="BCP5" s="214"/>
      <c r="BCQ5" s="214"/>
      <c r="BCR5" s="214"/>
      <c r="BCS5" s="214"/>
      <c r="BCT5" s="214"/>
      <c r="BCU5" s="214"/>
      <c r="BCV5" s="214"/>
      <c r="BCW5" s="214"/>
      <c r="BCX5" s="214"/>
      <c r="BCY5" s="214"/>
      <c r="BCZ5" s="214"/>
      <c r="BDA5" s="214"/>
      <c r="BDB5" s="214"/>
      <c r="BDC5" s="214"/>
      <c r="BDD5" s="214"/>
      <c r="BDE5" s="214"/>
      <c r="BDF5" s="214"/>
      <c r="BDG5" s="214"/>
      <c r="BDH5" s="214"/>
      <c r="BDI5" s="214"/>
      <c r="BDJ5" s="214"/>
      <c r="BDK5" s="214"/>
      <c r="BDL5" s="214"/>
      <c r="BDM5" s="214"/>
      <c r="BDN5" s="214"/>
      <c r="BDO5" s="214"/>
      <c r="BDP5" s="214"/>
      <c r="BDQ5" s="214"/>
      <c r="BDR5" s="214"/>
      <c r="BDS5" s="214"/>
      <c r="BDT5" s="214"/>
      <c r="BDU5" s="214"/>
      <c r="BDV5" s="214"/>
      <c r="BDW5" s="214"/>
      <c r="BDX5" s="214"/>
      <c r="BDY5" s="214"/>
      <c r="BDZ5" s="214"/>
      <c r="BEA5" s="214"/>
      <c r="BEB5" s="214"/>
      <c r="BEC5" s="214"/>
      <c r="BED5" s="214"/>
      <c r="BEE5" s="214"/>
      <c r="BEF5" s="214"/>
      <c r="BEG5" s="214"/>
      <c r="BEH5" s="214"/>
      <c r="BEI5" s="214"/>
      <c r="BEJ5" s="214"/>
      <c r="BEK5" s="214"/>
      <c r="BEL5" s="214"/>
      <c r="BEM5" s="214"/>
      <c r="BEN5" s="214"/>
      <c r="BEO5" s="214"/>
      <c r="BEP5" s="214"/>
      <c r="BEQ5" s="214"/>
      <c r="BER5" s="214"/>
      <c r="BES5" s="214"/>
      <c r="BET5" s="214"/>
      <c r="BEU5" s="214"/>
      <c r="BEV5" s="214"/>
      <c r="BEW5" s="214"/>
      <c r="BEX5" s="214"/>
      <c r="BEY5" s="214"/>
      <c r="BEZ5" s="214"/>
      <c r="BFA5" s="214"/>
      <c r="BFB5" s="214"/>
      <c r="BFC5" s="214"/>
      <c r="BFD5" s="214"/>
      <c r="BFE5" s="214"/>
      <c r="BFF5" s="214"/>
      <c r="BFG5" s="214"/>
      <c r="BFH5" s="214"/>
      <c r="BFI5" s="214"/>
      <c r="BFJ5" s="214"/>
      <c r="BFK5" s="214"/>
      <c r="BFL5" s="214"/>
      <c r="BFM5" s="214"/>
      <c r="BFN5" s="214"/>
      <c r="BFO5" s="214"/>
      <c r="BFP5" s="214"/>
      <c r="BFQ5" s="214"/>
      <c r="BFR5" s="214"/>
      <c r="BFS5" s="214"/>
      <c r="BFT5" s="214"/>
      <c r="BFU5" s="214"/>
      <c r="BFV5" s="214"/>
      <c r="BFW5" s="214"/>
      <c r="BFX5" s="214"/>
      <c r="BFY5" s="214"/>
      <c r="BFZ5" s="214"/>
      <c r="BGA5" s="214"/>
      <c r="BGB5" s="214"/>
      <c r="BGC5" s="214"/>
      <c r="BGD5" s="214"/>
      <c r="BGE5" s="214"/>
      <c r="BGF5" s="214"/>
      <c r="BGG5" s="214"/>
      <c r="BGH5" s="214"/>
      <c r="BGI5" s="214"/>
      <c r="BGJ5" s="214"/>
      <c r="BGK5" s="214"/>
      <c r="BGL5" s="214"/>
      <c r="BGM5" s="214"/>
      <c r="BGN5" s="214"/>
      <c r="BGO5" s="214"/>
      <c r="BGP5" s="214"/>
      <c r="BGQ5" s="214"/>
      <c r="BGR5" s="214"/>
      <c r="BGS5" s="214"/>
      <c r="BGT5" s="214"/>
      <c r="BGU5" s="214"/>
      <c r="BGV5" s="214"/>
      <c r="BGW5" s="214"/>
      <c r="BGX5" s="214"/>
      <c r="BGY5" s="214"/>
      <c r="BGZ5" s="214"/>
      <c r="BHA5" s="214"/>
      <c r="BHB5" s="214"/>
      <c r="BHC5" s="214"/>
      <c r="BHD5" s="214"/>
      <c r="BHE5" s="214"/>
      <c r="BHF5" s="214"/>
      <c r="BHG5" s="214"/>
      <c r="BHH5" s="214"/>
      <c r="BHI5" s="214"/>
      <c r="BHJ5" s="214"/>
      <c r="BHK5" s="214"/>
      <c r="BHL5" s="214"/>
      <c r="BHM5" s="214"/>
      <c r="BHN5" s="214"/>
      <c r="BHO5" s="214"/>
      <c r="BHP5" s="214"/>
      <c r="BHQ5" s="214"/>
      <c r="BHR5" s="214"/>
      <c r="BHS5" s="214"/>
      <c r="BHT5" s="214"/>
      <c r="BHU5" s="214"/>
      <c r="BHV5" s="214"/>
      <c r="BHW5" s="214"/>
    </row>
    <row r="6" spans="1:1583" s="217" customFormat="1">
      <c r="A6" s="252" t="s">
        <v>10</v>
      </c>
      <c r="B6" s="180" t="s">
        <v>343</v>
      </c>
      <c r="C6" s="416" t="s">
        <v>466</v>
      </c>
      <c r="D6" s="435" t="s">
        <v>466</v>
      </c>
      <c r="E6" s="59" t="s">
        <v>9</v>
      </c>
      <c r="F6" s="132">
        <v>651.6</v>
      </c>
      <c r="G6" s="60" t="s">
        <v>663</v>
      </c>
      <c r="H6" s="473">
        <f t="shared" si="1"/>
        <v>17016.976666360832</v>
      </c>
      <c r="I6" s="92">
        <f>VLOOKUP($B6,'DCS Data'!$E$2:$AJ$100,MATCH('Daily Report'!I$1,'DCS Data'!$E$2:$AJ$2,0),0)</f>
        <v>506.45476762966933</v>
      </c>
      <c r="J6" s="255"/>
      <c r="K6" s="92">
        <f>VLOOKUP($B6,'DCS Data'!$E$2:$AJ$100,MATCH('Daily Report'!K$1,'DCS Data'!$E$2:$AJ$2,0),0)</f>
        <v>560.94620965983211</v>
      </c>
      <c r="L6" s="92">
        <f>VLOOKUP($B6,'DCS Data'!$E$2:$AJ$100,MATCH('Daily Report'!L$1,'DCS Data'!$E$2:$AJ$2,0),0)</f>
        <v>555.35927239399655</v>
      </c>
      <c r="M6" s="92">
        <f>VLOOKUP($B6,'DCS Data'!$E$2:$AJ$100,MATCH('Daily Report'!M$1,'DCS Data'!$E$2:$AJ$2,0),0)</f>
        <v>553.50791361068957</v>
      </c>
      <c r="N6" s="92">
        <f>VLOOKUP($B6,'DCS Data'!$E$2:$AJ$100,MATCH('Daily Report'!N$1,'DCS Data'!$E$2:$AJ$2,0),0)</f>
        <v>558.76186430862299</v>
      </c>
      <c r="O6" s="92">
        <f>VLOOKUP($B6,'DCS Data'!$E$2:$AJ$100,MATCH('Daily Report'!O$1,'DCS Data'!$E$2:$AJ$2,0),0)</f>
        <v>563.76376708469547</v>
      </c>
      <c r="P6" s="92">
        <f>VLOOKUP($B6,'DCS Data'!$E$2:$AJ$100,MATCH('Daily Report'!P$1,'DCS Data'!$E$2:$AJ$2,0),0)</f>
        <v>559.47535744629488</v>
      </c>
      <c r="Q6" s="92">
        <f>VLOOKUP($B6,'DCS Data'!$E$2:$AJ$100,MATCH('Daily Report'!Q$1,'DCS Data'!$E$2:$AJ$2,0),0)</f>
        <v>550.52311911839786</v>
      </c>
      <c r="R6" s="92">
        <f>VLOOKUP($B6,'DCS Data'!$E$2:$AJ$100,MATCH('Daily Report'!R$1,'DCS Data'!$E$2:$AJ$2,0),0)</f>
        <v>545.09975790508508</v>
      </c>
      <c r="S6" s="92">
        <f>VLOOKUP($B6,'DCS Data'!$E$2:$AJ$100,MATCH('Daily Report'!S$1,'DCS Data'!$E$2:$AJ$2,0),0)</f>
        <v>548.98876500632548</v>
      </c>
      <c r="T6" s="92">
        <f>VLOOKUP($B6,'DCS Data'!$E$2:$AJ$100,MATCH('Daily Report'!T$1,'DCS Data'!$E$2:$AJ$2,0),0)</f>
        <v>543.37742877169956</v>
      </c>
      <c r="U6" s="92">
        <f>VLOOKUP($B6,'DCS Data'!$E$2:$AJ$100,MATCH('Daily Report'!U$1,'DCS Data'!$E$2:$AJ$2,0),0)</f>
        <v>544.46672830654597</v>
      </c>
      <c r="V6" s="92">
        <f>VLOOKUP($B6,'DCS Data'!$E$2:$AJ$100,MATCH('Daily Report'!V$1,'DCS Data'!$E$2:$AJ$2,0),0)</f>
        <v>543.40399046512232</v>
      </c>
      <c r="W6" s="92">
        <f>VLOOKUP($B6,'DCS Data'!$E$2:$AJ$100,MATCH('Daily Report'!W$1,'DCS Data'!$E$2:$AJ$2,0),0)</f>
        <v>553.15391640218263</v>
      </c>
      <c r="X6" s="92">
        <f>VLOOKUP($B6,'DCS Data'!$E$2:$AJ$100,MATCH('Daily Report'!X$1,'DCS Data'!$E$2:$AJ$2,0),0)</f>
        <v>542.99368359601658</v>
      </c>
      <c r="Y6" s="92">
        <f>VLOOKUP($B6,'DCS Data'!$E$2:$AJ$100,MATCH('Daily Report'!Y$1,'DCS Data'!$E$2:$AJ$2,0),0)</f>
        <v>516.40917525197858</v>
      </c>
      <c r="Z6" s="92">
        <f>VLOOKUP($B6,'DCS Data'!$E$2:$AJ$100,MATCH('Daily Report'!Z$1,'DCS Data'!$E$2:$AJ$2,0),0)</f>
        <v>507.86214787548226</v>
      </c>
      <c r="AA6" s="92">
        <f>VLOOKUP($B6,'DCS Data'!$E$2:$AJ$100,MATCH('Daily Report'!AA$1,'DCS Data'!$E$2:$AJ$2,0),0)</f>
        <v>517.03234954783215</v>
      </c>
      <c r="AB6" s="92">
        <f>VLOOKUP($B6,'DCS Data'!$E$2:$AJ$100,MATCH('Daily Report'!AB$1,'DCS Data'!$E$2:$AJ$2,0),0)</f>
        <v>519.08041604982748</v>
      </c>
      <c r="AC6" s="92">
        <f>VLOOKUP($B6,'DCS Data'!$E$2:$AJ$100,MATCH('Daily Report'!AC$1,'DCS Data'!$E$2:$AJ$2,0),0)</f>
        <v>532.49508176427025</v>
      </c>
      <c r="AD6" s="92">
        <f>VLOOKUP($B6,'DCS Data'!$E$2:$AJ$100,MATCH('Daily Report'!AD$1,'DCS Data'!$E$2:$AJ$2,0),0)</f>
        <v>558.46280738776227</v>
      </c>
      <c r="AE6" s="92">
        <f>VLOOKUP($B6,'DCS Data'!$E$2:$AJ$100,MATCH('Daily Report'!AE$1,'DCS Data'!$E$2:$AJ$2,0),0)</f>
        <v>565.74978608787126</v>
      </c>
      <c r="AF6" s="92">
        <f>VLOOKUP($B6,'DCS Data'!$E$2:$AJ$100,MATCH('Daily Report'!AF$1,'DCS Data'!$E$2:$AJ$2,0),0)</f>
        <v>562.58084294148762</v>
      </c>
      <c r="AG6" s="92">
        <f>VLOOKUP($B6,'DCS Data'!$E$2:$AJ$100,MATCH('Daily Report'!AG$1,'DCS Data'!$E$2:$AJ$2,0),0)</f>
        <v>562.43820732460597</v>
      </c>
      <c r="AH6" s="92">
        <f>VLOOKUP($B6,'DCS Data'!$E$2:$AJ$100,MATCH('Daily Report'!AH$1,'DCS Data'!$E$2:$AJ$2,0),0)</f>
        <v>563.90749241058268</v>
      </c>
      <c r="AI6" s="92">
        <f>VLOOKUP($B6,'DCS Data'!$E$2:$AJ$100,MATCH('Daily Report'!AI$1,'DCS Data'!$E$2:$AJ$2,0),0)</f>
        <v>562.81016437164624</v>
      </c>
      <c r="AJ6" s="92">
        <f>VLOOKUP($B6,'DCS Data'!$E$2:$AJ$100,MATCH('Daily Report'!AJ$1,'DCS Data'!$E$2:$AJ$2,0),0)</f>
        <v>566.07747287042673</v>
      </c>
      <c r="AK6" s="92">
        <f>VLOOKUP($B6,'DCS Data'!$E$2:$AJ$100,MATCH('Daily Report'!AK$1,'DCS Data'!$E$2:$AJ$2,0),0)</f>
        <v>564.24928183218867</v>
      </c>
      <c r="AL6" s="92">
        <f>VLOOKUP($B6,'DCS Data'!$E$2:$AJ$100,MATCH('Daily Report'!AL$1,'DCS Data'!$E$2:$AJ$2,0),0)</f>
        <v>561.45118619591119</v>
      </c>
      <c r="AM6" s="92">
        <f>VLOOKUP($B6,'DCS Data'!$E$2:$AJ$100,MATCH('Daily Report'!AM$1,'DCS Data'!$E$2:$AJ$2,0),0)</f>
        <v>560.87049521681774</v>
      </c>
      <c r="AN6" s="92">
        <f>VLOOKUP($B6,'DCS Data'!$E$2:$AJ$100,MATCH('Daily Report'!AN$1,'DCS Data'!$E$2:$AJ$2,0),0)</f>
        <v>565.22321752696553</v>
      </c>
      <c r="AO6" s="214"/>
      <c r="AP6" s="214"/>
      <c r="AQ6" s="214"/>
      <c r="AR6" s="214"/>
      <c r="AS6" s="214"/>
      <c r="AT6" s="214"/>
      <c r="AU6" s="214"/>
      <c r="AV6" s="214"/>
      <c r="AW6" s="214"/>
      <c r="AX6" s="214"/>
      <c r="AY6" s="214"/>
      <c r="AZ6" s="214"/>
      <c r="BA6" s="214"/>
      <c r="BB6" s="214"/>
      <c r="BC6" s="214"/>
      <c r="BD6" s="214"/>
      <c r="BE6" s="214"/>
      <c r="BF6" s="214"/>
      <c r="BG6" s="214"/>
      <c r="BH6" s="214"/>
      <c r="BI6" s="214"/>
      <c r="BJ6" s="214"/>
      <c r="BK6" s="214"/>
      <c r="BL6" s="214"/>
      <c r="BM6" s="214"/>
      <c r="BN6" s="214"/>
      <c r="BO6" s="214"/>
      <c r="BP6" s="214"/>
      <c r="BQ6" s="214"/>
      <c r="BR6" s="214"/>
      <c r="BS6" s="214"/>
      <c r="BT6" s="214"/>
      <c r="BU6" s="214"/>
      <c r="BV6" s="214"/>
      <c r="BW6" s="214"/>
      <c r="BX6" s="214"/>
      <c r="BY6" s="214"/>
      <c r="BZ6" s="214"/>
      <c r="CA6" s="214"/>
      <c r="CB6" s="214"/>
      <c r="CC6" s="214"/>
      <c r="CD6" s="214"/>
      <c r="CE6" s="214"/>
      <c r="CF6" s="214"/>
      <c r="CG6" s="214"/>
      <c r="CH6" s="214"/>
      <c r="CI6" s="214"/>
      <c r="CJ6" s="214"/>
      <c r="CK6" s="214"/>
      <c r="CL6" s="214"/>
      <c r="CM6" s="214"/>
      <c r="CN6" s="214"/>
      <c r="CO6" s="214"/>
      <c r="CP6" s="214"/>
      <c r="CQ6" s="214"/>
      <c r="CR6" s="214"/>
      <c r="CS6" s="214"/>
      <c r="CT6" s="214"/>
      <c r="CU6" s="214"/>
      <c r="CV6" s="214"/>
      <c r="CW6" s="214"/>
      <c r="CX6" s="214"/>
      <c r="CY6" s="214"/>
      <c r="CZ6" s="214"/>
      <c r="DA6" s="214"/>
      <c r="DB6" s="214"/>
      <c r="DC6" s="214"/>
      <c r="DD6" s="214"/>
      <c r="DE6" s="214"/>
      <c r="DF6" s="214"/>
      <c r="DG6" s="214"/>
      <c r="DH6" s="214"/>
      <c r="DI6" s="214"/>
      <c r="DJ6" s="214"/>
      <c r="DK6" s="214"/>
      <c r="DL6" s="214"/>
      <c r="DM6" s="214"/>
      <c r="DN6" s="214"/>
      <c r="DO6" s="214"/>
      <c r="DP6" s="214"/>
      <c r="DQ6" s="214"/>
      <c r="DR6" s="214"/>
      <c r="DS6" s="214"/>
      <c r="DT6" s="214"/>
      <c r="DU6" s="214"/>
      <c r="DV6" s="214"/>
      <c r="DW6" s="214"/>
      <c r="DX6" s="214"/>
      <c r="DY6" s="214"/>
      <c r="DZ6" s="214"/>
      <c r="EA6" s="214"/>
      <c r="EB6" s="214"/>
      <c r="EC6" s="214"/>
      <c r="ED6" s="214"/>
      <c r="EE6" s="214"/>
      <c r="EF6" s="214"/>
      <c r="EG6" s="214"/>
      <c r="EH6" s="214"/>
      <c r="EI6" s="214"/>
      <c r="EJ6" s="214"/>
      <c r="EK6" s="214"/>
      <c r="EL6" s="214"/>
      <c r="EM6" s="214"/>
      <c r="EN6" s="214"/>
      <c r="EO6" s="214"/>
      <c r="EP6" s="214"/>
      <c r="EQ6" s="214"/>
      <c r="ER6" s="214"/>
      <c r="ES6" s="214"/>
      <c r="ET6" s="214"/>
      <c r="EU6" s="214"/>
      <c r="EV6" s="214"/>
      <c r="EW6" s="214"/>
      <c r="EX6" s="214"/>
      <c r="EY6" s="214"/>
      <c r="EZ6" s="214"/>
      <c r="FA6" s="214"/>
      <c r="FB6" s="214"/>
      <c r="FC6" s="214"/>
      <c r="FD6" s="214"/>
      <c r="FE6" s="214"/>
      <c r="FF6" s="214"/>
      <c r="FG6" s="214"/>
      <c r="FH6" s="214"/>
      <c r="FI6" s="214"/>
      <c r="FJ6" s="214"/>
      <c r="FK6" s="214"/>
      <c r="FL6" s="214"/>
      <c r="FM6" s="214"/>
      <c r="FN6" s="214"/>
      <c r="FO6" s="214"/>
      <c r="FP6" s="214"/>
      <c r="FQ6" s="214"/>
      <c r="FR6" s="214"/>
      <c r="FS6" s="214"/>
      <c r="FT6" s="214"/>
      <c r="FU6" s="214"/>
      <c r="FV6" s="214"/>
      <c r="FW6" s="214"/>
      <c r="FX6" s="214"/>
      <c r="FY6" s="214"/>
      <c r="FZ6" s="214"/>
      <c r="GA6" s="214"/>
      <c r="GB6" s="214"/>
      <c r="GC6" s="214"/>
      <c r="GD6" s="214"/>
      <c r="GE6" s="214"/>
      <c r="GF6" s="214"/>
      <c r="GG6" s="214"/>
      <c r="GH6" s="214"/>
      <c r="GI6" s="214"/>
      <c r="GJ6" s="214"/>
      <c r="GK6" s="214"/>
      <c r="GL6" s="214"/>
      <c r="GM6" s="214"/>
      <c r="GN6" s="214"/>
      <c r="GO6" s="214"/>
      <c r="GP6" s="214"/>
      <c r="GQ6" s="214"/>
      <c r="GR6" s="214"/>
      <c r="GS6" s="214"/>
      <c r="GT6" s="214"/>
      <c r="GU6" s="214"/>
      <c r="GV6" s="214"/>
      <c r="GW6" s="214"/>
      <c r="GX6" s="214"/>
      <c r="GY6" s="214"/>
      <c r="GZ6" s="214"/>
      <c r="HA6" s="214"/>
      <c r="HB6" s="214"/>
      <c r="HC6" s="214"/>
      <c r="HD6" s="214"/>
      <c r="HE6" s="214"/>
      <c r="HF6" s="214"/>
      <c r="HG6" s="214"/>
      <c r="HH6" s="214"/>
      <c r="HI6" s="214"/>
      <c r="HJ6" s="214"/>
      <c r="HK6" s="214"/>
      <c r="HL6" s="214"/>
      <c r="HM6" s="214"/>
      <c r="HN6" s="214"/>
      <c r="HO6" s="214"/>
      <c r="HP6" s="214"/>
      <c r="HQ6" s="214"/>
      <c r="HR6" s="214"/>
      <c r="HS6" s="214"/>
      <c r="HT6" s="214"/>
      <c r="HU6" s="214"/>
      <c r="HV6" s="214"/>
      <c r="HW6" s="214"/>
      <c r="HX6" s="214"/>
      <c r="HY6" s="214"/>
      <c r="HZ6" s="214"/>
      <c r="IA6" s="214"/>
      <c r="IB6" s="214"/>
      <c r="IC6" s="214"/>
      <c r="ID6" s="214"/>
      <c r="IE6" s="214"/>
      <c r="IF6" s="214"/>
      <c r="IG6" s="214"/>
      <c r="IH6" s="214"/>
      <c r="II6" s="214"/>
      <c r="IJ6" s="214"/>
      <c r="IK6" s="214"/>
      <c r="IL6" s="214"/>
      <c r="IM6" s="214"/>
      <c r="IN6" s="214"/>
      <c r="IO6" s="214"/>
      <c r="IP6" s="214"/>
      <c r="IQ6" s="214"/>
      <c r="IR6" s="214"/>
      <c r="IS6" s="214"/>
      <c r="IT6" s="214"/>
      <c r="IU6" s="214"/>
      <c r="IV6" s="214"/>
      <c r="IW6" s="214"/>
      <c r="IX6" s="214"/>
      <c r="IY6" s="214"/>
      <c r="IZ6" s="214"/>
      <c r="JA6" s="214"/>
      <c r="JB6" s="214"/>
      <c r="JC6" s="214"/>
      <c r="JD6" s="214"/>
      <c r="JE6" s="214"/>
      <c r="JF6" s="214"/>
      <c r="JG6" s="214"/>
      <c r="JH6" s="214"/>
      <c r="JI6" s="214"/>
      <c r="JJ6" s="214"/>
      <c r="JK6" s="214"/>
      <c r="JL6" s="214"/>
      <c r="JM6" s="214"/>
      <c r="JN6" s="214"/>
      <c r="JO6" s="214"/>
      <c r="JP6" s="214"/>
      <c r="JQ6" s="214"/>
      <c r="JR6" s="214"/>
      <c r="JS6" s="214"/>
      <c r="JT6" s="214"/>
      <c r="JU6" s="214"/>
      <c r="JV6" s="214"/>
      <c r="JW6" s="214"/>
      <c r="JX6" s="214"/>
      <c r="JY6" s="214"/>
      <c r="JZ6" s="214"/>
      <c r="KA6" s="214"/>
      <c r="KB6" s="214"/>
      <c r="KC6" s="214"/>
      <c r="KD6" s="214"/>
      <c r="KE6" s="214"/>
      <c r="KF6" s="214"/>
      <c r="KG6" s="214"/>
      <c r="KH6" s="214"/>
      <c r="KI6" s="214"/>
      <c r="KJ6" s="214"/>
      <c r="KK6" s="214"/>
      <c r="KL6" s="214"/>
      <c r="KM6" s="214"/>
      <c r="KN6" s="214"/>
      <c r="KO6" s="214"/>
      <c r="KP6" s="214"/>
      <c r="KQ6" s="214"/>
      <c r="KR6" s="214"/>
      <c r="KS6" s="214"/>
      <c r="KT6" s="214"/>
      <c r="KU6" s="214"/>
      <c r="KV6" s="214"/>
      <c r="KW6" s="214"/>
      <c r="KX6" s="214"/>
      <c r="KY6" s="214"/>
      <c r="KZ6" s="214"/>
      <c r="LA6" s="214"/>
      <c r="LB6" s="214"/>
      <c r="LC6" s="214"/>
      <c r="LD6" s="214"/>
      <c r="LE6" s="214"/>
      <c r="LF6" s="214"/>
      <c r="LG6" s="214"/>
      <c r="LH6" s="214"/>
      <c r="LI6" s="214"/>
      <c r="LJ6" s="214"/>
      <c r="LK6" s="214"/>
      <c r="LL6" s="214"/>
      <c r="LM6" s="214"/>
      <c r="LN6" s="214"/>
      <c r="LO6" s="214"/>
      <c r="LP6" s="214"/>
      <c r="LQ6" s="214"/>
      <c r="LR6" s="214"/>
      <c r="LS6" s="214"/>
      <c r="LT6" s="214"/>
      <c r="LU6" s="214"/>
      <c r="LV6" s="214"/>
      <c r="LW6" s="214"/>
      <c r="LX6" s="214"/>
      <c r="LY6" s="214"/>
      <c r="LZ6" s="214"/>
      <c r="MA6" s="214"/>
      <c r="MB6" s="214"/>
      <c r="MC6" s="214"/>
      <c r="MD6" s="214"/>
      <c r="ME6" s="214"/>
      <c r="MF6" s="214"/>
      <c r="MG6" s="214"/>
      <c r="MH6" s="214"/>
      <c r="MI6" s="214"/>
      <c r="MJ6" s="214"/>
      <c r="MK6" s="214"/>
      <c r="ML6" s="214"/>
      <c r="MM6" s="214"/>
      <c r="MN6" s="214"/>
      <c r="MO6" s="214"/>
      <c r="MP6" s="214"/>
      <c r="MQ6" s="214"/>
      <c r="MR6" s="214"/>
      <c r="MS6" s="214"/>
      <c r="MT6" s="214"/>
      <c r="MU6" s="214"/>
      <c r="MV6" s="214"/>
      <c r="MW6" s="214"/>
      <c r="MX6" s="214"/>
      <c r="MY6" s="214"/>
      <c r="MZ6" s="214"/>
      <c r="NA6" s="214"/>
      <c r="NB6" s="214"/>
      <c r="NC6" s="214"/>
      <c r="ND6" s="214"/>
      <c r="NE6" s="214"/>
      <c r="NF6" s="214"/>
      <c r="NG6" s="214"/>
      <c r="NH6" s="214"/>
      <c r="NI6" s="214"/>
      <c r="NJ6" s="214"/>
      <c r="NK6" s="214"/>
      <c r="NL6" s="214"/>
      <c r="NM6" s="214"/>
      <c r="NN6" s="214"/>
      <c r="NO6" s="214"/>
      <c r="NP6" s="214"/>
      <c r="NQ6" s="214"/>
      <c r="NR6" s="214"/>
      <c r="NS6" s="214"/>
      <c r="NT6" s="214"/>
      <c r="NU6" s="214"/>
      <c r="NV6" s="214"/>
      <c r="NW6" s="214"/>
      <c r="NX6" s="214"/>
      <c r="NY6" s="214"/>
      <c r="NZ6" s="214"/>
      <c r="OA6" s="214"/>
      <c r="OB6" s="214"/>
      <c r="OC6" s="214"/>
      <c r="OD6" s="214"/>
      <c r="OE6" s="214"/>
      <c r="OF6" s="214"/>
      <c r="OG6" s="214"/>
      <c r="OH6" s="214"/>
      <c r="OI6" s="214"/>
      <c r="OJ6" s="214"/>
      <c r="OK6" s="214"/>
      <c r="OL6" s="214"/>
      <c r="OM6" s="214"/>
      <c r="ON6" s="214"/>
      <c r="OO6" s="214"/>
      <c r="OP6" s="214"/>
      <c r="OQ6" s="214"/>
      <c r="OR6" s="214"/>
      <c r="OS6" s="214"/>
      <c r="OT6" s="214"/>
      <c r="OU6" s="214"/>
      <c r="OV6" s="214"/>
      <c r="OW6" s="214"/>
      <c r="OX6" s="214"/>
      <c r="OY6" s="214"/>
      <c r="OZ6" s="214"/>
      <c r="PA6" s="214"/>
      <c r="PB6" s="214"/>
      <c r="PC6" s="214"/>
      <c r="PD6" s="214"/>
      <c r="PE6" s="214"/>
      <c r="PF6" s="214"/>
      <c r="PG6" s="214"/>
      <c r="PH6" s="214"/>
      <c r="PI6" s="214"/>
      <c r="PJ6" s="214"/>
      <c r="PK6" s="214"/>
      <c r="PL6" s="214"/>
      <c r="PM6" s="214"/>
      <c r="PN6" s="214"/>
      <c r="PO6" s="214"/>
      <c r="PP6" s="214"/>
      <c r="PQ6" s="214"/>
      <c r="PR6" s="214"/>
      <c r="PS6" s="214"/>
      <c r="PT6" s="214"/>
      <c r="PU6" s="214"/>
      <c r="PV6" s="214"/>
      <c r="PW6" s="214"/>
      <c r="PX6" s="214"/>
      <c r="PY6" s="214"/>
      <c r="PZ6" s="214"/>
      <c r="QA6" s="214"/>
      <c r="QB6" s="214"/>
      <c r="QC6" s="214"/>
      <c r="QD6" s="214"/>
      <c r="QE6" s="214"/>
      <c r="QF6" s="214"/>
      <c r="QG6" s="214"/>
      <c r="QH6" s="214"/>
      <c r="QI6" s="214"/>
      <c r="QJ6" s="214"/>
      <c r="QK6" s="214"/>
      <c r="QL6" s="214"/>
      <c r="QM6" s="214"/>
      <c r="QN6" s="214"/>
      <c r="QO6" s="214"/>
      <c r="QP6" s="214"/>
      <c r="QQ6" s="214"/>
      <c r="QR6" s="214"/>
      <c r="QS6" s="214"/>
      <c r="QT6" s="214"/>
      <c r="QU6" s="214"/>
      <c r="QV6" s="214"/>
      <c r="QW6" s="214"/>
      <c r="QX6" s="214"/>
      <c r="QY6" s="214"/>
      <c r="QZ6" s="214"/>
      <c r="RA6" s="214"/>
      <c r="RB6" s="214"/>
      <c r="RC6" s="214"/>
      <c r="RD6" s="214"/>
      <c r="RE6" s="214"/>
      <c r="RF6" s="214"/>
      <c r="RG6" s="214"/>
      <c r="RH6" s="214"/>
      <c r="RI6" s="214"/>
      <c r="RJ6" s="214"/>
      <c r="RK6" s="214"/>
      <c r="RL6" s="214"/>
      <c r="RM6" s="214"/>
      <c r="RN6" s="214"/>
      <c r="RO6" s="214"/>
      <c r="RP6" s="214"/>
      <c r="RQ6" s="214"/>
      <c r="RR6" s="214"/>
      <c r="RS6" s="214"/>
      <c r="RT6" s="214"/>
      <c r="RU6" s="214"/>
      <c r="RV6" s="214"/>
      <c r="RW6" s="214"/>
      <c r="RX6" s="214"/>
      <c r="RY6" s="214"/>
      <c r="RZ6" s="214"/>
      <c r="SA6" s="214"/>
      <c r="SB6" s="214"/>
      <c r="SC6" s="214"/>
      <c r="SD6" s="214"/>
      <c r="SE6" s="214"/>
      <c r="SF6" s="214"/>
      <c r="SG6" s="214"/>
      <c r="SH6" s="214"/>
      <c r="SI6" s="214"/>
      <c r="SJ6" s="214"/>
      <c r="SK6" s="214"/>
      <c r="SL6" s="214"/>
      <c r="SM6" s="214"/>
      <c r="SN6" s="214"/>
      <c r="SO6" s="214"/>
      <c r="SP6" s="214"/>
      <c r="SQ6" s="214"/>
      <c r="SR6" s="214"/>
      <c r="SS6" s="214"/>
      <c r="ST6" s="214"/>
      <c r="SU6" s="214"/>
      <c r="SV6" s="214"/>
      <c r="SW6" s="214"/>
      <c r="SX6" s="214"/>
      <c r="SY6" s="214"/>
      <c r="SZ6" s="214"/>
      <c r="TA6" s="214"/>
      <c r="TB6" s="214"/>
      <c r="TC6" s="214"/>
      <c r="TD6" s="214"/>
      <c r="TE6" s="214"/>
      <c r="TF6" s="214"/>
      <c r="TG6" s="214"/>
      <c r="TH6" s="214"/>
      <c r="TI6" s="214"/>
      <c r="TJ6" s="214"/>
      <c r="TK6" s="214"/>
      <c r="TL6" s="214"/>
      <c r="TM6" s="214"/>
      <c r="TN6" s="214"/>
      <c r="TO6" s="214"/>
      <c r="TP6" s="214"/>
      <c r="TQ6" s="214"/>
      <c r="TR6" s="214"/>
      <c r="TS6" s="214"/>
      <c r="TT6" s="214"/>
      <c r="TU6" s="214"/>
      <c r="TV6" s="214"/>
      <c r="TW6" s="214"/>
      <c r="TX6" s="214"/>
      <c r="TY6" s="214"/>
      <c r="TZ6" s="214"/>
      <c r="UA6" s="214"/>
      <c r="UB6" s="214"/>
      <c r="UC6" s="214"/>
      <c r="UD6" s="214"/>
      <c r="UE6" s="214"/>
      <c r="UF6" s="214"/>
      <c r="UG6" s="214"/>
      <c r="UH6" s="214"/>
      <c r="UI6" s="214"/>
      <c r="UJ6" s="214"/>
      <c r="UK6" s="214"/>
      <c r="UL6" s="214"/>
      <c r="UM6" s="214"/>
      <c r="UN6" s="214"/>
      <c r="UO6" s="214"/>
      <c r="UP6" s="214"/>
      <c r="UQ6" s="214"/>
      <c r="UR6" s="214"/>
      <c r="US6" s="214"/>
      <c r="UT6" s="214"/>
      <c r="UU6" s="214"/>
      <c r="UV6" s="214"/>
      <c r="UW6" s="214"/>
      <c r="UX6" s="214"/>
      <c r="UY6" s="214"/>
      <c r="UZ6" s="214"/>
      <c r="VA6" s="214"/>
      <c r="VB6" s="214"/>
      <c r="VC6" s="214"/>
      <c r="VD6" s="214"/>
      <c r="VE6" s="214"/>
      <c r="VF6" s="214"/>
      <c r="VG6" s="214"/>
      <c r="VH6" s="214"/>
      <c r="VI6" s="214"/>
      <c r="VJ6" s="214"/>
      <c r="VK6" s="214"/>
      <c r="VL6" s="214"/>
      <c r="VM6" s="214"/>
      <c r="VN6" s="214"/>
      <c r="VO6" s="214"/>
      <c r="VP6" s="214"/>
      <c r="VQ6" s="214"/>
      <c r="VR6" s="214"/>
      <c r="VS6" s="214"/>
      <c r="VT6" s="214"/>
      <c r="VU6" s="214"/>
      <c r="VV6" s="214"/>
      <c r="VW6" s="214"/>
      <c r="VX6" s="214"/>
      <c r="VY6" s="214"/>
      <c r="VZ6" s="214"/>
      <c r="WA6" s="214"/>
      <c r="WB6" s="214"/>
      <c r="WC6" s="214"/>
      <c r="WD6" s="214"/>
      <c r="WE6" s="214"/>
      <c r="WF6" s="214"/>
      <c r="WG6" s="214"/>
      <c r="WH6" s="214"/>
      <c r="WI6" s="214"/>
      <c r="WJ6" s="214"/>
      <c r="WK6" s="214"/>
      <c r="WL6" s="214"/>
      <c r="WM6" s="214"/>
      <c r="WN6" s="214"/>
      <c r="WO6" s="214"/>
      <c r="WP6" s="214"/>
      <c r="WQ6" s="214"/>
      <c r="WR6" s="214"/>
      <c r="WS6" s="214"/>
      <c r="WT6" s="214"/>
      <c r="WU6" s="214"/>
      <c r="WV6" s="214"/>
      <c r="WW6" s="214"/>
      <c r="WX6" s="214"/>
      <c r="WY6" s="214"/>
      <c r="WZ6" s="214"/>
      <c r="XA6" s="214"/>
      <c r="XB6" s="214"/>
      <c r="XC6" s="214"/>
      <c r="XD6" s="214"/>
      <c r="XE6" s="214"/>
      <c r="XF6" s="214"/>
      <c r="XG6" s="214"/>
      <c r="XH6" s="214"/>
      <c r="XI6" s="214"/>
      <c r="XJ6" s="214"/>
      <c r="XK6" s="214"/>
      <c r="XL6" s="214"/>
      <c r="XM6" s="214"/>
      <c r="XN6" s="214"/>
      <c r="XO6" s="214"/>
      <c r="XP6" s="214"/>
      <c r="XQ6" s="214"/>
      <c r="XR6" s="214"/>
      <c r="XS6" s="214"/>
      <c r="XT6" s="214"/>
      <c r="XU6" s="214"/>
      <c r="XV6" s="214"/>
      <c r="XW6" s="214"/>
      <c r="XX6" s="214"/>
      <c r="XY6" s="214"/>
      <c r="XZ6" s="214"/>
      <c r="YA6" s="214"/>
      <c r="YB6" s="214"/>
      <c r="YC6" s="214"/>
      <c r="YD6" s="214"/>
      <c r="YE6" s="214"/>
      <c r="YF6" s="214"/>
      <c r="YG6" s="214"/>
      <c r="YH6" s="214"/>
      <c r="YI6" s="214"/>
      <c r="YJ6" s="214"/>
      <c r="YK6" s="214"/>
      <c r="YL6" s="214"/>
      <c r="YM6" s="214"/>
      <c r="YN6" s="214"/>
      <c r="YO6" s="214"/>
      <c r="YP6" s="214"/>
      <c r="YQ6" s="214"/>
      <c r="YR6" s="214"/>
      <c r="YS6" s="214"/>
      <c r="YT6" s="214"/>
      <c r="YU6" s="214"/>
      <c r="YV6" s="214"/>
      <c r="YW6" s="214"/>
      <c r="YX6" s="214"/>
      <c r="YY6" s="214"/>
      <c r="YZ6" s="214"/>
      <c r="ZA6" s="214"/>
      <c r="ZB6" s="214"/>
      <c r="ZC6" s="214"/>
      <c r="ZD6" s="214"/>
      <c r="ZE6" s="214"/>
      <c r="ZF6" s="214"/>
      <c r="ZG6" s="214"/>
      <c r="ZH6" s="214"/>
      <c r="ZI6" s="214"/>
      <c r="ZJ6" s="214"/>
      <c r="ZK6" s="214"/>
      <c r="ZL6" s="214"/>
      <c r="ZM6" s="214"/>
      <c r="ZN6" s="214"/>
      <c r="ZO6" s="214"/>
      <c r="ZP6" s="214"/>
      <c r="ZQ6" s="214"/>
      <c r="ZR6" s="214"/>
      <c r="ZS6" s="214"/>
      <c r="ZT6" s="214"/>
      <c r="ZU6" s="214"/>
      <c r="ZV6" s="214"/>
      <c r="ZW6" s="214"/>
      <c r="ZX6" s="214"/>
      <c r="ZY6" s="214"/>
      <c r="ZZ6" s="214"/>
      <c r="AAA6" s="214"/>
      <c r="AAB6" s="214"/>
      <c r="AAC6" s="214"/>
      <c r="AAD6" s="214"/>
      <c r="AAE6" s="214"/>
      <c r="AAF6" s="214"/>
      <c r="AAG6" s="214"/>
      <c r="AAH6" s="214"/>
      <c r="AAI6" s="214"/>
      <c r="AAJ6" s="214"/>
      <c r="AAK6" s="214"/>
      <c r="AAL6" s="214"/>
      <c r="AAM6" s="214"/>
      <c r="AAN6" s="214"/>
      <c r="AAO6" s="214"/>
      <c r="AAP6" s="214"/>
      <c r="AAQ6" s="214"/>
      <c r="AAR6" s="214"/>
      <c r="AAS6" s="214"/>
      <c r="AAT6" s="214"/>
      <c r="AAU6" s="214"/>
      <c r="AAV6" s="214"/>
      <c r="AAW6" s="214"/>
      <c r="AAX6" s="214"/>
      <c r="AAY6" s="214"/>
      <c r="AAZ6" s="214"/>
      <c r="ABA6" s="214"/>
      <c r="ABB6" s="214"/>
      <c r="ABC6" s="214"/>
      <c r="ABD6" s="214"/>
      <c r="ABE6" s="214"/>
      <c r="ABF6" s="214"/>
      <c r="ABG6" s="214"/>
      <c r="ABH6" s="214"/>
      <c r="ABI6" s="214"/>
      <c r="ABJ6" s="214"/>
      <c r="ABK6" s="214"/>
      <c r="ABL6" s="214"/>
      <c r="ABM6" s="214"/>
      <c r="ABN6" s="214"/>
      <c r="ABO6" s="214"/>
      <c r="ABP6" s="214"/>
      <c r="ABQ6" s="214"/>
      <c r="ABR6" s="214"/>
      <c r="ABS6" s="214"/>
      <c r="ABT6" s="214"/>
      <c r="ABU6" s="214"/>
      <c r="ABV6" s="214"/>
      <c r="ABW6" s="214"/>
      <c r="ABX6" s="214"/>
      <c r="ABY6" s="214"/>
      <c r="ABZ6" s="214"/>
      <c r="ACA6" s="214"/>
      <c r="ACB6" s="214"/>
      <c r="ACC6" s="214"/>
      <c r="ACD6" s="214"/>
      <c r="ACE6" s="214"/>
      <c r="ACF6" s="214"/>
      <c r="ACG6" s="214"/>
      <c r="ACH6" s="214"/>
      <c r="ACI6" s="214"/>
      <c r="ACJ6" s="214"/>
      <c r="ACK6" s="214"/>
      <c r="ACL6" s="214"/>
      <c r="ACM6" s="214"/>
      <c r="ACN6" s="214"/>
      <c r="ACO6" s="214"/>
      <c r="ACP6" s="214"/>
      <c r="ACQ6" s="214"/>
      <c r="ACR6" s="214"/>
      <c r="ACS6" s="214"/>
      <c r="ACT6" s="214"/>
      <c r="ACU6" s="214"/>
      <c r="ACV6" s="214"/>
      <c r="ACW6" s="214"/>
      <c r="ACX6" s="214"/>
      <c r="ACY6" s="214"/>
      <c r="ACZ6" s="214"/>
      <c r="ADA6" s="214"/>
      <c r="ADB6" s="214"/>
      <c r="ADC6" s="214"/>
      <c r="ADD6" s="214"/>
      <c r="ADE6" s="214"/>
      <c r="ADF6" s="214"/>
      <c r="ADG6" s="214"/>
      <c r="ADH6" s="214"/>
      <c r="ADI6" s="214"/>
      <c r="ADJ6" s="214"/>
      <c r="ADK6" s="214"/>
      <c r="ADL6" s="214"/>
      <c r="ADM6" s="214"/>
      <c r="ADN6" s="214"/>
      <c r="ADO6" s="214"/>
      <c r="ADP6" s="214"/>
      <c r="ADQ6" s="214"/>
      <c r="ADR6" s="214"/>
      <c r="ADS6" s="214"/>
      <c r="ADT6" s="214"/>
      <c r="ADU6" s="214"/>
      <c r="ADV6" s="214"/>
      <c r="ADW6" s="214"/>
      <c r="ADX6" s="214"/>
      <c r="ADY6" s="214"/>
      <c r="ADZ6" s="214"/>
      <c r="AEA6" s="214"/>
      <c r="AEB6" s="214"/>
      <c r="AEC6" s="214"/>
      <c r="AED6" s="214"/>
      <c r="AEE6" s="214"/>
      <c r="AEF6" s="214"/>
      <c r="AEG6" s="214"/>
      <c r="AEH6" s="214"/>
      <c r="AEI6" s="214"/>
      <c r="AEJ6" s="214"/>
      <c r="AEK6" s="214"/>
      <c r="AEL6" s="214"/>
      <c r="AEM6" s="214"/>
      <c r="AEN6" s="214"/>
      <c r="AEO6" s="214"/>
      <c r="AEP6" s="214"/>
      <c r="AEQ6" s="214"/>
      <c r="AER6" s="214"/>
      <c r="AES6" s="214"/>
      <c r="AET6" s="214"/>
      <c r="AEU6" s="214"/>
      <c r="AEV6" s="214"/>
      <c r="AEW6" s="214"/>
      <c r="AEX6" s="214"/>
      <c r="AEY6" s="214"/>
      <c r="AEZ6" s="214"/>
      <c r="AFA6" s="214"/>
      <c r="AFB6" s="214"/>
      <c r="AFC6" s="214"/>
      <c r="AFD6" s="214"/>
      <c r="AFE6" s="214"/>
      <c r="AFF6" s="214"/>
      <c r="AFG6" s="214"/>
      <c r="AFH6" s="214"/>
      <c r="AFI6" s="214"/>
      <c r="AFJ6" s="214"/>
      <c r="AFK6" s="214"/>
      <c r="AFL6" s="214"/>
      <c r="AFM6" s="214"/>
      <c r="AFN6" s="214"/>
      <c r="AFO6" s="214"/>
      <c r="AFP6" s="214"/>
      <c r="AFQ6" s="214"/>
      <c r="AFR6" s="214"/>
      <c r="AFS6" s="214"/>
      <c r="AFT6" s="214"/>
      <c r="AFU6" s="214"/>
      <c r="AFV6" s="214"/>
      <c r="AFW6" s="214"/>
      <c r="AFX6" s="214"/>
      <c r="AFY6" s="214"/>
      <c r="AFZ6" s="214"/>
      <c r="AGA6" s="214"/>
      <c r="AGB6" s="214"/>
      <c r="AGC6" s="214"/>
      <c r="AGD6" s="214"/>
      <c r="AGE6" s="214"/>
      <c r="AGF6" s="214"/>
      <c r="AGG6" s="214"/>
      <c r="AGH6" s="214"/>
      <c r="AGI6" s="214"/>
      <c r="AGJ6" s="214"/>
      <c r="AGK6" s="214"/>
      <c r="AGL6" s="214"/>
      <c r="AGM6" s="214"/>
      <c r="AGN6" s="214"/>
      <c r="AGO6" s="214"/>
      <c r="AGP6" s="214"/>
      <c r="AGQ6" s="214"/>
      <c r="AGR6" s="214"/>
      <c r="AGS6" s="214"/>
      <c r="AGT6" s="214"/>
      <c r="AGU6" s="214"/>
      <c r="AGV6" s="214"/>
      <c r="AGW6" s="214"/>
      <c r="AGX6" s="214"/>
      <c r="AGY6" s="214"/>
      <c r="AGZ6" s="214"/>
      <c r="AHA6" s="214"/>
      <c r="AHB6" s="214"/>
      <c r="AHC6" s="214"/>
      <c r="AHD6" s="214"/>
      <c r="AHE6" s="214"/>
      <c r="AHF6" s="214"/>
      <c r="AHG6" s="214"/>
      <c r="AHH6" s="214"/>
      <c r="AHI6" s="214"/>
      <c r="AHJ6" s="214"/>
      <c r="AHK6" s="214"/>
      <c r="AHL6" s="214"/>
      <c r="AHM6" s="214"/>
      <c r="AHN6" s="214"/>
      <c r="AHO6" s="214"/>
      <c r="AHP6" s="214"/>
      <c r="AHQ6" s="214"/>
      <c r="AHR6" s="214"/>
      <c r="AHS6" s="214"/>
      <c r="AHT6" s="214"/>
      <c r="AHU6" s="214"/>
      <c r="AHV6" s="214"/>
      <c r="AHW6" s="214"/>
      <c r="AHX6" s="214"/>
      <c r="AHY6" s="214"/>
      <c r="AHZ6" s="214"/>
      <c r="AIA6" s="214"/>
      <c r="AIB6" s="214"/>
      <c r="AIC6" s="214"/>
      <c r="AID6" s="214"/>
      <c r="AIE6" s="214"/>
      <c r="AIF6" s="214"/>
      <c r="AIG6" s="214"/>
      <c r="AIH6" s="214"/>
      <c r="AII6" s="214"/>
      <c r="AIJ6" s="214"/>
      <c r="AIK6" s="214"/>
      <c r="AIL6" s="214"/>
      <c r="AIM6" s="214"/>
      <c r="AIN6" s="214"/>
      <c r="AIO6" s="214"/>
      <c r="AIP6" s="214"/>
      <c r="AIQ6" s="214"/>
      <c r="AIR6" s="214"/>
      <c r="AIS6" s="214"/>
      <c r="AIT6" s="214"/>
      <c r="AIU6" s="214"/>
      <c r="AIV6" s="214"/>
      <c r="AIW6" s="214"/>
      <c r="AIX6" s="214"/>
      <c r="AIY6" s="214"/>
      <c r="AIZ6" s="214"/>
      <c r="AJA6" s="214"/>
      <c r="AJB6" s="214"/>
      <c r="AJC6" s="214"/>
      <c r="AJD6" s="214"/>
      <c r="AJE6" s="214"/>
      <c r="AJF6" s="214"/>
      <c r="AJG6" s="214"/>
      <c r="AJH6" s="214"/>
      <c r="AJI6" s="214"/>
      <c r="AJJ6" s="214"/>
      <c r="AJK6" s="214"/>
      <c r="AJL6" s="214"/>
      <c r="AJM6" s="214"/>
      <c r="AJN6" s="214"/>
      <c r="AJO6" s="214"/>
      <c r="AJP6" s="214"/>
      <c r="AJQ6" s="214"/>
      <c r="AJR6" s="214"/>
      <c r="AJS6" s="214"/>
      <c r="AJT6" s="214"/>
      <c r="AJU6" s="214"/>
      <c r="AJV6" s="214"/>
      <c r="AJW6" s="214"/>
      <c r="AJX6" s="214"/>
      <c r="AJY6" s="214"/>
      <c r="AJZ6" s="214"/>
      <c r="AKA6" s="214"/>
      <c r="AKB6" s="214"/>
      <c r="AKC6" s="214"/>
      <c r="AKD6" s="214"/>
      <c r="AKE6" s="214"/>
      <c r="AKF6" s="214"/>
      <c r="AKG6" s="214"/>
      <c r="AKH6" s="214"/>
      <c r="AKI6" s="214"/>
      <c r="AKJ6" s="214"/>
      <c r="AKK6" s="214"/>
      <c r="AKL6" s="214"/>
      <c r="AKM6" s="214"/>
      <c r="AKN6" s="214"/>
      <c r="AKO6" s="214"/>
      <c r="AKP6" s="214"/>
      <c r="AKQ6" s="214"/>
      <c r="AKR6" s="214"/>
      <c r="AKS6" s="214"/>
      <c r="AKT6" s="214"/>
      <c r="AKU6" s="214"/>
      <c r="AKV6" s="214"/>
      <c r="AKW6" s="214"/>
      <c r="AKX6" s="214"/>
      <c r="AKY6" s="214"/>
      <c r="AKZ6" s="214"/>
      <c r="ALA6" s="214"/>
      <c r="ALB6" s="214"/>
      <c r="ALC6" s="214"/>
      <c r="ALD6" s="214"/>
      <c r="ALE6" s="214"/>
      <c r="ALF6" s="214"/>
      <c r="ALG6" s="214"/>
      <c r="ALH6" s="214"/>
      <c r="ALI6" s="214"/>
      <c r="ALJ6" s="214"/>
      <c r="ALK6" s="214"/>
      <c r="ALL6" s="214"/>
      <c r="ALM6" s="214"/>
      <c r="ALN6" s="214"/>
      <c r="ALO6" s="214"/>
      <c r="ALP6" s="214"/>
      <c r="ALQ6" s="214"/>
      <c r="ALR6" s="214"/>
      <c r="ALS6" s="214"/>
      <c r="ALT6" s="214"/>
      <c r="ALU6" s="214"/>
      <c r="ALV6" s="214"/>
      <c r="ALW6" s="214"/>
      <c r="ALX6" s="214"/>
      <c r="ALY6" s="214"/>
      <c r="ALZ6" s="214"/>
      <c r="AMA6" s="214"/>
      <c r="AMB6" s="214"/>
      <c r="AMC6" s="214"/>
      <c r="AMD6" s="214"/>
      <c r="AME6" s="214"/>
      <c r="AMF6" s="214"/>
      <c r="AMG6" s="214"/>
      <c r="AMH6" s="214"/>
      <c r="AMI6" s="214"/>
      <c r="AMJ6" s="214"/>
      <c r="AMK6" s="214"/>
      <c r="AML6" s="214"/>
      <c r="AMM6" s="214"/>
      <c r="AMN6" s="214"/>
      <c r="AMO6" s="214"/>
      <c r="AMP6" s="214"/>
      <c r="AMQ6" s="214"/>
      <c r="AMR6" s="214"/>
      <c r="AMS6" s="214"/>
      <c r="AMT6" s="214"/>
      <c r="AMU6" s="214"/>
      <c r="AMV6" s="214"/>
      <c r="AMW6" s="214"/>
      <c r="AMX6" s="214"/>
      <c r="AMY6" s="214"/>
      <c r="AMZ6" s="214"/>
      <c r="ANA6" s="214"/>
      <c r="ANB6" s="214"/>
      <c r="ANC6" s="214"/>
      <c r="AND6" s="214"/>
      <c r="ANE6" s="214"/>
      <c r="ANF6" s="214"/>
      <c r="ANG6" s="214"/>
      <c r="ANH6" s="214"/>
      <c r="ANI6" s="214"/>
      <c r="ANJ6" s="214"/>
      <c r="ANK6" s="214"/>
      <c r="ANL6" s="214"/>
      <c r="ANM6" s="214"/>
      <c r="ANN6" s="214"/>
      <c r="ANO6" s="214"/>
      <c r="ANP6" s="214"/>
      <c r="ANQ6" s="214"/>
      <c r="ANR6" s="214"/>
      <c r="ANS6" s="214"/>
      <c r="ANT6" s="214"/>
      <c r="ANU6" s="214"/>
      <c r="ANV6" s="214"/>
      <c r="ANW6" s="214"/>
      <c r="ANX6" s="214"/>
      <c r="ANY6" s="214"/>
      <c r="ANZ6" s="214"/>
      <c r="AOA6" s="214"/>
      <c r="AOB6" s="214"/>
      <c r="AOC6" s="214"/>
      <c r="AOD6" s="214"/>
      <c r="AOE6" s="214"/>
      <c r="AOF6" s="214"/>
      <c r="AOG6" s="214"/>
      <c r="AOH6" s="214"/>
      <c r="AOI6" s="214"/>
      <c r="AOJ6" s="214"/>
      <c r="AOK6" s="214"/>
      <c r="AOL6" s="214"/>
      <c r="AOM6" s="214"/>
      <c r="AON6" s="214"/>
      <c r="AOO6" s="214"/>
      <c r="AOP6" s="214"/>
      <c r="AOQ6" s="214"/>
      <c r="AOR6" s="214"/>
      <c r="AOS6" s="214"/>
      <c r="AOT6" s="214"/>
      <c r="AOU6" s="214"/>
      <c r="AOV6" s="214"/>
      <c r="AOW6" s="214"/>
      <c r="AOX6" s="214"/>
      <c r="AOY6" s="214"/>
      <c r="AOZ6" s="214"/>
      <c r="APA6" s="214"/>
      <c r="APB6" s="214"/>
      <c r="APC6" s="214"/>
      <c r="APD6" s="214"/>
      <c r="APE6" s="214"/>
      <c r="APF6" s="214"/>
      <c r="APG6" s="214"/>
      <c r="APH6" s="214"/>
      <c r="API6" s="214"/>
      <c r="APJ6" s="214"/>
      <c r="APK6" s="214"/>
      <c r="APL6" s="214"/>
      <c r="APM6" s="214"/>
      <c r="APN6" s="214"/>
      <c r="APO6" s="214"/>
      <c r="APP6" s="214"/>
      <c r="APQ6" s="214"/>
      <c r="APR6" s="214"/>
      <c r="APS6" s="214"/>
      <c r="APT6" s="214"/>
      <c r="APU6" s="214"/>
      <c r="APV6" s="214"/>
      <c r="APW6" s="214"/>
      <c r="APX6" s="214"/>
      <c r="APY6" s="214"/>
      <c r="APZ6" s="214"/>
      <c r="AQA6" s="214"/>
      <c r="AQB6" s="214"/>
      <c r="AQC6" s="214"/>
      <c r="AQD6" s="214"/>
      <c r="AQE6" s="214"/>
      <c r="AQF6" s="214"/>
      <c r="AQG6" s="214"/>
      <c r="AQH6" s="214"/>
      <c r="AQI6" s="214"/>
      <c r="AQJ6" s="214"/>
      <c r="AQK6" s="214"/>
      <c r="AQL6" s="214"/>
      <c r="AQM6" s="214"/>
      <c r="AQN6" s="214"/>
      <c r="AQO6" s="214"/>
      <c r="AQP6" s="214"/>
      <c r="AQQ6" s="214"/>
      <c r="AQR6" s="214"/>
      <c r="AQS6" s="214"/>
      <c r="AQT6" s="214"/>
      <c r="AQU6" s="214"/>
      <c r="AQV6" s="214"/>
      <c r="AQW6" s="214"/>
      <c r="AQX6" s="214"/>
      <c r="AQY6" s="214"/>
      <c r="AQZ6" s="214"/>
      <c r="ARA6" s="214"/>
      <c r="ARB6" s="214"/>
      <c r="ARC6" s="214"/>
      <c r="ARD6" s="214"/>
      <c r="ARE6" s="214"/>
      <c r="ARF6" s="214"/>
      <c r="ARG6" s="214"/>
      <c r="ARH6" s="214"/>
      <c r="ARI6" s="214"/>
      <c r="ARJ6" s="214"/>
      <c r="ARK6" s="214"/>
      <c r="ARL6" s="214"/>
      <c r="ARM6" s="214"/>
      <c r="ARN6" s="214"/>
      <c r="ARO6" s="214"/>
      <c r="ARP6" s="214"/>
      <c r="ARQ6" s="214"/>
      <c r="ARR6" s="214"/>
      <c r="ARS6" s="214"/>
      <c r="ART6" s="214"/>
      <c r="ARU6" s="214"/>
      <c r="ARV6" s="214"/>
      <c r="ARW6" s="214"/>
      <c r="ARX6" s="214"/>
      <c r="ARY6" s="214"/>
      <c r="ARZ6" s="214"/>
      <c r="ASA6" s="214"/>
      <c r="ASB6" s="214"/>
      <c r="ASC6" s="214"/>
      <c r="ASD6" s="214"/>
      <c r="ASE6" s="214"/>
      <c r="ASF6" s="214"/>
      <c r="ASG6" s="214"/>
      <c r="ASH6" s="214"/>
      <c r="ASI6" s="214"/>
      <c r="ASJ6" s="214"/>
      <c r="ASK6" s="214"/>
      <c r="ASL6" s="214"/>
      <c r="ASM6" s="214"/>
      <c r="ASN6" s="214"/>
      <c r="ASO6" s="214"/>
      <c r="ASP6" s="214"/>
      <c r="ASQ6" s="214"/>
      <c r="ASR6" s="214"/>
      <c r="ASS6" s="214"/>
      <c r="AST6" s="214"/>
      <c r="ASU6" s="214"/>
      <c r="ASV6" s="214"/>
      <c r="ASW6" s="214"/>
      <c r="ASX6" s="214"/>
      <c r="ASY6" s="214"/>
      <c r="ASZ6" s="214"/>
      <c r="ATA6" s="214"/>
      <c r="ATB6" s="214"/>
      <c r="ATC6" s="214"/>
      <c r="ATD6" s="214"/>
      <c r="ATE6" s="214"/>
      <c r="ATF6" s="214"/>
      <c r="ATG6" s="214"/>
      <c r="ATH6" s="214"/>
      <c r="ATI6" s="214"/>
      <c r="ATJ6" s="214"/>
      <c r="ATK6" s="214"/>
      <c r="ATL6" s="214"/>
      <c r="ATM6" s="214"/>
      <c r="ATN6" s="214"/>
      <c r="ATO6" s="214"/>
      <c r="ATP6" s="214"/>
      <c r="ATQ6" s="214"/>
      <c r="ATR6" s="214"/>
      <c r="ATS6" s="214"/>
      <c r="ATT6" s="214"/>
      <c r="ATU6" s="214"/>
      <c r="ATV6" s="214"/>
      <c r="ATW6" s="214"/>
      <c r="ATX6" s="214"/>
      <c r="ATY6" s="214"/>
      <c r="ATZ6" s="214"/>
      <c r="AUA6" s="214"/>
      <c r="AUB6" s="214"/>
      <c r="AUC6" s="214"/>
      <c r="AUD6" s="214"/>
      <c r="AUE6" s="214"/>
      <c r="AUF6" s="214"/>
      <c r="AUG6" s="214"/>
      <c r="AUH6" s="214"/>
      <c r="AUI6" s="214"/>
      <c r="AUJ6" s="214"/>
      <c r="AUK6" s="214"/>
      <c r="AUL6" s="214"/>
      <c r="AUM6" s="214"/>
      <c r="AUN6" s="214"/>
      <c r="AUO6" s="214"/>
      <c r="AUP6" s="214"/>
      <c r="AUQ6" s="214"/>
      <c r="AUR6" s="214"/>
      <c r="AUS6" s="214"/>
      <c r="AUT6" s="214"/>
      <c r="AUU6" s="214"/>
      <c r="AUV6" s="214"/>
      <c r="AUW6" s="214"/>
      <c r="AUX6" s="214"/>
      <c r="AUY6" s="214"/>
      <c r="AUZ6" s="214"/>
      <c r="AVA6" s="214"/>
      <c r="AVB6" s="214"/>
      <c r="AVC6" s="214"/>
      <c r="AVD6" s="214"/>
      <c r="AVE6" s="214"/>
      <c r="AVF6" s="214"/>
      <c r="AVG6" s="214"/>
      <c r="AVH6" s="214"/>
      <c r="AVI6" s="214"/>
      <c r="AVJ6" s="214"/>
      <c r="AVK6" s="214"/>
      <c r="AVL6" s="214"/>
      <c r="AVM6" s="214"/>
      <c r="AVN6" s="214"/>
      <c r="AVO6" s="214"/>
      <c r="AVP6" s="214"/>
      <c r="AVQ6" s="214"/>
      <c r="AVR6" s="214"/>
      <c r="AVS6" s="214"/>
      <c r="AVT6" s="214"/>
      <c r="AVU6" s="214"/>
      <c r="AVV6" s="214"/>
      <c r="AVW6" s="214"/>
      <c r="AVX6" s="214"/>
      <c r="AVY6" s="214"/>
      <c r="AVZ6" s="214"/>
      <c r="AWA6" s="214"/>
      <c r="AWB6" s="214"/>
      <c r="AWC6" s="214"/>
      <c r="AWD6" s="214"/>
      <c r="AWE6" s="214"/>
      <c r="AWF6" s="214"/>
      <c r="AWG6" s="214"/>
      <c r="AWH6" s="214"/>
      <c r="AWI6" s="214"/>
      <c r="AWJ6" s="214"/>
      <c r="AWK6" s="214"/>
      <c r="AWL6" s="214"/>
      <c r="AWM6" s="214"/>
      <c r="AWN6" s="214"/>
      <c r="AWO6" s="214"/>
      <c r="AWP6" s="214"/>
      <c r="AWQ6" s="214"/>
      <c r="AWR6" s="214"/>
      <c r="AWS6" s="214"/>
      <c r="AWT6" s="214"/>
      <c r="AWU6" s="214"/>
      <c r="AWV6" s="214"/>
      <c r="AWW6" s="214"/>
      <c r="AWX6" s="214"/>
      <c r="AWY6" s="214"/>
      <c r="AWZ6" s="214"/>
      <c r="AXA6" s="214"/>
      <c r="AXB6" s="214"/>
      <c r="AXC6" s="214"/>
      <c r="AXD6" s="214"/>
      <c r="AXE6" s="214"/>
      <c r="AXF6" s="214"/>
      <c r="AXG6" s="214"/>
      <c r="AXH6" s="214"/>
      <c r="AXI6" s="214"/>
      <c r="AXJ6" s="214"/>
      <c r="AXK6" s="214"/>
      <c r="AXL6" s="214"/>
      <c r="AXM6" s="214"/>
      <c r="AXN6" s="214"/>
      <c r="AXO6" s="214"/>
      <c r="AXP6" s="214"/>
      <c r="AXQ6" s="214"/>
      <c r="AXR6" s="214"/>
      <c r="AXS6" s="214"/>
      <c r="AXT6" s="214"/>
      <c r="AXU6" s="214"/>
      <c r="AXV6" s="214"/>
      <c r="AXW6" s="214"/>
      <c r="AXX6" s="214"/>
      <c r="AXY6" s="214"/>
      <c r="AXZ6" s="214"/>
      <c r="AYA6" s="214"/>
      <c r="AYB6" s="214"/>
      <c r="AYC6" s="214"/>
      <c r="AYD6" s="214"/>
      <c r="AYE6" s="214"/>
      <c r="AYF6" s="214"/>
      <c r="AYG6" s="214"/>
      <c r="AYH6" s="214"/>
      <c r="AYI6" s="214"/>
      <c r="AYJ6" s="214"/>
      <c r="AYK6" s="214"/>
      <c r="AYL6" s="214"/>
      <c r="AYM6" s="214"/>
      <c r="AYN6" s="214"/>
      <c r="AYO6" s="214"/>
      <c r="AYP6" s="214"/>
      <c r="AYQ6" s="214"/>
      <c r="AYR6" s="214"/>
      <c r="AYS6" s="214"/>
      <c r="AYT6" s="214"/>
      <c r="AYU6" s="214"/>
      <c r="AYV6" s="214"/>
      <c r="AYW6" s="214"/>
      <c r="AYX6" s="214"/>
      <c r="AYY6" s="214"/>
      <c r="AYZ6" s="214"/>
      <c r="AZA6" s="214"/>
      <c r="AZB6" s="214"/>
      <c r="AZC6" s="214"/>
      <c r="AZD6" s="214"/>
      <c r="AZE6" s="214"/>
      <c r="AZF6" s="214"/>
      <c r="AZG6" s="214"/>
      <c r="AZH6" s="214"/>
      <c r="AZI6" s="214"/>
      <c r="AZJ6" s="214"/>
      <c r="AZK6" s="214"/>
      <c r="AZL6" s="214"/>
      <c r="AZM6" s="214"/>
      <c r="AZN6" s="214"/>
      <c r="AZO6" s="214"/>
      <c r="AZP6" s="214"/>
      <c r="AZQ6" s="214"/>
      <c r="AZR6" s="214"/>
      <c r="AZS6" s="214"/>
      <c r="AZT6" s="214"/>
      <c r="AZU6" s="214"/>
      <c r="AZV6" s="214"/>
      <c r="AZW6" s="214"/>
      <c r="AZX6" s="214"/>
      <c r="AZY6" s="214"/>
      <c r="AZZ6" s="214"/>
      <c r="BAA6" s="214"/>
      <c r="BAB6" s="214"/>
      <c r="BAC6" s="214"/>
      <c r="BAD6" s="214"/>
      <c r="BAE6" s="214"/>
      <c r="BAF6" s="214"/>
      <c r="BAG6" s="214"/>
      <c r="BAH6" s="214"/>
      <c r="BAI6" s="214"/>
      <c r="BAJ6" s="214"/>
      <c r="BAK6" s="214"/>
      <c r="BAL6" s="214"/>
      <c r="BAM6" s="214"/>
      <c r="BAN6" s="214"/>
      <c r="BAO6" s="214"/>
      <c r="BAP6" s="214"/>
      <c r="BAQ6" s="214"/>
      <c r="BAR6" s="214"/>
      <c r="BAS6" s="214"/>
      <c r="BAT6" s="214"/>
      <c r="BAU6" s="214"/>
      <c r="BAV6" s="214"/>
      <c r="BAW6" s="214"/>
      <c r="BAX6" s="214"/>
      <c r="BAY6" s="214"/>
      <c r="BAZ6" s="214"/>
      <c r="BBA6" s="214"/>
      <c r="BBB6" s="214"/>
      <c r="BBC6" s="214"/>
      <c r="BBD6" s="214"/>
      <c r="BBE6" s="214"/>
      <c r="BBF6" s="214"/>
      <c r="BBG6" s="214"/>
      <c r="BBH6" s="214"/>
      <c r="BBI6" s="214"/>
      <c r="BBJ6" s="214"/>
      <c r="BBK6" s="214"/>
      <c r="BBL6" s="214"/>
      <c r="BBM6" s="214"/>
      <c r="BBN6" s="214"/>
      <c r="BBO6" s="214"/>
      <c r="BBP6" s="214"/>
      <c r="BBQ6" s="214"/>
      <c r="BBR6" s="214"/>
      <c r="BBS6" s="214"/>
      <c r="BBT6" s="214"/>
      <c r="BBU6" s="214"/>
      <c r="BBV6" s="214"/>
      <c r="BBW6" s="214"/>
      <c r="BBX6" s="214"/>
      <c r="BBY6" s="214"/>
      <c r="BBZ6" s="214"/>
      <c r="BCA6" s="214"/>
      <c r="BCB6" s="214"/>
      <c r="BCC6" s="214"/>
      <c r="BCD6" s="214"/>
      <c r="BCE6" s="214"/>
      <c r="BCF6" s="214"/>
      <c r="BCG6" s="214"/>
      <c r="BCH6" s="214"/>
      <c r="BCI6" s="214"/>
      <c r="BCJ6" s="214"/>
      <c r="BCK6" s="214"/>
      <c r="BCL6" s="214"/>
      <c r="BCM6" s="214"/>
      <c r="BCN6" s="214"/>
      <c r="BCO6" s="214"/>
      <c r="BCP6" s="214"/>
      <c r="BCQ6" s="214"/>
      <c r="BCR6" s="214"/>
      <c r="BCS6" s="214"/>
      <c r="BCT6" s="214"/>
      <c r="BCU6" s="214"/>
      <c r="BCV6" s="214"/>
      <c r="BCW6" s="214"/>
      <c r="BCX6" s="214"/>
      <c r="BCY6" s="214"/>
      <c r="BCZ6" s="214"/>
      <c r="BDA6" s="214"/>
      <c r="BDB6" s="214"/>
      <c r="BDC6" s="214"/>
      <c r="BDD6" s="214"/>
      <c r="BDE6" s="214"/>
      <c r="BDF6" s="214"/>
      <c r="BDG6" s="214"/>
      <c r="BDH6" s="214"/>
      <c r="BDI6" s="214"/>
      <c r="BDJ6" s="214"/>
      <c r="BDK6" s="214"/>
      <c r="BDL6" s="214"/>
      <c r="BDM6" s="214"/>
      <c r="BDN6" s="214"/>
      <c r="BDO6" s="214"/>
      <c r="BDP6" s="214"/>
      <c r="BDQ6" s="214"/>
      <c r="BDR6" s="214"/>
      <c r="BDS6" s="214"/>
      <c r="BDT6" s="214"/>
      <c r="BDU6" s="214"/>
      <c r="BDV6" s="214"/>
      <c r="BDW6" s="214"/>
      <c r="BDX6" s="214"/>
      <c r="BDY6" s="214"/>
      <c r="BDZ6" s="214"/>
      <c r="BEA6" s="214"/>
      <c r="BEB6" s="214"/>
      <c r="BEC6" s="214"/>
      <c r="BED6" s="214"/>
      <c r="BEE6" s="214"/>
      <c r="BEF6" s="214"/>
      <c r="BEG6" s="214"/>
      <c r="BEH6" s="214"/>
      <c r="BEI6" s="214"/>
      <c r="BEJ6" s="214"/>
      <c r="BEK6" s="214"/>
      <c r="BEL6" s="214"/>
      <c r="BEM6" s="214"/>
      <c r="BEN6" s="214"/>
      <c r="BEO6" s="214"/>
      <c r="BEP6" s="214"/>
      <c r="BEQ6" s="214"/>
      <c r="BER6" s="214"/>
      <c r="BES6" s="214"/>
      <c r="BET6" s="214"/>
      <c r="BEU6" s="214"/>
      <c r="BEV6" s="214"/>
      <c r="BEW6" s="214"/>
      <c r="BEX6" s="214"/>
      <c r="BEY6" s="214"/>
      <c r="BEZ6" s="214"/>
      <c r="BFA6" s="214"/>
      <c r="BFB6" s="214"/>
      <c r="BFC6" s="214"/>
      <c r="BFD6" s="214"/>
      <c r="BFE6" s="214"/>
      <c r="BFF6" s="214"/>
      <c r="BFG6" s="214"/>
      <c r="BFH6" s="214"/>
      <c r="BFI6" s="214"/>
      <c r="BFJ6" s="214"/>
      <c r="BFK6" s="214"/>
      <c r="BFL6" s="214"/>
      <c r="BFM6" s="214"/>
      <c r="BFN6" s="214"/>
      <c r="BFO6" s="214"/>
      <c r="BFP6" s="214"/>
      <c r="BFQ6" s="214"/>
      <c r="BFR6" s="214"/>
      <c r="BFS6" s="214"/>
      <c r="BFT6" s="214"/>
      <c r="BFU6" s="214"/>
      <c r="BFV6" s="214"/>
      <c r="BFW6" s="214"/>
      <c r="BFX6" s="214"/>
      <c r="BFY6" s="214"/>
      <c r="BFZ6" s="214"/>
      <c r="BGA6" s="214"/>
      <c r="BGB6" s="214"/>
      <c r="BGC6" s="214"/>
      <c r="BGD6" s="214"/>
      <c r="BGE6" s="214"/>
      <c r="BGF6" s="214"/>
      <c r="BGG6" s="214"/>
      <c r="BGH6" s="214"/>
      <c r="BGI6" s="214"/>
      <c r="BGJ6" s="214"/>
      <c r="BGK6" s="214"/>
      <c r="BGL6" s="214"/>
      <c r="BGM6" s="214"/>
      <c r="BGN6" s="214"/>
      <c r="BGO6" s="214"/>
      <c r="BGP6" s="214"/>
      <c r="BGQ6" s="214"/>
      <c r="BGR6" s="214"/>
      <c r="BGS6" s="214"/>
      <c r="BGT6" s="214"/>
      <c r="BGU6" s="214"/>
      <c r="BGV6" s="214"/>
      <c r="BGW6" s="214"/>
      <c r="BGX6" s="214"/>
      <c r="BGY6" s="214"/>
      <c r="BGZ6" s="214"/>
      <c r="BHA6" s="214"/>
      <c r="BHB6" s="214"/>
      <c r="BHC6" s="214"/>
      <c r="BHD6" s="214"/>
      <c r="BHE6" s="214"/>
      <c r="BHF6" s="214"/>
      <c r="BHG6" s="214"/>
      <c r="BHH6" s="214"/>
      <c r="BHI6" s="214"/>
      <c r="BHJ6" s="214"/>
      <c r="BHK6" s="214"/>
      <c r="BHL6" s="214"/>
      <c r="BHM6" s="214"/>
      <c r="BHN6" s="214"/>
      <c r="BHO6" s="214"/>
      <c r="BHP6" s="214"/>
      <c r="BHQ6" s="214"/>
      <c r="BHR6" s="214"/>
      <c r="BHS6" s="214"/>
      <c r="BHT6" s="214"/>
      <c r="BHU6" s="214"/>
      <c r="BHV6" s="214"/>
      <c r="BHW6" s="214"/>
    </row>
    <row r="7" spans="1:1583" s="217" customFormat="1">
      <c r="A7" s="252" t="s">
        <v>11</v>
      </c>
      <c r="B7" s="180" t="s">
        <v>345</v>
      </c>
      <c r="C7" s="416" t="s">
        <v>467</v>
      </c>
      <c r="D7" s="435" t="s">
        <v>467</v>
      </c>
      <c r="E7" s="59" t="s">
        <v>9</v>
      </c>
      <c r="F7" s="132">
        <f>F6+F57</f>
        <v>655.1</v>
      </c>
      <c r="G7" s="60" t="s">
        <v>664</v>
      </c>
      <c r="H7" s="473">
        <f t="shared" si="1"/>
        <v>15580.763679214053</v>
      </c>
      <c r="I7" s="92">
        <f>VLOOKUP($B7,'DCS Data'!$E$2:$AJ$100,MATCH('Daily Report'!I$1,'DCS Data'!$E$2:$AJ$2,0),0)</f>
        <v>475.72453863443366</v>
      </c>
      <c r="J7" s="255"/>
      <c r="K7" s="92">
        <f>VLOOKUP($B7,'DCS Data'!$E$2:$AJ$100,MATCH('Daily Report'!K$1,'DCS Data'!$E$2:$AJ$2,0),0)</f>
        <v>516.54061070380476</v>
      </c>
      <c r="L7" s="92">
        <f>VLOOKUP($B7,'DCS Data'!$E$2:$AJ$100,MATCH('Daily Report'!L$1,'DCS Data'!$E$2:$AJ$2,0),0)</f>
        <v>512.95875841669113</v>
      </c>
      <c r="M7" s="92">
        <f>VLOOKUP($B7,'DCS Data'!$E$2:$AJ$100,MATCH('Daily Report'!M$1,'DCS Data'!$E$2:$AJ$2,0),0)</f>
        <v>511.42111433510343</v>
      </c>
      <c r="N7" s="92">
        <f>VLOOKUP($B7,'DCS Data'!$E$2:$AJ$100,MATCH('Daily Report'!N$1,'DCS Data'!$E$2:$AJ$2,0),0)</f>
        <v>515.50557253293846</v>
      </c>
      <c r="O7" s="92">
        <f>VLOOKUP($B7,'DCS Data'!$E$2:$AJ$100,MATCH('Daily Report'!O$1,'DCS Data'!$E$2:$AJ$2,0),0)</f>
        <v>521.90848877117787</v>
      </c>
      <c r="P7" s="92">
        <f>VLOOKUP($B7,'DCS Data'!$E$2:$AJ$100,MATCH('Daily Report'!P$1,'DCS Data'!$E$2:$AJ$2,0),0)</f>
        <v>518.61878901623538</v>
      </c>
      <c r="Q7" s="92">
        <f>VLOOKUP($B7,'DCS Data'!$E$2:$AJ$100,MATCH('Daily Report'!Q$1,'DCS Data'!$E$2:$AJ$2,0),0)</f>
        <v>510.02094138252835</v>
      </c>
      <c r="R7" s="92">
        <f>VLOOKUP($B7,'DCS Data'!$E$2:$AJ$100,MATCH('Daily Report'!R$1,'DCS Data'!$E$2:$AJ$2,0),0)</f>
        <v>503.7642740093068</v>
      </c>
      <c r="S7" s="92">
        <f>VLOOKUP($B7,'DCS Data'!$E$2:$AJ$100,MATCH('Daily Report'!S$1,'DCS Data'!$E$2:$AJ$2,0),0)</f>
        <v>502.97805032027327</v>
      </c>
      <c r="T7" s="92">
        <f>VLOOKUP($B7,'DCS Data'!$E$2:$AJ$100,MATCH('Daily Report'!T$1,'DCS Data'!$E$2:$AJ$2,0),0)</f>
        <v>498.21498448238526</v>
      </c>
      <c r="U7" s="92">
        <f>VLOOKUP($B7,'DCS Data'!$E$2:$AJ$100,MATCH('Daily Report'!U$1,'DCS Data'!$E$2:$AJ$2,0),0)</f>
        <v>500.01712888584939</v>
      </c>
      <c r="V7" s="92">
        <f>VLOOKUP($B7,'DCS Data'!$E$2:$AJ$100,MATCH('Daily Report'!V$1,'DCS Data'!$E$2:$AJ$2,0),0)</f>
        <v>500.96658933810573</v>
      </c>
      <c r="W7" s="92">
        <f>VLOOKUP($B7,'DCS Data'!$E$2:$AJ$100,MATCH('Daily Report'!W$1,'DCS Data'!$E$2:$AJ$2,0),0)</f>
        <v>507.59103660379117</v>
      </c>
      <c r="X7" s="92">
        <f>VLOOKUP($B7,'DCS Data'!$E$2:$AJ$100,MATCH('Daily Report'!X$1,'DCS Data'!$E$2:$AJ$2,0),0)</f>
        <v>494.907564216178</v>
      </c>
      <c r="Y7" s="92">
        <f>VLOOKUP($B7,'DCS Data'!$E$2:$AJ$100,MATCH('Daily Report'!Y$1,'DCS Data'!$E$2:$AJ$2,0),0)</f>
        <v>472.3282296985393</v>
      </c>
      <c r="Z7" s="92">
        <f>VLOOKUP($B7,'DCS Data'!$E$2:$AJ$100,MATCH('Daily Report'!Z$1,'DCS Data'!$E$2:$AJ$2,0),0)</f>
        <v>463.65062525604748</v>
      </c>
      <c r="AA7" s="92">
        <f>VLOOKUP($B7,'DCS Data'!$E$2:$AJ$100,MATCH('Daily Report'!AA$1,'DCS Data'!$E$2:$AJ$2,0),0)</f>
        <v>471.9236131555167</v>
      </c>
      <c r="AB7" s="92">
        <f>VLOOKUP($B7,'DCS Data'!$E$2:$AJ$100,MATCH('Daily Report'!AB$1,'DCS Data'!$E$2:$AJ$2,0),0)</f>
        <v>473.52616860132878</v>
      </c>
      <c r="AC7" s="92">
        <f>VLOOKUP($B7,'DCS Data'!$E$2:$AJ$100,MATCH('Daily Report'!AC$1,'DCS Data'!$E$2:$AJ$2,0),0)</f>
        <v>484.0743934504041</v>
      </c>
      <c r="AD7" s="92">
        <f>VLOOKUP($B7,'DCS Data'!$E$2:$AJ$100,MATCH('Daily Report'!AD$1,'DCS Data'!$E$2:$AJ$2,0),0)</f>
        <v>506.48072020028837</v>
      </c>
      <c r="AE7" s="92">
        <f>VLOOKUP($B7,'DCS Data'!$E$2:$AJ$100,MATCH('Daily Report'!AE$1,'DCS Data'!$E$2:$AJ$2,0),0)</f>
        <v>512.87786208713953</v>
      </c>
      <c r="AF7" s="92">
        <f>VLOOKUP($B7,'DCS Data'!$E$2:$AJ$100,MATCH('Daily Report'!AF$1,'DCS Data'!$E$2:$AJ$2,0),0)</f>
        <v>511.49537362460865</v>
      </c>
      <c r="AG7" s="92">
        <f>VLOOKUP($B7,'DCS Data'!$E$2:$AJ$100,MATCH('Daily Report'!AG$1,'DCS Data'!$E$2:$AJ$2,0),0)</f>
        <v>510.99098599046494</v>
      </c>
      <c r="AH7" s="92">
        <f>VLOOKUP($B7,'DCS Data'!$E$2:$AJ$100,MATCH('Daily Report'!AH$1,'DCS Data'!$E$2:$AJ$2,0),0)</f>
        <v>511.89627648233125</v>
      </c>
      <c r="AI7" s="92">
        <f>VLOOKUP($B7,'DCS Data'!$E$2:$AJ$100,MATCH('Daily Report'!AI$1,'DCS Data'!$E$2:$AJ$2,0),0)</f>
        <v>511.40734448386604</v>
      </c>
      <c r="AJ7" s="92">
        <f>VLOOKUP($B7,'DCS Data'!$E$2:$AJ$100,MATCH('Daily Report'!AJ$1,'DCS Data'!$E$2:$AJ$2,0),0)</f>
        <v>512.57255575168847</v>
      </c>
      <c r="AK7" s="92">
        <f>VLOOKUP($B7,'DCS Data'!$E$2:$AJ$100,MATCH('Daily Report'!AK$1,'DCS Data'!$E$2:$AJ$2,0),0)</f>
        <v>512.08377970954382</v>
      </c>
      <c r="AL7" s="92">
        <f>VLOOKUP($B7,'DCS Data'!$E$2:$AJ$100,MATCH('Daily Report'!AL$1,'DCS Data'!$E$2:$AJ$2,0),0)</f>
        <v>510.16711367374347</v>
      </c>
      <c r="AM7" s="92">
        <f>VLOOKUP($B7,'DCS Data'!$E$2:$AJ$100,MATCH('Daily Report'!AM$1,'DCS Data'!$E$2:$AJ$2,0),0)</f>
        <v>510.78698964985495</v>
      </c>
      <c r="AN7" s="92">
        <f>VLOOKUP($B7,'DCS Data'!$E$2:$AJ$100,MATCH('Daily Report'!AN$1,'DCS Data'!$E$2:$AJ$2,0),0)</f>
        <v>513.3632057498819</v>
      </c>
      <c r="AO7" s="214"/>
      <c r="AP7" s="214"/>
      <c r="AQ7" s="214"/>
      <c r="AR7" s="214"/>
      <c r="AS7" s="214"/>
      <c r="AT7" s="214"/>
      <c r="AU7" s="214"/>
      <c r="AV7" s="214"/>
      <c r="AW7" s="214"/>
      <c r="AX7" s="214"/>
      <c r="AY7" s="214"/>
      <c r="AZ7" s="214"/>
      <c r="BA7" s="214"/>
      <c r="BB7" s="214"/>
      <c r="BC7" s="214"/>
      <c r="BD7" s="214"/>
      <c r="BE7" s="214"/>
      <c r="BF7" s="214"/>
      <c r="BG7" s="214"/>
      <c r="BH7" s="214"/>
      <c r="BI7" s="214"/>
      <c r="BJ7" s="214"/>
      <c r="BK7" s="214"/>
      <c r="BL7" s="214"/>
      <c r="BM7" s="214"/>
      <c r="BN7" s="214"/>
      <c r="BO7" s="214"/>
      <c r="BP7" s="214"/>
      <c r="BQ7" s="214"/>
      <c r="BR7" s="214"/>
      <c r="BS7" s="214"/>
      <c r="BT7" s="214"/>
      <c r="BU7" s="214"/>
      <c r="BV7" s="214"/>
      <c r="BW7" s="214"/>
      <c r="BX7" s="214"/>
      <c r="BY7" s="214"/>
      <c r="BZ7" s="214"/>
      <c r="CA7" s="214"/>
      <c r="CB7" s="214"/>
      <c r="CC7" s="214"/>
      <c r="CD7" s="214"/>
      <c r="CE7" s="214"/>
      <c r="CF7" s="214"/>
      <c r="CG7" s="214"/>
      <c r="CH7" s="214"/>
      <c r="CI7" s="214"/>
      <c r="CJ7" s="214"/>
      <c r="CK7" s="214"/>
      <c r="CL7" s="214"/>
      <c r="CM7" s="214"/>
      <c r="CN7" s="214"/>
      <c r="CO7" s="214"/>
      <c r="CP7" s="214"/>
      <c r="CQ7" s="214"/>
      <c r="CR7" s="214"/>
      <c r="CS7" s="214"/>
      <c r="CT7" s="214"/>
      <c r="CU7" s="214"/>
      <c r="CV7" s="214"/>
      <c r="CW7" s="214"/>
      <c r="CX7" s="214"/>
      <c r="CY7" s="214"/>
      <c r="CZ7" s="214"/>
      <c r="DA7" s="214"/>
      <c r="DB7" s="214"/>
      <c r="DC7" s="214"/>
      <c r="DD7" s="214"/>
      <c r="DE7" s="214"/>
      <c r="DF7" s="214"/>
      <c r="DG7" s="214"/>
      <c r="DH7" s="214"/>
      <c r="DI7" s="214"/>
      <c r="DJ7" s="214"/>
      <c r="DK7" s="214"/>
      <c r="DL7" s="214"/>
      <c r="DM7" s="214"/>
      <c r="DN7" s="214"/>
      <c r="DO7" s="214"/>
      <c r="DP7" s="214"/>
      <c r="DQ7" s="214"/>
      <c r="DR7" s="214"/>
      <c r="DS7" s="214"/>
      <c r="DT7" s="214"/>
      <c r="DU7" s="214"/>
      <c r="DV7" s="214"/>
      <c r="DW7" s="214"/>
      <c r="DX7" s="214"/>
      <c r="DY7" s="214"/>
      <c r="DZ7" s="214"/>
      <c r="EA7" s="214"/>
      <c r="EB7" s="214"/>
      <c r="EC7" s="214"/>
      <c r="ED7" s="214"/>
      <c r="EE7" s="214"/>
      <c r="EF7" s="214"/>
      <c r="EG7" s="214"/>
      <c r="EH7" s="214"/>
      <c r="EI7" s="214"/>
      <c r="EJ7" s="214"/>
      <c r="EK7" s="214"/>
      <c r="EL7" s="214"/>
      <c r="EM7" s="214"/>
      <c r="EN7" s="214"/>
      <c r="EO7" s="214"/>
      <c r="EP7" s="214"/>
      <c r="EQ7" s="214"/>
      <c r="ER7" s="214"/>
      <c r="ES7" s="214"/>
      <c r="ET7" s="214"/>
      <c r="EU7" s="214"/>
      <c r="EV7" s="214"/>
      <c r="EW7" s="214"/>
      <c r="EX7" s="214"/>
      <c r="EY7" s="214"/>
      <c r="EZ7" s="214"/>
      <c r="FA7" s="214"/>
      <c r="FB7" s="214"/>
      <c r="FC7" s="214"/>
      <c r="FD7" s="214"/>
      <c r="FE7" s="214"/>
      <c r="FF7" s="214"/>
      <c r="FG7" s="214"/>
      <c r="FH7" s="214"/>
      <c r="FI7" s="214"/>
      <c r="FJ7" s="214"/>
      <c r="FK7" s="214"/>
      <c r="FL7" s="214"/>
      <c r="FM7" s="214"/>
      <c r="FN7" s="214"/>
      <c r="FO7" s="214"/>
      <c r="FP7" s="214"/>
      <c r="FQ7" s="214"/>
      <c r="FR7" s="214"/>
      <c r="FS7" s="214"/>
      <c r="FT7" s="214"/>
      <c r="FU7" s="214"/>
      <c r="FV7" s="214"/>
      <c r="FW7" s="214"/>
      <c r="FX7" s="214"/>
      <c r="FY7" s="214"/>
      <c r="FZ7" s="214"/>
      <c r="GA7" s="214"/>
      <c r="GB7" s="214"/>
      <c r="GC7" s="214"/>
      <c r="GD7" s="214"/>
      <c r="GE7" s="214"/>
      <c r="GF7" s="214"/>
      <c r="GG7" s="214"/>
      <c r="GH7" s="214"/>
      <c r="GI7" s="214"/>
      <c r="GJ7" s="214"/>
      <c r="GK7" s="214"/>
      <c r="GL7" s="214"/>
      <c r="GM7" s="214"/>
      <c r="GN7" s="214"/>
      <c r="GO7" s="214"/>
      <c r="GP7" s="214"/>
      <c r="GQ7" s="214"/>
      <c r="GR7" s="214"/>
      <c r="GS7" s="214"/>
      <c r="GT7" s="214"/>
      <c r="GU7" s="214"/>
      <c r="GV7" s="214"/>
      <c r="GW7" s="214"/>
      <c r="GX7" s="214"/>
      <c r="GY7" s="214"/>
      <c r="GZ7" s="214"/>
      <c r="HA7" s="214"/>
      <c r="HB7" s="214"/>
      <c r="HC7" s="214"/>
      <c r="HD7" s="214"/>
      <c r="HE7" s="214"/>
      <c r="HF7" s="214"/>
      <c r="HG7" s="214"/>
      <c r="HH7" s="214"/>
      <c r="HI7" s="214"/>
      <c r="HJ7" s="214"/>
      <c r="HK7" s="214"/>
      <c r="HL7" s="214"/>
      <c r="HM7" s="214"/>
      <c r="HN7" s="214"/>
      <c r="HO7" s="214"/>
      <c r="HP7" s="214"/>
      <c r="HQ7" s="214"/>
      <c r="HR7" s="214"/>
      <c r="HS7" s="214"/>
      <c r="HT7" s="214"/>
      <c r="HU7" s="214"/>
      <c r="HV7" s="214"/>
      <c r="HW7" s="214"/>
      <c r="HX7" s="214"/>
      <c r="HY7" s="214"/>
      <c r="HZ7" s="214"/>
      <c r="IA7" s="214"/>
      <c r="IB7" s="214"/>
      <c r="IC7" s="214"/>
      <c r="ID7" s="214"/>
      <c r="IE7" s="214"/>
      <c r="IF7" s="214"/>
      <c r="IG7" s="214"/>
      <c r="IH7" s="214"/>
      <c r="II7" s="214"/>
      <c r="IJ7" s="214"/>
      <c r="IK7" s="214"/>
      <c r="IL7" s="214"/>
      <c r="IM7" s="214"/>
      <c r="IN7" s="214"/>
      <c r="IO7" s="214"/>
      <c r="IP7" s="214"/>
      <c r="IQ7" s="214"/>
      <c r="IR7" s="214"/>
      <c r="IS7" s="214"/>
      <c r="IT7" s="214"/>
      <c r="IU7" s="214"/>
      <c r="IV7" s="214"/>
      <c r="IW7" s="214"/>
      <c r="IX7" s="214"/>
      <c r="IY7" s="214"/>
      <c r="IZ7" s="214"/>
      <c r="JA7" s="214"/>
      <c r="JB7" s="214"/>
      <c r="JC7" s="214"/>
      <c r="JD7" s="214"/>
      <c r="JE7" s="214"/>
      <c r="JF7" s="214"/>
      <c r="JG7" s="214"/>
      <c r="JH7" s="214"/>
      <c r="JI7" s="214"/>
      <c r="JJ7" s="214"/>
      <c r="JK7" s="214"/>
      <c r="JL7" s="214"/>
      <c r="JM7" s="214"/>
      <c r="JN7" s="214"/>
      <c r="JO7" s="214"/>
      <c r="JP7" s="214"/>
      <c r="JQ7" s="214"/>
      <c r="JR7" s="214"/>
      <c r="JS7" s="214"/>
      <c r="JT7" s="214"/>
      <c r="JU7" s="214"/>
      <c r="JV7" s="214"/>
      <c r="JW7" s="214"/>
      <c r="JX7" s="214"/>
      <c r="JY7" s="214"/>
      <c r="JZ7" s="214"/>
      <c r="KA7" s="214"/>
      <c r="KB7" s="214"/>
      <c r="KC7" s="214"/>
      <c r="KD7" s="214"/>
      <c r="KE7" s="214"/>
      <c r="KF7" s="214"/>
      <c r="KG7" s="214"/>
      <c r="KH7" s="214"/>
      <c r="KI7" s="214"/>
      <c r="KJ7" s="214"/>
      <c r="KK7" s="214"/>
      <c r="KL7" s="214"/>
      <c r="KM7" s="214"/>
      <c r="KN7" s="214"/>
      <c r="KO7" s="214"/>
      <c r="KP7" s="214"/>
      <c r="KQ7" s="214"/>
      <c r="KR7" s="214"/>
      <c r="KS7" s="214"/>
      <c r="KT7" s="214"/>
      <c r="KU7" s="214"/>
      <c r="KV7" s="214"/>
      <c r="KW7" s="214"/>
      <c r="KX7" s="214"/>
      <c r="KY7" s="214"/>
      <c r="KZ7" s="214"/>
      <c r="LA7" s="214"/>
      <c r="LB7" s="214"/>
      <c r="LC7" s="214"/>
      <c r="LD7" s="214"/>
      <c r="LE7" s="214"/>
      <c r="LF7" s="214"/>
      <c r="LG7" s="214"/>
      <c r="LH7" s="214"/>
      <c r="LI7" s="214"/>
      <c r="LJ7" s="214"/>
      <c r="LK7" s="214"/>
      <c r="LL7" s="214"/>
      <c r="LM7" s="214"/>
      <c r="LN7" s="214"/>
      <c r="LO7" s="214"/>
      <c r="LP7" s="214"/>
      <c r="LQ7" s="214"/>
      <c r="LR7" s="214"/>
      <c r="LS7" s="214"/>
      <c r="LT7" s="214"/>
      <c r="LU7" s="214"/>
      <c r="LV7" s="214"/>
      <c r="LW7" s="214"/>
      <c r="LX7" s="214"/>
      <c r="LY7" s="214"/>
      <c r="LZ7" s="214"/>
      <c r="MA7" s="214"/>
      <c r="MB7" s="214"/>
      <c r="MC7" s="214"/>
      <c r="MD7" s="214"/>
      <c r="ME7" s="214"/>
      <c r="MF7" s="214"/>
      <c r="MG7" s="214"/>
      <c r="MH7" s="214"/>
      <c r="MI7" s="214"/>
      <c r="MJ7" s="214"/>
      <c r="MK7" s="214"/>
      <c r="ML7" s="214"/>
      <c r="MM7" s="214"/>
      <c r="MN7" s="214"/>
      <c r="MO7" s="214"/>
      <c r="MP7" s="214"/>
      <c r="MQ7" s="214"/>
      <c r="MR7" s="214"/>
      <c r="MS7" s="214"/>
      <c r="MT7" s="214"/>
      <c r="MU7" s="214"/>
      <c r="MV7" s="214"/>
      <c r="MW7" s="214"/>
      <c r="MX7" s="214"/>
      <c r="MY7" s="214"/>
      <c r="MZ7" s="214"/>
      <c r="NA7" s="214"/>
      <c r="NB7" s="214"/>
      <c r="NC7" s="214"/>
      <c r="ND7" s="214"/>
      <c r="NE7" s="214"/>
      <c r="NF7" s="214"/>
      <c r="NG7" s="214"/>
      <c r="NH7" s="214"/>
      <c r="NI7" s="214"/>
      <c r="NJ7" s="214"/>
      <c r="NK7" s="214"/>
      <c r="NL7" s="214"/>
      <c r="NM7" s="214"/>
      <c r="NN7" s="214"/>
      <c r="NO7" s="214"/>
      <c r="NP7" s="214"/>
      <c r="NQ7" s="214"/>
      <c r="NR7" s="214"/>
      <c r="NS7" s="214"/>
      <c r="NT7" s="214"/>
      <c r="NU7" s="214"/>
      <c r="NV7" s="214"/>
      <c r="NW7" s="214"/>
      <c r="NX7" s="214"/>
      <c r="NY7" s="214"/>
      <c r="NZ7" s="214"/>
      <c r="OA7" s="214"/>
      <c r="OB7" s="214"/>
      <c r="OC7" s="214"/>
      <c r="OD7" s="214"/>
      <c r="OE7" s="214"/>
      <c r="OF7" s="214"/>
      <c r="OG7" s="214"/>
      <c r="OH7" s="214"/>
      <c r="OI7" s="214"/>
      <c r="OJ7" s="214"/>
      <c r="OK7" s="214"/>
      <c r="OL7" s="214"/>
      <c r="OM7" s="214"/>
      <c r="ON7" s="214"/>
      <c r="OO7" s="214"/>
      <c r="OP7" s="214"/>
      <c r="OQ7" s="214"/>
      <c r="OR7" s="214"/>
      <c r="OS7" s="214"/>
      <c r="OT7" s="214"/>
      <c r="OU7" s="214"/>
      <c r="OV7" s="214"/>
      <c r="OW7" s="214"/>
      <c r="OX7" s="214"/>
      <c r="OY7" s="214"/>
      <c r="OZ7" s="214"/>
      <c r="PA7" s="214"/>
      <c r="PB7" s="214"/>
      <c r="PC7" s="214"/>
      <c r="PD7" s="214"/>
      <c r="PE7" s="214"/>
      <c r="PF7" s="214"/>
      <c r="PG7" s="214"/>
      <c r="PH7" s="214"/>
      <c r="PI7" s="214"/>
      <c r="PJ7" s="214"/>
      <c r="PK7" s="214"/>
      <c r="PL7" s="214"/>
      <c r="PM7" s="214"/>
      <c r="PN7" s="214"/>
      <c r="PO7" s="214"/>
      <c r="PP7" s="214"/>
      <c r="PQ7" s="214"/>
      <c r="PR7" s="214"/>
      <c r="PS7" s="214"/>
      <c r="PT7" s="214"/>
      <c r="PU7" s="214"/>
      <c r="PV7" s="214"/>
      <c r="PW7" s="214"/>
      <c r="PX7" s="214"/>
      <c r="PY7" s="214"/>
      <c r="PZ7" s="214"/>
      <c r="QA7" s="214"/>
      <c r="QB7" s="214"/>
      <c r="QC7" s="214"/>
      <c r="QD7" s="214"/>
      <c r="QE7" s="214"/>
      <c r="QF7" s="214"/>
      <c r="QG7" s="214"/>
      <c r="QH7" s="214"/>
      <c r="QI7" s="214"/>
      <c r="QJ7" s="214"/>
      <c r="QK7" s="214"/>
      <c r="QL7" s="214"/>
      <c r="QM7" s="214"/>
      <c r="QN7" s="214"/>
      <c r="QO7" s="214"/>
      <c r="QP7" s="214"/>
      <c r="QQ7" s="214"/>
      <c r="QR7" s="214"/>
      <c r="QS7" s="214"/>
      <c r="QT7" s="214"/>
      <c r="QU7" s="214"/>
      <c r="QV7" s="214"/>
      <c r="QW7" s="214"/>
      <c r="QX7" s="214"/>
      <c r="QY7" s="214"/>
      <c r="QZ7" s="214"/>
      <c r="RA7" s="214"/>
      <c r="RB7" s="214"/>
      <c r="RC7" s="214"/>
      <c r="RD7" s="214"/>
      <c r="RE7" s="214"/>
      <c r="RF7" s="214"/>
      <c r="RG7" s="214"/>
      <c r="RH7" s="214"/>
      <c r="RI7" s="214"/>
      <c r="RJ7" s="214"/>
      <c r="RK7" s="214"/>
      <c r="RL7" s="214"/>
      <c r="RM7" s="214"/>
      <c r="RN7" s="214"/>
      <c r="RO7" s="214"/>
      <c r="RP7" s="214"/>
      <c r="RQ7" s="214"/>
      <c r="RR7" s="214"/>
      <c r="RS7" s="214"/>
      <c r="RT7" s="214"/>
      <c r="RU7" s="214"/>
      <c r="RV7" s="214"/>
      <c r="RW7" s="214"/>
      <c r="RX7" s="214"/>
      <c r="RY7" s="214"/>
      <c r="RZ7" s="214"/>
      <c r="SA7" s="214"/>
      <c r="SB7" s="214"/>
      <c r="SC7" s="214"/>
      <c r="SD7" s="214"/>
      <c r="SE7" s="214"/>
      <c r="SF7" s="214"/>
      <c r="SG7" s="214"/>
      <c r="SH7" s="214"/>
      <c r="SI7" s="214"/>
      <c r="SJ7" s="214"/>
      <c r="SK7" s="214"/>
      <c r="SL7" s="214"/>
      <c r="SM7" s="214"/>
      <c r="SN7" s="214"/>
      <c r="SO7" s="214"/>
      <c r="SP7" s="214"/>
      <c r="SQ7" s="214"/>
      <c r="SR7" s="214"/>
      <c r="SS7" s="214"/>
      <c r="ST7" s="214"/>
      <c r="SU7" s="214"/>
      <c r="SV7" s="214"/>
      <c r="SW7" s="214"/>
      <c r="SX7" s="214"/>
      <c r="SY7" s="214"/>
      <c r="SZ7" s="214"/>
      <c r="TA7" s="214"/>
      <c r="TB7" s="214"/>
      <c r="TC7" s="214"/>
      <c r="TD7" s="214"/>
      <c r="TE7" s="214"/>
      <c r="TF7" s="214"/>
      <c r="TG7" s="214"/>
      <c r="TH7" s="214"/>
      <c r="TI7" s="214"/>
      <c r="TJ7" s="214"/>
      <c r="TK7" s="214"/>
      <c r="TL7" s="214"/>
      <c r="TM7" s="214"/>
      <c r="TN7" s="214"/>
      <c r="TO7" s="214"/>
      <c r="TP7" s="214"/>
      <c r="TQ7" s="214"/>
      <c r="TR7" s="214"/>
      <c r="TS7" s="214"/>
      <c r="TT7" s="214"/>
      <c r="TU7" s="214"/>
      <c r="TV7" s="214"/>
      <c r="TW7" s="214"/>
      <c r="TX7" s="214"/>
      <c r="TY7" s="214"/>
      <c r="TZ7" s="214"/>
      <c r="UA7" s="214"/>
      <c r="UB7" s="214"/>
      <c r="UC7" s="214"/>
      <c r="UD7" s="214"/>
      <c r="UE7" s="214"/>
      <c r="UF7" s="214"/>
      <c r="UG7" s="214"/>
      <c r="UH7" s="214"/>
      <c r="UI7" s="214"/>
      <c r="UJ7" s="214"/>
      <c r="UK7" s="214"/>
      <c r="UL7" s="214"/>
      <c r="UM7" s="214"/>
      <c r="UN7" s="214"/>
      <c r="UO7" s="214"/>
      <c r="UP7" s="214"/>
      <c r="UQ7" s="214"/>
      <c r="UR7" s="214"/>
      <c r="US7" s="214"/>
      <c r="UT7" s="214"/>
      <c r="UU7" s="214"/>
      <c r="UV7" s="214"/>
      <c r="UW7" s="214"/>
      <c r="UX7" s="214"/>
      <c r="UY7" s="214"/>
      <c r="UZ7" s="214"/>
      <c r="VA7" s="214"/>
      <c r="VB7" s="214"/>
      <c r="VC7" s="214"/>
      <c r="VD7" s="214"/>
      <c r="VE7" s="214"/>
      <c r="VF7" s="214"/>
      <c r="VG7" s="214"/>
      <c r="VH7" s="214"/>
      <c r="VI7" s="214"/>
      <c r="VJ7" s="214"/>
      <c r="VK7" s="214"/>
      <c r="VL7" s="214"/>
      <c r="VM7" s="214"/>
      <c r="VN7" s="214"/>
      <c r="VO7" s="214"/>
      <c r="VP7" s="214"/>
      <c r="VQ7" s="214"/>
      <c r="VR7" s="214"/>
      <c r="VS7" s="214"/>
      <c r="VT7" s="214"/>
      <c r="VU7" s="214"/>
      <c r="VV7" s="214"/>
      <c r="VW7" s="214"/>
      <c r="VX7" s="214"/>
      <c r="VY7" s="214"/>
      <c r="VZ7" s="214"/>
      <c r="WA7" s="214"/>
      <c r="WB7" s="214"/>
      <c r="WC7" s="214"/>
      <c r="WD7" s="214"/>
      <c r="WE7" s="214"/>
      <c r="WF7" s="214"/>
      <c r="WG7" s="214"/>
      <c r="WH7" s="214"/>
      <c r="WI7" s="214"/>
      <c r="WJ7" s="214"/>
      <c r="WK7" s="214"/>
      <c r="WL7" s="214"/>
      <c r="WM7" s="214"/>
      <c r="WN7" s="214"/>
      <c r="WO7" s="214"/>
      <c r="WP7" s="214"/>
      <c r="WQ7" s="214"/>
      <c r="WR7" s="214"/>
      <c r="WS7" s="214"/>
      <c r="WT7" s="214"/>
      <c r="WU7" s="214"/>
      <c r="WV7" s="214"/>
      <c r="WW7" s="214"/>
      <c r="WX7" s="214"/>
      <c r="WY7" s="214"/>
      <c r="WZ7" s="214"/>
      <c r="XA7" s="214"/>
      <c r="XB7" s="214"/>
      <c r="XC7" s="214"/>
      <c r="XD7" s="214"/>
      <c r="XE7" s="214"/>
      <c r="XF7" s="214"/>
      <c r="XG7" s="214"/>
      <c r="XH7" s="214"/>
      <c r="XI7" s="214"/>
      <c r="XJ7" s="214"/>
      <c r="XK7" s="214"/>
      <c r="XL7" s="214"/>
      <c r="XM7" s="214"/>
      <c r="XN7" s="214"/>
      <c r="XO7" s="214"/>
      <c r="XP7" s="214"/>
      <c r="XQ7" s="214"/>
      <c r="XR7" s="214"/>
      <c r="XS7" s="214"/>
      <c r="XT7" s="214"/>
      <c r="XU7" s="214"/>
      <c r="XV7" s="214"/>
      <c r="XW7" s="214"/>
      <c r="XX7" s="214"/>
      <c r="XY7" s="214"/>
      <c r="XZ7" s="214"/>
      <c r="YA7" s="214"/>
      <c r="YB7" s="214"/>
      <c r="YC7" s="214"/>
      <c r="YD7" s="214"/>
      <c r="YE7" s="214"/>
      <c r="YF7" s="214"/>
      <c r="YG7" s="214"/>
      <c r="YH7" s="214"/>
      <c r="YI7" s="214"/>
      <c r="YJ7" s="214"/>
      <c r="YK7" s="214"/>
      <c r="YL7" s="214"/>
      <c r="YM7" s="214"/>
      <c r="YN7" s="214"/>
      <c r="YO7" s="214"/>
      <c r="YP7" s="214"/>
      <c r="YQ7" s="214"/>
      <c r="YR7" s="214"/>
      <c r="YS7" s="214"/>
      <c r="YT7" s="214"/>
      <c r="YU7" s="214"/>
      <c r="YV7" s="214"/>
      <c r="YW7" s="214"/>
      <c r="YX7" s="214"/>
      <c r="YY7" s="214"/>
      <c r="YZ7" s="214"/>
      <c r="ZA7" s="214"/>
      <c r="ZB7" s="214"/>
      <c r="ZC7" s="214"/>
      <c r="ZD7" s="214"/>
      <c r="ZE7" s="214"/>
      <c r="ZF7" s="214"/>
      <c r="ZG7" s="214"/>
      <c r="ZH7" s="214"/>
      <c r="ZI7" s="214"/>
      <c r="ZJ7" s="214"/>
      <c r="ZK7" s="214"/>
      <c r="ZL7" s="214"/>
      <c r="ZM7" s="214"/>
      <c r="ZN7" s="214"/>
      <c r="ZO7" s="214"/>
      <c r="ZP7" s="214"/>
      <c r="ZQ7" s="214"/>
      <c r="ZR7" s="214"/>
      <c r="ZS7" s="214"/>
      <c r="ZT7" s="214"/>
      <c r="ZU7" s="214"/>
      <c r="ZV7" s="214"/>
      <c r="ZW7" s="214"/>
      <c r="ZX7" s="214"/>
      <c r="ZY7" s="214"/>
      <c r="ZZ7" s="214"/>
      <c r="AAA7" s="214"/>
      <c r="AAB7" s="214"/>
      <c r="AAC7" s="214"/>
      <c r="AAD7" s="214"/>
      <c r="AAE7" s="214"/>
      <c r="AAF7" s="214"/>
      <c r="AAG7" s="214"/>
      <c r="AAH7" s="214"/>
      <c r="AAI7" s="214"/>
      <c r="AAJ7" s="214"/>
      <c r="AAK7" s="214"/>
      <c r="AAL7" s="214"/>
      <c r="AAM7" s="214"/>
      <c r="AAN7" s="214"/>
      <c r="AAO7" s="214"/>
      <c r="AAP7" s="214"/>
      <c r="AAQ7" s="214"/>
      <c r="AAR7" s="214"/>
      <c r="AAS7" s="214"/>
      <c r="AAT7" s="214"/>
      <c r="AAU7" s="214"/>
      <c r="AAV7" s="214"/>
      <c r="AAW7" s="214"/>
      <c r="AAX7" s="214"/>
      <c r="AAY7" s="214"/>
      <c r="AAZ7" s="214"/>
      <c r="ABA7" s="214"/>
      <c r="ABB7" s="214"/>
      <c r="ABC7" s="214"/>
      <c r="ABD7" s="214"/>
      <c r="ABE7" s="214"/>
      <c r="ABF7" s="214"/>
      <c r="ABG7" s="214"/>
      <c r="ABH7" s="214"/>
      <c r="ABI7" s="214"/>
      <c r="ABJ7" s="214"/>
      <c r="ABK7" s="214"/>
      <c r="ABL7" s="214"/>
      <c r="ABM7" s="214"/>
      <c r="ABN7" s="214"/>
      <c r="ABO7" s="214"/>
      <c r="ABP7" s="214"/>
      <c r="ABQ7" s="214"/>
      <c r="ABR7" s="214"/>
      <c r="ABS7" s="214"/>
      <c r="ABT7" s="214"/>
      <c r="ABU7" s="214"/>
      <c r="ABV7" s="214"/>
      <c r="ABW7" s="214"/>
      <c r="ABX7" s="214"/>
      <c r="ABY7" s="214"/>
      <c r="ABZ7" s="214"/>
      <c r="ACA7" s="214"/>
      <c r="ACB7" s="214"/>
      <c r="ACC7" s="214"/>
      <c r="ACD7" s="214"/>
      <c r="ACE7" s="214"/>
      <c r="ACF7" s="214"/>
      <c r="ACG7" s="214"/>
      <c r="ACH7" s="214"/>
      <c r="ACI7" s="214"/>
      <c r="ACJ7" s="214"/>
      <c r="ACK7" s="214"/>
      <c r="ACL7" s="214"/>
      <c r="ACM7" s="214"/>
      <c r="ACN7" s="214"/>
      <c r="ACO7" s="214"/>
      <c r="ACP7" s="214"/>
      <c r="ACQ7" s="214"/>
      <c r="ACR7" s="214"/>
      <c r="ACS7" s="214"/>
      <c r="ACT7" s="214"/>
      <c r="ACU7" s="214"/>
      <c r="ACV7" s="214"/>
      <c r="ACW7" s="214"/>
      <c r="ACX7" s="214"/>
      <c r="ACY7" s="214"/>
      <c r="ACZ7" s="214"/>
      <c r="ADA7" s="214"/>
      <c r="ADB7" s="214"/>
      <c r="ADC7" s="214"/>
      <c r="ADD7" s="214"/>
      <c r="ADE7" s="214"/>
      <c r="ADF7" s="214"/>
      <c r="ADG7" s="214"/>
      <c r="ADH7" s="214"/>
      <c r="ADI7" s="214"/>
      <c r="ADJ7" s="214"/>
      <c r="ADK7" s="214"/>
      <c r="ADL7" s="214"/>
      <c r="ADM7" s="214"/>
      <c r="ADN7" s="214"/>
      <c r="ADO7" s="214"/>
      <c r="ADP7" s="214"/>
      <c r="ADQ7" s="214"/>
      <c r="ADR7" s="214"/>
      <c r="ADS7" s="214"/>
      <c r="ADT7" s="214"/>
      <c r="ADU7" s="214"/>
      <c r="ADV7" s="214"/>
      <c r="ADW7" s="214"/>
      <c r="ADX7" s="214"/>
      <c r="ADY7" s="214"/>
      <c r="ADZ7" s="214"/>
      <c r="AEA7" s="214"/>
      <c r="AEB7" s="214"/>
      <c r="AEC7" s="214"/>
      <c r="AED7" s="214"/>
      <c r="AEE7" s="214"/>
      <c r="AEF7" s="214"/>
      <c r="AEG7" s="214"/>
      <c r="AEH7" s="214"/>
      <c r="AEI7" s="214"/>
      <c r="AEJ7" s="214"/>
      <c r="AEK7" s="214"/>
      <c r="AEL7" s="214"/>
      <c r="AEM7" s="214"/>
      <c r="AEN7" s="214"/>
      <c r="AEO7" s="214"/>
      <c r="AEP7" s="214"/>
      <c r="AEQ7" s="214"/>
      <c r="AER7" s="214"/>
      <c r="AES7" s="214"/>
      <c r="AET7" s="214"/>
      <c r="AEU7" s="214"/>
      <c r="AEV7" s="214"/>
      <c r="AEW7" s="214"/>
      <c r="AEX7" s="214"/>
      <c r="AEY7" s="214"/>
      <c r="AEZ7" s="214"/>
      <c r="AFA7" s="214"/>
      <c r="AFB7" s="214"/>
      <c r="AFC7" s="214"/>
      <c r="AFD7" s="214"/>
      <c r="AFE7" s="214"/>
      <c r="AFF7" s="214"/>
      <c r="AFG7" s="214"/>
      <c r="AFH7" s="214"/>
      <c r="AFI7" s="214"/>
      <c r="AFJ7" s="214"/>
      <c r="AFK7" s="214"/>
      <c r="AFL7" s="214"/>
      <c r="AFM7" s="214"/>
      <c r="AFN7" s="214"/>
      <c r="AFO7" s="214"/>
      <c r="AFP7" s="214"/>
      <c r="AFQ7" s="214"/>
      <c r="AFR7" s="214"/>
      <c r="AFS7" s="214"/>
      <c r="AFT7" s="214"/>
      <c r="AFU7" s="214"/>
      <c r="AFV7" s="214"/>
      <c r="AFW7" s="214"/>
      <c r="AFX7" s="214"/>
      <c r="AFY7" s="214"/>
      <c r="AFZ7" s="214"/>
      <c r="AGA7" s="214"/>
      <c r="AGB7" s="214"/>
      <c r="AGC7" s="214"/>
      <c r="AGD7" s="214"/>
      <c r="AGE7" s="214"/>
      <c r="AGF7" s="214"/>
      <c r="AGG7" s="214"/>
      <c r="AGH7" s="214"/>
      <c r="AGI7" s="214"/>
      <c r="AGJ7" s="214"/>
      <c r="AGK7" s="214"/>
      <c r="AGL7" s="214"/>
      <c r="AGM7" s="214"/>
      <c r="AGN7" s="214"/>
      <c r="AGO7" s="214"/>
      <c r="AGP7" s="214"/>
      <c r="AGQ7" s="214"/>
      <c r="AGR7" s="214"/>
      <c r="AGS7" s="214"/>
      <c r="AGT7" s="214"/>
      <c r="AGU7" s="214"/>
      <c r="AGV7" s="214"/>
      <c r="AGW7" s="214"/>
      <c r="AGX7" s="214"/>
      <c r="AGY7" s="214"/>
      <c r="AGZ7" s="214"/>
      <c r="AHA7" s="214"/>
      <c r="AHB7" s="214"/>
      <c r="AHC7" s="214"/>
      <c r="AHD7" s="214"/>
      <c r="AHE7" s="214"/>
      <c r="AHF7" s="214"/>
      <c r="AHG7" s="214"/>
      <c r="AHH7" s="214"/>
      <c r="AHI7" s="214"/>
      <c r="AHJ7" s="214"/>
      <c r="AHK7" s="214"/>
      <c r="AHL7" s="214"/>
      <c r="AHM7" s="214"/>
      <c r="AHN7" s="214"/>
      <c r="AHO7" s="214"/>
      <c r="AHP7" s="214"/>
      <c r="AHQ7" s="214"/>
      <c r="AHR7" s="214"/>
      <c r="AHS7" s="214"/>
      <c r="AHT7" s="214"/>
      <c r="AHU7" s="214"/>
      <c r="AHV7" s="214"/>
      <c r="AHW7" s="214"/>
      <c r="AHX7" s="214"/>
      <c r="AHY7" s="214"/>
      <c r="AHZ7" s="214"/>
      <c r="AIA7" s="214"/>
      <c r="AIB7" s="214"/>
      <c r="AIC7" s="214"/>
      <c r="AID7" s="214"/>
      <c r="AIE7" s="214"/>
      <c r="AIF7" s="214"/>
      <c r="AIG7" s="214"/>
      <c r="AIH7" s="214"/>
      <c r="AII7" s="214"/>
      <c r="AIJ7" s="214"/>
      <c r="AIK7" s="214"/>
      <c r="AIL7" s="214"/>
      <c r="AIM7" s="214"/>
      <c r="AIN7" s="214"/>
      <c r="AIO7" s="214"/>
      <c r="AIP7" s="214"/>
      <c r="AIQ7" s="214"/>
      <c r="AIR7" s="214"/>
      <c r="AIS7" s="214"/>
      <c r="AIT7" s="214"/>
      <c r="AIU7" s="214"/>
      <c r="AIV7" s="214"/>
      <c r="AIW7" s="214"/>
      <c r="AIX7" s="214"/>
      <c r="AIY7" s="214"/>
      <c r="AIZ7" s="214"/>
      <c r="AJA7" s="214"/>
      <c r="AJB7" s="214"/>
      <c r="AJC7" s="214"/>
      <c r="AJD7" s="214"/>
      <c r="AJE7" s="214"/>
      <c r="AJF7" s="214"/>
      <c r="AJG7" s="214"/>
      <c r="AJH7" s="214"/>
      <c r="AJI7" s="214"/>
      <c r="AJJ7" s="214"/>
      <c r="AJK7" s="214"/>
      <c r="AJL7" s="214"/>
      <c r="AJM7" s="214"/>
      <c r="AJN7" s="214"/>
      <c r="AJO7" s="214"/>
      <c r="AJP7" s="214"/>
      <c r="AJQ7" s="214"/>
      <c r="AJR7" s="214"/>
      <c r="AJS7" s="214"/>
      <c r="AJT7" s="214"/>
      <c r="AJU7" s="214"/>
      <c r="AJV7" s="214"/>
      <c r="AJW7" s="214"/>
      <c r="AJX7" s="214"/>
      <c r="AJY7" s="214"/>
      <c r="AJZ7" s="214"/>
      <c r="AKA7" s="214"/>
      <c r="AKB7" s="214"/>
      <c r="AKC7" s="214"/>
      <c r="AKD7" s="214"/>
      <c r="AKE7" s="214"/>
      <c r="AKF7" s="214"/>
      <c r="AKG7" s="214"/>
      <c r="AKH7" s="214"/>
      <c r="AKI7" s="214"/>
      <c r="AKJ7" s="214"/>
      <c r="AKK7" s="214"/>
      <c r="AKL7" s="214"/>
      <c r="AKM7" s="214"/>
      <c r="AKN7" s="214"/>
      <c r="AKO7" s="214"/>
      <c r="AKP7" s="214"/>
      <c r="AKQ7" s="214"/>
      <c r="AKR7" s="214"/>
      <c r="AKS7" s="214"/>
      <c r="AKT7" s="214"/>
      <c r="AKU7" s="214"/>
      <c r="AKV7" s="214"/>
      <c r="AKW7" s="214"/>
      <c r="AKX7" s="214"/>
      <c r="AKY7" s="214"/>
      <c r="AKZ7" s="214"/>
      <c r="ALA7" s="214"/>
      <c r="ALB7" s="214"/>
      <c r="ALC7" s="214"/>
      <c r="ALD7" s="214"/>
      <c r="ALE7" s="214"/>
      <c r="ALF7" s="214"/>
      <c r="ALG7" s="214"/>
      <c r="ALH7" s="214"/>
      <c r="ALI7" s="214"/>
      <c r="ALJ7" s="214"/>
      <c r="ALK7" s="214"/>
      <c r="ALL7" s="214"/>
      <c r="ALM7" s="214"/>
      <c r="ALN7" s="214"/>
      <c r="ALO7" s="214"/>
      <c r="ALP7" s="214"/>
      <c r="ALQ7" s="214"/>
      <c r="ALR7" s="214"/>
      <c r="ALS7" s="214"/>
      <c r="ALT7" s="214"/>
      <c r="ALU7" s="214"/>
      <c r="ALV7" s="214"/>
      <c r="ALW7" s="214"/>
      <c r="ALX7" s="214"/>
      <c r="ALY7" s="214"/>
      <c r="ALZ7" s="214"/>
      <c r="AMA7" s="214"/>
      <c r="AMB7" s="214"/>
      <c r="AMC7" s="214"/>
      <c r="AMD7" s="214"/>
      <c r="AME7" s="214"/>
      <c r="AMF7" s="214"/>
      <c r="AMG7" s="214"/>
      <c r="AMH7" s="214"/>
      <c r="AMI7" s="214"/>
      <c r="AMJ7" s="214"/>
      <c r="AMK7" s="214"/>
      <c r="AML7" s="214"/>
      <c r="AMM7" s="214"/>
      <c r="AMN7" s="214"/>
      <c r="AMO7" s="214"/>
      <c r="AMP7" s="214"/>
      <c r="AMQ7" s="214"/>
      <c r="AMR7" s="214"/>
      <c r="AMS7" s="214"/>
      <c r="AMT7" s="214"/>
      <c r="AMU7" s="214"/>
      <c r="AMV7" s="214"/>
      <c r="AMW7" s="214"/>
      <c r="AMX7" s="214"/>
      <c r="AMY7" s="214"/>
      <c r="AMZ7" s="214"/>
      <c r="ANA7" s="214"/>
      <c r="ANB7" s="214"/>
      <c r="ANC7" s="214"/>
      <c r="AND7" s="214"/>
      <c r="ANE7" s="214"/>
      <c r="ANF7" s="214"/>
      <c r="ANG7" s="214"/>
      <c r="ANH7" s="214"/>
      <c r="ANI7" s="214"/>
      <c r="ANJ7" s="214"/>
      <c r="ANK7" s="214"/>
      <c r="ANL7" s="214"/>
      <c r="ANM7" s="214"/>
      <c r="ANN7" s="214"/>
      <c r="ANO7" s="214"/>
      <c r="ANP7" s="214"/>
      <c r="ANQ7" s="214"/>
      <c r="ANR7" s="214"/>
      <c r="ANS7" s="214"/>
      <c r="ANT7" s="214"/>
      <c r="ANU7" s="214"/>
      <c r="ANV7" s="214"/>
      <c r="ANW7" s="214"/>
      <c r="ANX7" s="214"/>
      <c r="ANY7" s="214"/>
      <c r="ANZ7" s="214"/>
      <c r="AOA7" s="214"/>
      <c r="AOB7" s="214"/>
      <c r="AOC7" s="214"/>
      <c r="AOD7" s="214"/>
      <c r="AOE7" s="214"/>
      <c r="AOF7" s="214"/>
      <c r="AOG7" s="214"/>
      <c r="AOH7" s="214"/>
      <c r="AOI7" s="214"/>
      <c r="AOJ7" s="214"/>
      <c r="AOK7" s="214"/>
      <c r="AOL7" s="214"/>
      <c r="AOM7" s="214"/>
      <c r="AON7" s="214"/>
      <c r="AOO7" s="214"/>
      <c r="AOP7" s="214"/>
      <c r="AOQ7" s="214"/>
      <c r="AOR7" s="214"/>
      <c r="AOS7" s="214"/>
      <c r="AOT7" s="214"/>
      <c r="AOU7" s="214"/>
      <c r="AOV7" s="214"/>
      <c r="AOW7" s="214"/>
      <c r="AOX7" s="214"/>
      <c r="AOY7" s="214"/>
      <c r="AOZ7" s="214"/>
      <c r="APA7" s="214"/>
      <c r="APB7" s="214"/>
      <c r="APC7" s="214"/>
      <c r="APD7" s="214"/>
      <c r="APE7" s="214"/>
      <c r="APF7" s="214"/>
      <c r="APG7" s="214"/>
      <c r="APH7" s="214"/>
      <c r="API7" s="214"/>
      <c r="APJ7" s="214"/>
      <c r="APK7" s="214"/>
      <c r="APL7" s="214"/>
      <c r="APM7" s="214"/>
      <c r="APN7" s="214"/>
      <c r="APO7" s="214"/>
      <c r="APP7" s="214"/>
      <c r="APQ7" s="214"/>
      <c r="APR7" s="214"/>
      <c r="APS7" s="214"/>
      <c r="APT7" s="214"/>
      <c r="APU7" s="214"/>
      <c r="APV7" s="214"/>
      <c r="APW7" s="214"/>
      <c r="APX7" s="214"/>
      <c r="APY7" s="214"/>
      <c r="APZ7" s="214"/>
      <c r="AQA7" s="214"/>
      <c r="AQB7" s="214"/>
      <c r="AQC7" s="214"/>
      <c r="AQD7" s="214"/>
      <c r="AQE7" s="214"/>
      <c r="AQF7" s="214"/>
      <c r="AQG7" s="214"/>
      <c r="AQH7" s="214"/>
      <c r="AQI7" s="214"/>
      <c r="AQJ7" s="214"/>
      <c r="AQK7" s="214"/>
      <c r="AQL7" s="214"/>
      <c r="AQM7" s="214"/>
      <c r="AQN7" s="214"/>
      <c r="AQO7" s="214"/>
      <c r="AQP7" s="214"/>
      <c r="AQQ7" s="214"/>
      <c r="AQR7" s="214"/>
      <c r="AQS7" s="214"/>
      <c r="AQT7" s="214"/>
      <c r="AQU7" s="214"/>
      <c r="AQV7" s="214"/>
      <c r="AQW7" s="214"/>
      <c r="AQX7" s="214"/>
      <c r="AQY7" s="214"/>
      <c r="AQZ7" s="214"/>
      <c r="ARA7" s="214"/>
      <c r="ARB7" s="214"/>
      <c r="ARC7" s="214"/>
      <c r="ARD7" s="214"/>
      <c r="ARE7" s="214"/>
      <c r="ARF7" s="214"/>
      <c r="ARG7" s="214"/>
      <c r="ARH7" s="214"/>
      <c r="ARI7" s="214"/>
      <c r="ARJ7" s="214"/>
      <c r="ARK7" s="214"/>
      <c r="ARL7" s="214"/>
      <c r="ARM7" s="214"/>
      <c r="ARN7" s="214"/>
      <c r="ARO7" s="214"/>
      <c r="ARP7" s="214"/>
      <c r="ARQ7" s="214"/>
      <c r="ARR7" s="214"/>
      <c r="ARS7" s="214"/>
      <c r="ART7" s="214"/>
      <c r="ARU7" s="214"/>
      <c r="ARV7" s="214"/>
      <c r="ARW7" s="214"/>
      <c r="ARX7" s="214"/>
      <c r="ARY7" s="214"/>
      <c r="ARZ7" s="214"/>
      <c r="ASA7" s="214"/>
      <c r="ASB7" s="214"/>
      <c r="ASC7" s="214"/>
      <c r="ASD7" s="214"/>
      <c r="ASE7" s="214"/>
      <c r="ASF7" s="214"/>
      <c r="ASG7" s="214"/>
      <c r="ASH7" s="214"/>
      <c r="ASI7" s="214"/>
      <c r="ASJ7" s="214"/>
      <c r="ASK7" s="214"/>
      <c r="ASL7" s="214"/>
      <c r="ASM7" s="214"/>
      <c r="ASN7" s="214"/>
      <c r="ASO7" s="214"/>
      <c r="ASP7" s="214"/>
      <c r="ASQ7" s="214"/>
      <c r="ASR7" s="214"/>
      <c r="ASS7" s="214"/>
      <c r="AST7" s="214"/>
      <c r="ASU7" s="214"/>
      <c r="ASV7" s="214"/>
      <c r="ASW7" s="214"/>
      <c r="ASX7" s="214"/>
      <c r="ASY7" s="214"/>
      <c r="ASZ7" s="214"/>
      <c r="ATA7" s="214"/>
      <c r="ATB7" s="214"/>
      <c r="ATC7" s="214"/>
      <c r="ATD7" s="214"/>
      <c r="ATE7" s="214"/>
      <c r="ATF7" s="214"/>
      <c r="ATG7" s="214"/>
      <c r="ATH7" s="214"/>
      <c r="ATI7" s="214"/>
      <c r="ATJ7" s="214"/>
      <c r="ATK7" s="214"/>
      <c r="ATL7" s="214"/>
      <c r="ATM7" s="214"/>
      <c r="ATN7" s="214"/>
      <c r="ATO7" s="214"/>
      <c r="ATP7" s="214"/>
      <c r="ATQ7" s="214"/>
      <c r="ATR7" s="214"/>
      <c r="ATS7" s="214"/>
      <c r="ATT7" s="214"/>
      <c r="ATU7" s="214"/>
      <c r="ATV7" s="214"/>
      <c r="ATW7" s="214"/>
      <c r="ATX7" s="214"/>
      <c r="ATY7" s="214"/>
      <c r="ATZ7" s="214"/>
      <c r="AUA7" s="214"/>
      <c r="AUB7" s="214"/>
      <c r="AUC7" s="214"/>
      <c r="AUD7" s="214"/>
      <c r="AUE7" s="214"/>
      <c r="AUF7" s="214"/>
      <c r="AUG7" s="214"/>
      <c r="AUH7" s="214"/>
      <c r="AUI7" s="214"/>
      <c r="AUJ7" s="214"/>
      <c r="AUK7" s="214"/>
      <c r="AUL7" s="214"/>
      <c r="AUM7" s="214"/>
      <c r="AUN7" s="214"/>
      <c r="AUO7" s="214"/>
      <c r="AUP7" s="214"/>
      <c r="AUQ7" s="214"/>
      <c r="AUR7" s="214"/>
      <c r="AUS7" s="214"/>
      <c r="AUT7" s="214"/>
      <c r="AUU7" s="214"/>
      <c r="AUV7" s="214"/>
      <c r="AUW7" s="214"/>
      <c r="AUX7" s="214"/>
      <c r="AUY7" s="214"/>
      <c r="AUZ7" s="214"/>
      <c r="AVA7" s="214"/>
      <c r="AVB7" s="214"/>
      <c r="AVC7" s="214"/>
      <c r="AVD7" s="214"/>
      <c r="AVE7" s="214"/>
      <c r="AVF7" s="214"/>
      <c r="AVG7" s="214"/>
      <c r="AVH7" s="214"/>
      <c r="AVI7" s="214"/>
      <c r="AVJ7" s="214"/>
      <c r="AVK7" s="214"/>
      <c r="AVL7" s="214"/>
      <c r="AVM7" s="214"/>
      <c r="AVN7" s="214"/>
      <c r="AVO7" s="214"/>
      <c r="AVP7" s="214"/>
      <c r="AVQ7" s="214"/>
      <c r="AVR7" s="214"/>
      <c r="AVS7" s="214"/>
      <c r="AVT7" s="214"/>
      <c r="AVU7" s="214"/>
      <c r="AVV7" s="214"/>
      <c r="AVW7" s="214"/>
      <c r="AVX7" s="214"/>
      <c r="AVY7" s="214"/>
      <c r="AVZ7" s="214"/>
      <c r="AWA7" s="214"/>
      <c r="AWB7" s="214"/>
      <c r="AWC7" s="214"/>
      <c r="AWD7" s="214"/>
      <c r="AWE7" s="214"/>
      <c r="AWF7" s="214"/>
      <c r="AWG7" s="214"/>
      <c r="AWH7" s="214"/>
      <c r="AWI7" s="214"/>
      <c r="AWJ7" s="214"/>
      <c r="AWK7" s="214"/>
      <c r="AWL7" s="214"/>
      <c r="AWM7" s="214"/>
      <c r="AWN7" s="214"/>
      <c r="AWO7" s="214"/>
      <c r="AWP7" s="214"/>
      <c r="AWQ7" s="214"/>
      <c r="AWR7" s="214"/>
      <c r="AWS7" s="214"/>
      <c r="AWT7" s="214"/>
      <c r="AWU7" s="214"/>
      <c r="AWV7" s="214"/>
      <c r="AWW7" s="214"/>
      <c r="AWX7" s="214"/>
      <c r="AWY7" s="214"/>
      <c r="AWZ7" s="214"/>
      <c r="AXA7" s="214"/>
      <c r="AXB7" s="214"/>
      <c r="AXC7" s="214"/>
      <c r="AXD7" s="214"/>
      <c r="AXE7" s="214"/>
      <c r="AXF7" s="214"/>
      <c r="AXG7" s="214"/>
      <c r="AXH7" s="214"/>
      <c r="AXI7" s="214"/>
      <c r="AXJ7" s="214"/>
      <c r="AXK7" s="214"/>
      <c r="AXL7" s="214"/>
      <c r="AXM7" s="214"/>
      <c r="AXN7" s="214"/>
      <c r="AXO7" s="214"/>
      <c r="AXP7" s="214"/>
      <c r="AXQ7" s="214"/>
      <c r="AXR7" s="214"/>
      <c r="AXS7" s="214"/>
      <c r="AXT7" s="214"/>
      <c r="AXU7" s="214"/>
      <c r="AXV7" s="214"/>
      <c r="AXW7" s="214"/>
      <c r="AXX7" s="214"/>
      <c r="AXY7" s="214"/>
      <c r="AXZ7" s="214"/>
      <c r="AYA7" s="214"/>
      <c r="AYB7" s="214"/>
      <c r="AYC7" s="214"/>
      <c r="AYD7" s="214"/>
      <c r="AYE7" s="214"/>
      <c r="AYF7" s="214"/>
      <c r="AYG7" s="214"/>
      <c r="AYH7" s="214"/>
      <c r="AYI7" s="214"/>
      <c r="AYJ7" s="214"/>
      <c r="AYK7" s="214"/>
      <c r="AYL7" s="214"/>
      <c r="AYM7" s="214"/>
      <c r="AYN7" s="214"/>
      <c r="AYO7" s="214"/>
      <c r="AYP7" s="214"/>
      <c r="AYQ7" s="214"/>
      <c r="AYR7" s="214"/>
      <c r="AYS7" s="214"/>
      <c r="AYT7" s="214"/>
      <c r="AYU7" s="214"/>
      <c r="AYV7" s="214"/>
      <c r="AYW7" s="214"/>
      <c r="AYX7" s="214"/>
      <c r="AYY7" s="214"/>
      <c r="AYZ7" s="214"/>
      <c r="AZA7" s="214"/>
      <c r="AZB7" s="214"/>
      <c r="AZC7" s="214"/>
      <c r="AZD7" s="214"/>
      <c r="AZE7" s="214"/>
      <c r="AZF7" s="214"/>
      <c r="AZG7" s="214"/>
      <c r="AZH7" s="214"/>
      <c r="AZI7" s="214"/>
      <c r="AZJ7" s="214"/>
      <c r="AZK7" s="214"/>
      <c r="AZL7" s="214"/>
      <c r="AZM7" s="214"/>
      <c r="AZN7" s="214"/>
      <c r="AZO7" s="214"/>
      <c r="AZP7" s="214"/>
      <c r="AZQ7" s="214"/>
      <c r="AZR7" s="214"/>
      <c r="AZS7" s="214"/>
      <c r="AZT7" s="214"/>
      <c r="AZU7" s="214"/>
      <c r="AZV7" s="214"/>
      <c r="AZW7" s="214"/>
      <c r="AZX7" s="214"/>
      <c r="AZY7" s="214"/>
      <c r="AZZ7" s="214"/>
      <c r="BAA7" s="214"/>
      <c r="BAB7" s="214"/>
      <c r="BAC7" s="214"/>
      <c r="BAD7" s="214"/>
      <c r="BAE7" s="214"/>
      <c r="BAF7" s="214"/>
      <c r="BAG7" s="214"/>
      <c r="BAH7" s="214"/>
      <c r="BAI7" s="214"/>
      <c r="BAJ7" s="214"/>
      <c r="BAK7" s="214"/>
      <c r="BAL7" s="214"/>
      <c r="BAM7" s="214"/>
      <c r="BAN7" s="214"/>
      <c r="BAO7" s="214"/>
      <c r="BAP7" s="214"/>
      <c r="BAQ7" s="214"/>
      <c r="BAR7" s="214"/>
      <c r="BAS7" s="214"/>
      <c r="BAT7" s="214"/>
      <c r="BAU7" s="214"/>
      <c r="BAV7" s="214"/>
      <c r="BAW7" s="214"/>
      <c r="BAX7" s="214"/>
      <c r="BAY7" s="214"/>
      <c r="BAZ7" s="214"/>
      <c r="BBA7" s="214"/>
      <c r="BBB7" s="214"/>
      <c r="BBC7" s="214"/>
      <c r="BBD7" s="214"/>
      <c r="BBE7" s="214"/>
      <c r="BBF7" s="214"/>
      <c r="BBG7" s="214"/>
      <c r="BBH7" s="214"/>
      <c r="BBI7" s="214"/>
      <c r="BBJ7" s="214"/>
      <c r="BBK7" s="214"/>
      <c r="BBL7" s="214"/>
      <c r="BBM7" s="214"/>
      <c r="BBN7" s="214"/>
      <c r="BBO7" s="214"/>
      <c r="BBP7" s="214"/>
      <c r="BBQ7" s="214"/>
      <c r="BBR7" s="214"/>
      <c r="BBS7" s="214"/>
      <c r="BBT7" s="214"/>
      <c r="BBU7" s="214"/>
      <c r="BBV7" s="214"/>
      <c r="BBW7" s="214"/>
      <c r="BBX7" s="214"/>
      <c r="BBY7" s="214"/>
      <c r="BBZ7" s="214"/>
      <c r="BCA7" s="214"/>
      <c r="BCB7" s="214"/>
      <c r="BCC7" s="214"/>
      <c r="BCD7" s="214"/>
      <c r="BCE7" s="214"/>
      <c r="BCF7" s="214"/>
      <c r="BCG7" s="214"/>
      <c r="BCH7" s="214"/>
      <c r="BCI7" s="214"/>
      <c r="BCJ7" s="214"/>
      <c r="BCK7" s="214"/>
      <c r="BCL7" s="214"/>
      <c r="BCM7" s="214"/>
      <c r="BCN7" s="214"/>
      <c r="BCO7" s="214"/>
      <c r="BCP7" s="214"/>
      <c r="BCQ7" s="214"/>
      <c r="BCR7" s="214"/>
      <c r="BCS7" s="214"/>
      <c r="BCT7" s="214"/>
      <c r="BCU7" s="214"/>
      <c r="BCV7" s="214"/>
      <c r="BCW7" s="214"/>
      <c r="BCX7" s="214"/>
      <c r="BCY7" s="214"/>
      <c r="BCZ7" s="214"/>
      <c r="BDA7" s="214"/>
      <c r="BDB7" s="214"/>
      <c r="BDC7" s="214"/>
      <c r="BDD7" s="214"/>
      <c r="BDE7" s="214"/>
      <c r="BDF7" s="214"/>
      <c r="BDG7" s="214"/>
      <c r="BDH7" s="214"/>
      <c r="BDI7" s="214"/>
      <c r="BDJ7" s="214"/>
      <c r="BDK7" s="214"/>
      <c r="BDL7" s="214"/>
      <c r="BDM7" s="214"/>
      <c r="BDN7" s="214"/>
      <c r="BDO7" s="214"/>
      <c r="BDP7" s="214"/>
      <c r="BDQ7" s="214"/>
      <c r="BDR7" s="214"/>
      <c r="BDS7" s="214"/>
      <c r="BDT7" s="214"/>
      <c r="BDU7" s="214"/>
      <c r="BDV7" s="214"/>
      <c r="BDW7" s="214"/>
      <c r="BDX7" s="214"/>
      <c r="BDY7" s="214"/>
      <c r="BDZ7" s="214"/>
      <c r="BEA7" s="214"/>
      <c r="BEB7" s="214"/>
      <c r="BEC7" s="214"/>
      <c r="BED7" s="214"/>
      <c r="BEE7" s="214"/>
      <c r="BEF7" s="214"/>
      <c r="BEG7" s="214"/>
      <c r="BEH7" s="214"/>
      <c r="BEI7" s="214"/>
      <c r="BEJ7" s="214"/>
      <c r="BEK7" s="214"/>
      <c r="BEL7" s="214"/>
      <c r="BEM7" s="214"/>
      <c r="BEN7" s="214"/>
      <c r="BEO7" s="214"/>
      <c r="BEP7" s="214"/>
      <c r="BEQ7" s="214"/>
      <c r="BER7" s="214"/>
      <c r="BES7" s="214"/>
      <c r="BET7" s="214"/>
      <c r="BEU7" s="214"/>
      <c r="BEV7" s="214"/>
      <c r="BEW7" s="214"/>
      <c r="BEX7" s="214"/>
      <c r="BEY7" s="214"/>
      <c r="BEZ7" s="214"/>
      <c r="BFA7" s="214"/>
      <c r="BFB7" s="214"/>
      <c r="BFC7" s="214"/>
      <c r="BFD7" s="214"/>
      <c r="BFE7" s="214"/>
      <c r="BFF7" s="214"/>
      <c r="BFG7" s="214"/>
      <c r="BFH7" s="214"/>
      <c r="BFI7" s="214"/>
      <c r="BFJ7" s="214"/>
      <c r="BFK7" s="214"/>
      <c r="BFL7" s="214"/>
      <c r="BFM7" s="214"/>
      <c r="BFN7" s="214"/>
      <c r="BFO7" s="214"/>
      <c r="BFP7" s="214"/>
      <c r="BFQ7" s="214"/>
      <c r="BFR7" s="214"/>
      <c r="BFS7" s="214"/>
      <c r="BFT7" s="214"/>
      <c r="BFU7" s="214"/>
      <c r="BFV7" s="214"/>
      <c r="BFW7" s="214"/>
      <c r="BFX7" s="214"/>
      <c r="BFY7" s="214"/>
      <c r="BFZ7" s="214"/>
      <c r="BGA7" s="214"/>
      <c r="BGB7" s="214"/>
      <c r="BGC7" s="214"/>
      <c r="BGD7" s="214"/>
      <c r="BGE7" s="214"/>
      <c r="BGF7" s="214"/>
      <c r="BGG7" s="214"/>
      <c r="BGH7" s="214"/>
      <c r="BGI7" s="214"/>
      <c r="BGJ7" s="214"/>
      <c r="BGK7" s="214"/>
      <c r="BGL7" s="214"/>
      <c r="BGM7" s="214"/>
      <c r="BGN7" s="214"/>
      <c r="BGO7" s="214"/>
      <c r="BGP7" s="214"/>
      <c r="BGQ7" s="214"/>
      <c r="BGR7" s="214"/>
      <c r="BGS7" s="214"/>
      <c r="BGT7" s="214"/>
      <c r="BGU7" s="214"/>
      <c r="BGV7" s="214"/>
      <c r="BGW7" s="214"/>
      <c r="BGX7" s="214"/>
      <c r="BGY7" s="214"/>
      <c r="BGZ7" s="214"/>
      <c r="BHA7" s="214"/>
      <c r="BHB7" s="214"/>
      <c r="BHC7" s="214"/>
      <c r="BHD7" s="214"/>
      <c r="BHE7" s="214"/>
      <c r="BHF7" s="214"/>
      <c r="BHG7" s="214"/>
      <c r="BHH7" s="214"/>
      <c r="BHI7" s="214"/>
      <c r="BHJ7" s="214"/>
      <c r="BHK7" s="214"/>
      <c r="BHL7" s="214"/>
      <c r="BHM7" s="214"/>
      <c r="BHN7" s="214"/>
      <c r="BHO7" s="214"/>
      <c r="BHP7" s="214"/>
      <c r="BHQ7" s="214"/>
      <c r="BHR7" s="214"/>
      <c r="BHS7" s="214"/>
      <c r="BHT7" s="214"/>
      <c r="BHU7" s="214"/>
      <c r="BHV7" s="214"/>
      <c r="BHW7" s="214"/>
    </row>
    <row r="8" spans="1:1583" s="217" customFormat="1">
      <c r="A8" s="252" t="s">
        <v>12</v>
      </c>
      <c r="B8" s="180" t="s">
        <v>346</v>
      </c>
      <c r="C8" s="416" t="s">
        <v>468</v>
      </c>
      <c r="D8" s="435" t="s">
        <v>468</v>
      </c>
      <c r="E8" s="59" t="s">
        <v>9</v>
      </c>
      <c r="F8" s="132">
        <v>407.9</v>
      </c>
      <c r="G8" s="60" t="s">
        <v>665</v>
      </c>
      <c r="H8" s="473">
        <f t="shared" si="1"/>
        <v>10190.959153213013</v>
      </c>
      <c r="I8" s="92">
        <f>VLOOKUP($B8,'DCS Data'!$E$2:$AJ$100,MATCH('Daily Report'!I$1,'DCS Data'!$E$2:$AJ$2,0),0)</f>
        <v>296.67808836044503</v>
      </c>
      <c r="J8" s="255"/>
      <c r="K8" s="92">
        <f>VLOOKUP($B8,'DCS Data'!$E$2:$AJ$100,MATCH('Daily Report'!K$1,'DCS Data'!$E$2:$AJ$2,0),0)</f>
        <v>321.3066295730016</v>
      </c>
      <c r="L8" s="92">
        <f>VLOOKUP($B8,'DCS Data'!$E$2:$AJ$100,MATCH('Daily Report'!L$1,'DCS Data'!$E$2:$AJ$2,0),0)</f>
        <v>320.61101757560783</v>
      </c>
      <c r="M8" s="92">
        <f>VLOOKUP($B8,'DCS Data'!$E$2:$AJ$100,MATCH('Daily Report'!M$1,'DCS Data'!$E$2:$AJ$2,0),0)</f>
        <v>319.78335665120426</v>
      </c>
      <c r="N8" s="92">
        <f>VLOOKUP($B8,'DCS Data'!$E$2:$AJ$100,MATCH('Daily Report'!N$1,'DCS Data'!$E$2:$AJ$2,0),0)</f>
        <v>323.75165135323715</v>
      </c>
      <c r="O8" s="92">
        <f>VLOOKUP($B8,'DCS Data'!$E$2:$AJ$100,MATCH('Daily Report'!O$1,'DCS Data'!$E$2:$AJ$2,0),0)</f>
        <v>331.00161441466258</v>
      </c>
      <c r="P8" s="92">
        <f>VLOOKUP($B8,'DCS Data'!$E$2:$AJ$100,MATCH('Daily Report'!P$1,'DCS Data'!$E$2:$AJ$2,0),0)</f>
        <v>330.32327918568217</v>
      </c>
      <c r="Q8" s="92">
        <f>VLOOKUP($B8,'DCS Data'!$E$2:$AJ$100,MATCH('Daily Report'!Q$1,'DCS Data'!$E$2:$AJ$2,0),0)</f>
        <v>328.08213210285402</v>
      </c>
      <c r="R8" s="92">
        <f>VLOOKUP($B8,'DCS Data'!$E$2:$AJ$100,MATCH('Daily Report'!R$1,'DCS Data'!$E$2:$AJ$2,0),0)</f>
        <v>327.44884030162922</v>
      </c>
      <c r="S8" s="92">
        <f>VLOOKUP($B8,'DCS Data'!$E$2:$AJ$100,MATCH('Daily Report'!S$1,'DCS Data'!$E$2:$AJ$2,0),0)</f>
        <v>331.3385590700712</v>
      </c>
      <c r="T8" s="92">
        <f>VLOOKUP($B8,'DCS Data'!$E$2:$AJ$100,MATCH('Daily Report'!T$1,'DCS Data'!$E$2:$AJ$2,0),0)</f>
        <v>328.51126564902717</v>
      </c>
      <c r="U8" s="92">
        <f>VLOOKUP($B8,'DCS Data'!$E$2:$AJ$100,MATCH('Daily Report'!U$1,'DCS Data'!$E$2:$AJ$2,0),0)</f>
        <v>328.5586189900456</v>
      </c>
      <c r="V8" s="92">
        <f>VLOOKUP($B8,'DCS Data'!$E$2:$AJ$100,MATCH('Daily Report'!V$1,'DCS Data'!$E$2:$AJ$2,0),0)</f>
        <v>329.06011473516742</v>
      </c>
      <c r="W8" s="92">
        <f>VLOOKUP($B8,'DCS Data'!$E$2:$AJ$100,MATCH('Daily Report'!W$1,'DCS Data'!$E$2:$AJ$2,0),0)</f>
        <v>332.32589457663039</v>
      </c>
      <c r="X8" s="92">
        <f>VLOOKUP($B8,'DCS Data'!$E$2:$AJ$100,MATCH('Daily Report'!X$1,'DCS Data'!$E$2:$AJ$2,0),0)</f>
        <v>329.55796884335462</v>
      </c>
      <c r="Y8" s="92">
        <f>VLOOKUP($B8,'DCS Data'!$E$2:$AJ$100,MATCH('Daily Report'!Y$1,'DCS Data'!$E$2:$AJ$2,0),0)</f>
        <v>318.43172799998672</v>
      </c>
      <c r="Z8" s="92">
        <f>VLOOKUP($B8,'DCS Data'!$E$2:$AJ$100,MATCH('Daily Report'!Z$1,'DCS Data'!$E$2:$AJ$2,0),0)</f>
        <v>315.96549327936503</v>
      </c>
      <c r="AA8" s="92">
        <f>VLOOKUP($B8,'DCS Data'!$E$2:$AJ$100,MATCH('Daily Report'!AA$1,'DCS Data'!$E$2:$AJ$2,0),0)</f>
        <v>318.71924473520943</v>
      </c>
      <c r="AB8" s="92">
        <f>VLOOKUP($B8,'DCS Data'!$E$2:$AJ$100,MATCH('Daily Report'!AB$1,'DCS Data'!$E$2:$AJ$2,0),0)</f>
        <v>319.84994459991077</v>
      </c>
      <c r="AC8" s="92">
        <f>VLOOKUP($B8,'DCS Data'!$E$2:$AJ$100,MATCH('Daily Report'!AC$1,'DCS Data'!$E$2:$AJ$2,0),0)</f>
        <v>325.37214514028119</v>
      </c>
      <c r="AD8" s="92">
        <f>VLOOKUP($B8,'DCS Data'!$E$2:$AJ$100,MATCH('Daily Report'!AD$1,'DCS Data'!$E$2:$AJ$2,0),0)</f>
        <v>334.9795193338021</v>
      </c>
      <c r="AE8" s="92">
        <f>VLOOKUP($B8,'DCS Data'!$E$2:$AJ$100,MATCH('Daily Report'!AE$1,'DCS Data'!$E$2:$AJ$2,0),0)</f>
        <v>337.52779697403594</v>
      </c>
      <c r="AF8" s="92">
        <f>VLOOKUP($B8,'DCS Data'!$E$2:$AJ$100,MATCH('Daily Report'!AF$1,'DCS Data'!$E$2:$AJ$2,0),0)</f>
        <v>338.02810798377914</v>
      </c>
      <c r="AG8" s="92">
        <f>VLOOKUP($B8,'DCS Data'!$E$2:$AJ$100,MATCH('Daily Report'!AG$1,'DCS Data'!$E$2:$AJ$2,0),0)</f>
        <v>338.61738671915953</v>
      </c>
      <c r="AH8" s="92">
        <f>VLOOKUP($B8,'DCS Data'!$E$2:$AJ$100,MATCH('Daily Report'!AH$1,'DCS Data'!$E$2:$AJ$2,0),0)</f>
        <v>339.60751241587246</v>
      </c>
      <c r="AI8" s="92">
        <f>VLOOKUP($B8,'DCS Data'!$E$2:$AJ$100,MATCH('Daily Report'!AI$1,'DCS Data'!$E$2:$AJ$2,0),0)</f>
        <v>338.52361782303535</v>
      </c>
      <c r="AJ8" s="92">
        <f>VLOOKUP($B8,'DCS Data'!$E$2:$AJ$100,MATCH('Daily Report'!AJ$1,'DCS Data'!$E$2:$AJ$2,0),0)</f>
        <v>339.64399175983993</v>
      </c>
      <c r="AK8" s="92">
        <f>VLOOKUP($B8,'DCS Data'!$E$2:$AJ$100,MATCH('Daily Report'!AK$1,'DCS Data'!$E$2:$AJ$2,0),0)</f>
        <v>338.4041649327325</v>
      </c>
      <c r="AL8" s="92">
        <f>VLOOKUP($B8,'DCS Data'!$E$2:$AJ$100,MATCH('Daily Report'!AL$1,'DCS Data'!$E$2:$AJ$2,0),0)</f>
        <v>337.11611522812944</v>
      </c>
      <c r="AM8" s="92">
        <f>VLOOKUP($B8,'DCS Data'!$E$2:$AJ$100,MATCH('Daily Report'!AM$1,'DCS Data'!$E$2:$AJ$2,0),0)</f>
        <v>335.26469840215026</v>
      </c>
      <c r="AN8" s="92">
        <f>VLOOKUP($B8,'DCS Data'!$E$2:$AJ$100,MATCH('Daily Report'!AN$1,'DCS Data'!$E$2:$AJ$2,0),0)</f>
        <v>336.56865450310642</v>
      </c>
      <c r="AO8" s="214"/>
      <c r="AP8" s="214"/>
      <c r="AQ8" s="214"/>
      <c r="AR8" s="214"/>
      <c r="AS8" s="214"/>
      <c r="AT8" s="214"/>
      <c r="AU8" s="214"/>
      <c r="AV8" s="214"/>
      <c r="AW8" s="214"/>
      <c r="AX8" s="214"/>
      <c r="AY8" s="214"/>
      <c r="AZ8" s="214"/>
      <c r="BA8" s="214"/>
      <c r="BB8" s="214"/>
      <c r="BC8" s="214"/>
      <c r="BD8" s="214"/>
      <c r="BE8" s="214"/>
      <c r="BF8" s="214"/>
      <c r="BG8" s="214"/>
      <c r="BH8" s="214"/>
      <c r="BI8" s="214"/>
      <c r="BJ8" s="214"/>
      <c r="BK8" s="214"/>
      <c r="BL8" s="214"/>
      <c r="BM8" s="214"/>
      <c r="BN8" s="214"/>
      <c r="BO8" s="214"/>
      <c r="BP8" s="214"/>
      <c r="BQ8" s="214"/>
      <c r="BR8" s="214"/>
      <c r="BS8" s="214"/>
      <c r="BT8" s="214"/>
      <c r="BU8" s="214"/>
      <c r="BV8" s="214"/>
      <c r="BW8" s="214"/>
      <c r="BX8" s="214"/>
      <c r="BY8" s="214"/>
      <c r="BZ8" s="214"/>
      <c r="CA8" s="214"/>
      <c r="CB8" s="214"/>
      <c r="CC8" s="214"/>
      <c r="CD8" s="214"/>
      <c r="CE8" s="214"/>
      <c r="CF8" s="214"/>
      <c r="CG8" s="214"/>
      <c r="CH8" s="214"/>
      <c r="CI8" s="214"/>
      <c r="CJ8" s="214"/>
      <c r="CK8" s="214"/>
      <c r="CL8" s="214"/>
      <c r="CM8" s="214"/>
      <c r="CN8" s="214"/>
      <c r="CO8" s="214"/>
      <c r="CP8" s="214"/>
      <c r="CQ8" s="214"/>
      <c r="CR8" s="214"/>
      <c r="CS8" s="214"/>
      <c r="CT8" s="214"/>
      <c r="CU8" s="214"/>
      <c r="CV8" s="214"/>
      <c r="CW8" s="214"/>
      <c r="CX8" s="214"/>
      <c r="CY8" s="214"/>
      <c r="CZ8" s="214"/>
      <c r="DA8" s="214"/>
      <c r="DB8" s="214"/>
      <c r="DC8" s="214"/>
      <c r="DD8" s="214"/>
      <c r="DE8" s="214"/>
      <c r="DF8" s="214"/>
      <c r="DG8" s="214"/>
      <c r="DH8" s="214"/>
      <c r="DI8" s="214"/>
      <c r="DJ8" s="214"/>
      <c r="DK8" s="214"/>
      <c r="DL8" s="214"/>
      <c r="DM8" s="214"/>
      <c r="DN8" s="214"/>
      <c r="DO8" s="214"/>
      <c r="DP8" s="214"/>
      <c r="DQ8" s="214"/>
      <c r="DR8" s="214"/>
      <c r="DS8" s="214"/>
      <c r="DT8" s="214"/>
      <c r="DU8" s="214"/>
      <c r="DV8" s="214"/>
      <c r="DW8" s="214"/>
      <c r="DX8" s="214"/>
      <c r="DY8" s="214"/>
      <c r="DZ8" s="214"/>
      <c r="EA8" s="214"/>
      <c r="EB8" s="214"/>
      <c r="EC8" s="214"/>
      <c r="ED8" s="214"/>
      <c r="EE8" s="214"/>
      <c r="EF8" s="214"/>
      <c r="EG8" s="214"/>
      <c r="EH8" s="214"/>
      <c r="EI8" s="214"/>
      <c r="EJ8" s="214"/>
      <c r="EK8" s="214"/>
      <c r="EL8" s="214"/>
      <c r="EM8" s="214"/>
      <c r="EN8" s="214"/>
      <c r="EO8" s="214"/>
      <c r="EP8" s="214"/>
      <c r="EQ8" s="214"/>
      <c r="ER8" s="214"/>
      <c r="ES8" s="214"/>
      <c r="ET8" s="214"/>
      <c r="EU8" s="214"/>
      <c r="EV8" s="214"/>
      <c r="EW8" s="214"/>
      <c r="EX8" s="214"/>
      <c r="EY8" s="214"/>
      <c r="EZ8" s="214"/>
      <c r="FA8" s="214"/>
      <c r="FB8" s="214"/>
      <c r="FC8" s="214"/>
      <c r="FD8" s="214"/>
      <c r="FE8" s="214"/>
      <c r="FF8" s="214"/>
      <c r="FG8" s="214"/>
      <c r="FH8" s="214"/>
      <c r="FI8" s="214"/>
      <c r="FJ8" s="214"/>
      <c r="FK8" s="214"/>
      <c r="FL8" s="214"/>
      <c r="FM8" s="214"/>
      <c r="FN8" s="214"/>
      <c r="FO8" s="214"/>
      <c r="FP8" s="214"/>
      <c r="FQ8" s="214"/>
      <c r="FR8" s="214"/>
      <c r="FS8" s="214"/>
      <c r="FT8" s="214"/>
      <c r="FU8" s="214"/>
      <c r="FV8" s="214"/>
      <c r="FW8" s="214"/>
      <c r="FX8" s="214"/>
      <c r="FY8" s="214"/>
      <c r="FZ8" s="214"/>
      <c r="GA8" s="214"/>
      <c r="GB8" s="214"/>
      <c r="GC8" s="214"/>
      <c r="GD8" s="214"/>
      <c r="GE8" s="214"/>
      <c r="GF8" s="214"/>
      <c r="GG8" s="214"/>
      <c r="GH8" s="214"/>
      <c r="GI8" s="214"/>
      <c r="GJ8" s="214"/>
      <c r="GK8" s="214"/>
      <c r="GL8" s="214"/>
      <c r="GM8" s="214"/>
      <c r="GN8" s="214"/>
      <c r="GO8" s="214"/>
      <c r="GP8" s="214"/>
      <c r="GQ8" s="214"/>
      <c r="GR8" s="214"/>
      <c r="GS8" s="214"/>
      <c r="GT8" s="214"/>
      <c r="GU8" s="214"/>
      <c r="GV8" s="214"/>
      <c r="GW8" s="214"/>
      <c r="GX8" s="214"/>
      <c r="GY8" s="214"/>
      <c r="GZ8" s="214"/>
      <c r="HA8" s="214"/>
      <c r="HB8" s="214"/>
      <c r="HC8" s="214"/>
      <c r="HD8" s="214"/>
      <c r="HE8" s="214"/>
      <c r="HF8" s="214"/>
      <c r="HG8" s="214"/>
      <c r="HH8" s="214"/>
      <c r="HI8" s="214"/>
      <c r="HJ8" s="214"/>
      <c r="HK8" s="214"/>
      <c r="HL8" s="214"/>
      <c r="HM8" s="214"/>
      <c r="HN8" s="214"/>
      <c r="HO8" s="214"/>
      <c r="HP8" s="214"/>
      <c r="HQ8" s="214"/>
      <c r="HR8" s="214"/>
      <c r="HS8" s="214"/>
      <c r="HT8" s="214"/>
      <c r="HU8" s="214"/>
      <c r="HV8" s="214"/>
      <c r="HW8" s="214"/>
      <c r="HX8" s="214"/>
      <c r="HY8" s="214"/>
      <c r="HZ8" s="214"/>
      <c r="IA8" s="214"/>
      <c r="IB8" s="214"/>
      <c r="IC8" s="214"/>
      <c r="ID8" s="214"/>
      <c r="IE8" s="214"/>
      <c r="IF8" s="214"/>
      <c r="IG8" s="214"/>
      <c r="IH8" s="214"/>
      <c r="II8" s="214"/>
      <c r="IJ8" s="214"/>
      <c r="IK8" s="214"/>
      <c r="IL8" s="214"/>
      <c r="IM8" s="214"/>
      <c r="IN8" s="214"/>
      <c r="IO8" s="214"/>
      <c r="IP8" s="214"/>
      <c r="IQ8" s="214"/>
      <c r="IR8" s="214"/>
      <c r="IS8" s="214"/>
      <c r="IT8" s="214"/>
      <c r="IU8" s="214"/>
      <c r="IV8" s="214"/>
      <c r="IW8" s="214"/>
      <c r="IX8" s="214"/>
      <c r="IY8" s="214"/>
      <c r="IZ8" s="214"/>
      <c r="JA8" s="214"/>
      <c r="JB8" s="214"/>
      <c r="JC8" s="214"/>
      <c r="JD8" s="214"/>
      <c r="JE8" s="214"/>
      <c r="JF8" s="214"/>
      <c r="JG8" s="214"/>
      <c r="JH8" s="214"/>
      <c r="JI8" s="214"/>
      <c r="JJ8" s="214"/>
      <c r="JK8" s="214"/>
      <c r="JL8" s="214"/>
      <c r="JM8" s="214"/>
      <c r="JN8" s="214"/>
      <c r="JO8" s="214"/>
      <c r="JP8" s="214"/>
      <c r="JQ8" s="214"/>
      <c r="JR8" s="214"/>
      <c r="JS8" s="214"/>
      <c r="JT8" s="214"/>
      <c r="JU8" s="214"/>
      <c r="JV8" s="214"/>
      <c r="JW8" s="214"/>
      <c r="JX8" s="214"/>
      <c r="JY8" s="214"/>
      <c r="JZ8" s="214"/>
      <c r="KA8" s="214"/>
      <c r="KB8" s="214"/>
      <c r="KC8" s="214"/>
      <c r="KD8" s="214"/>
      <c r="KE8" s="214"/>
      <c r="KF8" s="214"/>
      <c r="KG8" s="214"/>
      <c r="KH8" s="214"/>
      <c r="KI8" s="214"/>
      <c r="KJ8" s="214"/>
      <c r="KK8" s="214"/>
      <c r="KL8" s="214"/>
      <c r="KM8" s="214"/>
      <c r="KN8" s="214"/>
      <c r="KO8" s="214"/>
      <c r="KP8" s="214"/>
      <c r="KQ8" s="214"/>
      <c r="KR8" s="214"/>
      <c r="KS8" s="214"/>
      <c r="KT8" s="214"/>
      <c r="KU8" s="214"/>
      <c r="KV8" s="214"/>
      <c r="KW8" s="214"/>
      <c r="KX8" s="214"/>
      <c r="KY8" s="214"/>
      <c r="KZ8" s="214"/>
      <c r="LA8" s="214"/>
      <c r="LB8" s="214"/>
      <c r="LC8" s="214"/>
      <c r="LD8" s="214"/>
      <c r="LE8" s="214"/>
      <c r="LF8" s="214"/>
      <c r="LG8" s="214"/>
      <c r="LH8" s="214"/>
      <c r="LI8" s="214"/>
      <c r="LJ8" s="214"/>
      <c r="LK8" s="214"/>
      <c r="LL8" s="214"/>
      <c r="LM8" s="214"/>
      <c r="LN8" s="214"/>
      <c r="LO8" s="214"/>
      <c r="LP8" s="214"/>
      <c r="LQ8" s="214"/>
      <c r="LR8" s="214"/>
      <c r="LS8" s="214"/>
      <c r="LT8" s="214"/>
      <c r="LU8" s="214"/>
      <c r="LV8" s="214"/>
      <c r="LW8" s="214"/>
      <c r="LX8" s="214"/>
      <c r="LY8" s="214"/>
      <c r="LZ8" s="214"/>
      <c r="MA8" s="214"/>
      <c r="MB8" s="214"/>
      <c r="MC8" s="214"/>
      <c r="MD8" s="214"/>
      <c r="ME8" s="214"/>
      <c r="MF8" s="214"/>
      <c r="MG8" s="214"/>
      <c r="MH8" s="214"/>
      <c r="MI8" s="214"/>
      <c r="MJ8" s="214"/>
      <c r="MK8" s="214"/>
      <c r="ML8" s="214"/>
      <c r="MM8" s="214"/>
      <c r="MN8" s="214"/>
      <c r="MO8" s="214"/>
      <c r="MP8" s="214"/>
      <c r="MQ8" s="214"/>
      <c r="MR8" s="214"/>
      <c r="MS8" s="214"/>
      <c r="MT8" s="214"/>
      <c r="MU8" s="214"/>
      <c r="MV8" s="214"/>
      <c r="MW8" s="214"/>
      <c r="MX8" s="214"/>
      <c r="MY8" s="214"/>
      <c r="MZ8" s="214"/>
      <c r="NA8" s="214"/>
      <c r="NB8" s="214"/>
      <c r="NC8" s="214"/>
      <c r="ND8" s="214"/>
      <c r="NE8" s="214"/>
      <c r="NF8" s="214"/>
      <c r="NG8" s="214"/>
      <c r="NH8" s="214"/>
      <c r="NI8" s="214"/>
      <c r="NJ8" s="214"/>
      <c r="NK8" s="214"/>
      <c r="NL8" s="214"/>
      <c r="NM8" s="214"/>
      <c r="NN8" s="214"/>
      <c r="NO8" s="214"/>
      <c r="NP8" s="214"/>
      <c r="NQ8" s="214"/>
      <c r="NR8" s="214"/>
      <c r="NS8" s="214"/>
      <c r="NT8" s="214"/>
      <c r="NU8" s="214"/>
      <c r="NV8" s="214"/>
      <c r="NW8" s="214"/>
      <c r="NX8" s="214"/>
      <c r="NY8" s="214"/>
      <c r="NZ8" s="214"/>
      <c r="OA8" s="214"/>
      <c r="OB8" s="214"/>
      <c r="OC8" s="214"/>
      <c r="OD8" s="214"/>
      <c r="OE8" s="214"/>
      <c r="OF8" s="214"/>
      <c r="OG8" s="214"/>
      <c r="OH8" s="214"/>
      <c r="OI8" s="214"/>
      <c r="OJ8" s="214"/>
      <c r="OK8" s="214"/>
      <c r="OL8" s="214"/>
      <c r="OM8" s="214"/>
      <c r="ON8" s="214"/>
      <c r="OO8" s="214"/>
      <c r="OP8" s="214"/>
      <c r="OQ8" s="214"/>
      <c r="OR8" s="214"/>
      <c r="OS8" s="214"/>
      <c r="OT8" s="214"/>
      <c r="OU8" s="214"/>
      <c r="OV8" s="214"/>
      <c r="OW8" s="214"/>
      <c r="OX8" s="214"/>
      <c r="OY8" s="214"/>
      <c r="OZ8" s="214"/>
      <c r="PA8" s="214"/>
      <c r="PB8" s="214"/>
      <c r="PC8" s="214"/>
      <c r="PD8" s="214"/>
      <c r="PE8" s="214"/>
      <c r="PF8" s="214"/>
      <c r="PG8" s="214"/>
      <c r="PH8" s="214"/>
      <c r="PI8" s="214"/>
      <c r="PJ8" s="214"/>
      <c r="PK8" s="214"/>
      <c r="PL8" s="214"/>
      <c r="PM8" s="214"/>
      <c r="PN8" s="214"/>
      <c r="PO8" s="214"/>
      <c r="PP8" s="214"/>
      <c r="PQ8" s="214"/>
      <c r="PR8" s="214"/>
      <c r="PS8" s="214"/>
      <c r="PT8" s="214"/>
      <c r="PU8" s="214"/>
      <c r="PV8" s="214"/>
      <c r="PW8" s="214"/>
      <c r="PX8" s="214"/>
      <c r="PY8" s="214"/>
      <c r="PZ8" s="214"/>
      <c r="QA8" s="214"/>
      <c r="QB8" s="214"/>
      <c r="QC8" s="214"/>
      <c r="QD8" s="214"/>
      <c r="QE8" s="214"/>
      <c r="QF8" s="214"/>
      <c r="QG8" s="214"/>
      <c r="QH8" s="214"/>
      <c r="QI8" s="214"/>
      <c r="QJ8" s="214"/>
      <c r="QK8" s="214"/>
      <c r="QL8" s="214"/>
      <c r="QM8" s="214"/>
      <c r="QN8" s="214"/>
      <c r="QO8" s="214"/>
      <c r="QP8" s="214"/>
      <c r="QQ8" s="214"/>
      <c r="QR8" s="214"/>
      <c r="QS8" s="214"/>
      <c r="QT8" s="214"/>
      <c r="QU8" s="214"/>
      <c r="QV8" s="214"/>
      <c r="QW8" s="214"/>
      <c r="QX8" s="214"/>
      <c r="QY8" s="214"/>
      <c r="QZ8" s="214"/>
      <c r="RA8" s="214"/>
      <c r="RB8" s="214"/>
      <c r="RC8" s="214"/>
      <c r="RD8" s="214"/>
      <c r="RE8" s="214"/>
      <c r="RF8" s="214"/>
      <c r="RG8" s="214"/>
      <c r="RH8" s="214"/>
      <c r="RI8" s="214"/>
      <c r="RJ8" s="214"/>
      <c r="RK8" s="214"/>
      <c r="RL8" s="214"/>
      <c r="RM8" s="214"/>
      <c r="RN8" s="214"/>
      <c r="RO8" s="214"/>
      <c r="RP8" s="214"/>
      <c r="RQ8" s="214"/>
      <c r="RR8" s="214"/>
      <c r="RS8" s="214"/>
      <c r="RT8" s="214"/>
      <c r="RU8" s="214"/>
      <c r="RV8" s="214"/>
      <c r="RW8" s="214"/>
      <c r="RX8" s="214"/>
      <c r="RY8" s="214"/>
      <c r="RZ8" s="214"/>
      <c r="SA8" s="214"/>
      <c r="SB8" s="214"/>
      <c r="SC8" s="214"/>
      <c r="SD8" s="214"/>
      <c r="SE8" s="214"/>
      <c r="SF8" s="214"/>
      <c r="SG8" s="214"/>
      <c r="SH8" s="214"/>
      <c r="SI8" s="214"/>
      <c r="SJ8" s="214"/>
      <c r="SK8" s="214"/>
      <c r="SL8" s="214"/>
      <c r="SM8" s="214"/>
      <c r="SN8" s="214"/>
      <c r="SO8" s="214"/>
      <c r="SP8" s="214"/>
      <c r="SQ8" s="214"/>
      <c r="SR8" s="214"/>
      <c r="SS8" s="214"/>
      <c r="ST8" s="214"/>
      <c r="SU8" s="214"/>
      <c r="SV8" s="214"/>
      <c r="SW8" s="214"/>
      <c r="SX8" s="214"/>
      <c r="SY8" s="214"/>
      <c r="SZ8" s="214"/>
      <c r="TA8" s="214"/>
      <c r="TB8" s="214"/>
      <c r="TC8" s="214"/>
      <c r="TD8" s="214"/>
      <c r="TE8" s="214"/>
      <c r="TF8" s="214"/>
      <c r="TG8" s="214"/>
      <c r="TH8" s="214"/>
      <c r="TI8" s="214"/>
      <c r="TJ8" s="214"/>
      <c r="TK8" s="214"/>
      <c r="TL8" s="214"/>
      <c r="TM8" s="214"/>
      <c r="TN8" s="214"/>
      <c r="TO8" s="214"/>
      <c r="TP8" s="214"/>
      <c r="TQ8" s="214"/>
      <c r="TR8" s="214"/>
      <c r="TS8" s="214"/>
      <c r="TT8" s="214"/>
      <c r="TU8" s="214"/>
      <c r="TV8" s="214"/>
      <c r="TW8" s="214"/>
      <c r="TX8" s="214"/>
      <c r="TY8" s="214"/>
      <c r="TZ8" s="214"/>
      <c r="UA8" s="214"/>
      <c r="UB8" s="214"/>
      <c r="UC8" s="214"/>
      <c r="UD8" s="214"/>
      <c r="UE8" s="214"/>
      <c r="UF8" s="214"/>
      <c r="UG8" s="214"/>
      <c r="UH8" s="214"/>
      <c r="UI8" s="214"/>
      <c r="UJ8" s="214"/>
      <c r="UK8" s="214"/>
      <c r="UL8" s="214"/>
      <c r="UM8" s="214"/>
      <c r="UN8" s="214"/>
      <c r="UO8" s="214"/>
      <c r="UP8" s="214"/>
      <c r="UQ8" s="214"/>
      <c r="UR8" s="214"/>
      <c r="US8" s="214"/>
      <c r="UT8" s="214"/>
      <c r="UU8" s="214"/>
      <c r="UV8" s="214"/>
      <c r="UW8" s="214"/>
      <c r="UX8" s="214"/>
      <c r="UY8" s="214"/>
      <c r="UZ8" s="214"/>
      <c r="VA8" s="214"/>
      <c r="VB8" s="214"/>
      <c r="VC8" s="214"/>
      <c r="VD8" s="214"/>
      <c r="VE8" s="214"/>
      <c r="VF8" s="214"/>
      <c r="VG8" s="214"/>
      <c r="VH8" s="214"/>
      <c r="VI8" s="214"/>
      <c r="VJ8" s="214"/>
      <c r="VK8" s="214"/>
      <c r="VL8" s="214"/>
      <c r="VM8" s="214"/>
      <c r="VN8" s="214"/>
      <c r="VO8" s="214"/>
      <c r="VP8" s="214"/>
      <c r="VQ8" s="214"/>
      <c r="VR8" s="214"/>
      <c r="VS8" s="214"/>
      <c r="VT8" s="214"/>
      <c r="VU8" s="214"/>
      <c r="VV8" s="214"/>
      <c r="VW8" s="214"/>
      <c r="VX8" s="214"/>
      <c r="VY8" s="214"/>
      <c r="VZ8" s="214"/>
      <c r="WA8" s="214"/>
      <c r="WB8" s="214"/>
      <c r="WC8" s="214"/>
      <c r="WD8" s="214"/>
      <c r="WE8" s="214"/>
      <c r="WF8" s="214"/>
      <c r="WG8" s="214"/>
      <c r="WH8" s="214"/>
      <c r="WI8" s="214"/>
      <c r="WJ8" s="214"/>
      <c r="WK8" s="214"/>
      <c r="WL8" s="214"/>
      <c r="WM8" s="214"/>
      <c r="WN8" s="214"/>
      <c r="WO8" s="214"/>
      <c r="WP8" s="214"/>
      <c r="WQ8" s="214"/>
      <c r="WR8" s="214"/>
      <c r="WS8" s="214"/>
      <c r="WT8" s="214"/>
      <c r="WU8" s="214"/>
      <c r="WV8" s="214"/>
      <c r="WW8" s="214"/>
      <c r="WX8" s="214"/>
      <c r="WY8" s="214"/>
      <c r="WZ8" s="214"/>
      <c r="XA8" s="214"/>
      <c r="XB8" s="214"/>
      <c r="XC8" s="214"/>
      <c r="XD8" s="214"/>
      <c r="XE8" s="214"/>
      <c r="XF8" s="214"/>
      <c r="XG8" s="214"/>
      <c r="XH8" s="214"/>
      <c r="XI8" s="214"/>
      <c r="XJ8" s="214"/>
      <c r="XK8" s="214"/>
      <c r="XL8" s="214"/>
      <c r="XM8" s="214"/>
      <c r="XN8" s="214"/>
      <c r="XO8" s="214"/>
      <c r="XP8" s="214"/>
      <c r="XQ8" s="214"/>
      <c r="XR8" s="214"/>
      <c r="XS8" s="214"/>
      <c r="XT8" s="214"/>
      <c r="XU8" s="214"/>
      <c r="XV8" s="214"/>
      <c r="XW8" s="214"/>
      <c r="XX8" s="214"/>
      <c r="XY8" s="214"/>
      <c r="XZ8" s="214"/>
      <c r="YA8" s="214"/>
      <c r="YB8" s="214"/>
      <c r="YC8" s="214"/>
      <c r="YD8" s="214"/>
      <c r="YE8" s="214"/>
      <c r="YF8" s="214"/>
      <c r="YG8" s="214"/>
      <c r="YH8" s="214"/>
      <c r="YI8" s="214"/>
      <c r="YJ8" s="214"/>
      <c r="YK8" s="214"/>
      <c r="YL8" s="214"/>
      <c r="YM8" s="214"/>
      <c r="YN8" s="214"/>
      <c r="YO8" s="214"/>
      <c r="YP8" s="214"/>
      <c r="YQ8" s="214"/>
      <c r="YR8" s="214"/>
      <c r="YS8" s="214"/>
      <c r="YT8" s="214"/>
      <c r="YU8" s="214"/>
      <c r="YV8" s="214"/>
      <c r="YW8" s="214"/>
      <c r="YX8" s="214"/>
      <c r="YY8" s="214"/>
      <c r="YZ8" s="214"/>
      <c r="ZA8" s="214"/>
      <c r="ZB8" s="214"/>
      <c r="ZC8" s="214"/>
      <c r="ZD8" s="214"/>
      <c r="ZE8" s="214"/>
      <c r="ZF8" s="214"/>
      <c r="ZG8" s="214"/>
      <c r="ZH8" s="214"/>
      <c r="ZI8" s="214"/>
      <c r="ZJ8" s="214"/>
      <c r="ZK8" s="214"/>
      <c r="ZL8" s="214"/>
      <c r="ZM8" s="214"/>
      <c r="ZN8" s="214"/>
      <c r="ZO8" s="214"/>
      <c r="ZP8" s="214"/>
      <c r="ZQ8" s="214"/>
      <c r="ZR8" s="214"/>
      <c r="ZS8" s="214"/>
      <c r="ZT8" s="214"/>
      <c r="ZU8" s="214"/>
      <c r="ZV8" s="214"/>
      <c r="ZW8" s="214"/>
      <c r="ZX8" s="214"/>
      <c r="ZY8" s="214"/>
      <c r="ZZ8" s="214"/>
      <c r="AAA8" s="214"/>
      <c r="AAB8" s="214"/>
      <c r="AAC8" s="214"/>
      <c r="AAD8" s="214"/>
      <c r="AAE8" s="214"/>
      <c r="AAF8" s="214"/>
      <c r="AAG8" s="214"/>
      <c r="AAH8" s="214"/>
      <c r="AAI8" s="214"/>
      <c r="AAJ8" s="214"/>
      <c r="AAK8" s="214"/>
      <c r="AAL8" s="214"/>
      <c r="AAM8" s="214"/>
      <c r="AAN8" s="214"/>
      <c r="AAO8" s="214"/>
      <c r="AAP8" s="214"/>
      <c r="AAQ8" s="214"/>
      <c r="AAR8" s="214"/>
      <c r="AAS8" s="214"/>
      <c r="AAT8" s="214"/>
      <c r="AAU8" s="214"/>
      <c r="AAV8" s="214"/>
      <c r="AAW8" s="214"/>
      <c r="AAX8" s="214"/>
      <c r="AAY8" s="214"/>
      <c r="AAZ8" s="214"/>
      <c r="ABA8" s="214"/>
      <c r="ABB8" s="214"/>
      <c r="ABC8" s="214"/>
      <c r="ABD8" s="214"/>
      <c r="ABE8" s="214"/>
      <c r="ABF8" s="214"/>
      <c r="ABG8" s="214"/>
      <c r="ABH8" s="214"/>
      <c r="ABI8" s="214"/>
      <c r="ABJ8" s="214"/>
      <c r="ABK8" s="214"/>
      <c r="ABL8" s="214"/>
      <c r="ABM8" s="214"/>
      <c r="ABN8" s="214"/>
      <c r="ABO8" s="214"/>
      <c r="ABP8" s="214"/>
      <c r="ABQ8" s="214"/>
      <c r="ABR8" s="214"/>
      <c r="ABS8" s="214"/>
      <c r="ABT8" s="214"/>
      <c r="ABU8" s="214"/>
      <c r="ABV8" s="214"/>
      <c r="ABW8" s="214"/>
      <c r="ABX8" s="214"/>
      <c r="ABY8" s="214"/>
      <c r="ABZ8" s="214"/>
      <c r="ACA8" s="214"/>
      <c r="ACB8" s="214"/>
      <c r="ACC8" s="214"/>
      <c r="ACD8" s="214"/>
      <c r="ACE8" s="214"/>
      <c r="ACF8" s="214"/>
      <c r="ACG8" s="214"/>
      <c r="ACH8" s="214"/>
      <c r="ACI8" s="214"/>
      <c r="ACJ8" s="214"/>
      <c r="ACK8" s="214"/>
      <c r="ACL8" s="214"/>
      <c r="ACM8" s="214"/>
      <c r="ACN8" s="214"/>
      <c r="ACO8" s="214"/>
      <c r="ACP8" s="214"/>
      <c r="ACQ8" s="214"/>
      <c r="ACR8" s="214"/>
      <c r="ACS8" s="214"/>
      <c r="ACT8" s="214"/>
      <c r="ACU8" s="214"/>
      <c r="ACV8" s="214"/>
      <c r="ACW8" s="214"/>
      <c r="ACX8" s="214"/>
      <c r="ACY8" s="214"/>
      <c r="ACZ8" s="214"/>
      <c r="ADA8" s="214"/>
      <c r="ADB8" s="214"/>
      <c r="ADC8" s="214"/>
      <c r="ADD8" s="214"/>
      <c r="ADE8" s="214"/>
      <c r="ADF8" s="214"/>
      <c r="ADG8" s="214"/>
      <c r="ADH8" s="214"/>
      <c r="ADI8" s="214"/>
      <c r="ADJ8" s="214"/>
      <c r="ADK8" s="214"/>
      <c r="ADL8" s="214"/>
      <c r="ADM8" s="214"/>
      <c r="ADN8" s="214"/>
      <c r="ADO8" s="214"/>
      <c r="ADP8" s="214"/>
      <c r="ADQ8" s="214"/>
      <c r="ADR8" s="214"/>
      <c r="ADS8" s="214"/>
      <c r="ADT8" s="214"/>
      <c r="ADU8" s="214"/>
      <c r="ADV8" s="214"/>
      <c r="ADW8" s="214"/>
      <c r="ADX8" s="214"/>
      <c r="ADY8" s="214"/>
      <c r="ADZ8" s="214"/>
      <c r="AEA8" s="214"/>
      <c r="AEB8" s="214"/>
      <c r="AEC8" s="214"/>
      <c r="AED8" s="214"/>
      <c r="AEE8" s="214"/>
      <c r="AEF8" s="214"/>
      <c r="AEG8" s="214"/>
      <c r="AEH8" s="214"/>
      <c r="AEI8" s="214"/>
      <c r="AEJ8" s="214"/>
      <c r="AEK8" s="214"/>
      <c r="AEL8" s="214"/>
      <c r="AEM8" s="214"/>
      <c r="AEN8" s="214"/>
      <c r="AEO8" s="214"/>
      <c r="AEP8" s="214"/>
      <c r="AEQ8" s="214"/>
      <c r="AER8" s="214"/>
      <c r="AES8" s="214"/>
      <c r="AET8" s="214"/>
      <c r="AEU8" s="214"/>
      <c r="AEV8" s="214"/>
      <c r="AEW8" s="214"/>
      <c r="AEX8" s="214"/>
      <c r="AEY8" s="214"/>
      <c r="AEZ8" s="214"/>
      <c r="AFA8" s="214"/>
      <c r="AFB8" s="214"/>
      <c r="AFC8" s="214"/>
      <c r="AFD8" s="214"/>
      <c r="AFE8" s="214"/>
      <c r="AFF8" s="214"/>
      <c r="AFG8" s="214"/>
      <c r="AFH8" s="214"/>
      <c r="AFI8" s="214"/>
      <c r="AFJ8" s="214"/>
      <c r="AFK8" s="214"/>
      <c r="AFL8" s="214"/>
      <c r="AFM8" s="214"/>
      <c r="AFN8" s="214"/>
      <c r="AFO8" s="214"/>
      <c r="AFP8" s="214"/>
      <c r="AFQ8" s="214"/>
      <c r="AFR8" s="214"/>
      <c r="AFS8" s="214"/>
      <c r="AFT8" s="214"/>
      <c r="AFU8" s="214"/>
      <c r="AFV8" s="214"/>
      <c r="AFW8" s="214"/>
      <c r="AFX8" s="214"/>
      <c r="AFY8" s="214"/>
      <c r="AFZ8" s="214"/>
      <c r="AGA8" s="214"/>
      <c r="AGB8" s="214"/>
      <c r="AGC8" s="214"/>
      <c r="AGD8" s="214"/>
      <c r="AGE8" s="214"/>
      <c r="AGF8" s="214"/>
      <c r="AGG8" s="214"/>
      <c r="AGH8" s="214"/>
      <c r="AGI8" s="214"/>
      <c r="AGJ8" s="214"/>
      <c r="AGK8" s="214"/>
      <c r="AGL8" s="214"/>
      <c r="AGM8" s="214"/>
      <c r="AGN8" s="214"/>
      <c r="AGO8" s="214"/>
      <c r="AGP8" s="214"/>
      <c r="AGQ8" s="214"/>
      <c r="AGR8" s="214"/>
      <c r="AGS8" s="214"/>
      <c r="AGT8" s="214"/>
      <c r="AGU8" s="214"/>
      <c r="AGV8" s="214"/>
      <c r="AGW8" s="214"/>
      <c r="AGX8" s="214"/>
      <c r="AGY8" s="214"/>
      <c r="AGZ8" s="214"/>
      <c r="AHA8" s="214"/>
      <c r="AHB8" s="214"/>
      <c r="AHC8" s="214"/>
      <c r="AHD8" s="214"/>
      <c r="AHE8" s="214"/>
      <c r="AHF8" s="214"/>
      <c r="AHG8" s="214"/>
      <c r="AHH8" s="214"/>
      <c r="AHI8" s="214"/>
      <c r="AHJ8" s="214"/>
      <c r="AHK8" s="214"/>
      <c r="AHL8" s="214"/>
      <c r="AHM8" s="214"/>
      <c r="AHN8" s="214"/>
      <c r="AHO8" s="214"/>
      <c r="AHP8" s="214"/>
      <c r="AHQ8" s="214"/>
      <c r="AHR8" s="214"/>
      <c r="AHS8" s="214"/>
      <c r="AHT8" s="214"/>
      <c r="AHU8" s="214"/>
      <c r="AHV8" s="214"/>
      <c r="AHW8" s="214"/>
      <c r="AHX8" s="214"/>
      <c r="AHY8" s="214"/>
      <c r="AHZ8" s="214"/>
      <c r="AIA8" s="214"/>
      <c r="AIB8" s="214"/>
      <c r="AIC8" s="214"/>
      <c r="AID8" s="214"/>
      <c r="AIE8" s="214"/>
      <c r="AIF8" s="214"/>
      <c r="AIG8" s="214"/>
      <c r="AIH8" s="214"/>
      <c r="AII8" s="214"/>
      <c r="AIJ8" s="214"/>
      <c r="AIK8" s="214"/>
      <c r="AIL8" s="214"/>
      <c r="AIM8" s="214"/>
      <c r="AIN8" s="214"/>
      <c r="AIO8" s="214"/>
      <c r="AIP8" s="214"/>
      <c r="AIQ8" s="214"/>
      <c r="AIR8" s="214"/>
      <c r="AIS8" s="214"/>
      <c r="AIT8" s="214"/>
      <c r="AIU8" s="214"/>
      <c r="AIV8" s="214"/>
      <c r="AIW8" s="214"/>
      <c r="AIX8" s="214"/>
      <c r="AIY8" s="214"/>
      <c r="AIZ8" s="214"/>
      <c r="AJA8" s="214"/>
      <c r="AJB8" s="214"/>
      <c r="AJC8" s="214"/>
      <c r="AJD8" s="214"/>
      <c r="AJE8" s="214"/>
      <c r="AJF8" s="214"/>
      <c r="AJG8" s="214"/>
      <c r="AJH8" s="214"/>
      <c r="AJI8" s="214"/>
      <c r="AJJ8" s="214"/>
      <c r="AJK8" s="214"/>
      <c r="AJL8" s="214"/>
      <c r="AJM8" s="214"/>
      <c r="AJN8" s="214"/>
      <c r="AJO8" s="214"/>
      <c r="AJP8" s="214"/>
      <c r="AJQ8" s="214"/>
      <c r="AJR8" s="214"/>
      <c r="AJS8" s="214"/>
      <c r="AJT8" s="214"/>
      <c r="AJU8" s="214"/>
      <c r="AJV8" s="214"/>
      <c r="AJW8" s="214"/>
      <c r="AJX8" s="214"/>
      <c r="AJY8" s="214"/>
      <c r="AJZ8" s="214"/>
      <c r="AKA8" s="214"/>
      <c r="AKB8" s="214"/>
      <c r="AKC8" s="214"/>
      <c r="AKD8" s="214"/>
      <c r="AKE8" s="214"/>
      <c r="AKF8" s="214"/>
      <c r="AKG8" s="214"/>
      <c r="AKH8" s="214"/>
      <c r="AKI8" s="214"/>
      <c r="AKJ8" s="214"/>
      <c r="AKK8" s="214"/>
      <c r="AKL8" s="214"/>
      <c r="AKM8" s="214"/>
      <c r="AKN8" s="214"/>
      <c r="AKO8" s="214"/>
      <c r="AKP8" s="214"/>
      <c r="AKQ8" s="214"/>
      <c r="AKR8" s="214"/>
      <c r="AKS8" s="214"/>
      <c r="AKT8" s="214"/>
      <c r="AKU8" s="214"/>
      <c r="AKV8" s="214"/>
      <c r="AKW8" s="214"/>
      <c r="AKX8" s="214"/>
      <c r="AKY8" s="214"/>
      <c r="AKZ8" s="214"/>
      <c r="ALA8" s="214"/>
      <c r="ALB8" s="214"/>
      <c r="ALC8" s="214"/>
      <c r="ALD8" s="214"/>
      <c r="ALE8" s="214"/>
      <c r="ALF8" s="214"/>
      <c r="ALG8" s="214"/>
      <c r="ALH8" s="214"/>
      <c r="ALI8" s="214"/>
      <c r="ALJ8" s="214"/>
      <c r="ALK8" s="214"/>
      <c r="ALL8" s="214"/>
      <c r="ALM8" s="214"/>
      <c r="ALN8" s="214"/>
      <c r="ALO8" s="214"/>
      <c r="ALP8" s="214"/>
      <c r="ALQ8" s="214"/>
      <c r="ALR8" s="214"/>
      <c r="ALS8" s="214"/>
      <c r="ALT8" s="214"/>
      <c r="ALU8" s="214"/>
      <c r="ALV8" s="214"/>
      <c r="ALW8" s="214"/>
      <c r="ALX8" s="214"/>
      <c r="ALY8" s="214"/>
      <c r="ALZ8" s="214"/>
      <c r="AMA8" s="214"/>
      <c r="AMB8" s="214"/>
      <c r="AMC8" s="214"/>
      <c r="AMD8" s="214"/>
      <c r="AME8" s="214"/>
      <c r="AMF8" s="214"/>
      <c r="AMG8" s="214"/>
      <c r="AMH8" s="214"/>
      <c r="AMI8" s="214"/>
      <c r="AMJ8" s="214"/>
      <c r="AMK8" s="214"/>
      <c r="AML8" s="214"/>
      <c r="AMM8" s="214"/>
      <c r="AMN8" s="214"/>
      <c r="AMO8" s="214"/>
      <c r="AMP8" s="214"/>
      <c r="AMQ8" s="214"/>
      <c r="AMR8" s="214"/>
      <c r="AMS8" s="214"/>
      <c r="AMT8" s="214"/>
      <c r="AMU8" s="214"/>
      <c r="AMV8" s="214"/>
      <c r="AMW8" s="214"/>
      <c r="AMX8" s="214"/>
      <c r="AMY8" s="214"/>
      <c r="AMZ8" s="214"/>
      <c r="ANA8" s="214"/>
      <c r="ANB8" s="214"/>
      <c r="ANC8" s="214"/>
      <c r="AND8" s="214"/>
      <c r="ANE8" s="214"/>
      <c r="ANF8" s="214"/>
      <c r="ANG8" s="214"/>
      <c r="ANH8" s="214"/>
      <c r="ANI8" s="214"/>
      <c r="ANJ8" s="214"/>
      <c r="ANK8" s="214"/>
      <c r="ANL8" s="214"/>
      <c r="ANM8" s="214"/>
      <c r="ANN8" s="214"/>
      <c r="ANO8" s="214"/>
      <c r="ANP8" s="214"/>
      <c r="ANQ8" s="214"/>
      <c r="ANR8" s="214"/>
      <c r="ANS8" s="214"/>
      <c r="ANT8" s="214"/>
      <c r="ANU8" s="214"/>
      <c r="ANV8" s="214"/>
      <c r="ANW8" s="214"/>
      <c r="ANX8" s="214"/>
      <c r="ANY8" s="214"/>
      <c r="ANZ8" s="214"/>
      <c r="AOA8" s="214"/>
      <c r="AOB8" s="214"/>
      <c r="AOC8" s="214"/>
      <c r="AOD8" s="214"/>
      <c r="AOE8" s="214"/>
      <c r="AOF8" s="214"/>
      <c r="AOG8" s="214"/>
      <c r="AOH8" s="214"/>
      <c r="AOI8" s="214"/>
      <c r="AOJ8" s="214"/>
      <c r="AOK8" s="214"/>
      <c r="AOL8" s="214"/>
      <c r="AOM8" s="214"/>
      <c r="AON8" s="214"/>
      <c r="AOO8" s="214"/>
      <c r="AOP8" s="214"/>
      <c r="AOQ8" s="214"/>
      <c r="AOR8" s="214"/>
      <c r="AOS8" s="214"/>
      <c r="AOT8" s="214"/>
      <c r="AOU8" s="214"/>
      <c r="AOV8" s="214"/>
      <c r="AOW8" s="214"/>
      <c r="AOX8" s="214"/>
      <c r="AOY8" s="214"/>
      <c r="AOZ8" s="214"/>
      <c r="APA8" s="214"/>
      <c r="APB8" s="214"/>
      <c r="APC8" s="214"/>
      <c r="APD8" s="214"/>
      <c r="APE8" s="214"/>
      <c r="APF8" s="214"/>
      <c r="APG8" s="214"/>
      <c r="APH8" s="214"/>
      <c r="API8" s="214"/>
      <c r="APJ8" s="214"/>
      <c r="APK8" s="214"/>
      <c r="APL8" s="214"/>
      <c r="APM8" s="214"/>
      <c r="APN8" s="214"/>
      <c r="APO8" s="214"/>
      <c r="APP8" s="214"/>
      <c r="APQ8" s="214"/>
      <c r="APR8" s="214"/>
      <c r="APS8" s="214"/>
      <c r="APT8" s="214"/>
      <c r="APU8" s="214"/>
      <c r="APV8" s="214"/>
      <c r="APW8" s="214"/>
      <c r="APX8" s="214"/>
      <c r="APY8" s="214"/>
      <c r="APZ8" s="214"/>
      <c r="AQA8" s="214"/>
      <c r="AQB8" s="214"/>
      <c r="AQC8" s="214"/>
      <c r="AQD8" s="214"/>
      <c r="AQE8" s="214"/>
      <c r="AQF8" s="214"/>
      <c r="AQG8" s="214"/>
      <c r="AQH8" s="214"/>
      <c r="AQI8" s="214"/>
      <c r="AQJ8" s="214"/>
      <c r="AQK8" s="214"/>
      <c r="AQL8" s="214"/>
      <c r="AQM8" s="214"/>
      <c r="AQN8" s="214"/>
      <c r="AQO8" s="214"/>
      <c r="AQP8" s="214"/>
      <c r="AQQ8" s="214"/>
      <c r="AQR8" s="214"/>
      <c r="AQS8" s="214"/>
      <c r="AQT8" s="214"/>
      <c r="AQU8" s="214"/>
      <c r="AQV8" s="214"/>
      <c r="AQW8" s="214"/>
      <c r="AQX8" s="214"/>
      <c r="AQY8" s="214"/>
      <c r="AQZ8" s="214"/>
      <c r="ARA8" s="214"/>
      <c r="ARB8" s="214"/>
      <c r="ARC8" s="214"/>
      <c r="ARD8" s="214"/>
      <c r="ARE8" s="214"/>
      <c r="ARF8" s="214"/>
      <c r="ARG8" s="214"/>
      <c r="ARH8" s="214"/>
      <c r="ARI8" s="214"/>
      <c r="ARJ8" s="214"/>
      <c r="ARK8" s="214"/>
      <c r="ARL8" s="214"/>
      <c r="ARM8" s="214"/>
      <c r="ARN8" s="214"/>
      <c r="ARO8" s="214"/>
      <c r="ARP8" s="214"/>
      <c r="ARQ8" s="214"/>
      <c r="ARR8" s="214"/>
      <c r="ARS8" s="214"/>
      <c r="ART8" s="214"/>
      <c r="ARU8" s="214"/>
      <c r="ARV8" s="214"/>
      <c r="ARW8" s="214"/>
      <c r="ARX8" s="214"/>
      <c r="ARY8" s="214"/>
      <c r="ARZ8" s="214"/>
      <c r="ASA8" s="214"/>
      <c r="ASB8" s="214"/>
      <c r="ASC8" s="214"/>
      <c r="ASD8" s="214"/>
      <c r="ASE8" s="214"/>
      <c r="ASF8" s="214"/>
      <c r="ASG8" s="214"/>
      <c r="ASH8" s="214"/>
      <c r="ASI8" s="214"/>
      <c r="ASJ8" s="214"/>
      <c r="ASK8" s="214"/>
      <c r="ASL8" s="214"/>
      <c r="ASM8" s="214"/>
      <c r="ASN8" s="214"/>
      <c r="ASO8" s="214"/>
      <c r="ASP8" s="214"/>
      <c r="ASQ8" s="214"/>
      <c r="ASR8" s="214"/>
      <c r="ASS8" s="214"/>
      <c r="AST8" s="214"/>
      <c r="ASU8" s="214"/>
      <c r="ASV8" s="214"/>
      <c r="ASW8" s="214"/>
      <c r="ASX8" s="214"/>
      <c r="ASY8" s="214"/>
      <c r="ASZ8" s="214"/>
      <c r="ATA8" s="214"/>
      <c r="ATB8" s="214"/>
      <c r="ATC8" s="214"/>
      <c r="ATD8" s="214"/>
      <c r="ATE8" s="214"/>
      <c r="ATF8" s="214"/>
      <c r="ATG8" s="214"/>
      <c r="ATH8" s="214"/>
      <c r="ATI8" s="214"/>
      <c r="ATJ8" s="214"/>
      <c r="ATK8" s="214"/>
      <c r="ATL8" s="214"/>
      <c r="ATM8" s="214"/>
      <c r="ATN8" s="214"/>
      <c r="ATO8" s="214"/>
      <c r="ATP8" s="214"/>
      <c r="ATQ8" s="214"/>
      <c r="ATR8" s="214"/>
      <c r="ATS8" s="214"/>
      <c r="ATT8" s="214"/>
      <c r="ATU8" s="214"/>
      <c r="ATV8" s="214"/>
      <c r="ATW8" s="214"/>
      <c r="ATX8" s="214"/>
      <c r="ATY8" s="214"/>
      <c r="ATZ8" s="214"/>
      <c r="AUA8" s="214"/>
      <c r="AUB8" s="214"/>
      <c r="AUC8" s="214"/>
      <c r="AUD8" s="214"/>
      <c r="AUE8" s="214"/>
      <c r="AUF8" s="214"/>
      <c r="AUG8" s="214"/>
      <c r="AUH8" s="214"/>
      <c r="AUI8" s="214"/>
      <c r="AUJ8" s="214"/>
      <c r="AUK8" s="214"/>
      <c r="AUL8" s="214"/>
      <c r="AUM8" s="214"/>
      <c r="AUN8" s="214"/>
      <c r="AUO8" s="214"/>
      <c r="AUP8" s="214"/>
      <c r="AUQ8" s="214"/>
      <c r="AUR8" s="214"/>
      <c r="AUS8" s="214"/>
      <c r="AUT8" s="214"/>
      <c r="AUU8" s="214"/>
      <c r="AUV8" s="214"/>
      <c r="AUW8" s="214"/>
      <c r="AUX8" s="214"/>
      <c r="AUY8" s="214"/>
      <c r="AUZ8" s="214"/>
      <c r="AVA8" s="214"/>
      <c r="AVB8" s="214"/>
      <c r="AVC8" s="214"/>
      <c r="AVD8" s="214"/>
      <c r="AVE8" s="214"/>
      <c r="AVF8" s="214"/>
      <c r="AVG8" s="214"/>
      <c r="AVH8" s="214"/>
      <c r="AVI8" s="214"/>
      <c r="AVJ8" s="214"/>
      <c r="AVK8" s="214"/>
      <c r="AVL8" s="214"/>
      <c r="AVM8" s="214"/>
      <c r="AVN8" s="214"/>
      <c r="AVO8" s="214"/>
      <c r="AVP8" s="214"/>
      <c r="AVQ8" s="214"/>
      <c r="AVR8" s="214"/>
      <c r="AVS8" s="214"/>
      <c r="AVT8" s="214"/>
      <c r="AVU8" s="214"/>
      <c r="AVV8" s="214"/>
      <c r="AVW8" s="214"/>
      <c r="AVX8" s="214"/>
      <c r="AVY8" s="214"/>
      <c r="AVZ8" s="214"/>
      <c r="AWA8" s="214"/>
      <c r="AWB8" s="214"/>
      <c r="AWC8" s="214"/>
      <c r="AWD8" s="214"/>
      <c r="AWE8" s="214"/>
      <c r="AWF8" s="214"/>
      <c r="AWG8" s="214"/>
      <c r="AWH8" s="214"/>
      <c r="AWI8" s="214"/>
      <c r="AWJ8" s="214"/>
      <c r="AWK8" s="214"/>
      <c r="AWL8" s="214"/>
      <c r="AWM8" s="214"/>
      <c r="AWN8" s="214"/>
      <c r="AWO8" s="214"/>
      <c r="AWP8" s="214"/>
      <c r="AWQ8" s="214"/>
      <c r="AWR8" s="214"/>
      <c r="AWS8" s="214"/>
      <c r="AWT8" s="214"/>
      <c r="AWU8" s="214"/>
      <c r="AWV8" s="214"/>
      <c r="AWW8" s="214"/>
      <c r="AWX8" s="214"/>
      <c r="AWY8" s="214"/>
      <c r="AWZ8" s="214"/>
      <c r="AXA8" s="214"/>
      <c r="AXB8" s="214"/>
      <c r="AXC8" s="214"/>
      <c r="AXD8" s="214"/>
      <c r="AXE8" s="214"/>
      <c r="AXF8" s="214"/>
      <c r="AXG8" s="214"/>
      <c r="AXH8" s="214"/>
      <c r="AXI8" s="214"/>
      <c r="AXJ8" s="214"/>
      <c r="AXK8" s="214"/>
      <c r="AXL8" s="214"/>
      <c r="AXM8" s="214"/>
      <c r="AXN8" s="214"/>
      <c r="AXO8" s="214"/>
      <c r="AXP8" s="214"/>
      <c r="AXQ8" s="214"/>
      <c r="AXR8" s="214"/>
      <c r="AXS8" s="214"/>
      <c r="AXT8" s="214"/>
      <c r="AXU8" s="214"/>
      <c r="AXV8" s="214"/>
      <c r="AXW8" s="214"/>
      <c r="AXX8" s="214"/>
      <c r="AXY8" s="214"/>
      <c r="AXZ8" s="214"/>
      <c r="AYA8" s="214"/>
      <c r="AYB8" s="214"/>
      <c r="AYC8" s="214"/>
      <c r="AYD8" s="214"/>
      <c r="AYE8" s="214"/>
      <c r="AYF8" s="214"/>
      <c r="AYG8" s="214"/>
      <c r="AYH8" s="214"/>
      <c r="AYI8" s="214"/>
      <c r="AYJ8" s="214"/>
      <c r="AYK8" s="214"/>
      <c r="AYL8" s="214"/>
      <c r="AYM8" s="214"/>
      <c r="AYN8" s="214"/>
      <c r="AYO8" s="214"/>
      <c r="AYP8" s="214"/>
      <c r="AYQ8" s="214"/>
      <c r="AYR8" s="214"/>
      <c r="AYS8" s="214"/>
      <c r="AYT8" s="214"/>
      <c r="AYU8" s="214"/>
      <c r="AYV8" s="214"/>
      <c r="AYW8" s="214"/>
      <c r="AYX8" s="214"/>
      <c r="AYY8" s="214"/>
      <c r="AYZ8" s="214"/>
      <c r="AZA8" s="214"/>
      <c r="AZB8" s="214"/>
      <c r="AZC8" s="214"/>
      <c r="AZD8" s="214"/>
      <c r="AZE8" s="214"/>
      <c r="AZF8" s="214"/>
      <c r="AZG8" s="214"/>
      <c r="AZH8" s="214"/>
      <c r="AZI8" s="214"/>
      <c r="AZJ8" s="214"/>
      <c r="AZK8" s="214"/>
      <c r="AZL8" s="214"/>
      <c r="AZM8" s="214"/>
      <c r="AZN8" s="214"/>
      <c r="AZO8" s="214"/>
      <c r="AZP8" s="214"/>
      <c r="AZQ8" s="214"/>
      <c r="AZR8" s="214"/>
      <c r="AZS8" s="214"/>
      <c r="AZT8" s="214"/>
      <c r="AZU8" s="214"/>
      <c r="AZV8" s="214"/>
      <c r="AZW8" s="214"/>
      <c r="AZX8" s="214"/>
      <c r="AZY8" s="214"/>
      <c r="AZZ8" s="214"/>
      <c r="BAA8" s="214"/>
      <c r="BAB8" s="214"/>
      <c r="BAC8" s="214"/>
      <c r="BAD8" s="214"/>
      <c r="BAE8" s="214"/>
      <c r="BAF8" s="214"/>
      <c r="BAG8" s="214"/>
      <c r="BAH8" s="214"/>
      <c r="BAI8" s="214"/>
      <c r="BAJ8" s="214"/>
      <c r="BAK8" s="214"/>
      <c r="BAL8" s="214"/>
      <c r="BAM8" s="214"/>
      <c r="BAN8" s="214"/>
      <c r="BAO8" s="214"/>
      <c r="BAP8" s="214"/>
      <c r="BAQ8" s="214"/>
      <c r="BAR8" s="214"/>
      <c r="BAS8" s="214"/>
      <c r="BAT8" s="214"/>
      <c r="BAU8" s="214"/>
      <c r="BAV8" s="214"/>
      <c r="BAW8" s="214"/>
      <c r="BAX8" s="214"/>
      <c r="BAY8" s="214"/>
      <c r="BAZ8" s="214"/>
      <c r="BBA8" s="214"/>
      <c r="BBB8" s="214"/>
      <c r="BBC8" s="214"/>
      <c r="BBD8" s="214"/>
      <c r="BBE8" s="214"/>
      <c r="BBF8" s="214"/>
      <c r="BBG8" s="214"/>
      <c r="BBH8" s="214"/>
      <c r="BBI8" s="214"/>
      <c r="BBJ8" s="214"/>
      <c r="BBK8" s="214"/>
      <c r="BBL8" s="214"/>
      <c r="BBM8" s="214"/>
      <c r="BBN8" s="214"/>
      <c r="BBO8" s="214"/>
      <c r="BBP8" s="214"/>
      <c r="BBQ8" s="214"/>
      <c r="BBR8" s="214"/>
      <c r="BBS8" s="214"/>
      <c r="BBT8" s="214"/>
      <c r="BBU8" s="214"/>
      <c r="BBV8" s="214"/>
      <c r="BBW8" s="214"/>
      <c r="BBX8" s="214"/>
      <c r="BBY8" s="214"/>
      <c r="BBZ8" s="214"/>
      <c r="BCA8" s="214"/>
      <c r="BCB8" s="214"/>
      <c r="BCC8" s="214"/>
      <c r="BCD8" s="214"/>
      <c r="BCE8" s="214"/>
      <c r="BCF8" s="214"/>
      <c r="BCG8" s="214"/>
      <c r="BCH8" s="214"/>
      <c r="BCI8" s="214"/>
      <c r="BCJ8" s="214"/>
      <c r="BCK8" s="214"/>
      <c r="BCL8" s="214"/>
      <c r="BCM8" s="214"/>
      <c r="BCN8" s="214"/>
      <c r="BCO8" s="214"/>
      <c r="BCP8" s="214"/>
      <c r="BCQ8" s="214"/>
      <c r="BCR8" s="214"/>
      <c r="BCS8" s="214"/>
      <c r="BCT8" s="214"/>
      <c r="BCU8" s="214"/>
      <c r="BCV8" s="214"/>
      <c r="BCW8" s="214"/>
      <c r="BCX8" s="214"/>
      <c r="BCY8" s="214"/>
      <c r="BCZ8" s="214"/>
      <c r="BDA8" s="214"/>
      <c r="BDB8" s="214"/>
      <c r="BDC8" s="214"/>
      <c r="BDD8" s="214"/>
      <c r="BDE8" s="214"/>
      <c r="BDF8" s="214"/>
      <c r="BDG8" s="214"/>
      <c r="BDH8" s="214"/>
      <c r="BDI8" s="214"/>
      <c r="BDJ8" s="214"/>
      <c r="BDK8" s="214"/>
      <c r="BDL8" s="214"/>
      <c r="BDM8" s="214"/>
      <c r="BDN8" s="214"/>
      <c r="BDO8" s="214"/>
      <c r="BDP8" s="214"/>
      <c r="BDQ8" s="214"/>
      <c r="BDR8" s="214"/>
      <c r="BDS8" s="214"/>
      <c r="BDT8" s="214"/>
      <c r="BDU8" s="214"/>
      <c r="BDV8" s="214"/>
      <c r="BDW8" s="214"/>
      <c r="BDX8" s="214"/>
      <c r="BDY8" s="214"/>
      <c r="BDZ8" s="214"/>
      <c r="BEA8" s="214"/>
      <c r="BEB8" s="214"/>
      <c r="BEC8" s="214"/>
      <c r="BED8" s="214"/>
      <c r="BEE8" s="214"/>
      <c r="BEF8" s="214"/>
      <c r="BEG8" s="214"/>
      <c r="BEH8" s="214"/>
      <c r="BEI8" s="214"/>
      <c r="BEJ8" s="214"/>
      <c r="BEK8" s="214"/>
      <c r="BEL8" s="214"/>
      <c r="BEM8" s="214"/>
      <c r="BEN8" s="214"/>
      <c r="BEO8" s="214"/>
      <c r="BEP8" s="214"/>
      <c r="BEQ8" s="214"/>
      <c r="BER8" s="214"/>
      <c r="BES8" s="214"/>
      <c r="BET8" s="214"/>
      <c r="BEU8" s="214"/>
      <c r="BEV8" s="214"/>
      <c r="BEW8" s="214"/>
      <c r="BEX8" s="214"/>
      <c r="BEY8" s="214"/>
      <c r="BEZ8" s="214"/>
      <c r="BFA8" s="214"/>
      <c r="BFB8" s="214"/>
      <c r="BFC8" s="214"/>
      <c r="BFD8" s="214"/>
      <c r="BFE8" s="214"/>
      <c r="BFF8" s="214"/>
      <c r="BFG8" s="214"/>
      <c r="BFH8" s="214"/>
      <c r="BFI8" s="214"/>
      <c r="BFJ8" s="214"/>
      <c r="BFK8" s="214"/>
      <c r="BFL8" s="214"/>
      <c r="BFM8" s="214"/>
      <c r="BFN8" s="214"/>
      <c r="BFO8" s="214"/>
      <c r="BFP8" s="214"/>
      <c r="BFQ8" s="214"/>
      <c r="BFR8" s="214"/>
      <c r="BFS8" s="214"/>
      <c r="BFT8" s="214"/>
      <c r="BFU8" s="214"/>
      <c r="BFV8" s="214"/>
      <c r="BFW8" s="214"/>
      <c r="BFX8" s="214"/>
      <c r="BFY8" s="214"/>
      <c r="BFZ8" s="214"/>
      <c r="BGA8" s="214"/>
      <c r="BGB8" s="214"/>
      <c r="BGC8" s="214"/>
      <c r="BGD8" s="214"/>
      <c r="BGE8" s="214"/>
      <c r="BGF8" s="214"/>
      <c r="BGG8" s="214"/>
      <c r="BGH8" s="214"/>
      <c r="BGI8" s="214"/>
      <c r="BGJ8" s="214"/>
      <c r="BGK8" s="214"/>
      <c r="BGL8" s="214"/>
      <c r="BGM8" s="214"/>
      <c r="BGN8" s="214"/>
      <c r="BGO8" s="214"/>
      <c r="BGP8" s="214"/>
      <c r="BGQ8" s="214"/>
      <c r="BGR8" s="214"/>
      <c r="BGS8" s="214"/>
      <c r="BGT8" s="214"/>
      <c r="BGU8" s="214"/>
      <c r="BGV8" s="214"/>
      <c r="BGW8" s="214"/>
      <c r="BGX8" s="214"/>
      <c r="BGY8" s="214"/>
      <c r="BGZ8" s="214"/>
      <c r="BHA8" s="214"/>
      <c r="BHB8" s="214"/>
      <c r="BHC8" s="214"/>
      <c r="BHD8" s="214"/>
      <c r="BHE8" s="214"/>
      <c r="BHF8" s="214"/>
      <c r="BHG8" s="214"/>
      <c r="BHH8" s="214"/>
      <c r="BHI8" s="214"/>
      <c r="BHJ8" s="214"/>
      <c r="BHK8" s="214"/>
      <c r="BHL8" s="214"/>
      <c r="BHM8" s="214"/>
      <c r="BHN8" s="214"/>
      <c r="BHO8" s="214"/>
      <c r="BHP8" s="214"/>
      <c r="BHQ8" s="214"/>
      <c r="BHR8" s="214"/>
      <c r="BHS8" s="214"/>
      <c r="BHT8" s="214"/>
      <c r="BHU8" s="214"/>
      <c r="BHV8" s="214"/>
      <c r="BHW8" s="214"/>
    </row>
    <row r="9" spans="1:1583" s="217" customFormat="1">
      <c r="A9" s="252" t="s">
        <v>12</v>
      </c>
      <c r="B9" s="180" t="s">
        <v>347</v>
      </c>
      <c r="C9" s="416" t="s">
        <v>469</v>
      </c>
      <c r="D9" s="435" t="s">
        <v>469</v>
      </c>
      <c r="E9" s="59" t="s">
        <v>9</v>
      </c>
      <c r="F9" s="132">
        <v>407.9</v>
      </c>
      <c r="G9" s="60" t="s">
        <v>666</v>
      </c>
      <c r="H9" s="473">
        <f t="shared" si="1"/>
        <v>11136.040290296809</v>
      </c>
      <c r="I9" s="92">
        <f>VLOOKUP($B9,'DCS Data'!$E$2:$AJ$100,MATCH('Daily Report'!I$1,'DCS Data'!$E$2:$AJ$2,0),0)</f>
        <v>326.39420727286853</v>
      </c>
      <c r="J9" s="255"/>
      <c r="K9" s="92">
        <f>VLOOKUP($B9,'DCS Data'!$E$2:$AJ$100,MATCH('Daily Report'!K$1,'DCS Data'!$E$2:$AJ$2,0),0)</f>
        <v>353.46818679581065</v>
      </c>
      <c r="L9" s="92">
        <f>VLOOKUP($B9,'DCS Data'!$E$2:$AJ$100,MATCH('Daily Report'!L$1,'DCS Data'!$E$2:$AJ$2,0),0)</f>
        <v>353.48293545764119</v>
      </c>
      <c r="M9" s="92">
        <f>VLOOKUP($B9,'DCS Data'!$E$2:$AJ$100,MATCH('Daily Report'!M$1,'DCS Data'!$E$2:$AJ$2,0),0)</f>
        <v>352.8055067599135</v>
      </c>
      <c r="N9" s="92">
        <f>VLOOKUP($B9,'DCS Data'!$E$2:$AJ$100,MATCH('Daily Report'!N$1,'DCS Data'!$E$2:$AJ$2,0),0)</f>
        <v>357.10757098872079</v>
      </c>
      <c r="O9" s="92">
        <f>VLOOKUP($B9,'DCS Data'!$E$2:$AJ$100,MATCH('Daily Report'!O$1,'DCS Data'!$E$2:$AJ$2,0),0)</f>
        <v>364.87162005109508</v>
      </c>
      <c r="P9" s="92">
        <f>VLOOKUP($B9,'DCS Data'!$E$2:$AJ$100,MATCH('Daily Report'!P$1,'DCS Data'!$E$2:$AJ$2,0),0)</f>
        <v>364.13954478084725</v>
      </c>
      <c r="Q9" s="92">
        <f>VLOOKUP($B9,'DCS Data'!$E$2:$AJ$100,MATCH('Daily Report'!Q$1,'DCS Data'!$E$2:$AJ$2,0),0)</f>
        <v>361.05856078056678</v>
      </c>
      <c r="R9" s="92">
        <f>VLOOKUP($B9,'DCS Data'!$E$2:$AJ$100,MATCH('Daily Report'!R$1,'DCS Data'!$E$2:$AJ$2,0),0)</f>
        <v>359.30059179280744</v>
      </c>
      <c r="S9" s="92">
        <f>VLOOKUP($B9,'DCS Data'!$E$2:$AJ$100,MATCH('Daily Report'!S$1,'DCS Data'!$E$2:$AJ$2,0),0)</f>
        <v>361.13878125296344</v>
      </c>
      <c r="T9" s="92">
        <f>VLOOKUP($B9,'DCS Data'!$E$2:$AJ$100,MATCH('Daily Report'!T$1,'DCS Data'!$E$2:$AJ$2,0),0)</f>
        <v>359.7097030421113</v>
      </c>
      <c r="U9" s="92">
        <f>VLOOKUP($B9,'DCS Data'!$E$2:$AJ$100,MATCH('Daily Report'!U$1,'DCS Data'!$E$2:$AJ$2,0),0)</f>
        <v>359.99929864205194</v>
      </c>
      <c r="V9" s="92">
        <f>VLOOKUP($B9,'DCS Data'!$E$2:$AJ$100,MATCH('Daily Report'!V$1,'DCS Data'!$E$2:$AJ$2,0),0)</f>
        <v>360.70749707712332</v>
      </c>
      <c r="W9" s="92">
        <f>VLOOKUP($B9,'DCS Data'!$E$2:$AJ$100,MATCH('Daily Report'!W$1,'DCS Data'!$E$2:$AJ$2,0),0)</f>
        <v>363.73027678490536</v>
      </c>
      <c r="X9" s="92">
        <f>VLOOKUP($B9,'DCS Data'!$E$2:$AJ$100,MATCH('Daily Report'!X$1,'DCS Data'!$E$2:$AJ$2,0),0)</f>
        <v>360.11407091475007</v>
      </c>
      <c r="Y9" s="92">
        <f>VLOOKUP($B9,'DCS Data'!$E$2:$AJ$100,MATCH('Daily Report'!Y$1,'DCS Data'!$E$2:$AJ$2,0),0)</f>
        <v>347.35769945308499</v>
      </c>
      <c r="Z9" s="92">
        <f>VLOOKUP($B9,'DCS Data'!$E$2:$AJ$100,MATCH('Daily Report'!Z$1,'DCS Data'!$E$2:$AJ$2,0),0)</f>
        <v>343.75912147396423</v>
      </c>
      <c r="AA9" s="92">
        <f>VLOOKUP($B9,'DCS Data'!$E$2:$AJ$100,MATCH('Daily Report'!AA$1,'DCS Data'!$E$2:$AJ$2,0),0)</f>
        <v>346.7172534609864</v>
      </c>
      <c r="AB9" s="92">
        <f>VLOOKUP($B9,'DCS Data'!$E$2:$AJ$100,MATCH('Daily Report'!AB$1,'DCS Data'!$E$2:$AJ$2,0),0)</f>
        <v>348.05626273494408</v>
      </c>
      <c r="AC9" s="92">
        <f>VLOOKUP($B9,'DCS Data'!$E$2:$AJ$100,MATCH('Daily Report'!AC$1,'DCS Data'!$E$2:$AJ$2,0),0)</f>
        <v>353.79561705112712</v>
      </c>
      <c r="AD9" s="92">
        <f>VLOOKUP($B9,'DCS Data'!$E$2:$AJ$100,MATCH('Daily Report'!AD$1,'DCS Data'!$E$2:$AJ$2,0),0)</f>
        <v>363.99381119557819</v>
      </c>
      <c r="AE9" s="92">
        <f>VLOOKUP($B9,'DCS Data'!$E$2:$AJ$100,MATCH('Daily Report'!AE$1,'DCS Data'!$E$2:$AJ$2,0),0)</f>
        <v>366.48531872130354</v>
      </c>
      <c r="AF9" s="92">
        <f>VLOOKUP($B9,'DCS Data'!$E$2:$AJ$100,MATCH('Daily Report'!AF$1,'DCS Data'!$E$2:$AJ$2,0),0)</f>
        <v>367.27025493231287</v>
      </c>
      <c r="AG9" s="92">
        <f>VLOOKUP($B9,'DCS Data'!$E$2:$AJ$100,MATCH('Daily Report'!AG$1,'DCS Data'!$E$2:$AJ$2,0),0)</f>
        <v>366.98530047922719</v>
      </c>
      <c r="AH9" s="92">
        <f>VLOOKUP($B9,'DCS Data'!$E$2:$AJ$100,MATCH('Daily Report'!AH$1,'DCS Data'!$E$2:$AJ$2,0),0)</f>
        <v>367.72119796156721</v>
      </c>
      <c r="AI9" s="92">
        <f>VLOOKUP($B9,'DCS Data'!$E$2:$AJ$100,MATCH('Daily Report'!AI$1,'DCS Data'!$E$2:$AJ$2,0),0)</f>
        <v>367.52924609802471</v>
      </c>
      <c r="AJ9" s="92">
        <f>VLOOKUP($B9,'DCS Data'!$E$2:$AJ$100,MATCH('Daily Report'!AJ$1,'DCS Data'!$E$2:$AJ$2,0),0)</f>
        <v>368.73710526716474</v>
      </c>
      <c r="AK9" s="92">
        <f>VLOOKUP($B9,'DCS Data'!$E$2:$AJ$100,MATCH('Daily Report'!AK$1,'DCS Data'!$E$2:$AJ$2,0),0)</f>
        <v>368.58301372034219</v>
      </c>
      <c r="AL9" s="92">
        <f>VLOOKUP($B9,'DCS Data'!$E$2:$AJ$100,MATCH('Daily Report'!AL$1,'DCS Data'!$E$2:$AJ$2,0),0)</f>
        <v>367.68907671563187</v>
      </c>
      <c r="AM9" s="92">
        <f>VLOOKUP($B9,'DCS Data'!$E$2:$AJ$100,MATCH('Daily Report'!AM$1,'DCS Data'!$E$2:$AJ$2,0),0)</f>
        <v>365.96501944099344</v>
      </c>
      <c r="AN9" s="92">
        <f>VLOOKUP($B9,'DCS Data'!$E$2:$AJ$100,MATCH('Daily Report'!AN$1,'DCS Data'!$E$2:$AJ$2,0),0)</f>
        <v>367.36663919637749</v>
      </c>
      <c r="AO9" s="214"/>
      <c r="AP9" s="214"/>
      <c r="AQ9" s="214"/>
      <c r="AR9" s="214"/>
      <c r="AS9" s="214"/>
      <c r="AT9" s="214"/>
      <c r="AU9" s="214"/>
      <c r="AV9" s="214"/>
      <c r="AW9" s="214"/>
      <c r="AX9" s="214"/>
      <c r="AY9" s="214"/>
      <c r="AZ9" s="214"/>
      <c r="BA9" s="214"/>
      <c r="BB9" s="214"/>
      <c r="BC9" s="214"/>
      <c r="BD9" s="214"/>
      <c r="BE9" s="214"/>
      <c r="BF9" s="214"/>
      <c r="BG9" s="214"/>
      <c r="BH9" s="214"/>
      <c r="BI9" s="214"/>
      <c r="BJ9" s="214"/>
      <c r="BK9" s="214"/>
      <c r="BL9" s="214"/>
      <c r="BM9" s="214"/>
      <c r="BN9" s="214"/>
      <c r="BO9" s="214"/>
      <c r="BP9" s="214"/>
      <c r="BQ9" s="214"/>
      <c r="BR9" s="214"/>
      <c r="BS9" s="214"/>
      <c r="BT9" s="214"/>
      <c r="BU9" s="214"/>
      <c r="BV9" s="214"/>
      <c r="BW9" s="214"/>
      <c r="BX9" s="214"/>
      <c r="BY9" s="214"/>
      <c r="BZ9" s="214"/>
      <c r="CA9" s="214"/>
      <c r="CB9" s="214"/>
      <c r="CC9" s="214"/>
      <c r="CD9" s="214"/>
      <c r="CE9" s="214"/>
      <c r="CF9" s="214"/>
      <c r="CG9" s="214"/>
      <c r="CH9" s="214"/>
      <c r="CI9" s="214"/>
      <c r="CJ9" s="214"/>
      <c r="CK9" s="214"/>
      <c r="CL9" s="214"/>
      <c r="CM9" s="214"/>
      <c r="CN9" s="214"/>
      <c r="CO9" s="214"/>
      <c r="CP9" s="214"/>
      <c r="CQ9" s="214"/>
      <c r="CR9" s="214"/>
      <c r="CS9" s="214"/>
      <c r="CT9" s="214"/>
      <c r="CU9" s="214"/>
      <c r="CV9" s="214"/>
      <c r="CW9" s="214"/>
      <c r="CX9" s="214"/>
      <c r="CY9" s="214"/>
      <c r="CZ9" s="214"/>
      <c r="DA9" s="214"/>
      <c r="DB9" s="214"/>
      <c r="DC9" s="214"/>
      <c r="DD9" s="214"/>
      <c r="DE9" s="214"/>
      <c r="DF9" s="214"/>
      <c r="DG9" s="214"/>
      <c r="DH9" s="214"/>
      <c r="DI9" s="214"/>
      <c r="DJ9" s="214"/>
      <c r="DK9" s="214"/>
      <c r="DL9" s="214"/>
      <c r="DM9" s="214"/>
      <c r="DN9" s="214"/>
      <c r="DO9" s="214"/>
      <c r="DP9" s="214"/>
      <c r="DQ9" s="214"/>
      <c r="DR9" s="214"/>
      <c r="DS9" s="214"/>
      <c r="DT9" s="214"/>
      <c r="DU9" s="214"/>
      <c r="DV9" s="214"/>
      <c r="DW9" s="214"/>
      <c r="DX9" s="214"/>
      <c r="DY9" s="214"/>
      <c r="DZ9" s="214"/>
      <c r="EA9" s="214"/>
      <c r="EB9" s="214"/>
      <c r="EC9" s="214"/>
      <c r="ED9" s="214"/>
      <c r="EE9" s="214"/>
      <c r="EF9" s="214"/>
      <c r="EG9" s="214"/>
      <c r="EH9" s="214"/>
      <c r="EI9" s="214"/>
      <c r="EJ9" s="214"/>
      <c r="EK9" s="214"/>
      <c r="EL9" s="214"/>
      <c r="EM9" s="214"/>
      <c r="EN9" s="214"/>
      <c r="EO9" s="214"/>
      <c r="EP9" s="214"/>
      <c r="EQ9" s="214"/>
      <c r="ER9" s="214"/>
      <c r="ES9" s="214"/>
      <c r="ET9" s="214"/>
      <c r="EU9" s="214"/>
      <c r="EV9" s="214"/>
      <c r="EW9" s="214"/>
      <c r="EX9" s="214"/>
      <c r="EY9" s="214"/>
      <c r="EZ9" s="214"/>
      <c r="FA9" s="214"/>
      <c r="FB9" s="214"/>
      <c r="FC9" s="214"/>
      <c r="FD9" s="214"/>
      <c r="FE9" s="214"/>
      <c r="FF9" s="214"/>
      <c r="FG9" s="214"/>
      <c r="FH9" s="214"/>
      <c r="FI9" s="214"/>
      <c r="FJ9" s="214"/>
      <c r="FK9" s="214"/>
      <c r="FL9" s="214"/>
      <c r="FM9" s="214"/>
      <c r="FN9" s="214"/>
      <c r="FO9" s="214"/>
      <c r="FP9" s="214"/>
      <c r="FQ9" s="214"/>
      <c r="FR9" s="214"/>
      <c r="FS9" s="214"/>
      <c r="FT9" s="214"/>
      <c r="FU9" s="214"/>
      <c r="FV9" s="214"/>
      <c r="FW9" s="214"/>
      <c r="FX9" s="214"/>
      <c r="FY9" s="214"/>
      <c r="FZ9" s="214"/>
      <c r="GA9" s="214"/>
      <c r="GB9" s="214"/>
      <c r="GC9" s="214"/>
      <c r="GD9" s="214"/>
      <c r="GE9" s="214"/>
      <c r="GF9" s="214"/>
      <c r="GG9" s="214"/>
      <c r="GH9" s="214"/>
      <c r="GI9" s="214"/>
      <c r="GJ9" s="214"/>
      <c r="GK9" s="214"/>
      <c r="GL9" s="214"/>
      <c r="GM9" s="214"/>
      <c r="GN9" s="214"/>
      <c r="GO9" s="214"/>
      <c r="GP9" s="214"/>
      <c r="GQ9" s="214"/>
      <c r="GR9" s="214"/>
      <c r="GS9" s="214"/>
      <c r="GT9" s="214"/>
      <c r="GU9" s="214"/>
      <c r="GV9" s="214"/>
      <c r="GW9" s="214"/>
      <c r="GX9" s="214"/>
      <c r="GY9" s="214"/>
      <c r="GZ9" s="214"/>
      <c r="HA9" s="214"/>
      <c r="HB9" s="214"/>
      <c r="HC9" s="214"/>
      <c r="HD9" s="214"/>
      <c r="HE9" s="214"/>
      <c r="HF9" s="214"/>
      <c r="HG9" s="214"/>
      <c r="HH9" s="214"/>
      <c r="HI9" s="214"/>
      <c r="HJ9" s="214"/>
      <c r="HK9" s="214"/>
      <c r="HL9" s="214"/>
      <c r="HM9" s="214"/>
      <c r="HN9" s="214"/>
      <c r="HO9" s="214"/>
      <c r="HP9" s="214"/>
      <c r="HQ9" s="214"/>
      <c r="HR9" s="214"/>
      <c r="HS9" s="214"/>
      <c r="HT9" s="214"/>
      <c r="HU9" s="214"/>
      <c r="HV9" s="214"/>
      <c r="HW9" s="214"/>
      <c r="HX9" s="214"/>
      <c r="HY9" s="214"/>
      <c r="HZ9" s="214"/>
      <c r="IA9" s="214"/>
      <c r="IB9" s="214"/>
      <c r="IC9" s="214"/>
      <c r="ID9" s="214"/>
      <c r="IE9" s="214"/>
      <c r="IF9" s="214"/>
      <c r="IG9" s="214"/>
      <c r="IH9" s="214"/>
      <c r="II9" s="214"/>
      <c r="IJ9" s="214"/>
      <c r="IK9" s="214"/>
      <c r="IL9" s="214"/>
      <c r="IM9" s="214"/>
      <c r="IN9" s="214"/>
      <c r="IO9" s="214"/>
      <c r="IP9" s="214"/>
      <c r="IQ9" s="214"/>
      <c r="IR9" s="214"/>
      <c r="IS9" s="214"/>
      <c r="IT9" s="214"/>
      <c r="IU9" s="214"/>
      <c r="IV9" s="214"/>
      <c r="IW9" s="214"/>
      <c r="IX9" s="214"/>
      <c r="IY9" s="214"/>
      <c r="IZ9" s="214"/>
      <c r="JA9" s="214"/>
      <c r="JB9" s="214"/>
      <c r="JC9" s="214"/>
      <c r="JD9" s="214"/>
      <c r="JE9" s="214"/>
      <c r="JF9" s="214"/>
      <c r="JG9" s="214"/>
      <c r="JH9" s="214"/>
      <c r="JI9" s="214"/>
      <c r="JJ9" s="214"/>
      <c r="JK9" s="214"/>
      <c r="JL9" s="214"/>
      <c r="JM9" s="214"/>
      <c r="JN9" s="214"/>
      <c r="JO9" s="214"/>
      <c r="JP9" s="214"/>
      <c r="JQ9" s="214"/>
      <c r="JR9" s="214"/>
      <c r="JS9" s="214"/>
      <c r="JT9" s="214"/>
      <c r="JU9" s="214"/>
      <c r="JV9" s="214"/>
      <c r="JW9" s="214"/>
      <c r="JX9" s="214"/>
      <c r="JY9" s="214"/>
      <c r="JZ9" s="214"/>
      <c r="KA9" s="214"/>
      <c r="KB9" s="214"/>
      <c r="KC9" s="214"/>
      <c r="KD9" s="214"/>
      <c r="KE9" s="214"/>
      <c r="KF9" s="214"/>
      <c r="KG9" s="214"/>
      <c r="KH9" s="214"/>
      <c r="KI9" s="214"/>
      <c r="KJ9" s="214"/>
      <c r="KK9" s="214"/>
      <c r="KL9" s="214"/>
      <c r="KM9" s="214"/>
      <c r="KN9" s="214"/>
      <c r="KO9" s="214"/>
      <c r="KP9" s="214"/>
      <c r="KQ9" s="214"/>
      <c r="KR9" s="214"/>
      <c r="KS9" s="214"/>
      <c r="KT9" s="214"/>
      <c r="KU9" s="214"/>
      <c r="KV9" s="214"/>
      <c r="KW9" s="214"/>
      <c r="KX9" s="214"/>
      <c r="KY9" s="214"/>
      <c r="KZ9" s="214"/>
      <c r="LA9" s="214"/>
      <c r="LB9" s="214"/>
      <c r="LC9" s="214"/>
      <c r="LD9" s="214"/>
      <c r="LE9" s="214"/>
      <c r="LF9" s="214"/>
      <c r="LG9" s="214"/>
      <c r="LH9" s="214"/>
      <c r="LI9" s="214"/>
      <c r="LJ9" s="214"/>
      <c r="LK9" s="214"/>
      <c r="LL9" s="214"/>
      <c r="LM9" s="214"/>
      <c r="LN9" s="214"/>
      <c r="LO9" s="214"/>
      <c r="LP9" s="214"/>
      <c r="LQ9" s="214"/>
      <c r="LR9" s="214"/>
      <c r="LS9" s="214"/>
      <c r="LT9" s="214"/>
      <c r="LU9" s="214"/>
      <c r="LV9" s="214"/>
      <c r="LW9" s="214"/>
      <c r="LX9" s="214"/>
      <c r="LY9" s="214"/>
      <c r="LZ9" s="214"/>
      <c r="MA9" s="214"/>
      <c r="MB9" s="214"/>
      <c r="MC9" s="214"/>
      <c r="MD9" s="214"/>
      <c r="ME9" s="214"/>
      <c r="MF9" s="214"/>
      <c r="MG9" s="214"/>
      <c r="MH9" s="214"/>
      <c r="MI9" s="214"/>
      <c r="MJ9" s="214"/>
      <c r="MK9" s="214"/>
      <c r="ML9" s="214"/>
      <c r="MM9" s="214"/>
      <c r="MN9" s="214"/>
      <c r="MO9" s="214"/>
      <c r="MP9" s="214"/>
      <c r="MQ9" s="214"/>
      <c r="MR9" s="214"/>
      <c r="MS9" s="214"/>
      <c r="MT9" s="214"/>
      <c r="MU9" s="214"/>
      <c r="MV9" s="214"/>
      <c r="MW9" s="214"/>
      <c r="MX9" s="214"/>
      <c r="MY9" s="214"/>
      <c r="MZ9" s="214"/>
      <c r="NA9" s="214"/>
      <c r="NB9" s="214"/>
      <c r="NC9" s="214"/>
      <c r="ND9" s="214"/>
      <c r="NE9" s="214"/>
      <c r="NF9" s="214"/>
      <c r="NG9" s="214"/>
      <c r="NH9" s="214"/>
      <c r="NI9" s="214"/>
      <c r="NJ9" s="214"/>
      <c r="NK9" s="214"/>
      <c r="NL9" s="214"/>
      <c r="NM9" s="214"/>
      <c r="NN9" s="214"/>
      <c r="NO9" s="214"/>
      <c r="NP9" s="214"/>
      <c r="NQ9" s="214"/>
      <c r="NR9" s="214"/>
      <c r="NS9" s="214"/>
      <c r="NT9" s="214"/>
      <c r="NU9" s="214"/>
      <c r="NV9" s="214"/>
      <c r="NW9" s="214"/>
      <c r="NX9" s="214"/>
      <c r="NY9" s="214"/>
      <c r="NZ9" s="214"/>
      <c r="OA9" s="214"/>
      <c r="OB9" s="214"/>
      <c r="OC9" s="214"/>
      <c r="OD9" s="214"/>
      <c r="OE9" s="214"/>
      <c r="OF9" s="214"/>
      <c r="OG9" s="214"/>
      <c r="OH9" s="214"/>
      <c r="OI9" s="214"/>
      <c r="OJ9" s="214"/>
      <c r="OK9" s="214"/>
      <c r="OL9" s="214"/>
      <c r="OM9" s="214"/>
      <c r="ON9" s="214"/>
      <c r="OO9" s="214"/>
      <c r="OP9" s="214"/>
      <c r="OQ9" s="214"/>
      <c r="OR9" s="214"/>
      <c r="OS9" s="214"/>
      <c r="OT9" s="214"/>
      <c r="OU9" s="214"/>
      <c r="OV9" s="214"/>
      <c r="OW9" s="214"/>
      <c r="OX9" s="214"/>
      <c r="OY9" s="214"/>
      <c r="OZ9" s="214"/>
      <c r="PA9" s="214"/>
      <c r="PB9" s="214"/>
      <c r="PC9" s="214"/>
      <c r="PD9" s="214"/>
      <c r="PE9" s="214"/>
      <c r="PF9" s="214"/>
      <c r="PG9" s="214"/>
      <c r="PH9" s="214"/>
      <c r="PI9" s="214"/>
      <c r="PJ9" s="214"/>
      <c r="PK9" s="214"/>
      <c r="PL9" s="214"/>
      <c r="PM9" s="214"/>
      <c r="PN9" s="214"/>
      <c r="PO9" s="214"/>
      <c r="PP9" s="214"/>
      <c r="PQ9" s="214"/>
      <c r="PR9" s="214"/>
      <c r="PS9" s="214"/>
      <c r="PT9" s="214"/>
      <c r="PU9" s="214"/>
      <c r="PV9" s="214"/>
      <c r="PW9" s="214"/>
      <c r="PX9" s="214"/>
      <c r="PY9" s="214"/>
      <c r="PZ9" s="214"/>
      <c r="QA9" s="214"/>
      <c r="QB9" s="214"/>
      <c r="QC9" s="214"/>
      <c r="QD9" s="214"/>
      <c r="QE9" s="214"/>
      <c r="QF9" s="214"/>
      <c r="QG9" s="214"/>
      <c r="QH9" s="214"/>
      <c r="QI9" s="214"/>
      <c r="QJ9" s="214"/>
      <c r="QK9" s="214"/>
      <c r="QL9" s="214"/>
      <c r="QM9" s="214"/>
      <c r="QN9" s="214"/>
      <c r="QO9" s="214"/>
      <c r="QP9" s="214"/>
      <c r="QQ9" s="214"/>
      <c r="QR9" s="214"/>
      <c r="QS9" s="214"/>
      <c r="QT9" s="214"/>
      <c r="QU9" s="214"/>
      <c r="QV9" s="214"/>
      <c r="QW9" s="214"/>
      <c r="QX9" s="214"/>
      <c r="QY9" s="214"/>
      <c r="QZ9" s="214"/>
      <c r="RA9" s="214"/>
      <c r="RB9" s="214"/>
      <c r="RC9" s="214"/>
      <c r="RD9" s="214"/>
      <c r="RE9" s="214"/>
      <c r="RF9" s="214"/>
      <c r="RG9" s="214"/>
      <c r="RH9" s="214"/>
      <c r="RI9" s="214"/>
      <c r="RJ9" s="214"/>
      <c r="RK9" s="214"/>
      <c r="RL9" s="214"/>
      <c r="RM9" s="214"/>
      <c r="RN9" s="214"/>
      <c r="RO9" s="214"/>
      <c r="RP9" s="214"/>
      <c r="RQ9" s="214"/>
      <c r="RR9" s="214"/>
      <c r="RS9" s="214"/>
      <c r="RT9" s="214"/>
      <c r="RU9" s="214"/>
      <c r="RV9" s="214"/>
      <c r="RW9" s="214"/>
      <c r="RX9" s="214"/>
      <c r="RY9" s="214"/>
      <c r="RZ9" s="214"/>
      <c r="SA9" s="214"/>
      <c r="SB9" s="214"/>
      <c r="SC9" s="214"/>
      <c r="SD9" s="214"/>
      <c r="SE9" s="214"/>
      <c r="SF9" s="214"/>
      <c r="SG9" s="214"/>
      <c r="SH9" s="214"/>
      <c r="SI9" s="214"/>
      <c r="SJ9" s="214"/>
      <c r="SK9" s="214"/>
      <c r="SL9" s="214"/>
      <c r="SM9" s="214"/>
      <c r="SN9" s="214"/>
      <c r="SO9" s="214"/>
      <c r="SP9" s="214"/>
      <c r="SQ9" s="214"/>
      <c r="SR9" s="214"/>
      <c r="SS9" s="214"/>
      <c r="ST9" s="214"/>
      <c r="SU9" s="214"/>
      <c r="SV9" s="214"/>
      <c r="SW9" s="214"/>
      <c r="SX9" s="214"/>
      <c r="SY9" s="214"/>
      <c r="SZ9" s="214"/>
      <c r="TA9" s="214"/>
      <c r="TB9" s="214"/>
      <c r="TC9" s="214"/>
      <c r="TD9" s="214"/>
      <c r="TE9" s="214"/>
      <c r="TF9" s="214"/>
      <c r="TG9" s="214"/>
      <c r="TH9" s="214"/>
      <c r="TI9" s="214"/>
      <c r="TJ9" s="214"/>
      <c r="TK9" s="214"/>
      <c r="TL9" s="214"/>
      <c r="TM9" s="214"/>
      <c r="TN9" s="214"/>
      <c r="TO9" s="214"/>
      <c r="TP9" s="214"/>
      <c r="TQ9" s="214"/>
      <c r="TR9" s="214"/>
      <c r="TS9" s="214"/>
      <c r="TT9" s="214"/>
      <c r="TU9" s="214"/>
      <c r="TV9" s="214"/>
      <c r="TW9" s="214"/>
      <c r="TX9" s="214"/>
      <c r="TY9" s="214"/>
      <c r="TZ9" s="214"/>
      <c r="UA9" s="214"/>
      <c r="UB9" s="214"/>
      <c r="UC9" s="214"/>
      <c r="UD9" s="214"/>
      <c r="UE9" s="214"/>
      <c r="UF9" s="214"/>
      <c r="UG9" s="214"/>
      <c r="UH9" s="214"/>
      <c r="UI9" s="214"/>
      <c r="UJ9" s="214"/>
      <c r="UK9" s="214"/>
      <c r="UL9" s="214"/>
      <c r="UM9" s="214"/>
      <c r="UN9" s="214"/>
      <c r="UO9" s="214"/>
      <c r="UP9" s="214"/>
      <c r="UQ9" s="214"/>
      <c r="UR9" s="214"/>
      <c r="US9" s="214"/>
      <c r="UT9" s="214"/>
      <c r="UU9" s="214"/>
      <c r="UV9" s="214"/>
      <c r="UW9" s="214"/>
      <c r="UX9" s="214"/>
      <c r="UY9" s="214"/>
      <c r="UZ9" s="214"/>
      <c r="VA9" s="214"/>
      <c r="VB9" s="214"/>
      <c r="VC9" s="214"/>
      <c r="VD9" s="214"/>
      <c r="VE9" s="214"/>
      <c r="VF9" s="214"/>
      <c r="VG9" s="214"/>
      <c r="VH9" s="214"/>
      <c r="VI9" s="214"/>
      <c r="VJ9" s="214"/>
      <c r="VK9" s="214"/>
      <c r="VL9" s="214"/>
      <c r="VM9" s="214"/>
      <c r="VN9" s="214"/>
      <c r="VO9" s="214"/>
      <c r="VP9" s="214"/>
      <c r="VQ9" s="214"/>
      <c r="VR9" s="214"/>
      <c r="VS9" s="214"/>
      <c r="VT9" s="214"/>
      <c r="VU9" s="214"/>
      <c r="VV9" s="214"/>
      <c r="VW9" s="214"/>
      <c r="VX9" s="214"/>
      <c r="VY9" s="214"/>
      <c r="VZ9" s="214"/>
      <c r="WA9" s="214"/>
      <c r="WB9" s="214"/>
      <c r="WC9" s="214"/>
      <c r="WD9" s="214"/>
      <c r="WE9" s="214"/>
      <c r="WF9" s="214"/>
      <c r="WG9" s="214"/>
      <c r="WH9" s="214"/>
      <c r="WI9" s="214"/>
      <c r="WJ9" s="214"/>
      <c r="WK9" s="214"/>
      <c r="WL9" s="214"/>
      <c r="WM9" s="214"/>
      <c r="WN9" s="214"/>
      <c r="WO9" s="214"/>
      <c r="WP9" s="214"/>
      <c r="WQ9" s="214"/>
      <c r="WR9" s="214"/>
      <c r="WS9" s="214"/>
      <c r="WT9" s="214"/>
      <c r="WU9" s="214"/>
      <c r="WV9" s="214"/>
      <c r="WW9" s="214"/>
      <c r="WX9" s="214"/>
      <c r="WY9" s="214"/>
      <c r="WZ9" s="214"/>
      <c r="XA9" s="214"/>
      <c r="XB9" s="214"/>
      <c r="XC9" s="214"/>
      <c r="XD9" s="214"/>
      <c r="XE9" s="214"/>
      <c r="XF9" s="214"/>
      <c r="XG9" s="214"/>
      <c r="XH9" s="214"/>
      <c r="XI9" s="214"/>
      <c r="XJ9" s="214"/>
      <c r="XK9" s="214"/>
      <c r="XL9" s="214"/>
      <c r="XM9" s="214"/>
      <c r="XN9" s="214"/>
      <c r="XO9" s="214"/>
      <c r="XP9" s="214"/>
      <c r="XQ9" s="214"/>
      <c r="XR9" s="214"/>
      <c r="XS9" s="214"/>
      <c r="XT9" s="214"/>
      <c r="XU9" s="214"/>
      <c r="XV9" s="214"/>
      <c r="XW9" s="214"/>
      <c r="XX9" s="214"/>
      <c r="XY9" s="214"/>
      <c r="XZ9" s="214"/>
      <c r="YA9" s="214"/>
      <c r="YB9" s="214"/>
      <c r="YC9" s="214"/>
      <c r="YD9" s="214"/>
      <c r="YE9" s="214"/>
      <c r="YF9" s="214"/>
      <c r="YG9" s="214"/>
      <c r="YH9" s="214"/>
      <c r="YI9" s="214"/>
      <c r="YJ9" s="214"/>
      <c r="YK9" s="214"/>
      <c r="YL9" s="214"/>
      <c r="YM9" s="214"/>
      <c r="YN9" s="214"/>
      <c r="YO9" s="214"/>
      <c r="YP9" s="214"/>
      <c r="YQ9" s="214"/>
      <c r="YR9" s="214"/>
      <c r="YS9" s="214"/>
      <c r="YT9" s="214"/>
      <c r="YU9" s="214"/>
      <c r="YV9" s="214"/>
      <c r="YW9" s="214"/>
      <c r="YX9" s="214"/>
      <c r="YY9" s="214"/>
      <c r="YZ9" s="214"/>
      <c r="ZA9" s="214"/>
      <c r="ZB9" s="214"/>
      <c r="ZC9" s="214"/>
      <c r="ZD9" s="214"/>
      <c r="ZE9" s="214"/>
      <c r="ZF9" s="214"/>
      <c r="ZG9" s="214"/>
      <c r="ZH9" s="214"/>
      <c r="ZI9" s="214"/>
      <c r="ZJ9" s="214"/>
      <c r="ZK9" s="214"/>
      <c r="ZL9" s="214"/>
      <c r="ZM9" s="214"/>
      <c r="ZN9" s="214"/>
      <c r="ZO9" s="214"/>
      <c r="ZP9" s="214"/>
      <c r="ZQ9" s="214"/>
      <c r="ZR9" s="214"/>
      <c r="ZS9" s="214"/>
      <c r="ZT9" s="214"/>
      <c r="ZU9" s="214"/>
      <c r="ZV9" s="214"/>
      <c r="ZW9" s="214"/>
      <c r="ZX9" s="214"/>
      <c r="ZY9" s="214"/>
      <c r="ZZ9" s="214"/>
      <c r="AAA9" s="214"/>
      <c r="AAB9" s="214"/>
      <c r="AAC9" s="214"/>
      <c r="AAD9" s="214"/>
      <c r="AAE9" s="214"/>
      <c r="AAF9" s="214"/>
      <c r="AAG9" s="214"/>
      <c r="AAH9" s="214"/>
      <c r="AAI9" s="214"/>
      <c r="AAJ9" s="214"/>
      <c r="AAK9" s="214"/>
      <c r="AAL9" s="214"/>
      <c r="AAM9" s="214"/>
      <c r="AAN9" s="214"/>
      <c r="AAO9" s="214"/>
      <c r="AAP9" s="214"/>
      <c r="AAQ9" s="214"/>
      <c r="AAR9" s="214"/>
      <c r="AAS9" s="214"/>
      <c r="AAT9" s="214"/>
      <c r="AAU9" s="214"/>
      <c r="AAV9" s="214"/>
      <c r="AAW9" s="214"/>
      <c r="AAX9" s="214"/>
      <c r="AAY9" s="214"/>
      <c r="AAZ9" s="214"/>
      <c r="ABA9" s="214"/>
      <c r="ABB9" s="214"/>
      <c r="ABC9" s="214"/>
      <c r="ABD9" s="214"/>
      <c r="ABE9" s="214"/>
      <c r="ABF9" s="214"/>
      <c r="ABG9" s="214"/>
      <c r="ABH9" s="214"/>
      <c r="ABI9" s="214"/>
      <c r="ABJ9" s="214"/>
      <c r="ABK9" s="214"/>
      <c r="ABL9" s="214"/>
      <c r="ABM9" s="214"/>
      <c r="ABN9" s="214"/>
      <c r="ABO9" s="214"/>
      <c r="ABP9" s="214"/>
      <c r="ABQ9" s="214"/>
      <c r="ABR9" s="214"/>
      <c r="ABS9" s="214"/>
      <c r="ABT9" s="214"/>
      <c r="ABU9" s="214"/>
      <c r="ABV9" s="214"/>
      <c r="ABW9" s="214"/>
      <c r="ABX9" s="214"/>
      <c r="ABY9" s="214"/>
      <c r="ABZ9" s="214"/>
      <c r="ACA9" s="214"/>
      <c r="ACB9" s="214"/>
      <c r="ACC9" s="214"/>
      <c r="ACD9" s="214"/>
      <c r="ACE9" s="214"/>
      <c r="ACF9" s="214"/>
      <c r="ACG9" s="214"/>
      <c r="ACH9" s="214"/>
      <c r="ACI9" s="214"/>
      <c r="ACJ9" s="214"/>
      <c r="ACK9" s="214"/>
      <c r="ACL9" s="214"/>
      <c r="ACM9" s="214"/>
      <c r="ACN9" s="214"/>
      <c r="ACO9" s="214"/>
      <c r="ACP9" s="214"/>
      <c r="ACQ9" s="214"/>
      <c r="ACR9" s="214"/>
      <c r="ACS9" s="214"/>
      <c r="ACT9" s="214"/>
      <c r="ACU9" s="214"/>
      <c r="ACV9" s="214"/>
      <c r="ACW9" s="214"/>
      <c r="ACX9" s="214"/>
      <c r="ACY9" s="214"/>
      <c r="ACZ9" s="214"/>
      <c r="ADA9" s="214"/>
      <c r="ADB9" s="214"/>
      <c r="ADC9" s="214"/>
      <c r="ADD9" s="214"/>
      <c r="ADE9" s="214"/>
      <c r="ADF9" s="214"/>
      <c r="ADG9" s="214"/>
      <c r="ADH9" s="214"/>
      <c r="ADI9" s="214"/>
      <c r="ADJ9" s="214"/>
      <c r="ADK9" s="214"/>
      <c r="ADL9" s="214"/>
      <c r="ADM9" s="214"/>
      <c r="ADN9" s="214"/>
      <c r="ADO9" s="214"/>
      <c r="ADP9" s="214"/>
      <c r="ADQ9" s="214"/>
      <c r="ADR9" s="214"/>
      <c r="ADS9" s="214"/>
      <c r="ADT9" s="214"/>
      <c r="ADU9" s="214"/>
      <c r="ADV9" s="214"/>
      <c r="ADW9" s="214"/>
      <c r="ADX9" s="214"/>
      <c r="ADY9" s="214"/>
      <c r="ADZ9" s="214"/>
      <c r="AEA9" s="214"/>
      <c r="AEB9" s="214"/>
      <c r="AEC9" s="214"/>
      <c r="AED9" s="214"/>
      <c r="AEE9" s="214"/>
      <c r="AEF9" s="214"/>
      <c r="AEG9" s="214"/>
      <c r="AEH9" s="214"/>
      <c r="AEI9" s="214"/>
      <c r="AEJ9" s="214"/>
      <c r="AEK9" s="214"/>
      <c r="AEL9" s="214"/>
      <c r="AEM9" s="214"/>
      <c r="AEN9" s="214"/>
      <c r="AEO9" s="214"/>
      <c r="AEP9" s="214"/>
      <c r="AEQ9" s="214"/>
      <c r="AER9" s="214"/>
      <c r="AES9" s="214"/>
      <c r="AET9" s="214"/>
      <c r="AEU9" s="214"/>
      <c r="AEV9" s="214"/>
      <c r="AEW9" s="214"/>
      <c r="AEX9" s="214"/>
      <c r="AEY9" s="214"/>
      <c r="AEZ9" s="214"/>
      <c r="AFA9" s="214"/>
      <c r="AFB9" s="214"/>
      <c r="AFC9" s="214"/>
      <c r="AFD9" s="214"/>
      <c r="AFE9" s="214"/>
      <c r="AFF9" s="214"/>
      <c r="AFG9" s="214"/>
      <c r="AFH9" s="214"/>
      <c r="AFI9" s="214"/>
      <c r="AFJ9" s="214"/>
      <c r="AFK9" s="214"/>
      <c r="AFL9" s="214"/>
      <c r="AFM9" s="214"/>
      <c r="AFN9" s="214"/>
      <c r="AFO9" s="214"/>
      <c r="AFP9" s="214"/>
      <c r="AFQ9" s="214"/>
      <c r="AFR9" s="214"/>
      <c r="AFS9" s="214"/>
      <c r="AFT9" s="214"/>
      <c r="AFU9" s="214"/>
      <c r="AFV9" s="214"/>
      <c r="AFW9" s="214"/>
      <c r="AFX9" s="214"/>
      <c r="AFY9" s="214"/>
      <c r="AFZ9" s="214"/>
      <c r="AGA9" s="214"/>
      <c r="AGB9" s="214"/>
      <c r="AGC9" s="214"/>
      <c r="AGD9" s="214"/>
      <c r="AGE9" s="214"/>
      <c r="AGF9" s="214"/>
      <c r="AGG9" s="214"/>
      <c r="AGH9" s="214"/>
      <c r="AGI9" s="214"/>
      <c r="AGJ9" s="214"/>
      <c r="AGK9" s="214"/>
      <c r="AGL9" s="214"/>
      <c r="AGM9" s="214"/>
      <c r="AGN9" s="214"/>
      <c r="AGO9" s="214"/>
      <c r="AGP9" s="214"/>
      <c r="AGQ9" s="214"/>
      <c r="AGR9" s="214"/>
      <c r="AGS9" s="214"/>
      <c r="AGT9" s="214"/>
      <c r="AGU9" s="214"/>
      <c r="AGV9" s="214"/>
      <c r="AGW9" s="214"/>
      <c r="AGX9" s="214"/>
      <c r="AGY9" s="214"/>
      <c r="AGZ9" s="214"/>
      <c r="AHA9" s="214"/>
      <c r="AHB9" s="214"/>
      <c r="AHC9" s="214"/>
      <c r="AHD9" s="214"/>
      <c r="AHE9" s="214"/>
      <c r="AHF9" s="214"/>
      <c r="AHG9" s="214"/>
      <c r="AHH9" s="214"/>
      <c r="AHI9" s="214"/>
      <c r="AHJ9" s="214"/>
      <c r="AHK9" s="214"/>
      <c r="AHL9" s="214"/>
      <c r="AHM9" s="214"/>
      <c r="AHN9" s="214"/>
      <c r="AHO9" s="214"/>
      <c r="AHP9" s="214"/>
      <c r="AHQ9" s="214"/>
      <c r="AHR9" s="214"/>
      <c r="AHS9" s="214"/>
      <c r="AHT9" s="214"/>
      <c r="AHU9" s="214"/>
      <c r="AHV9" s="214"/>
      <c r="AHW9" s="214"/>
      <c r="AHX9" s="214"/>
      <c r="AHY9" s="214"/>
      <c r="AHZ9" s="214"/>
      <c r="AIA9" s="214"/>
      <c r="AIB9" s="214"/>
      <c r="AIC9" s="214"/>
      <c r="AID9" s="214"/>
      <c r="AIE9" s="214"/>
      <c r="AIF9" s="214"/>
      <c r="AIG9" s="214"/>
      <c r="AIH9" s="214"/>
      <c r="AII9" s="214"/>
      <c r="AIJ9" s="214"/>
      <c r="AIK9" s="214"/>
      <c r="AIL9" s="214"/>
      <c r="AIM9" s="214"/>
      <c r="AIN9" s="214"/>
      <c r="AIO9" s="214"/>
      <c r="AIP9" s="214"/>
      <c r="AIQ9" s="214"/>
      <c r="AIR9" s="214"/>
      <c r="AIS9" s="214"/>
      <c r="AIT9" s="214"/>
      <c r="AIU9" s="214"/>
      <c r="AIV9" s="214"/>
      <c r="AIW9" s="214"/>
      <c r="AIX9" s="214"/>
      <c r="AIY9" s="214"/>
      <c r="AIZ9" s="214"/>
      <c r="AJA9" s="214"/>
      <c r="AJB9" s="214"/>
      <c r="AJC9" s="214"/>
      <c r="AJD9" s="214"/>
      <c r="AJE9" s="214"/>
      <c r="AJF9" s="214"/>
      <c r="AJG9" s="214"/>
      <c r="AJH9" s="214"/>
      <c r="AJI9" s="214"/>
      <c r="AJJ9" s="214"/>
      <c r="AJK9" s="214"/>
      <c r="AJL9" s="214"/>
      <c r="AJM9" s="214"/>
      <c r="AJN9" s="214"/>
      <c r="AJO9" s="214"/>
      <c r="AJP9" s="214"/>
      <c r="AJQ9" s="214"/>
      <c r="AJR9" s="214"/>
      <c r="AJS9" s="214"/>
      <c r="AJT9" s="214"/>
      <c r="AJU9" s="214"/>
      <c r="AJV9" s="214"/>
      <c r="AJW9" s="214"/>
      <c r="AJX9" s="214"/>
      <c r="AJY9" s="214"/>
      <c r="AJZ9" s="214"/>
      <c r="AKA9" s="214"/>
      <c r="AKB9" s="214"/>
      <c r="AKC9" s="214"/>
      <c r="AKD9" s="214"/>
      <c r="AKE9" s="214"/>
      <c r="AKF9" s="214"/>
      <c r="AKG9" s="214"/>
      <c r="AKH9" s="214"/>
      <c r="AKI9" s="214"/>
      <c r="AKJ9" s="214"/>
      <c r="AKK9" s="214"/>
      <c r="AKL9" s="214"/>
      <c r="AKM9" s="214"/>
      <c r="AKN9" s="214"/>
      <c r="AKO9" s="214"/>
      <c r="AKP9" s="214"/>
      <c r="AKQ9" s="214"/>
      <c r="AKR9" s="214"/>
      <c r="AKS9" s="214"/>
      <c r="AKT9" s="214"/>
      <c r="AKU9" s="214"/>
      <c r="AKV9" s="214"/>
      <c r="AKW9" s="214"/>
      <c r="AKX9" s="214"/>
      <c r="AKY9" s="214"/>
      <c r="AKZ9" s="214"/>
      <c r="ALA9" s="214"/>
      <c r="ALB9" s="214"/>
      <c r="ALC9" s="214"/>
      <c r="ALD9" s="214"/>
      <c r="ALE9" s="214"/>
      <c r="ALF9" s="214"/>
      <c r="ALG9" s="214"/>
      <c r="ALH9" s="214"/>
      <c r="ALI9" s="214"/>
      <c r="ALJ9" s="214"/>
      <c r="ALK9" s="214"/>
      <c r="ALL9" s="214"/>
      <c r="ALM9" s="214"/>
      <c r="ALN9" s="214"/>
      <c r="ALO9" s="214"/>
      <c r="ALP9" s="214"/>
      <c r="ALQ9" s="214"/>
      <c r="ALR9" s="214"/>
      <c r="ALS9" s="214"/>
      <c r="ALT9" s="214"/>
      <c r="ALU9" s="214"/>
      <c r="ALV9" s="214"/>
      <c r="ALW9" s="214"/>
      <c r="ALX9" s="214"/>
      <c r="ALY9" s="214"/>
      <c r="ALZ9" s="214"/>
      <c r="AMA9" s="214"/>
      <c r="AMB9" s="214"/>
      <c r="AMC9" s="214"/>
      <c r="AMD9" s="214"/>
      <c r="AME9" s="214"/>
      <c r="AMF9" s="214"/>
      <c r="AMG9" s="214"/>
      <c r="AMH9" s="214"/>
      <c r="AMI9" s="214"/>
      <c r="AMJ9" s="214"/>
      <c r="AMK9" s="214"/>
      <c r="AML9" s="214"/>
      <c r="AMM9" s="214"/>
      <c r="AMN9" s="214"/>
      <c r="AMO9" s="214"/>
      <c r="AMP9" s="214"/>
      <c r="AMQ9" s="214"/>
      <c r="AMR9" s="214"/>
      <c r="AMS9" s="214"/>
      <c r="AMT9" s="214"/>
      <c r="AMU9" s="214"/>
      <c r="AMV9" s="214"/>
      <c r="AMW9" s="214"/>
      <c r="AMX9" s="214"/>
      <c r="AMY9" s="214"/>
      <c r="AMZ9" s="214"/>
      <c r="ANA9" s="214"/>
      <c r="ANB9" s="214"/>
      <c r="ANC9" s="214"/>
      <c r="AND9" s="214"/>
      <c r="ANE9" s="214"/>
      <c r="ANF9" s="214"/>
      <c r="ANG9" s="214"/>
      <c r="ANH9" s="214"/>
      <c r="ANI9" s="214"/>
      <c r="ANJ9" s="214"/>
      <c r="ANK9" s="214"/>
      <c r="ANL9" s="214"/>
      <c r="ANM9" s="214"/>
      <c r="ANN9" s="214"/>
      <c r="ANO9" s="214"/>
      <c r="ANP9" s="214"/>
      <c r="ANQ9" s="214"/>
      <c r="ANR9" s="214"/>
      <c r="ANS9" s="214"/>
      <c r="ANT9" s="214"/>
      <c r="ANU9" s="214"/>
      <c r="ANV9" s="214"/>
      <c r="ANW9" s="214"/>
      <c r="ANX9" s="214"/>
      <c r="ANY9" s="214"/>
      <c r="ANZ9" s="214"/>
      <c r="AOA9" s="214"/>
      <c r="AOB9" s="214"/>
      <c r="AOC9" s="214"/>
      <c r="AOD9" s="214"/>
      <c r="AOE9" s="214"/>
      <c r="AOF9" s="214"/>
      <c r="AOG9" s="214"/>
      <c r="AOH9" s="214"/>
      <c r="AOI9" s="214"/>
      <c r="AOJ9" s="214"/>
      <c r="AOK9" s="214"/>
      <c r="AOL9" s="214"/>
      <c r="AOM9" s="214"/>
      <c r="AON9" s="214"/>
      <c r="AOO9" s="214"/>
      <c r="AOP9" s="214"/>
      <c r="AOQ9" s="214"/>
      <c r="AOR9" s="214"/>
      <c r="AOS9" s="214"/>
      <c r="AOT9" s="214"/>
      <c r="AOU9" s="214"/>
      <c r="AOV9" s="214"/>
      <c r="AOW9" s="214"/>
      <c r="AOX9" s="214"/>
      <c r="AOY9" s="214"/>
      <c r="AOZ9" s="214"/>
      <c r="APA9" s="214"/>
      <c r="APB9" s="214"/>
      <c r="APC9" s="214"/>
      <c r="APD9" s="214"/>
      <c r="APE9" s="214"/>
      <c r="APF9" s="214"/>
      <c r="APG9" s="214"/>
      <c r="APH9" s="214"/>
      <c r="API9" s="214"/>
      <c r="APJ9" s="214"/>
      <c r="APK9" s="214"/>
      <c r="APL9" s="214"/>
      <c r="APM9" s="214"/>
      <c r="APN9" s="214"/>
      <c r="APO9" s="214"/>
      <c r="APP9" s="214"/>
      <c r="APQ9" s="214"/>
      <c r="APR9" s="214"/>
      <c r="APS9" s="214"/>
      <c r="APT9" s="214"/>
      <c r="APU9" s="214"/>
      <c r="APV9" s="214"/>
      <c r="APW9" s="214"/>
      <c r="APX9" s="214"/>
      <c r="APY9" s="214"/>
      <c r="APZ9" s="214"/>
      <c r="AQA9" s="214"/>
      <c r="AQB9" s="214"/>
      <c r="AQC9" s="214"/>
      <c r="AQD9" s="214"/>
      <c r="AQE9" s="214"/>
      <c r="AQF9" s="214"/>
      <c r="AQG9" s="214"/>
      <c r="AQH9" s="214"/>
      <c r="AQI9" s="214"/>
      <c r="AQJ9" s="214"/>
      <c r="AQK9" s="214"/>
      <c r="AQL9" s="214"/>
      <c r="AQM9" s="214"/>
      <c r="AQN9" s="214"/>
      <c r="AQO9" s="214"/>
      <c r="AQP9" s="214"/>
      <c r="AQQ9" s="214"/>
      <c r="AQR9" s="214"/>
      <c r="AQS9" s="214"/>
      <c r="AQT9" s="214"/>
      <c r="AQU9" s="214"/>
      <c r="AQV9" s="214"/>
      <c r="AQW9" s="214"/>
      <c r="AQX9" s="214"/>
      <c r="AQY9" s="214"/>
      <c r="AQZ9" s="214"/>
      <c r="ARA9" s="214"/>
      <c r="ARB9" s="214"/>
      <c r="ARC9" s="214"/>
      <c r="ARD9" s="214"/>
      <c r="ARE9" s="214"/>
      <c r="ARF9" s="214"/>
      <c r="ARG9" s="214"/>
      <c r="ARH9" s="214"/>
      <c r="ARI9" s="214"/>
      <c r="ARJ9" s="214"/>
      <c r="ARK9" s="214"/>
      <c r="ARL9" s="214"/>
      <c r="ARM9" s="214"/>
      <c r="ARN9" s="214"/>
      <c r="ARO9" s="214"/>
      <c r="ARP9" s="214"/>
      <c r="ARQ9" s="214"/>
      <c r="ARR9" s="214"/>
      <c r="ARS9" s="214"/>
      <c r="ART9" s="214"/>
      <c r="ARU9" s="214"/>
      <c r="ARV9" s="214"/>
      <c r="ARW9" s="214"/>
      <c r="ARX9" s="214"/>
      <c r="ARY9" s="214"/>
      <c r="ARZ9" s="214"/>
      <c r="ASA9" s="214"/>
      <c r="ASB9" s="214"/>
      <c r="ASC9" s="214"/>
      <c r="ASD9" s="214"/>
      <c r="ASE9" s="214"/>
      <c r="ASF9" s="214"/>
      <c r="ASG9" s="214"/>
      <c r="ASH9" s="214"/>
      <c r="ASI9" s="214"/>
      <c r="ASJ9" s="214"/>
      <c r="ASK9" s="214"/>
      <c r="ASL9" s="214"/>
      <c r="ASM9" s="214"/>
      <c r="ASN9" s="214"/>
      <c r="ASO9" s="214"/>
      <c r="ASP9" s="214"/>
      <c r="ASQ9" s="214"/>
      <c r="ASR9" s="214"/>
      <c r="ASS9" s="214"/>
      <c r="AST9" s="214"/>
      <c r="ASU9" s="214"/>
      <c r="ASV9" s="214"/>
      <c r="ASW9" s="214"/>
      <c r="ASX9" s="214"/>
      <c r="ASY9" s="214"/>
      <c r="ASZ9" s="214"/>
      <c r="ATA9" s="214"/>
      <c r="ATB9" s="214"/>
      <c r="ATC9" s="214"/>
      <c r="ATD9" s="214"/>
      <c r="ATE9" s="214"/>
      <c r="ATF9" s="214"/>
      <c r="ATG9" s="214"/>
      <c r="ATH9" s="214"/>
      <c r="ATI9" s="214"/>
      <c r="ATJ9" s="214"/>
      <c r="ATK9" s="214"/>
      <c r="ATL9" s="214"/>
      <c r="ATM9" s="214"/>
      <c r="ATN9" s="214"/>
      <c r="ATO9" s="214"/>
      <c r="ATP9" s="214"/>
      <c r="ATQ9" s="214"/>
      <c r="ATR9" s="214"/>
      <c r="ATS9" s="214"/>
      <c r="ATT9" s="214"/>
      <c r="ATU9" s="214"/>
      <c r="ATV9" s="214"/>
      <c r="ATW9" s="214"/>
      <c r="ATX9" s="214"/>
      <c r="ATY9" s="214"/>
      <c r="ATZ9" s="214"/>
      <c r="AUA9" s="214"/>
      <c r="AUB9" s="214"/>
      <c r="AUC9" s="214"/>
      <c r="AUD9" s="214"/>
      <c r="AUE9" s="214"/>
      <c r="AUF9" s="214"/>
      <c r="AUG9" s="214"/>
      <c r="AUH9" s="214"/>
      <c r="AUI9" s="214"/>
      <c r="AUJ9" s="214"/>
      <c r="AUK9" s="214"/>
      <c r="AUL9" s="214"/>
      <c r="AUM9" s="214"/>
      <c r="AUN9" s="214"/>
      <c r="AUO9" s="214"/>
      <c r="AUP9" s="214"/>
      <c r="AUQ9" s="214"/>
      <c r="AUR9" s="214"/>
      <c r="AUS9" s="214"/>
      <c r="AUT9" s="214"/>
      <c r="AUU9" s="214"/>
      <c r="AUV9" s="214"/>
      <c r="AUW9" s="214"/>
      <c r="AUX9" s="214"/>
      <c r="AUY9" s="214"/>
      <c r="AUZ9" s="214"/>
      <c r="AVA9" s="214"/>
      <c r="AVB9" s="214"/>
      <c r="AVC9" s="214"/>
      <c r="AVD9" s="214"/>
      <c r="AVE9" s="214"/>
      <c r="AVF9" s="214"/>
      <c r="AVG9" s="214"/>
      <c r="AVH9" s="214"/>
      <c r="AVI9" s="214"/>
      <c r="AVJ9" s="214"/>
      <c r="AVK9" s="214"/>
      <c r="AVL9" s="214"/>
      <c r="AVM9" s="214"/>
      <c r="AVN9" s="214"/>
      <c r="AVO9" s="214"/>
      <c r="AVP9" s="214"/>
      <c r="AVQ9" s="214"/>
      <c r="AVR9" s="214"/>
      <c r="AVS9" s="214"/>
      <c r="AVT9" s="214"/>
      <c r="AVU9" s="214"/>
      <c r="AVV9" s="214"/>
      <c r="AVW9" s="214"/>
      <c r="AVX9" s="214"/>
      <c r="AVY9" s="214"/>
      <c r="AVZ9" s="214"/>
      <c r="AWA9" s="214"/>
      <c r="AWB9" s="214"/>
      <c r="AWC9" s="214"/>
      <c r="AWD9" s="214"/>
      <c r="AWE9" s="214"/>
      <c r="AWF9" s="214"/>
      <c r="AWG9" s="214"/>
      <c r="AWH9" s="214"/>
      <c r="AWI9" s="214"/>
      <c r="AWJ9" s="214"/>
      <c r="AWK9" s="214"/>
      <c r="AWL9" s="214"/>
      <c r="AWM9" s="214"/>
      <c r="AWN9" s="214"/>
      <c r="AWO9" s="214"/>
      <c r="AWP9" s="214"/>
      <c r="AWQ9" s="214"/>
      <c r="AWR9" s="214"/>
      <c r="AWS9" s="214"/>
      <c r="AWT9" s="214"/>
      <c r="AWU9" s="214"/>
      <c r="AWV9" s="214"/>
      <c r="AWW9" s="214"/>
      <c r="AWX9" s="214"/>
      <c r="AWY9" s="214"/>
      <c r="AWZ9" s="214"/>
      <c r="AXA9" s="214"/>
      <c r="AXB9" s="214"/>
      <c r="AXC9" s="214"/>
      <c r="AXD9" s="214"/>
      <c r="AXE9" s="214"/>
      <c r="AXF9" s="214"/>
      <c r="AXG9" s="214"/>
      <c r="AXH9" s="214"/>
      <c r="AXI9" s="214"/>
      <c r="AXJ9" s="214"/>
      <c r="AXK9" s="214"/>
      <c r="AXL9" s="214"/>
      <c r="AXM9" s="214"/>
      <c r="AXN9" s="214"/>
      <c r="AXO9" s="214"/>
      <c r="AXP9" s="214"/>
      <c r="AXQ9" s="214"/>
      <c r="AXR9" s="214"/>
      <c r="AXS9" s="214"/>
      <c r="AXT9" s="214"/>
      <c r="AXU9" s="214"/>
      <c r="AXV9" s="214"/>
      <c r="AXW9" s="214"/>
      <c r="AXX9" s="214"/>
      <c r="AXY9" s="214"/>
      <c r="AXZ9" s="214"/>
      <c r="AYA9" s="214"/>
      <c r="AYB9" s="214"/>
      <c r="AYC9" s="214"/>
      <c r="AYD9" s="214"/>
      <c r="AYE9" s="214"/>
      <c r="AYF9" s="214"/>
      <c r="AYG9" s="214"/>
      <c r="AYH9" s="214"/>
      <c r="AYI9" s="214"/>
      <c r="AYJ9" s="214"/>
      <c r="AYK9" s="214"/>
      <c r="AYL9" s="214"/>
      <c r="AYM9" s="214"/>
      <c r="AYN9" s="214"/>
      <c r="AYO9" s="214"/>
      <c r="AYP9" s="214"/>
      <c r="AYQ9" s="214"/>
      <c r="AYR9" s="214"/>
      <c r="AYS9" s="214"/>
      <c r="AYT9" s="214"/>
      <c r="AYU9" s="214"/>
      <c r="AYV9" s="214"/>
      <c r="AYW9" s="214"/>
      <c r="AYX9" s="214"/>
      <c r="AYY9" s="214"/>
      <c r="AYZ9" s="214"/>
      <c r="AZA9" s="214"/>
      <c r="AZB9" s="214"/>
      <c r="AZC9" s="214"/>
      <c r="AZD9" s="214"/>
      <c r="AZE9" s="214"/>
      <c r="AZF9" s="214"/>
      <c r="AZG9" s="214"/>
      <c r="AZH9" s="214"/>
      <c r="AZI9" s="214"/>
      <c r="AZJ9" s="214"/>
      <c r="AZK9" s="214"/>
      <c r="AZL9" s="214"/>
      <c r="AZM9" s="214"/>
      <c r="AZN9" s="214"/>
      <c r="AZO9" s="214"/>
      <c r="AZP9" s="214"/>
      <c r="AZQ9" s="214"/>
      <c r="AZR9" s="214"/>
      <c r="AZS9" s="214"/>
      <c r="AZT9" s="214"/>
      <c r="AZU9" s="214"/>
      <c r="AZV9" s="214"/>
      <c r="AZW9" s="214"/>
      <c r="AZX9" s="214"/>
      <c r="AZY9" s="214"/>
      <c r="AZZ9" s="214"/>
      <c r="BAA9" s="214"/>
      <c r="BAB9" s="214"/>
      <c r="BAC9" s="214"/>
      <c r="BAD9" s="214"/>
      <c r="BAE9" s="214"/>
      <c r="BAF9" s="214"/>
      <c r="BAG9" s="214"/>
      <c r="BAH9" s="214"/>
      <c r="BAI9" s="214"/>
      <c r="BAJ9" s="214"/>
      <c r="BAK9" s="214"/>
      <c r="BAL9" s="214"/>
      <c r="BAM9" s="214"/>
      <c r="BAN9" s="214"/>
      <c r="BAO9" s="214"/>
      <c r="BAP9" s="214"/>
      <c r="BAQ9" s="214"/>
      <c r="BAR9" s="214"/>
      <c r="BAS9" s="214"/>
      <c r="BAT9" s="214"/>
      <c r="BAU9" s="214"/>
      <c r="BAV9" s="214"/>
      <c r="BAW9" s="214"/>
      <c r="BAX9" s="214"/>
      <c r="BAY9" s="214"/>
      <c r="BAZ9" s="214"/>
      <c r="BBA9" s="214"/>
      <c r="BBB9" s="214"/>
      <c r="BBC9" s="214"/>
      <c r="BBD9" s="214"/>
      <c r="BBE9" s="214"/>
      <c r="BBF9" s="214"/>
      <c r="BBG9" s="214"/>
      <c r="BBH9" s="214"/>
      <c r="BBI9" s="214"/>
      <c r="BBJ9" s="214"/>
      <c r="BBK9" s="214"/>
      <c r="BBL9" s="214"/>
      <c r="BBM9" s="214"/>
      <c r="BBN9" s="214"/>
      <c r="BBO9" s="214"/>
      <c r="BBP9" s="214"/>
      <c r="BBQ9" s="214"/>
      <c r="BBR9" s="214"/>
      <c r="BBS9" s="214"/>
      <c r="BBT9" s="214"/>
      <c r="BBU9" s="214"/>
      <c r="BBV9" s="214"/>
      <c r="BBW9" s="214"/>
      <c r="BBX9" s="214"/>
      <c r="BBY9" s="214"/>
      <c r="BBZ9" s="214"/>
      <c r="BCA9" s="214"/>
      <c r="BCB9" s="214"/>
      <c r="BCC9" s="214"/>
      <c r="BCD9" s="214"/>
      <c r="BCE9" s="214"/>
      <c r="BCF9" s="214"/>
      <c r="BCG9" s="214"/>
      <c r="BCH9" s="214"/>
      <c r="BCI9" s="214"/>
      <c r="BCJ9" s="214"/>
      <c r="BCK9" s="214"/>
      <c r="BCL9" s="214"/>
      <c r="BCM9" s="214"/>
      <c r="BCN9" s="214"/>
      <c r="BCO9" s="214"/>
      <c r="BCP9" s="214"/>
      <c r="BCQ9" s="214"/>
      <c r="BCR9" s="214"/>
      <c r="BCS9" s="214"/>
      <c r="BCT9" s="214"/>
      <c r="BCU9" s="214"/>
      <c r="BCV9" s="214"/>
      <c r="BCW9" s="214"/>
      <c r="BCX9" s="214"/>
      <c r="BCY9" s="214"/>
      <c r="BCZ9" s="214"/>
      <c r="BDA9" s="214"/>
      <c r="BDB9" s="214"/>
      <c r="BDC9" s="214"/>
      <c r="BDD9" s="214"/>
      <c r="BDE9" s="214"/>
      <c r="BDF9" s="214"/>
      <c r="BDG9" s="214"/>
      <c r="BDH9" s="214"/>
      <c r="BDI9" s="214"/>
      <c r="BDJ9" s="214"/>
      <c r="BDK9" s="214"/>
      <c r="BDL9" s="214"/>
      <c r="BDM9" s="214"/>
      <c r="BDN9" s="214"/>
      <c r="BDO9" s="214"/>
      <c r="BDP9" s="214"/>
      <c r="BDQ9" s="214"/>
      <c r="BDR9" s="214"/>
      <c r="BDS9" s="214"/>
      <c r="BDT9" s="214"/>
      <c r="BDU9" s="214"/>
      <c r="BDV9" s="214"/>
      <c r="BDW9" s="214"/>
      <c r="BDX9" s="214"/>
      <c r="BDY9" s="214"/>
      <c r="BDZ9" s="214"/>
      <c r="BEA9" s="214"/>
      <c r="BEB9" s="214"/>
      <c r="BEC9" s="214"/>
      <c r="BED9" s="214"/>
      <c r="BEE9" s="214"/>
      <c r="BEF9" s="214"/>
      <c r="BEG9" s="214"/>
      <c r="BEH9" s="214"/>
      <c r="BEI9" s="214"/>
      <c r="BEJ9" s="214"/>
      <c r="BEK9" s="214"/>
      <c r="BEL9" s="214"/>
      <c r="BEM9" s="214"/>
      <c r="BEN9" s="214"/>
      <c r="BEO9" s="214"/>
      <c r="BEP9" s="214"/>
      <c r="BEQ9" s="214"/>
      <c r="BER9" s="214"/>
      <c r="BES9" s="214"/>
      <c r="BET9" s="214"/>
      <c r="BEU9" s="214"/>
      <c r="BEV9" s="214"/>
      <c r="BEW9" s="214"/>
      <c r="BEX9" s="214"/>
      <c r="BEY9" s="214"/>
      <c r="BEZ9" s="214"/>
      <c r="BFA9" s="214"/>
      <c r="BFB9" s="214"/>
      <c r="BFC9" s="214"/>
      <c r="BFD9" s="214"/>
      <c r="BFE9" s="214"/>
      <c r="BFF9" s="214"/>
      <c r="BFG9" s="214"/>
      <c r="BFH9" s="214"/>
      <c r="BFI9" s="214"/>
      <c r="BFJ9" s="214"/>
      <c r="BFK9" s="214"/>
      <c r="BFL9" s="214"/>
      <c r="BFM9" s="214"/>
      <c r="BFN9" s="214"/>
      <c r="BFO9" s="214"/>
      <c r="BFP9" s="214"/>
      <c r="BFQ9" s="214"/>
      <c r="BFR9" s="214"/>
      <c r="BFS9" s="214"/>
      <c r="BFT9" s="214"/>
      <c r="BFU9" s="214"/>
      <c r="BFV9" s="214"/>
      <c r="BFW9" s="214"/>
      <c r="BFX9" s="214"/>
      <c r="BFY9" s="214"/>
      <c r="BFZ9" s="214"/>
      <c r="BGA9" s="214"/>
      <c r="BGB9" s="214"/>
      <c r="BGC9" s="214"/>
      <c r="BGD9" s="214"/>
      <c r="BGE9" s="214"/>
      <c r="BGF9" s="214"/>
      <c r="BGG9" s="214"/>
      <c r="BGH9" s="214"/>
      <c r="BGI9" s="214"/>
      <c r="BGJ9" s="214"/>
      <c r="BGK9" s="214"/>
      <c r="BGL9" s="214"/>
      <c r="BGM9" s="214"/>
      <c r="BGN9" s="214"/>
      <c r="BGO9" s="214"/>
      <c r="BGP9" s="214"/>
      <c r="BGQ9" s="214"/>
      <c r="BGR9" s="214"/>
      <c r="BGS9" s="214"/>
      <c r="BGT9" s="214"/>
      <c r="BGU9" s="214"/>
      <c r="BGV9" s="214"/>
      <c r="BGW9" s="214"/>
      <c r="BGX9" s="214"/>
      <c r="BGY9" s="214"/>
      <c r="BGZ9" s="214"/>
      <c r="BHA9" s="214"/>
      <c r="BHB9" s="214"/>
      <c r="BHC9" s="214"/>
      <c r="BHD9" s="214"/>
      <c r="BHE9" s="214"/>
      <c r="BHF9" s="214"/>
      <c r="BHG9" s="214"/>
      <c r="BHH9" s="214"/>
      <c r="BHI9" s="214"/>
      <c r="BHJ9" s="214"/>
      <c r="BHK9" s="214"/>
      <c r="BHL9" s="214"/>
      <c r="BHM9" s="214"/>
      <c r="BHN9" s="214"/>
      <c r="BHO9" s="214"/>
      <c r="BHP9" s="214"/>
      <c r="BHQ9" s="214"/>
      <c r="BHR9" s="214"/>
      <c r="BHS9" s="214"/>
      <c r="BHT9" s="214"/>
      <c r="BHU9" s="214"/>
      <c r="BHV9" s="214"/>
      <c r="BHW9" s="214"/>
    </row>
    <row r="10" spans="1:1583" s="219" customFormat="1" ht="15.75" thickBot="1">
      <c r="A10" s="262" t="s">
        <v>442</v>
      </c>
      <c r="B10" s="257"/>
      <c r="C10" s="257"/>
      <c r="D10" s="257"/>
      <c r="E10" s="265" t="s">
        <v>25</v>
      </c>
      <c r="F10" s="133">
        <v>17.440000000000001</v>
      </c>
      <c r="G10" s="60" t="s">
        <v>659</v>
      </c>
      <c r="H10" s="473">
        <f t="shared" ref="H10:H15" si="2">AVERAGE(I10:AN10)</f>
        <v>17.316002420332104</v>
      </c>
      <c r="I10" s="143">
        <f>Analysis!J12</f>
        <v>17.217800693632412</v>
      </c>
      <c r="J10" s="437"/>
      <c r="K10" s="143">
        <f>Analysis!L12</f>
        <v>17.24851956998533</v>
      </c>
      <c r="L10" s="143">
        <f>Analysis!M12</f>
        <v>17.170368953396174</v>
      </c>
      <c r="M10" s="143">
        <f>Analysis!N12</f>
        <v>17.176261654544199</v>
      </c>
      <c r="N10" s="143">
        <f>Analysis!O12</f>
        <v>17.150427944353719</v>
      </c>
      <c r="O10" s="143">
        <f>Analysis!P12</f>
        <v>17.176176314815017</v>
      </c>
      <c r="P10" s="143">
        <f>Analysis!Q12</f>
        <v>17.19313151639987</v>
      </c>
      <c r="Q10" s="143">
        <f>Analysis!R12</f>
        <v>17.217357038315477</v>
      </c>
      <c r="R10" s="143">
        <f>Analysis!S12</f>
        <v>17.269731369153359</v>
      </c>
      <c r="S10" s="143">
        <f>Analysis!T12</f>
        <v>17.341239644872335</v>
      </c>
      <c r="T10" s="143">
        <f>Analysis!U12</f>
        <v>17.322151249439372</v>
      </c>
      <c r="U10" s="143">
        <f>Analysis!V12</f>
        <v>17.318570039397869</v>
      </c>
      <c r="V10" s="143">
        <f>Analysis!W12</f>
        <v>17.361266665630598</v>
      </c>
      <c r="W10" s="143">
        <f>Analysis!X12</f>
        <v>17.351676306827144</v>
      </c>
      <c r="X10" s="143">
        <f>Analysis!Y12</f>
        <v>17.456380017957489</v>
      </c>
      <c r="Y10" s="143">
        <f>Analysis!Z12</f>
        <v>17.376492933247125</v>
      </c>
      <c r="Z10" s="143">
        <f>Analysis!AA12</f>
        <v>17.38769861185191</v>
      </c>
      <c r="AA10" s="143">
        <f>Analysis!AB12</f>
        <v>17.389133516154942</v>
      </c>
      <c r="AB10" s="143">
        <f>Analysis!AC12</f>
        <v>17.385134402845296</v>
      </c>
      <c r="AC10" s="143">
        <f>Analysis!AD12</f>
        <v>17.378219174470182</v>
      </c>
      <c r="AD10" s="143">
        <f>Analysis!AE12</f>
        <v>17.380557870585388</v>
      </c>
      <c r="AE10" s="143">
        <f>Analysis!AF12</f>
        <v>17.413880281878999</v>
      </c>
      <c r="AF10" s="143">
        <f>Analysis!AG12</f>
        <v>17.412494653004732</v>
      </c>
      <c r="AG10" s="143">
        <f>Analysis!AH12</f>
        <v>17.41885214132844</v>
      </c>
      <c r="AH10" s="143">
        <f>Analysis!AI12</f>
        <v>17.401653632406095</v>
      </c>
      <c r="AI10" s="143">
        <f>Analysis!AJ12</f>
        <v>17.355970450660848</v>
      </c>
      <c r="AJ10" s="143">
        <f>Analysis!AK12</f>
        <v>17.380172374828035</v>
      </c>
      <c r="AK10" s="143">
        <f>Analysis!AL12</f>
        <v>17.378170027398891</v>
      </c>
      <c r="AL10" s="143">
        <f>Analysis!AM12</f>
        <v>17.311035375553381</v>
      </c>
      <c r="AM10" s="143">
        <f>Analysis!AN12</f>
        <v>17.232057910566738</v>
      </c>
      <c r="AN10" s="143">
        <f>Analysis!AO12</f>
        <v>17.223492694793791</v>
      </c>
      <c r="AO10" s="218"/>
      <c r="AP10" s="218"/>
      <c r="AQ10" s="218"/>
      <c r="AR10" s="218"/>
      <c r="AS10" s="218"/>
      <c r="AT10" s="218"/>
      <c r="AU10" s="218"/>
      <c r="AV10" s="218"/>
      <c r="AW10" s="218"/>
      <c r="AX10" s="218"/>
      <c r="AY10" s="218"/>
      <c r="AZ10" s="218"/>
      <c r="BA10" s="218"/>
      <c r="BB10" s="218"/>
      <c r="BC10" s="218"/>
      <c r="BD10" s="218"/>
      <c r="BE10" s="218"/>
      <c r="BF10" s="218"/>
      <c r="BG10" s="218"/>
      <c r="BH10" s="218"/>
      <c r="BI10" s="218"/>
      <c r="BJ10" s="218"/>
      <c r="BK10" s="218"/>
      <c r="BL10" s="218"/>
      <c r="BM10" s="218"/>
      <c r="BN10" s="218"/>
      <c r="BO10" s="218"/>
      <c r="BP10" s="218"/>
      <c r="BQ10" s="218"/>
      <c r="BR10" s="218"/>
      <c r="BS10" s="218"/>
      <c r="BT10" s="218"/>
      <c r="BU10" s="218"/>
      <c r="BV10" s="218"/>
      <c r="BW10" s="218"/>
      <c r="BX10" s="218"/>
      <c r="BY10" s="218"/>
      <c r="BZ10" s="218"/>
      <c r="CA10" s="218"/>
      <c r="CB10" s="218"/>
      <c r="CC10" s="218"/>
      <c r="CD10" s="218"/>
      <c r="CE10" s="218"/>
      <c r="CF10" s="218"/>
      <c r="CG10" s="218"/>
      <c r="CH10" s="218"/>
      <c r="CI10" s="218"/>
      <c r="CJ10" s="218"/>
      <c r="CK10" s="218"/>
      <c r="CL10" s="218"/>
      <c r="CM10" s="218"/>
      <c r="CN10" s="218"/>
      <c r="CO10" s="218"/>
      <c r="CP10" s="218"/>
      <c r="CQ10" s="218"/>
      <c r="CR10" s="218"/>
      <c r="CS10" s="218"/>
      <c r="CT10" s="218"/>
      <c r="CU10" s="218"/>
      <c r="CV10" s="218"/>
      <c r="CW10" s="218"/>
      <c r="CX10" s="218"/>
      <c r="CY10" s="218"/>
      <c r="CZ10" s="218"/>
      <c r="DA10" s="218"/>
      <c r="DB10" s="218"/>
      <c r="DC10" s="218"/>
      <c r="DD10" s="218"/>
      <c r="DE10" s="218"/>
      <c r="DF10" s="218"/>
      <c r="DG10" s="218"/>
      <c r="DH10" s="218"/>
      <c r="DI10" s="218"/>
      <c r="DJ10" s="218"/>
      <c r="DK10" s="218"/>
      <c r="DL10" s="218"/>
      <c r="DM10" s="218"/>
      <c r="DN10" s="218"/>
      <c r="DO10" s="218"/>
      <c r="DP10" s="218"/>
      <c r="DQ10" s="218"/>
      <c r="DR10" s="218"/>
      <c r="DS10" s="218"/>
      <c r="DT10" s="218"/>
      <c r="DU10" s="218"/>
      <c r="DV10" s="218"/>
      <c r="DW10" s="218"/>
      <c r="DX10" s="218"/>
      <c r="DY10" s="218"/>
      <c r="DZ10" s="218"/>
      <c r="EA10" s="218"/>
      <c r="EB10" s="218"/>
      <c r="EC10" s="218"/>
      <c r="ED10" s="218"/>
      <c r="EE10" s="218"/>
      <c r="EF10" s="218"/>
      <c r="EG10" s="218"/>
      <c r="EH10" s="218"/>
      <c r="EI10" s="218"/>
      <c r="EJ10" s="218"/>
      <c r="EK10" s="218"/>
      <c r="EL10" s="218"/>
      <c r="EM10" s="218"/>
      <c r="EN10" s="218"/>
      <c r="EO10" s="218"/>
      <c r="EP10" s="218"/>
      <c r="EQ10" s="218"/>
      <c r="ER10" s="218"/>
      <c r="ES10" s="218"/>
      <c r="ET10" s="218"/>
      <c r="EU10" s="218"/>
      <c r="EV10" s="218"/>
      <c r="EW10" s="218"/>
      <c r="EX10" s="218"/>
      <c r="EY10" s="218"/>
      <c r="EZ10" s="218"/>
      <c r="FA10" s="218"/>
      <c r="FB10" s="218"/>
      <c r="FC10" s="218"/>
      <c r="FD10" s="218"/>
      <c r="FE10" s="218"/>
      <c r="FF10" s="218"/>
      <c r="FG10" s="218"/>
      <c r="FH10" s="218"/>
      <c r="FI10" s="218"/>
      <c r="FJ10" s="218"/>
      <c r="FK10" s="218"/>
      <c r="FL10" s="218"/>
      <c r="FM10" s="218"/>
      <c r="FN10" s="218"/>
      <c r="FO10" s="218"/>
      <c r="FP10" s="218"/>
      <c r="FQ10" s="218"/>
      <c r="FR10" s="218"/>
      <c r="FS10" s="218"/>
      <c r="FT10" s="218"/>
      <c r="FU10" s="218"/>
      <c r="FV10" s="218"/>
      <c r="FW10" s="218"/>
      <c r="FX10" s="218"/>
      <c r="FY10" s="218"/>
      <c r="FZ10" s="218"/>
      <c r="GA10" s="218"/>
      <c r="GB10" s="218"/>
      <c r="GC10" s="218"/>
      <c r="GD10" s="218"/>
      <c r="GE10" s="218"/>
      <c r="GF10" s="218"/>
      <c r="GG10" s="218"/>
      <c r="GH10" s="218"/>
      <c r="GI10" s="218"/>
      <c r="GJ10" s="218"/>
      <c r="GK10" s="218"/>
      <c r="GL10" s="218"/>
      <c r="GM10" s="218"/>
      <c r="GN10" s="218"/>
      <c r="GO10" s="218"/>
      <c r="GP10" s="218"/>
      <c r="GQ10" s="218"/>
      <c r="GR10" s="218"/>
      <c r="GS10" s="218"/>
      <c r="GT10" s="218"/>
      <c r="GU10" s="218"/>
      <c r="GV10" s="218"/>
      <c r="GW10" s="218"/>
      <c r="GX10" s="218"/>
      <c r="GY10" s="218"/>
      <c r="GZ10" s="218"/>
      <c r="HA10" s="218"/>
      <c r="HB10" s="218"/>
      <c r="HC10" s="218"/>
      <c r="HD10" s="218"/>
      <c r="HE10" s="218"/>
      <c r="HF10" s="218"/>
      <c r="HG10" s="218"/>
      <c r="HH10" s="218"/>
      <c r="HI10" s="218"/>
      <c r="HJ10" s="218"/>
      <c r="HK10" s="218"/>
      <c r="HL10" s="218"/>
      <c r="HM10" s="218"/>
      <c r="HN10" s="218"/>
      <c r="HO10" s="218"/>
      <c r="HP10" s="218"/>
      <c r="HQ10" s="218"/>
      <c r="HR10" s="218"/>
      <c r="HS10" s="218"/>
      <c r="HT10" s="218"/>
      <c r="HU10" s="218"/>
      <c r="HV10" s="218"/>
      <c r="HW10" s="218"/>
      <c r="HX10" s="218"/>
      <c r="HY10" s="218"/>
      <c r="HZ10" s="218"/>
      <c r="IA10" s="218"/>
      <c r="IB10" s="218"/>
      <c r="IC10" s="218"/>
      <c r="ID10" s="218"/>
      <c r="IE10" s="218"/>
      <c r="IF10" s="218"/>
      <c r="IG10" s="218"/>
      <c r="IH10" s="218"/>
      <c r="II10" s="218"/>
      <c r="IJ10" s="218"/>
      <c r="IK10" s="218"/>
      <c r="IL10" s="218"/>
      <c r="IM10" s="218"/>
      <c r="IN10" s="218"/>
      <c r="IO10" s="218"/>
      <c r="IP10" s="218"/>
      <c r="IQ10" s="218"/>
      <c r="IR10" s="218"/>
      <c r="IS10" s="218"/>
      <c r="IT10" s="218"/>
      <c r="IU10" s="218"/>
      <c r="IV10" s="218"/>
      <c r="IW10" s="218"/>
      <c r="IX10" s="218"/>
      <c r="IY10" s="218"/>
      <c r="IZ10" s="218"/>
      <c r="JA10" s="218"/>
      <c r="JB10" s="218"/>
      <c r="JC10" s="218"/>
      <c r="JD10" s="218"/>
      <c r="JE10" s="218"/>
      <c r="JF10" s="218"/>
      <c r="JG10" s="218"/>
      <c r="JH10" s="218"/>
      <c r="JI10" s="218"/>
      <c r="JJ10" s="218"/>
      <c r="JK10" s="218"/>
      <c r="JL10" s="218"/>
      <c r="JM10" s="218"/>
      <c r="JN10" s="218"/>
      <c r="JO10" s="218"/>
      <c r="JP10" s="218"/>
      <c r="JQ10" s="218"/>
      <c r="JR10" s="218"/>
      <c r="JS10" s="218"/>
      <c r="JT10" s="218"/>
      <c r="JU10" s="218"/>
      <c r="JV10" s="218"/>
      <c r="JW10" s="218"/>
      <c r="JX10" s="218"/>
      <c r="JY10" s="218"/>
      <c r="JZ10" s="218"/>
      <c r="KA10" s="218"/>
      <c r="KB10" s="218"/>
      <c r="KC10" s="218"/>
      <c r="KD10" s="218"/>
      <c r="KE10" s="218"/>
      <c r="KF10" s="218"/>
      <c r="KG10" s="218"/>
      <c r="KH10" s="218"/>
      <c r="KI10" s="218"/>
      <c r="KJ10" s="218"/>
      <c r="KK10" s="218"/>
      <c r="KL10" s="218"/>
      <c r="KM10" s="218"/>
      <c r="KN10" s="218"/>
      <c r="KO10" s="218"/>
      <c r="KP10" s="218"/>
      <c r="KQ10" s="218"/>
      <c r="KR10" s="218"/>
      <c r="KS10" s="218"/>
      <c r="KT10" s="218"/>
      <c r="KU10" s="218"/>
      <c r="KV10" s="218"/>
      <c r="KW10" s="218"/>
      <c r="KX10" s="218"/>
      <c r="KY10" s="218"/>
      <c r="KZ10" s="218"/>
      <c r="LA10" s="218"/>
      <c r="LB10" s="218"/>
      <c r="LC10" s="218"/>
      <c r="LD10" s="218"/>
      <c r="LE10" s="218"/>
      <c r="LF10" s="218"/>
      <c r="LG10" s="218"/>
      <c r="LH10" s="218"/>
      <c r="LI10" s="218"/>
      <c r="LJ10" s="218"/>
      <c r="LK10" s="218"/>
      <c r="LL10" s="218"/>
      <c r="LM10" s="218"/>
      <c r="LN10" s="218"/>
      <c r="LO10" s="218"/>
      <c r="LP10" s="218"/>
      <c r="LQ10" s="218"/>
      <c r="LR10" s="218"/>
      <c r="LS10" s="218"/>
      <c r="LT10" s="218"/>
      <c r="LU10" s="218"/>
      <c r="LV10" s="218"/>
      <c r="LW10" s="218"/>
      <c r="LX10" s="218"/>
      <c r="LY10" s="218"/>
      <c r="LZ10" s="218"/>
      <c r="MA10" s="218"/>
      <c r="MB10" s="218"/>
      <c r="MC10" s="218"/>
      <c r="MD10" s="218"/>
      <c r="ME10" s="218"/>
      <c r="MF10" s="218"/>
      <c r="MG10" s="218"/>
      <c r="MH10" s="218"/>
      <c r="MI10" s="218"/>
      <c r="MJ10" s="218"/>
      <c r="MK10" s="218"/>
      <c r="ML10" s="218"/>
      <c r="MM10" s="218"/>
      <c r="MN10" s="218"/>
      <c r="MO10" s="218"/>
      <c r="MP10" s="218"/>
      <c r="MQ10" s="218"/>
      <c r="MR10" s="218"/>
      <c r="MS10" s="218"/>
      <c r="MT10" s="218"/>
      <c r="MU10" s="218"/>
      <c r="MV10" s="218"/>
      <c r="MW10" s="218"/>
      <c r="MX10" s="218"/>
      <c r="MY10" s="218"/>
      <c r="MZ10" s="218"/>
      <c r="NA10" s="218"/>
      <c r="NB10" s="218"/>
      <c r="NC10" s="218"/>
      <c r="ND10" s="218"/>
      <c r="NE10" s="218"/>
      <c r="NF10" s="218"/>
      <c r="NG10" s="218"/>
      <c r="NH10" s="218"/>
      <c r="NI10" s="218"/>
      <c r="NJ10" s="218"/>
      <c r="NK10" s="218"/>
      <c r="NL10" s="218"/>
      <c r="NM10" s="218"/>
      <c r="NN10" s="218"/>
      <c r="NO10" s="218"/>
      <c r="NP10" s="218"/>
      <c r="NQ10" s="218"/>
      <c r="NR10" s="218"/>
      <c r="NS10" s="218"/>
      <c r="NT10" s="218"/>
      <c r="NU10" s="218"/>
      <c r="NV10" s="218"/>
      <c r="NW10" s="218"/>
      <c r="NX10" s="218"/>
      <c r="NY10" s="218"/>
      <c r="NZ10" s="218"/>
      <c r="OA10" s="218"/>
      <c r="OB10" s="218"/>
      <c r="OC10" s="218"/>
      <c r="OD10" s="218"/>
      <c r="OE10" s="218"/>
      <c r="OF10" s="218"/>
      <c r="OG10" s="218"/>
      <c r="OH10" s="218"/>
      <c r="OI10" s="218"/>
      <c r="OJ10" s="218"/>
      <c r="OK10" s="218"/>
      <c r="OL10" s="218"/>
      <c r="OM10" s="218"/>
      <c r="ON10" s="218"/>
      <c r="OO10" s="218"/>
      <c r="OP10" s="218"/>
      <c r="OQ10" s="218"/>
      <c r="OR10" s="218"/>
      <c r="OS10" s="218"/>
      <c r="OT10" s="218"/>
      <c r="OU10" s="218"/>
      <c r="OV10" s="218"/>
      <c r="OW10" s="218"/>
      <c r="OX10" s="218"/>
      <c r="OY10" s="218"/>
      <c r="OZ10" s="218"/>
      <c r="PA10" s="218"/>
      <c r="PB10" s="218"/>
      <c r="PC10" s="218"/>
      <c r="PD10" s="218"/>
      <c r="PE10" s="218"/>
      <c r="PF10" s="218"/>
      <c r="PG10" s="218"/>
      <c r="PH10" s="218"/>
      <c r="PI10" s="218"/>
      <c r="PJ10" s="218"/>
      <c r="PK10" s="218"/>
      <c r="PL10" s="218"/>
      <c r="PM10" s="218"/>
      <c r="PN10" s="218"/>
      <c r="PO10" s="218"/>
      <c r="PP10" s="218"/>
      <c r="PQ10" s="218"/>
      <c r="PR10" s="218"/>
      <c r="PS10" s="218"/>
      <c r="PT10" s="218"/>
      <c r="PU10" s="218"/>
      <c r="PV10" s="218"/>
      <c r="PW10" s="218"/>
      <c r="PX10" s="218"/>
      <c r="PY10" s="218"/>
      <c r="PZ10" s="218"/>
      <c r="QA10" s="218"/>
      <c r="QB10" s="218"/>
      <c r="QC10" s="218"/>
      <c r="QD10" s="218"/>
      <c r="QE10" s="218"/>
      <c r="QF10" s="218"/>
      <c r="QG10" s="218"/>
      <c r="QH10" s="218"/>
      <c r="QI10" s="218"/>
      <c r="QJ10" s="218"/>
      <c r="QK10" s="218"/>
      <c r="QL10" s="218"/>
      <c r="QM10" s="218"/>
      <c r="QN10" s="218"/>
      <c r="QO10" s="218"/>
      <c r="QP10" s="218"/>
      <c r="QQ10" s="218"/>
      <c r="QR10" s="218"/>
      <c r="QS10" s="218"/>
      <c r="QT10" s="218"/>
      <c r="QU10" s="218"/>
      <c r="QV10" s="218"/>
      <c r="QW10" s="218"/>
      <c r="QX10" s="218"/>
      <c r="QY10" s="218"/>
      <c r="QZ10" s="218"/>
      <c r="RA10" s="218"/>
      <c r="RB10" s="218"/>
      <c r="RC10" s="218"/>
      <c r="RD10" s="218"/>
      <c r="RE10" s="218"/>
      <c r="RF10" s="218"/>
      <c r="RG10" s="218"/>
      <c r="RH10" s="218"/>
      <c r="RI10" s="218"/>
      <c r="RJ10" s="218"/>
      <c r="RK10" s="218"/>
      <c r="RL10" s="218"/>
      <c r="RM10" s="218"/>
      <c r="RN10" s="218"/>
      <c r="RO10" s="218"/>
      <c r="RP10" s="218"/>
      <c r="RQ10" s="218"/>
      <c r="RR10" s="218"/>
      <c r="RS10" s="218"/>
      <c r="RT10" s="218"/>
      <c r="RU10" s="218"/>
      <c r="RV10" s="218"/>
      <c r="RW10" s="218"/>
      <c r="RX10" s="218"/>
      <c r="RY10" s="218"/>
      <c r="RZ10" s="218"/>
      <c r="SA10" s="218"/>
      <c r="SB10" s="218"/>
      <c r="SC10" s="218"/>
      <c r="SD10" s="218"/>
      <c r="SE10" s="218"/>
      <c r="SF10" s="218"/>
      <c r="SG10" s="218"/>
      <c r="SH10" s="218"/>
      <c r="SI10" s="218"/>
      <c r="SJ10" s="218"/>
      <c r="SK10" s="218"/>
      <c r="SL10" s="218"/>
      <c r="SM10" s="218"/>
      <c r="SN10" s="218"/>
      <c r="SO10" s="218"/>
      <c r="SP10" s="218"/>
      <c r="SQ10" s="218"/>
      <c r="SR10" s="218"/>
      <c r="SS10" s="218"/>
      <c r="ST10" s="218"/>
      <c r="SU10" s="218"/>
      <c r="SV10" s="218"/>
      <c r="SW10" s="218"/>
      <c r="SX10" s="218"/>
      <c r="SY10" s="218"/>
      <c r="SZ10" s="218"/>
      <c r="TA10" s="218"/>
      <c r="TB10" s="218"/>
      <c r="TC10" s="218"/>
      <c r="TD10" s="218"/>
      <c r="TE10" s="218"/>
      <c r="TF10" s="218"/>
      <c r="TG10" s="218"/>
      <c r="TH10" s="218"/>
      <c r="TI10" s="218"/>
      <c r="TJ10" s="218"/>
      <c r="TK10" s="218"/>
      <c r="TL10" s="218"/>
      <c r="TM10" s="218"/>
      <c r="TN10" s="218"/>
      <c r="TO10" s="218"/>
      <c r="TP10" s="218"/>
      <c r="TQ10" s="218"/>
      <c r="TR10" s="218"/>
      <c r="TS10" s="218"/>
      <c r="TT10" s="218"/>
      <c r="TU10" s="218"/>
      <c r="TV10" s="218"/>
      <c r="TW10" s="218"/>
      <c r="TX10" s="218"/>
      <c r="TY10" s="218"/>
      <c r="TZ10" s="218"/>
      <c r="UA10" s="218"/>
      <c r="UB10" s="218"/>
      <c r="UC10" s="218"/>
      <c r="UD10" s="218"/>
      <c r="UE10" s="218"/>
      <c r="UF10" s="218"/>
      <c r="UG10" s="218"/>
      <c r="UH10" s="218"/>
      <c r="UI10" s="218"/>
      <c r="UJ10" s="218"/>
      <c r="UK10" s="218"/>
      <c r="UL10" s="218"/>
      <c r="UM10" s="218"/>
      <c r="UN10" s="218"/>
      <c r="UO10" s="218"/>
      <c r="UP10" s="218"/>
      <c r="UQ10" s="218"/>
      <c r="UR10" s="218"/>
      <c r="US10" s="218"/>
      <c r="UT10" s="218"/>
      <c r="UU10" s="218"/>
      <c r="UV10" s="218"/>
      <c r="UW10" s="218"/>
      <c r="UX10" s="218"/>
      <c r="UY10" s="218"/>
      <c r="UZ10" s="218"/>
      <c r="VA10" s="218"/>
      <c r="VB10" s="218"/>
      <c r="VC10" s="218"/>
      <c r="VD10" s="218"/>
      <c r="VE10" s="218"/>
      <c r="VF10" s="218"/>
      <c r="VG10" s="218"/>
      <c r="VH10" s="218"/>
      <c r="VI10" s="218"/>
      <c r="VJ10" s="218"/>
      <c r="VK10" s="218"/>
      <c r="VL10" s="218"/>
      <c r="VM10" s="218"/>
      <c r="VN10" s="218"/>
      <c r="VO10" s="218"/>
      <c r="VP10" s="218"/>
      <c r="VQ10" s="218"/>
      <c r="VR10" s="218"/>
      <c r="VS10" s="218"/>
      <c r="VT10" s="218"/>
      <c r="VU10" s="218"/>
      <c r="VV10" s="218"/>
      <c r="VW10" s="218"/>
      <c r="VX10" s="218"/>
      <c r="VY10" s="218"/>
      <c r="VZ10" s="218"/>
      <c r="WA10" s="218"/>
      <c r="WB10" s="218"/>
      <c r="WC10" s="218"/>
      <c r="WD10" s="218"/>
      <c r="WE10" s="218"/>
      <c r="WF10" s="218"/>
      <c r="WG10" s="218"/>
      <c r="WH10" s="218"/>
      <c r="WI10" s="218"/>
      <c r="WJ10" s="218"/>
      <c r="WK10" s="218"/>
      <c r="WL10" s="218"/>
      <c r="WM10" s="218"/>
      <c r="WN10" s="218"/>
      <c r="WO10" s="218"/>
      <c r="WP10" s="218"/>
      <c r="WQ10" s="218"/>
      <c r="WR10" s="218"/>
      <c r="WS10" s="218"/>
      <c r="WT10" s="218"/>
      <c r="WU10" s="218"/>
      <c r="WV10" s="218"/>
      <c r="WW10" s="218"/>
      <c r="WX10" s="218"/>
      <c r="WY10" s="218"/>
      <c r="WZ10" s="218"/>
      <c r="XA10" s="218"/>
      <c r="XB10" s="218"/>
      <c r="XC10" s="218"/>
      <c r="XD10" s="218"/>
      <c r="XE10" s="218"/>
      <c r="XF10" s="218"/>
      <c r="XG10" s="218"/>
      <c r="XH10" s="218"/>
      <c r="XI10" s="218"/>
      <c r="XJ10" s="218"/>
      <c r="XK10" s="218"/>
      <c r="XL10" s="218"/>
      <c r="XM10" s="218"/>
      <c r="XN10" s="218"/>
      <c r="XO10" s="218"/>
      <c r="XP10" s="218"/>
      <c r="XQ10" s="218"/>
      <c r="XR10" s="218"/>
      <c r="XS10" s="218"/>
      <c r="XT10" s="218"/>
      <c r="XU10" s="218"/>
      <c r="XV10" s="218"/>
      <c r="XW10" s="218"/>
      <c r="XX10" s="218"/>
      <c r="XY10" s="218"/>
      <c r="XZ10" s="218"/>
      <c r="YA10" s="218"/>
      <c r="YB10" s="218"/>
      <c r="YC10" s="218"/>
      <c r="YD10" s="218"/>
      <c r="YE10" s="218"/>
      <c r="YF10" s="218"/>
      <c r="YG10" s="218"/>
      <c r="YH10" s="218"/>
      <c r="YI10" s="218"/>
      <c r="YJ10" s="218"/>
      <c r="YK10" s="218"/>
      <c r="YL10" s="218"/>
      <c r="YM10" s="218"/>
      <c r="YN10" s="218"/>
      <c r="YO10" s="218"/>
      <c r="YP10" s="218"/>
      <c r="YQ10" s="218"/>
      <c r="YR10" s="218"/>
      <c r="YS10" s="218"/>
      <c r="YT10" s="218"/>
      <c r="YU10" s="218"/>
      <c r="YV10" s="218"/>
      <c r="YW10" s="218"/>
      <c r="YX10" s="218"/>
      <c r="YY10" s="218"/>
      <c r="YZ10" s="218"/>
      <c r="ZA10" s="218"/>
      <c r="ZB10" s="218"/>
      <c r="ZC10" s="218"/>
      <c r="ZD10" s="218"/>
      <c r="ZE10" s="218"/>
      <c r="ZF10" s="218"/>
      <c r="ZG10" s="218"/>
      <c r="ZH10" s="218"/>
      <c r="ZI10" s="218"/>
      <c r="ZJ10" s="218"/>
      <c r="ZK10" s="218"/>
      <c r="ZL10" s="218"/>
      <c r="ZM10" s="218"/>
      <c r="ZN10" s="218"/>
      <c r="ZO10" s="218"/>
      <c r="ZP10" s="218"/>
      <c r="ZQ10" s="218"/>
      <c r="ZR10" s="218"/>
      <c r="ZS10" s="218"/>
      <c r="ZT10" s="218"/>
      <c r="ZU10" s="218"/>
      <c r="ZV10" s="218"/>
      <c r="ZW10" s="218"/>
      <c r="ZX10" s="218"/>
      <c r="ZY10" s="218"/>
      <c r="ZZ10" s="218"/>
      <c r="AAA10" s="218"/>
      <c r="AAB10" s="218"/>
      <c r="AAC10" s="218"/>
      <c r="AAD10" s="218"/>
      <c r="AAE10" s="218"/>
      <c r="AAF10" s="218"/>
      <c r="AAG10" s="218"/>
      <c r="AAH10" s="218"/>
      <c r="AAI10" s="218"/>
      <c r="AAJ10" s="218"/>
      <c r="AAK10" s="218"/>
      <c r="AAL10" s="218"/>
      <c r="AAM10" s="218"/>
      <c r="AAN10" s="218"/>
      <c r="AAO10" s="218"/>
      <c r="AAP10" s="218"/>
      <c r="AAQ10" s="218"/>
      <c r="AAR10" s="218"/>
      <c r="AAS10" s="218"/>
      <c r="AAT10" s="218"/>
      <c r="AAU10" s="218"/>
      <c r="AAV10" s="218"/>
      <c r="AAW10" s="218"/>
      <c r="AAX10" s="218"/>
      <c r="AAY10" s="218"/>
      <c r="AAZ10" s="218"/>
      <c r="ABA10" s="218"/>
      <c r="ABB10" s="218"/>
      <c r="ABC10" s="218"/>
      <c r="ABD10" s="218"/>
      <c r="ABE10" s="218"/>
      <c r="ABF10" s="218"/>
      <c r="ABG10" s="218"/>
      <c r="ABH10" s="218"/>
      <c r="ABI10" s="218"/>
      <c r="ABJ10" s="218"/>
      <c r="ABK10" s="218"/>
      <c r="ABL10" s="218"/>
      <c r="ABM10" s="218"/>
      <c r="ABN10" s="218"/>
      <c r="ABO10" s="218"/>
      <c r="ABP10" s="218"/>
      <c r="ABQ10" s="218"/>
      <c r="ABR10" s="218"/>
      <c r="ABS10" s="218"/>
      <c r="ABT10" s="218"/>
      <c r="ABU10" s="218"/>
      <c r="ABV10" s="218"/>
      <c r="ABW10" s="218"/>
      <c r="ABX10" s="218"/>
      <c r="ABY10" s="218"/>
      <c r="ABZ10" s="218"/>
      <c r="ACA10" s="218"/>
      <c r="ACB10" s="218"/>
      <c r="ACC10" s="218"/>
      <c r="ACD10" s="218"/>
      <c r="ACE10" s="218"/>
      <c r="ACF10" s="218"/>
      <c r="ACG10" s="218"/>
      <c r="ACH10" s="218"/>
      <c r="ACI10" s="218"/>
      <c r="ACJ10" s="218"/>
      <c r="ACK10" s="218"/>
      <c r="ACL10" s="218"/>
      <c r="ACM10" s="218"/>
      <c r="ACN10" s="218"/>
      <c r="ACO10" s="218"/>
      <c r="ACP10" s="218"/>
      <c r="ACQ10" s="218"/>
      <c r="ACR10" s="218"/>
      <c r="ACS10" s="218"/>
      <c r="ACT10" s="218"/>
      <c r="ACU10" s="218"/>
      <c r="ACV10" s="218"/>
      <c r="ACW10" s="218"/>
      <c r="ACX10" s="218"/>
      <c r="ACY10" s="218"/>
      <c r="ACZ10" s="218"/>
      <c r="ADA10" s="218"/>
      <c r="ADB10" s="218"/>
      <c r="ADC10" s="218"/>
      <c r="ADD10" s="218"/>
      <c r="ADE10" s="218"/>
      <c r="ADF10" s="218"/>
      <c r="ADG10" s="218"/>
      <c r="ADH10" s="218"/>
      <c r="ADI10" s="218"/>
      <c r="ADJ10" s="218"/>
      <c r="ADK10" s="218"/>
      <c r="ADL10" s="218"/>
      <c r="ADM10" s="218"/>
      <c r="ADN10" s="218"/>
      <c r="ADO10" s="218"/>
      <c r="ADP10" s="218"/>
      <c r="ADQ10" s="218"/>
      <c r="ADR10" s="218"/>
      <c r="ADS10" s="218"/>
      <c r="ADT10" s="218"/>
      <c r="ADU10" s="218"/>
      <c r="ADV10" s="218"/>
      <c r="ADW10" s="218"/>
      <c r="ADX10" s="218"/>
      <c r="ADY10" s="218"/>
      <c r="ADZ10" s="218"/>
      <c r="AEA10" s="218"/>
      <c r="AEB10" s="218"/>
      <c r="AEC10" s="218"/>
      <c r="AED10" s="218"/>
      <c r="AEE10" s="218"/>
      <c r="AEF10" s="218"/>
      <c r="AEG10" s="218"/>
      <c r="AEH10" s="218"/>
      <c r="AEI10" s="218"/>
      <c r="AEJ10" s="218"/>
      <c r="AEK10" s="218"/>
      <c r="AEL10" s="218"/>
      <c r="AEM10" s="218"/>
      <c r="AEN10" s="218"/>
      <c r="AEO10" s="218"/>
      <c r="AEP10" s="218"/>
      <c r="AEQ10" s="218"/>
      <c r="AER10" s="218"/>
      <c r="AES10" s="218"/>
      <c r="AET10" s="218"/>
      <c r="AEU10" s="218"/>
      <c r="AEV10" s="218"/>
      <c r="AEW10" s="218"/>
      <c r="AEX10" s="218"/>
      <c r="AEY10" s="218"/>
      <c r="AEZ10" s="218"/>
      <c r="AFA10" s="218"/>
      <c r="AFB10" s="218"/>
      <c r="AFC10" s="218"/>
      <c r="AFD10" s="218"/>
      <c r="AFE10" s="218"/>
      <c r="AFF10" s="218"/>
      <c r="AFG10" s="218"/>
      <c r="AFH10" s="218"/>
      <c r="AFI10" s="218"/>
      <c r="AFJ10" s="218"/>
      <c r="AFK10" s="218"/>
      <c r="AFL10" s="218"/>
      <c r="AFM10" s="218"/>
      <c r="AFN10" s="218"/>
      <c r="AFO10" s="218"/>
      <c r="AFP10" s="218"/>
      <c r="AFQ10" s="218"/>
      <c r="AFR10" s="218"/>
      <c r="AFS10" s="218"/>
      <c r="AFT10" s="218"/>
      <c r="AFU10" s="218"/>
      <c r="AFV10" s="218"/>
      <c r="AFW10" s="218"/>
      <c r="AFX10" s="218"/>
      <c r="AFY10" s="218"/>
      <c r="AFZ10" s="218"/>
      <c r="AGA10" s="218"/>
      <c r="AGB10" s="218"/>
      <c r="AGC10" s="218"/>
      <c r="AGD10" s="218"/>
      <c r="AGE10" s="218"/>
      <c r="AGF10" s="218"/>
      <c r="AGG10" s="218"/>
      <c r="AGH10" s="218"/>
      <c r="AGI10" s="218"/>
      <c r="AGJ10" s="218"/>
      <c r="AGK10" s="218"/>
      <c r="AGL10" s="218"/>
      <c r="AGM10" s="218"/>
      <c r="AGN10" s="218"/>
      <c r="AGO10" s="218"/>
      <c r="AGP10" s="218"/>
      <c r="AGQ10" s="218"/>
      <c r="AGR10" s="218"/>
      <c r="AGS10" s="218"/>
      <c r="AGT10" s="218"/>
      <c r="AGU10" s="218"/>
      <c r="AGV10" s="218"/>
      <c r="AGW10" s="218"/>
      <c r="AGX10" s="218"/>
      <c r="AGY10" s="218"/>
      <c r="AGZ10" s="218"/>
      <c r="AHA10" s="218"/>
      <c r="AHB10" s="218"/>
      <c r="AHC10" s="218"/>
      <c r="AHD10" s="218"/>
      <c r="AHE10" s="218"/>
      <c r="AHF10" s="218"/>
      <c r="AHG10" s="218"/>
      <c r="AHH10" s="218"/>
      <c r="AHI10" s="218"/>
      <c r="AHJ10" s="218"/>
      <c r="AHK10" s="218"/>
      <c r="AHL10" s="218"/>
      <c r="AHM10" s="218"/>
      <c r="AHN10" s="218"/>
      <c r="AHO10" s="218"/>
      <c r="AHP10" s="218"/>
      <c r="AHQ10" s="218"/>
      <c r="AHR10" s="218"/>
      <c r="AHS10" s="218"/>
      <c r="AHT10" s="218"/>
      <c r="AHU10" s="218"/>
      <c r="AHV10" s="218"/>
      <c r="AHW10" s="218"/>
      <c r="AHX10" s="218"/>
      <c r="AHY10" s="218"/>
      <c r="AHZ10" s="218"/>
      <c r="AIA10" s="218"/>
      <c r="AIB10" s="218"/>
      <c r="AIC10" s="218"/>
      <c r="AID10" s="218"/>
      <c r="AIE10" s="218"/>
      <c r="AIF10" s="218"/>
      <c r="AIG10" s="218"/>
      <c r="AIH10" s="218"/>
      <c r="AII10" s="218"/>
      <c r="AIJ10" s="218"/>
      <c r="AIK10" s="218"/>
      <c r="AIL10" s="218"/>
      <c r="AIM10" s="218"/>
      <c r="AIN10" s="218"/>
      <c r="AIO10" s="218"/>
      <c r="AIP10" s="218"/>
      <c r="AIQ10" s="218"/>
      <c r="AIR10" s="218"/>
      <c r="AIS10" s="218"/>
      <c r="AIT10" s="218"/>
      <c r="AIU10" s="218"/>
      <c r="AIV10" s="218"/>
      <c r="AIW10" s="218"/>
      <c r="AIX10" s="218"/>
      <c r="AIY10" s="218"/>
      <c r="AIZ10" s="218"/>
      <c r="AJA10" s="218"/>
      <c r="AJB10" s="218"/>
      <c r="AJC10" s="218"/>
      <c r="AJD10" s="218"/>
      <c r="AJE10" s="218"/>
      <c r="AJF10" s="218"/>
      <c r="AJG10" s="218"/>
      <c r="AJH10" s="218"/>
      <c r="AJI10" s="218"/>
      <c r="AJJ10" s="218"/>
      <c r="AJK10" s="218"/>
      <c r="AJL10" s="218"/>
      <c r="AJM10" s="218"/>
      <c r="AJN10" s="218"/>
      <c r="AJO10" s="218"/>
      <c r="AJP10" s="218"/>
      <c r="AJQ10" s="218"/>
      <c r="AJR10" s="218"/>
      <c r="AJS10" s="218"/>
      <c r="AJT10" s="218"/>
      <c r="AJU10" s="218"/>
      <c r="AJV10" s="218"/>
      <c r="AJW10" s="218"/>
      <c r="AJX10" s="218"/>
      <c r="AJY10" s="218"/>
      <c r="AJZ10" s="218"/>
      <c r="AKA10" s="218"/>
      <c r="AKB10" s="218"/>
      <c r="AKC10" s="218"/>
      <c r="AKD10" s="218"/>
      <c r="AKE10" s="218"/>
      <c r="AKF10" s="218"/>
      <c r="AKG10" s="218"/>
      <c r="AKH10" s="218"/>
      <c r="AKI10" s="218"/>
      <c r="AKJ10" s="218"/>
      <c r="AKK10" s="218"/>
      <c r="AKL10" s="218"/>
      <c r="AKM10" s="218"/>
      <c r="AKN10" s="218"/>
      <c r="AKO10" s="218"/>
      <c r="AKP10" s="218"/>
      <c r="AKQ10" s="218"/>
      <c r="AKR10" s="218"/>
      <c r="AKS10" s="218"/>
      <c r="AKT10" s="218"/>
      <c r="AKU10" s="218"/>
      <c r="AKV10" s="218"/>
      <c r="AKW10" s="218"/>
      <c r="AKX10" s="218"/>
      <c r="AKY10" s="218"/>
      <c r="AKZ10" s="218"/>
      <c r="ALA10" s="218"/>
      <c r="ALB10" s="218"/>
      <c r="ALC10" s="218"/>
      <c r="ALD10" s="218"/>
      <c r="ALE10" s="218"/>
      <c r="ALF10" s="218"/>
      <c r="ALG10" s="218"/>
      <c r="ALH10" s="218"/>
      <c r="ALI10" s="218"/>
      <c r="ALJ10" s="218"/>
      <c r="ALK10" s="218"/>
      <c r="ALL10" s="218"/>
      <c r="ALM10" s="218"/>
      <c r="ALN10" s="218"/>
      <c r="ALO10" s="218"/>
      <c r="ALP10" s="218"/>
      <c r="ALQ10" s="218"/>
      <c r="ALR10" s="218"/>
      <c r="ALS10" s="218"/>
      <c r="ALT10" s="218"/>
      <c r="ALU10" s="218"/>
      <c r="ALV10" s="218"/>
      <c r="ALW10" s="218"/>
      <c r="ALX10" s="218"/>
      <c r="ALY10" s="218"/>
      <c r="ALZ10" s="218"/>
      <c r="AMA10" s="218"/>
      <c r="AMB10" s="218"/>
      <c r="AMC10" s="218"/>
      <c r="AMD10" s="218"/>
      <c r="AME10" s="218"/>
      <c r="AMF10" s="218"/>
      <c r="AMG10" s="218"/>
      <c r="AMH10" s="218"/>
      <c r="AMI10" s="218"/>
      <c r="AMJ10" s="218"/>
      <c r="AMK10" s="218"/>
      <c r="AML10" s="218"/>
      <c r="AMM10" s="218"/>
      <c r="AMN10" s="218"/>
      <c r="AMO10" s="218"/>
      <c r="AMP10" s="218"/>
      <c r="AMQ10" s="218"/>
      <c r="AMR10" s="218"/>
      <c r="AMS10" s="218"/>
      <c r="AMT10" s="218"/>
      <c r="AMU10" s="218"/>
      <c r="AMV10" s="218"/>
      <c r="AMW10" s="218"/>
      <c r="AMX10" s="218"/>
      <c r="AMY10" s="218"/>
      <c r="AMZ10" s="218"/>
      <c r="ANA10" s="218"/>
      <c r="ANB10" s="218"/>
      <c r="ANC10" s="218"/>
      <c r="AND10" s="218"/>
      <c r="ANE10" s="218"/>
      <c r="ANF10" s="218"/>
      <c r="ANG10" s="218"/>
      <c r="ANH10" s="218"/>
      <c r="ANI10" s="218"/>
      <c r="ANJ10" s="218"/>
      <c r="ANK10" s="218"/>
      <c r="ANL10" s="218"/>
      <c r="ANM10" s="218"/>
      <c r="ANN10" s="218"/>
      <c r="ANO10" s="218"/>
      <c r="ANP10" s="218"/>
      <c r="ANQ10" s="218"/>
      <c r="ANR10" s="218"/>
      <c r="ANS10" s="218"/>
      <c r="ANT10" s="218"/>
      <c r="ANU10" s="218"/>
      <c r="ANV10" s="218"/>
      <c r="ANW10" s="218"/>
      <c r="ANX10" s="218"/>
      <c r="ANY10" s="218"/>
      <c r="ANZ10" s="218"/>
      <c r="AOA10" s="218"/>
      <c r="AOB10" s="218"/>
      <c r="AOC10" s="218"/>
      <c r="AOD10" s="218"/>
      <c r="AOE10" s="218"/>
      <c r="AOF10" s="218"/>
      <c r="AOG10" s="218"/>
      <c r="AOH10" s="218"/>
      <c r="AOI10" s="218"/>
      <c r="AOJ10" s="218"/>
      <c r="AOK10" s="218"/>
      <c r="AOL10" s="218"/>
      <c r="AOM10" s="218"/>
      <c r="AON10" s="218"/>
      <c r="AOO10" s="218"/>
      <c r="AOP10" s="218"/>
      <c r="AOQ10" s="218"/>
      <c r="AOR10" s="218"/>
      <c r="AOS10" s="218"/>
      <c r="AOT10" s="218"/>
      <c r="AOU10" s="218"/>
      <c r="AOV10" s="218"/>
      <c r="AOW10" s="218"/>
      <c r="AOX10" s="218"/>
      <c r="AOY10" s="218"/>
      <c r="AOZ10" s="218"/>
      <c r="APA10" s="218"/>
      <c r="APB10" s="218"/>
      <c r="APC10" s="218"/>
      <c r="APD10" s="218"/>
      <c r="APE10" s="218"/>
      <c r="APF10" s="218"/>
      <c r="APG10" s="218"/>
      <c r="APH10" s="218"/>
      <c r="API10" s="218"/>
      <c r="APJ10" s="218"/>
      <c r="APK10" s="218"/>
      <c r="APL10" s="218"/>
      <c r="APM10" s="218"/>
      <c r="APN10" s="218"/>
      <c r="APO10" s="218"/>
      <c r="APP10" s="218"/>
      <c r="APQ10" s="218"/>
      <c r="APR10" s="218"/>
      <c r="APS10" s="218"/>
      <c r="APT10" s="218"/>
      <c r="APU10" s="218"/>
      <c r="APV10" s="218"/>
      <c r="APW10" s="218"/>
      <c r="APX10" s="218"/>
      <c r="APY10" s="218"/>
      <c r="APZ10" s="218"/>
      <c r="AQA10" s="218"/>
      <c r="AQB10" s="218"/>
      <c r="AQC10" s="218"/>
      <c r="AQD10" s="218"/>
      <c r="AQE10" s="218"/>
      <c r="AQF10" s="218"/>
      <c r="AQG10" s="218"/>
      <c r="AQH10" s="218"/>
      <c r="AQI10" s="218"/>
      <c r="AQJ10" s="218"/>
      <c r="AQK10" s="218"/>
      <c r="AQL10" s="218"/>
      <c r="AQM10" s="218"/>
      <c r="AQN10" s="218"/>
      <c r="AQO10" s="218"/>
      <c r="AQP10" s="218"/>
      <c r="AQQ10" s="218"/>
      <c r="AQR10" s="218"/>
      <c r="AQS10" s="218"/>
      <c r="AQT10" s="218"/>
      <c r="AQU10" s="218"/>
      <c r="AQV10" s="218"/>
      <c r="AQW10" s="218"/>
      <c r="AQX10" s="218"/>
      <c r="AQY10" s="218"/>
      <c r="AQZ10" s="218"/>
      <c r="ARA10" s="218"/>
      <c r="ARB10" s="218"/>
      <c r="ARC10" s="218"/>
      <c r="ARD10" s="218"/>
      <c r="ARE10" s="218"/>
      <c r="ARF10" s="218"/>
      <c r="ARG10" s="218"/>
      <c r="ARH10" s="218"/>
      <c r="ARI10" s="218"/>
      <c r="ARJ10" s="218"/>
      <c r="ARK10" s="218"/>
      <c r="ARL10" s="218"/>
      <c r="ARM10" s="218"/>
      <c r="ARN10" s="218"/>
      <c r="ARO10" s="218"/>
      <c r="ARP10" s="218"/>
      <c r="ARQ10" s="218"/>
      <c r="ARR10" s="218"/>
      <c r="ARS10" s="218"/>
      <c r="ART10" s="218"/>
      <c r="ARU10" s="218"/>
      <c r="ARV10" s="218"/>
      <c r="ARW10" s="218"/>
      <c r="ARX10" s="218"/>
      <c r="ARY10" s="218"/>
      <c r="ARZ10" s="218"/>
      <c r="ASA10" s="218"/>
      <c r="ASB10" s="218"/>
      <c r="ASC10" s="218"/>
      <c r="ASD10" s="218"/>
      <c r="ASE10" s="218"/>
      <c r="ASF10" s="218"/>
      <c r="ASG10" s="218"/>
      <c r="ASH10" s="218"/>
      <c r="ASI10" s="218"/>
      <c r="ASJ10" s="218"/>
      <c r="ASK10" s="218"/>
      <c r="ASL10" s="218"/>
      <c r="ASM10" s="218"/>
      <c r="ASN10" s="218"/>
      <c r="ASO10" s="218"/>
      <c r="ASP10" s="218"/>
      <c r="ASQ10" s="218"/>
      <c r="ASR10" s="218"/>
      <c r="ASS10" s="218"/>
      <c r="AST10" s="218"/>
      <c r="ASU10" s="218"/>
      <c r="ASV10" s="218"/>
      <c r="ASW10" s="218"/>
      <c r="ASX10" s="218"/>
      <c r="ASY10" s="218"/>
      <c r="ASZ10" s="218"/>
      <c r="ATA10" s="218"/>
      <c r="ATB10" s="218"/>
      <c r="ATC10" s="218"/>
      <c r="ATD10" s="218"/>
      <c r="ATE10" s="218"/>
      <c r="ATF10" s="218"/>
      <c r="ATG10" s="218"/>
      <c r="ATH10" s="218"/>
      <c r="ATI10" s="218"/>
      <c r="ATJ10" s="218"/>
      <c r="ATK10" s="218"/>
      <c r="ATL10" s="218"/>
      <c r="ATM10" s="218"/>
      <c r="ATN10" s="218"/>
      <c r="ATO10" s="218"/>
      <c r="ATP10" s="218"/>
      <c r="ATQ10" s="218"/>
      <c r="ATR10" s="218"/>
      <c r="ATS10" s="218"/>
      <c r="ATT10" s="218"/>
      <c r="ATU10" s="218"/>
      <c r="ATV10" s="218"/>
      <c r="ATW10" s="218"/>
      <c r="ATX10" s="218"/>
      <c r="ATY10" s="218"/>
      <c r="ATZ10" s="218"/>
      <c r="AUA10" s="218"/>
      <c r="AUB10" s="218"/>
      <c r="AUC10" s="218"/>
      <c r="AUD10" s="218"/>
      <c r="AUE10" s="218"/>
      <c r="AUF10" s="218"/>
      <c r="AUG10" s="218"/>
      <c r="AUH10" s="218"/>
      <c r="AUI10" s="218"/>
      <c r="AUJ10" s="218"/>
      <c r="AUK10" s="218"/>
      <c r="AUL10" s="218"/>
      <c r="AUM10" s="218"/>
      <c r="AUN10" s="218"/>
      <c r="AUO10" s="218"/>
      <c r="AUP10" s="218"/>
      <c r="AUQ10" s="218"/>
      <c r="AUR10" s="218"/>
      <c r="AUS10" s="218"/>
      <c r="AUT10" s="218"/>
      <c r="AUU10" s="218"/>
      <c r="AUV10" s="218"/>
      <c r="AUW10" s="218"/>
      <c r="AUX10" s="218"/>
      <c r="AUY10" s="218"/>
      <c r="AUZ10" s="218"/>
      <c r="AVA10" s="218"/>
      <c r="AVB10" s="218"/>
      <c r="AVC10" s="218"/>
      <c r="AVD10" s="218"/>
      <c r="AVE10" s="218"/>
      <c r="AVF10" s="218"/>
      <c r="AVG10" s="218"/>
      <c r="AVH10" s="218"/>
      <c r="AVI10" s="218"/>
      <c r="AVJ10" s="218"/>
      <c r="AVK10" s="218"/>
      <c r="AVL10" s="218"/>
      <c r="AVM10" s="218"/>
      <c r="AVN10" s="218"/>
      <c r="AVO10" s="218"/>
      <c r="AVP10" s="218"/>
      <c r="AVQ10" s="218"/>
      <c r="AVR10" s="218"/>
      <c r="AVS10" s="218"/>
      <c r="AVT10" s="218"/>
      <c r="AVU10" s="218"/>
      <c r="AVV10" s="218"/>
      <c r="AVW10" s="218"/>
      <c r="AVX10" s="218"/>
      <c r="AVY10" s="218"/>
      <c r="AVZ10" s="218"/>
      <c r="AWA10" s="218"/>
      <c r="AWB10" s="218"/>
      <c r="AWC10" s="218"/>
      <c r="AWD10" s="218"/>
      <c r="AWE10" s="218"/>
      <c r="AWF10" s="218"/>
      <c r="AWG10" s="218"/>
      <c r="AWH10" s="218"/>
      <c r="AWI10" s="218"/>
      <c r="AWJ10" s="218"/>
      <c r="AWK10" s="218"/>
      <c r="AWL10" s="218"/>
      <c r="AWM10" s="218"/>
      <c r="AWN10" s="218"/>
      <c r="AWO10" s="218"/>
      <c r="AWP10" s="218"/>
      <c r="AWQ10" s="218"/>
      <c r="AWR10" s="218"/>
      <c r="AWS10" s="218"/>
      <c r="AWT10" s="218"/>
      <c r="AWU10" s="218"/>
      <c r="AWV10" s="218"/>
      <c r="AWW10" s="218"/>
      <c r="AWX10" s="218"/>
      <c r="AWY10" s="218"/>
      <c r="AWZ10" s="218"/>
      <c r="AXA10" s="218"/>
      <c r="AXB10" s="218"/>
      <c r="AXC10" s="218"/>
      <c r="AXD10" s="218"/>
      <c r="AXE10" s="218"/>
      <c r="AXF10" s="218"/>
      <c r="AXG10" s="218"/>
      <c r="AXH10" s="218"/>
      <c r="AXI10" s="218"/>
      <c r="AXJ10" s="218"/>
      <c r="AXK10" s="218"/>
      <c r="AXL10" s="218"/>
      <c r="AXM10" s="218"/>
      <c r="AXN10" s="218"/>
      <c r="AXO10" s="218"/>
      <c r="AXP10" s="218"/>
      <c r="AXQ10" s="218"/>
      <c r="AXR10" s="218"/>
      <c r="AXS10" s="218"/>
      <c r="AXT10" s="218"/>
      <c r="AXU10" s="218"/>
      <c r="AXV10" s="218"/>
      <c r="AXW10" s="218"/>
      <c r="AXX10" s="218"/>
      <c r="AXY10" s="218"/>
      <c r="AXZ10" s="218"/>
      <c r="AYA10" s="218"/>
      <c r="AYB10" s="218"/>
      <c r="AYC10" s="218"/>
      <c r="AYD10" s="218"/>
      <c r="AYE10" s="218"/>
      <c r="AYF10" s="218"/>
      <c r="AYG10" s="218"/>
      <c r="AYH10" s="218"/>
      <c r="AYI10" s="218"/>
      <c r="AYJ10" s="218"/>
      <c r="AYK10" s="218"/>
      <c r="AYL10" s="218"/>
      <c r="AYM10" s="218"/>
      <c r="AYN10" s="218"/>
      <c r="AYO10" s="218"/>
      <c r="AYP10" s="218"/>
      <c r="AYQ10" s="218"/>
      <c r="AYR10" s="218"/>
      <c r="AYS10" s="218"/>
      <c r="AYT10" s="218"/>
      <c r="AYU10" s="218"/>
      <c r="AYV10" s="218"/>
      <c r="AYW10" s="218"/>
      <c r="AYX10" s="218"/>
      <c r="AYY10" s="218"/>
      <c r="AYZ10" s="218"/>
      <c r="AZA10" s="218"/>
      <c r="AZB10" s="218"/>
      <c r="AZC10" s="218"/>
      <c r="AZD10" s="218"/>
      <c r="AZE10" s="218"/>
      <c r="AZF10" s="218"/>
      <c r="AZG10" s="218"/>
      <c r="AZH10" s="218"/>
      <c r="AZI10" s="218"/>
      <c r="AZJ10" s="218"/>
      <c r="AZK10" s="218"/>
      <c r="AZL10" s="218"/>
      <c r="AZM10" s="218"/>
      <c r="AZN10" s="218"/>
      <c r="AZO10" s="218"/>
      <c r="AZP10" s="218"/>
      <c r="AZQ10" s="218"/>
      <c r="AZR10" s="218"/>
      <c r="AZS10" s="218"/>
      <c r="AZT10" s="218"/>
      <c r="AZU10" s="218"/>
      <c r="AZV10" s="218"/>
      <c r="AZW10" s="218"/>
      <c r="AZX10" s="218"/>
      <c r="AZY10" s="218"/>
      <c r="AZZ10" s="218"/>
      <c r="BAA10" s="218"/>
      <c r="BAB10" s="218"/>
      <c r="BAC10" s="218"/>
      <c r="BAD10" s="218"/>
      <c r="BAE10" s="218"/>
      <c r="BAF10" s="218"/>
      <c r="BAG10" s="218"/>
      <c r="BAH10" s="218"/>
      <c r="BAI10" s="218"/>
      <c r="BAJ10" s="218"/>
      <c r="BAK10" s="218"/>
      <c r="BAL10" s="218"/>
      <c r="BAM10" s="218"/>
      <c r="BAN10" s="218"/>
      <c r="BAO10" s="218"/>
      <c r="BAP10" s="218"/>
      <c r="BAQ10" s="218"/>
      <c r="BAR10" s="218"/>
      <c r="BAS10" s="218"/>
      <c r="BAT10" s="218"/>
      <c r="BAU10" s="218"/>
      <c r="BAV10" s="218"/>
      <c r="BAW10" s="218"/>
      <c r="BAX10" s="218"/>
      <c r="BAY10" s="218"/>
      <c r="BAZ10" s="218"/>
      <c r="BBA10" s="218"/>
      <c r="BBB10" s="218"/>
      <c r="BBC10" s="218"/>
      <c r="BBD10" s="218"/>
      <c r="BBE10" s="218"/>
      <c r="BBF10" s="218"/>
      <c r="BBG10" s="218"/>
      <c r="BBH10" s="218"/>
      <c r="BBI10" s="218"/>
      <c r="BBJ10" s="218"/>
      <c r="BBK10" s="218"/>
      <c r="BBL10" s="218"/>
      <c r="BBM10" s="218"/>
      <c r="BBN10" s="218"/>
      <c r="BBO10" s="218"/>
      <c r="BBP10" s="218"/>
      <c r="BBQ10" s="218"/>
      <c r="BBR10" s="218"/>
      <c r="BBS10" s="218"/>
      <c r="BBT10" s="218"/>
      <c r="BBU10" s="218"/>
      <c r="BBV10" s="218"/>
      <c r="BBW10" s="218"/>
      <c r="BBX10" s="218"/>
      <c r="BBY10" s="218"/>
      <c r="BBZ10" s="218"/>
      <c r="BCA10" s="218"/>
      <c r="BCB10" s="218"/>
      <c r="BCC10" s="218"/>
      <c r="BCD10" s="218"/>
      <c r="BCE10" s="218"/>
      <c r="BCF10" s="218"/>
      <c r="BCG10" s="218"/>
      <c r="BCH10" s="218"/>
      <c r="BCI10" s="218"/>
      <c r="BCJ10" s="218"/>
      <c r="BCK10" s="218"/>
      <c r="BCL10" s="218"/>
      <c r="BCM10" s="218"/>
      <c r="BCN10" s="218"/>
      <c r="BCO10" s="218"/>
      <c r="BCP10" s="218"/>
      <c r="BCQ10" s="218"/>
      <c r="BCR10" s="218"/>
      <c r="BCS10" s="218"/>
      <c r="BCT10" s="218"/>
      <c r="BCU10" s="218"/>
      <c r="BCV10" s="218"/>
      <c r="BCW10" s="218"/>
      <c r="BCX10" s="218"/>
      <c r="BCY10" s="218"/>
      <c r="BCZ10" s="218"/>
      <c r="BDA10" s="218"/>
      <c r="BDB10" s="218"/>
      <c r="BDC10" s="218"/>
      <c r="BDD10" s="218"/>
      <c r="BDE10" s="218"/>
      <c r="BDF10" s="218"/>
      <c r="BDG10" s="218"/>
      <c r="BDH10" s="218"/>
      <c r="BDI10" s="218"/>
      <c r="BDJ10" s="218"/>
      <c r="BDK10" s="218"/>
      <c r="BDL10" s="218"/>
      <c r="BDM10" s="218"/>
      <c r="BDN10" s="218"/>
      <c r="BDO10" s="218"/>
      <c r="BDP10" s="218"/>
      <c r="BDQ10" s="218"/>
      <c r="BDR10" s="218"/>
      <c r="BDS10" s="218"/>
      <c r="BDT10" s="218"/>
      <c r="BDU10" s="218"/>
      <c r="BDV10" s="218"/>
      <c r="BDW10" s="218"/>
      <c r="BDX10" s="218"/>
      <c r="BDY10" s="218"/>
      <c r="BDZ10" s="218"/>
      <c r="BEA10" s="218"/>
      <c r="BEB10" s="218"/>
      <c r="BEC10" s="218"/>
      <c r="BED10" s="218"/>
      <c r="BEE10" s="218"/>
      <c r="BEF10" s="218"/>
      <c r="BEG10" s="218"/>
      <c r="BEH10" s="218"/>
      <c r="BEI10" s="218"/>
      <c r="BEJ10" s="218"/>
      <c r="BEK10" s="218"/>
      <c r="BEL10" s="218"/>
      <c r="BEM10" s="218"/>
      <c r="BEN10" s="218"/>
      <c r="BEO10" s="218"/>
      <c r="BEP10" s="218"/>
      <c r="BEQ10" s="218"/>
      <c r="BER10" s="218"/>
      <c r="BES10" s="218"/>
      <c r="BET10" s="218"/>
      <c r="BEU10" s="218"/>
      <c r="BEV10" s="218"/>
      <c r="BEW10" s="218"/>
      <c r="BEX10" s="218"/>
      <c r="BEY10" s="218"/>
      <c r="BEZ10" s="218"/>
      <c r="BFA10" s="218"/>
      <c r="BFB10" s="218"/>
      <c r="BFC10" s="218"/>
      <c r="BFD10" s="218"/>
      <c r="BFE10" s="218"/>
      <c r="BFF10" s="218"/>
      <c r="BFG10" s="218"/>
      <c r="BFH10" s="218"/>
      <c r="BFI10" s="218"/>
      <c r="BFJ10" s="218"/>
      <c r="BFK10" s="218"/>
      <c r="BFL10" s="218"/>
      <c r="BFM10" s="218"/>
      <c r="BFN10" s="218"/>
      <c r="BFO10" s="218"/>
      <c r="BFP10" s="218"/>
      <c r="BFQ10" s="218"/>
      <c r="BFR10" s="218"/>
      <c r="BFS10" s="218"/>
      <c r="BFT10" s="218"/>
      <c r="BFU10" s="218"/>
      <c r="BFV10" s="218"/>
      <c r="BFW10" s="218"/>
      <c r="BFX10" s="218"/>
      <c r="BFY10" s="218"/>
      <c r="BFZ10" s="218"/>
      <c r="BGA10" s="218"/>
      <c r="BGB10" s="218"/>
      <c r="BGC10" s="218"/>
      <c r="BGD10" s="218"/>
      <c r="BGE10" s="218"/>
      <c r="BGF10" s="218"/>
      <c r="BGG10" s="218"/>
      <c r="BGH10" s="218"/>
      <c r="BGI10" s="218"/>
      <c r="BGJ10" s="218"/>
      <c r="BGK10" s="218"/>
      <c r="BGL10" s="218"/>
      <c r="BGM10" s="218"/>
      <c r="BGN10" s="218"/>
      <c r="BGO10" s="218"/>
      <c r="BGP10" s="218"/>
      <c r="BGQ10" s="218"/>
      <c r="BGR10" s="218"/>
      <c r="BGS10" s="218"/>
      <c r="BGT10" s="218"/>
      <c r="BGU10" s="218"/>
      <c r="BGV10" s="218"/>
      <c r="BGW10" s="218"/>
      <c r="BGX10" s="218"/>
      <c r="BGY10" s="218"/>
      <c r="BGZ10" s="218"/>
      <c r="BHA10" s="218"/>
      <c r="BHB10" s="218"/>
      <c r="BHC10" s="218"/>
      <c r="BHD10" s="218"/>
      <c r="BHE10" s="218"/>
      <c r="BHF10" s="218"/>
      <c r="BHG10" s="218"/>
      <c r="BHH10" s="218"/>
      <c r="BHI10" s="218"/>
      <c r="BHJ10" s="218"/>
      <c r="BHK10" s="218"/>
      <c r="BHL10" s="218"/>
      <c r="BHM10" s="218"/>
      <c r="BHN10" s="218"/>
      <c r="BHO10" s="218"/>
      <c r="BHP10" s="218"/>
      <c r="BHQ10" s="218"/>
      <c r="BHR10" s="218"/>
      <c r="BHS10" s="218"/>
      <c r="BHT10" s="218"/>
      <c r="BHU10" s="218"/>
      <c r="BHV10" s="218"/>
      <c r="BHW10" s="218"/>
    </row>
    <row r="11" spans="1:1583" s="220" customFormat="1">
      <c r="A11" s="110" t="s">
        <v>22</v>
      </c>
      <c r="B11" s="181" t="s">
        <v>348</v>
      </c>
      <c r="C11" s="416" t="s">
        <v>470</v>
      </c>
      <c r="D11" s="419" t="s">
        <v>545</v>
      </c>
      <c r="E11" s="68" t="s">
        <v>23</v>
      </c>
      <c r="F11" s="134">
        <v>939.07</v>
      </c>
      <c r="G11" s="60" t="s">
        <v>667</v>
      </c>
      <c r="H11" s="473">
        <f t="shared" si="2"/>
        <v>949.04455520591341</v>
      </c>
      <c r="I11" s="92">
        <f>VLOOKUP($B11,'DCS Data'!$E$2:$AJ$100,MATCH('Daily Report'!I$1,'DCS Data'!$E$2:$AJ$2,0),0)</f>
        <v>958.39106463485325</v>
      </c>
      <c r="J11" s="255"/>
      <c r="K11" s="92">
        <f>VLOOKUP($B11,'DCS Data'!$E$2:$AJ$100,MATCH('Daily Report'!K$1,'DCS Data'!$E$2:$AJ$2,0),0)</f>
        <v>958.70492785215743</v>
      </c>
      <c r="L11" s="92">
        <f>VLOOKUP($B11,'DCS Data'!$E$2:$AJ$100,MATCH('Daily Report'!L$1,'DCS Data'!$E$2:$AJ$2,0),0)</f>
        <v>960.17630581459605</v>
      </c>
      <c r="M11" s="92">
        <f>VLOOKUP($B11,'DCS Data'!$E$2:$AJ$100,MATCH('Daily Report'!M$1,'DCS Data'!$E$2:$AJ$2,0),0)</f>
        <v>959.6717625919697</v>
      </c>
      <c r="N11" s="92">
        <f>VLOOKUP($B11,'DCS Data'!$E$2:$AJ$100,MATCH('Daily Report'!N$1,'DCS Data'!$E$2:$AJ$2,0),0)</f>
        <v>958.7670998967584</v>
      </c>
      <c r="O11" s="92">
        <f>VLOOKUP($B11,'DCS Data'!$E$2:$AJ$100,MATCH('Daily Report'!O$1,'DCS Data'!$E$2:$AJ$2,0),0)</f>
        <v>958.31932303739734</v>
      </c>
      <c r="P11" s="92">
        <f>VLOOKUP($B11,'DCS Data'!$E$2:$AJ$100,MATCH('Daily Report'!P$1,'DCS Data'!$E$2:$AJ$2,0),0)</f>
        <v>957.7916473053773</v>
      </c>
      <c r="Q11" s="92">
        <f>VLOOKUP($B11,'DCS Data'!$E$2:$AJ$100,MATCH('Daily Report'!Q$1,'DCS Data'!$E$2:$AJ$2,0),0)</f>
        <v>957.99170779474025</v>
      </c>
      <c r="R11" s="92">
        <f>VLOOKUP($B11,'DCS Data'!$E$2:$AJ$100,MATCH('Daily Report'!R$1,'DCS Data'!$E$2:$AJ$2,0),0)</f>
        <v>954.2813189466134</v>
      </c>
      <c r="S11" s="92">
        <f>VLOOKUP($B11,'DCS Data'!$E$2:$AJ$100,MATCH('Daily Report'!S$1,'DCS Data'!$E$2:$AJ$2,0),0)</f>
        <v>947.26019222932052</v>
      </c>
      <c r="T11" s="92">
        <f>VLOOKUP($B11,'DCS Data'!$E$2:$AJ$100,MATCH('Daily Report'!T$1,'DCS Data'!$E$2:$AJ$2,0),0)</f>
        <v>948.81395670721906</v>
      </c>
      <c r="U11" s="92">
        <f>VLOOKUP($B11,'DCS Data'!$E$2:$AJ$100,MATCH('Daily Report'!U$1,'DCS Data'!$E$2:$AJ$2,0),0)</f>
        <v>949.15433951840237</v>
      </c>
      <c r="V11" s="92">
        <f>VLOOKUP($B11,'DCS Data'!$E$2:$AJ$100,MATCH('Daily Report'!V$1,'DCS Data'!$E$2:$AJ$2,0),0)</f>
        <v>947.40147561186461</v>
      </c>
      <c r="W11" s="92">
        <f>VLOOKUP($B11,'DCS Data'!$E$2:$AJ$100,MATCH('Daily Report'!W$1,'DCS Data'!$E$2:$AJ$2,0),0)</f>
        <v>946.86919806424771</v>
      </c>
      <c r="X11" s="92">
        <f>VLOOKUP($B11,'DCS Data'!$E$2:$AJ$100,MATCH('Daily Report'!X$1,'DCS Data'!$E$2:$AJ$2,0),0)</f>
        <v>947.78362769969533</v>
      </c>
      <c r="Y11" s="92">
        <f>VLOOKUP($B11,'DCS Data'!$E$2:$AJ$100,MATCH('Daily Report'!Y$1,'DCS Data'!$E$2:$AJ$2,0),0)</f>
        <v>944.7587814670743</v>
      </c>
      <c r="Z11" s="92">
        <f>VLOOKUP($B11,'DCS Data'!$E$2:$AJ$100,MATCH('Daily Report'!Z$1,'DCS Data'!$E$2:$AJ$2,0),0)</f>
        <v>943.78013218634385</v>
      </c>
      <c r="AA11" s="92">
        <f>VLOOKUP($B11,'DCS Data'!$E$2:$AJ$100,MATCH('Daily Report'!AA$1,'DCS Data'!$E$2:$AJ$2,0),0)</f>
        <v>942.88909731258548</v>
      </c>
      <c r="AB11" s="92">
        <f>VLOOKUP($B11,'DCS Data'!$E$2:$AJ$100,MATCH('Daily Report'!AB$1,'DCS Data'!$E$2:$AJ$2,0),0)</f>
        <v>944.0976750674223</v>
      </c>
      <c r="AC11" s="92">
        <f>VLOOKUP($B11,'DCS Data'!$E$2:$AJ$100,MATCH('Daily Report'!AC$1,'DCS Data'!$E$2:$AJ$2,0),0)</f>
        <v>945.16816907490863</v>
      </c>
      <c r="AD11" s="92">
        <f>VLOOKUP($B11,'DCS Data'!$E$2:$AJ$100,MATCH('Daily Report'!AD$1,'DCS Data'!$E$2:$AJ$2,0),0)</f>
        <v>945.14418968218502</v>
      </c>
      <c r="AE11" s="92">
        <f>VLOOKUP($B11,'DCS Data'!$E$2:$AJ$100,MATCH('Daily Report'!AE$1,'DCS Data'!$E$2:$AJ$2,0),0)</f>
        <v>945.20912962156353</v>
      </c>
      <c r="AF11" s="92">
        <f>VLOOKUP($B11,'DCS Data'!$E$2:$AJ$100,MATCH('Daily Report'!AF$1,'DCS Data'!$E$2:$AJ$2,0),0)</f>
        <v>944.71295363994193</v>
      </c>
      <c r="AG11" s="92">
        <f>VLOOKUP($B11,'DCS Data'!$E$2:$AJ$100,MATCH('Daily Report'!AG$1,'DCS Data'!$E$2:$AJ$2,0),0)</f>
        <v>943.43437441140384</v>
      </c>
      <c r="AH11" s="92">
        <f>VLOOKUP($B11,'DCS Data'!$E$2:$AJ$100,MATCH('Daily Report'!AH$1,'DCS Data'!$E$2:$AJ$2,0),0)</f>
        <v>941.02150583648006</v>
      </c>
      <c r="AI11" s="92">
        <f>VLOOKUP($B11,'DCS Data'!$E$2:$AJ$100,MATCH('Daily Report'!AI$1,'DCS Data'!$E$2:$AJ$2,0),0)</f>
        <v>943.80363848398531</v>
      </c>
      <c r="AJ11" s="92">
        <f>VLOOKUP($B11,'DCS Data'!$E$2:$AJ$100,MATCH('Daily Report'!AJ$1,'DCS Data'!$E$2:$AJ$2,0),0)</f>
        <v>944.19124494854066</v>
      </c>
      <c r="AK11" s="92">
        <f>VLOOKUP($B11,'DCS Data'!$E$2:$AJ$100,MATCH('Daily Report'!AK$1,'DCS Data'!$E$2:$AJ$2,0),0)</f>
        <v>943.73162764912126</v>
      </c>
      <c r="AL11" s="92">
        <f>VLOOKUP($B11,'DCS Data'!$E$2:$AJ$100,MATCH('Daily Report'!AL$1,'DCS Data'!$E$2:$AJ$2,0),0)</f>
        <v>944.58823519032376</v>
      </c>
      <c r="AM11" s="92">
        <f>VLOOKUP($B11,'DCS Data'!$E$2:$AJ$100,MATCH('Daily Report'!AM$1,'DCS Data'!$E$2:$AJ$2,0),0)</f>
        <v>946.42698477893032</v>
      </c>
      <c r="AN11" s="92">
        <f>VLOOKUP($B11,'DCS Data'!$E$2:$AJ$100,MATCH('Daily Report'!AN$1,'DCS Data'!$E$2:$AJ$2,0),0)</f>
        <v>946.04552432728656</v>
      </c>
      <c r="AO11" s="214"/>
      <c r="AP11" s="214"/>
      <c r="AQ11" s="214"/>
      <c r="AR11" s="214"/>
      <c r="AS11" s="214"/>
      <c r="AT11" s="214"/>
      <c r="AU11" s="214"/>
      <c r="AV11" s="214"/>
      <c r="AW11" s="214"/>
      <c r="AX11" s="214"/>
      <c r="AY11" s="214"/>
      <c r="AZ11" s="214"/>
      <c r="BA11" s="214"/>
      <c r="BB11" s="214"/>
      <c r="BC11" s="214"/>
      <c r="BD11" s="214"/>
      <c r="BE11" s="214"/>
      <c r="BF11" s="214"/>
      <c r="BG11" s="214"/>
      <c r="BH11" s="214"/>
      <c r="BI11" s="214"/>
      <c r="BJ11" s="214"/>
      <c r="BK11" s="214"/>
      <c r="BL11" s="214"/>
      <c r="BM11" s="214"/>
      <c r="BN11" s="214"/>
      <c r="BO11" s="214"/>
      <c r="BP11" s="214"/>
      <c r="BQ11" s="214"/>
      <c r="BR11" s="214"/>
      <c r="BS11" s="214"/>
      <c r="BT11" s="214"/>
      <c r="BU11" s="214"/>
      <c r="BV11" s="214"/>
      <c r="BW11" s="214"/>
      <c r="BX11" s="214"/>
      <c r="BY11" s="214"/>
      <c r="BZ11" s="214"/>
      <c r="CA11" s="214"/>
      <c r="CB11" s="214"/>
      <c r="CC11" s="214"/>
      <c r="CD11" s="214"/>
      <c r="CE11" s="214"/>
      <c r="CF11" s="214"/>
      <c r="CG11" s="214"/>
      <c r="CH11" s="214"/>
      <c r="CI11" s="214"/>
      <c r="CJ11" s="214"/>
      <c r="CK11" s="214"/>
      <c r="CL11" s="214"/>
      <c r="CM11" s="214"/>
      <c r="CN11" s="214"/>
      <c r="CO11" s="214"/>
      <c r="CP11" s="214"/>
      <c r="CQ11" s="214"/>
      <c r="CR11" s="214"/>
      <c r="CS11" s="214"/>
      <c r="CT11" s="214"/>
      <c r="CU11" s="214"/>
      <c r="CV11" s="214"/>
      <c r="CW11" s="214"/>
      <c r="CX11" s="214"/>
      <c r="CY11" s="214"/>
      <c r="CZ11" s="214"/>
      <c r="DA11" s="214"/>
      <c r="DB11" s="214"/>
      <c r="DC11" s="214"/>
      <c r="DD11" s="214"/>
      <c r="DE11" s="214"/>
      <c r="DF11" s="214"/>
      <c r="DG11" s="214"/>
      <c r="DH11" s="214"/>
      <c r="DI11" s="214"/>
      <c r="DJ11" s="214"/>
      <c r="DK11" s="214"/>
      <c r="DL11" s="214"/>
      <c r="DM11" s="214"/>
      <c r="DN11" s="214"/>
      <c r="DO11" s="214"/>
      <c r="DP11" s="214"/>
      <c r="DQ11" s="214"/>
      <c r="DR11" s="214"/>
      <c r="DS11" s="214"/>
      <c r="DT11" s="214"/>
      <c r="DU11" s="214"/>
      <c r="DV11" s="214"/>
      <c r="DW11" s="214"/>
      <c r="DX11" s="214"/>
      <c r="DY11" s="214"/>
      <c r="DZ11" s="214"/>
      <c r="EA11" s="214"/>
      <c r="EB11" s="214"/>
      <c r="EC11" s="214"/>
      <c r="ED11" s="214"/>
      <c r="EE11" s="214"/>
      <c r="EF11" s="214"/>
      <c r="EG11" s="214"/>
      <c r="EH11" s="214"/>
      <c r="EI11" s="214"/>
      <c r="EJ11" s="214"/>
      <c r="EK11" s="214"/>
      <c r="EL11" s="214"/>
      <c r="EM11" s="214"/>
      <c r="EN11" s="214"/>
      <c r="EO11" s="214"/>
      <c r="EP11" s="214"/>
      <c r="EQ11" s="214"/>
      <c r="ER11" s="214"/>
      <c r="ES11" s="214"/>
      <c r="ET11" s="214"/>
      <c r="EU11" s="214"/>
      <c r="EV11" s="214"/>
      <c r="EW11" s="214"/>
      <c r="EX11" s="214"/>
      <c r="EY11" s="214"/>
      <c r="EZ11" s="214"/>
      <c r="FA11" s="214"/>
      <c r="FB11" s="214"/>
      <c r="FC11" s="214"/>
      <c r="FD11" s="214"/>
      <c r="FE11" s="214"/>
      <c r="FF11" s="214"/>
      <c r="FG11" s="214"/>
      <c r="FH11" s="214"/>
      <c r="FI11" s="214"/>
      <c r="FJ11" s="214"/>
      <c r="FK11" s="214"/>
      <c r="FL11" s="214"/>
      <c r="FM11" s="214"/>
      <c r="FN11" s="214"/>
      <c r="FO11" s="214"/>
      <c r="FP11" s="214"/>
      <c r="FQ11" s="214"/>
      <c r="FR11" s="214"/>
      <c r="FS11" s="214"/>
      <c r="FT11" s="214"/>
      <c r="FU11" s="214"/>
      <c r="FV11" s="214"/>
      <c r="FW11" s="214"/>
      <c r="FX11" s="214"/>
      <c r="FY11" s="214"/>
      <c r="FZ11" s="214"/>
      <c r="GA11" s="214"/>
      <c r="GB11" s="214"/>
      <c r="GC11" s="214"/>
      <c r="GD11" s="214"/>
      <c r="GE11" s="214"/>
      <c r="GF11" s="214"/>
      <c r="GG11" s="214"/>
      <c r="GH11" s="214"/>
      <c r="GI11" s="214"/>
      <c r="GJ11" s="214"/>
      <c r="GK11" s="214"/>
      <c r="GL11" s="214"/>
      <c r="GM11" s="214"/>
      <c r="GN11" s="214"/>
      <c r="GO11" s="214"/>
      <c r="GP11" s="214"/>
      <c r="GQ11" s="214"/>
      <c r="GR11" s="214"/>
      <c r="GS11" s="214"/>
      <c r="GT11" s="214"/>
      <c r="GU11" s="214"/>
      <c r="GV11" s="214"/>
      <c r="GW11" s="214"/>
      <c r="GX11" s="214"/>
      <c r="GY11" s="214"/>
      <c r="GZ11" s="214"/>
      <c r="HA11" s="214"/>
      <c r="HB11" s="214"/>
      <c r="HC11" s="214"/>
      <c r="HD11" s="214"/>
      <c r="HE11" s="214"/>
      <c r="HF11" s="214"/>
      <c r="HG11" s="214"/>
      <c r="HH11" s="214"/>
      <c r="HI11" s="214"/>
      <c r="HJ11" s="214"/>
      <c r="HK11" s="214"/>
      <c r="HL11" s="214"/>
      <c r="HM11" s="214"/>
      <c r="HN11" s="214"/>
      <c r="HO11" s="214"/>
      <c r="HP11" s="214"/>
      <c r="HQ11" s="214"/>
      <c r="HR11" s="214"/>
      <c r="HS11" s="214"/>
      <c r="HT11" s="214"/>
      <c r="HU11" s="214"/>
      <c r="HV11" s="214"/>
      <c r="HW11" s="214"/>
      <c r="HX11" s="214"/>
      <c r="HY11" s="214"/>
      <c r="HZ11" s="214"/>
      <c r="IA11" s="214"/>
      <c r="IB11" s="214"/>
      <c r="IC11" s="214"/>
      <c r="ID11" s="214"/>
      <c r="IE11" s="214"/>
      <c r="IF11" s="214"/>
      <c r="IG11" s="214"/>
      <c r="IH11" s="214"/>
      <c r="II11" s="214"/>
      <c r="IJ11" s="214"/>
      <c r="IK11" s="214"/>
      <c r="IL11" s="214"/>
      <c r="IM11" s="214"/>
      <c r="IN11" s="214"/>
      <c r="IO11" s="214"/>
      <c r="IP11" s="214"/>
      <c r="IQ11" s="214"/>
      <c r="IR11" s="214"/>
      <c r="IS11" s="214"/>
      <c r="IT11" s="214"/>
      <c r="IU11" s="214"/>
      <c r="IV11" s="214"/>
      <c r="IW11" s="214"/>
      <c r="IX11" s="214"/>
      <c r="IY11" s="214"/>
      <c r="IZ11" s="214"/>
      <c r="JA11" s="214"/>
      <c r="JB11" s="214"/>
      <c r="JC11" s="214"/>
      <c r="JD11" s="214"/>
      <c r="JE11" s="214"/>
      <c r="JF11" s="214"/>
      <c r="JG11" s="214"/>
      <c r="JH11" s="214"/>
      <c r="JI11" s="214"/>
      <c r="JJ11" s="214"/>
      <c r="JK11" s="214"/>
      <c r="JL11" s="214"/>
      <c r="JM11" s="214"/>
      <c r="JN11" s="214"/>
      <c r="JO11" s="214"/>
      <c r="JP11" s="214"/>
      <c r="JQ11" s="214"/>
      <c r="JR11" s="214"/>
      <c r="JS11" s="214"/>
      <c r="JT11" s="214"/>
      <c r="JU11" s="214"/>
      <c r="JV11" s="214"/>
      <c r="JW11" s="214"/>
      <c r="JX11" s="214"/>
      <c r="JY11" s="214"/>
      <c r="JZ11" s="214"/>
      <c r="KA11" s="214"/>
      <c r="KB11" s="214"/>
      <c r="KC11" s="214"/>
      <c r="KD11" s="214"/>
      <c r="KE11" s="214"/>
      <c r="KF11" s="214"/>
      <c r="KG11" s="214"/>
      <c r="KH11" s="214"/>
      <c r="KI11" s="214"/>
      <c r="KJ11" s="214"/>
      <c r="KK11" s="214"/>
      <c r="KL11" s="214"/>
      <c r="KM11" s="214"/>
      <c r="KN11" s="214"/>
      <c r="KO11" s="214"/>
      <c r="KP11" s="214"/>
      <c r="KQ11" s="214"/>
      <c r="KR11" s="214"/>
      <c r="KS11" s="214"/>
      <c r="KT11" s="214"/>
      <c r="KU11" s="214"/>
      <c r="KV11" s="214"/>
      <c r="KW11" s="214"/>
      <c r="KX11" s="214"/>
      <c r="KY11" s="214"/>
      <c r="KZ11" s="214"/>
      <c r="LA11" s="214"/>
      <c r="LB11" s="214"/>
      <c r="LC11" s="214"/>
      <c r="LD11" s="214"/>
      <c r="LE11" s="214"/>
      <c r="LF11" s="214"/>
      <c r="LG11" s="214"/>
      <c r="LH11" s="214"/>
      <c r="LI11" s="214"/>
      <c r="LJ11" s="214"/>
      <c r="LK11" s="214"/>
      <c r="LL11" s="214"/>
      <c r="LM11" s="214"/>
      <c r="LN11" s="214"/>
      <c r="LO11" s="214"/>
      <c r="LP11" s="214"/>
      <c r="LQ11" s="214"/>
      <c r="LR11" s="214"/>
      <c r="LS11" s="214"/>
      <c r="LT11" s="214"/>
      <c r="LU11" s="214"/>
      <c r="LV11" s="214"/>
      <c r="LW11" s="214"/>
      <c r="LX11" s="214"/>
      <c r="LY11" s="214"/>
      <c r="LZ11" s="214"/>
      <c r="MA11" s="214"/>
      <c r="MB11" s="214"/>
      <c r="MC11" s="214"/>
      <c r="MD11" s="214"/>
      <c r="ME11" s="214"/>
      <c r="MF11" s="214"/>
      <c r="MG11" s="214"/>
      <c r="MH11" s="214"/>
      <c r="MI11" s="214"/>
      <c r="MJ11" s="214"/>
      <c r="MK11" s="214"/>
      <c r="ML11" s="214"/>
      <c r="MM11" s="214"/>
      <c r="MN11" s="214"/>
      <c r="MO11" s="214"/>
      <c r="MP11" s="214"/>
      <c r="MQ11" s="214"/>
      <c r="MR11" s="214"/>
      <c r="MS11" s="214"/>
      <c r="MT11" s="214"/>
      <c r="MU11" s="214"/>
      <c r="MV11" s="214"/>
      <c r="MW11" s="214"/>
      <c r="MX11" s="214"/>
      <c r="MY11" s="214"/>
      <c r="MZ11" s="214"/>
      <c r="NA11" s="214"/>
      <c r="NB11" s="214"/>
      <c r="NC11" s="214"/>
      <c r="ND11" s="214"/>
      <c r="NE11" s="214"/>
      <c r="NF11" s="214"/>
      <c r="NG11" s="214"/>
      <c r="NH11" s="214"/>
      <c r="NI11" s="214"/>
      <c r="NJ11" s="214"/>
      <c r="NK11" s="214"/>
      <c r="NL11" s="214"/>
      <c r="NM11" s="214"/>
      <c r="NN11" s="214"/>
      <c r="NO11" s="214"/>
      <c r="NP11" s="214"/>
      <c r="NQ11" s="214"/>
      <c r="NR11" s="214"/>
      <c r="NS11" s="214"/>
      <c r="NT11" s="214"/>
      <c r="NU11" s="214"/>
      <c r="NV11" s="214"/>
      <c r="NW11" s="214"/>
      <c r="NX11" s="214"/>
      <c r="NY11" s="214"/>
      <c r="NZ11" s="214"/>
      <c r="OA11" s="214"/>
      <c r="OB11" s="214"/>
      <c r="OC11" s="214"/>
      <c r="OD11" s="214"/>
      <c r="OE11" s="214"/>
      <c r="OF11" s="214"/>
      <c r="OG11" s="214"/>
      <c r="OH11" s="214"/>
      <c r="OI11" s="214"/>
      <c r="OJ11" s="214"/>
      <c r="OK11" s="214"/>
      <c r="OL11" s="214"/>
      <c r="OM11" s="214"/>
      <c r="ON11" s="214"/>
      <c r="OO11" s="214"/>
      <c r="OP11" s="214"/>
      <c r="OQ11" s="214"/>
      <c r="OR11" s="214"/>
      <c r="OS11" s="214"/>
      <c r="OT11" s="214"/>
      <c r="OU11" s="214"/>
      <c r="OV11" s="214"/>
      <c r="OW11" s="214"/>
      <c r="OX11" s="214"/>
      <c r="OY11" s="214"/>
      <c r="OZ11" s="214"/>
      <c r="PA11" s="214"/>
      <c r="PB11" s="214"/>
      <c r="PC11" s="214"/>
      <c r="PD11" s="214"/>
      <c r="PE11" s="214"/>
      <c r="PF11" s="214"/>
      <c r="PG11" s="214"/>
      <c r="PH11" s="214"/>
      <c r="PI11" s="214"/>
      <c r="PJ11" s="214"/>
      <c r="PK11" s="214"/>
      <c r="PL11" s="214"/>
      <c r="PM11" s="214"/>
      <c r="PN11" s="214"/>
      <c r="PO11" s="214"/>
      <c r="PP11" s="214"/>
      <c r="PQ11" s="214"/>
      <c r="PR11" s="214"/>
      <c r="PS11" s="214"/>
      <c r="PT11" s="214"/>
      <c r="PU11" s="214"/>
      <c r="PV11" s="214"/>
      <c r="PW11" s="214"/>
      <c r="PX11" s="214"/>
      <c r="PY11" s="214"/>
      <c r="PZ11" s="214"/>
      <c r="QA11" s="214"/>
      <c r="QB11" s="214"/>
      <c r="QC11" s="214"/>
      <c r="QD11" s="214"/>
      <c r="QE11" s="214"/>
      <c r="QF11" s="214"/>
      <c r="QG11" s="214"/>
      <c r="QH11" s="214"/>
      <c r="QI11" s="214"/>
      <c r="QJ11" s="214"/>
      <c r="QK11" s="214"/>
      <c r="QL11" s="214"/>
      <c r="QM11" s="214"/>
      <c r="QN11" s="214"/>
      <c r="QO11" s="214"/>
      <c r="QP11" s="214"/>
      <c r="QQ11" s="214"/>
      <c r="QR11" s="214"/>
      <c r="QS11" s="214"/>
      <c r="QT11" s="214"/>
      <c r="QU11" s="214"/>
      <c r="QV11" s="214"/>
      <c r="QW11" s="214"/>
      <c r="QX11" s="214"/>
      <c r="QY11" s="214"/>
      <c r="QZ11" s="214"/>
      <c r="RA11" s="214"/>
      <c r="RB11" s="214"/>
      <c r="RC11" s="214"/>
      <c r="RD11" s="214"/>
      <c r="RE11" s="214"/>
      <c r="RF11" s="214"/>
      <c r="RG11" s="214"/>
      <c r="RH11" s="214"/>
      <c r="RI11" s="214"/>
      <c r="RJ11" s="214"/>
      <c r="RK11" s="214"/>
      <c r="RL11" s="214"/>
      <c r="RM11" s="214"/>
      <c r="RN11" s="214"/>
      <c r="RO11" s="214"/>
      <c r="RP11" s="214"/>
      <c r="RQ11" s="214"/>
      <c r="RR11" s="214"/>
      <c r="RS11" s="214"/>
      <c r="RT11" s="214"/>
      <c r="RU11" s="214"/>
      <c r="RV11" s="214"/>
      <c r="RW11" s="214"/>
      <c r="RX11" s="214"/>
      <c r="RY11" s="214"/>
      <c r="RZ11" s="214"/>
      <c r="SA11" s="214"/>
      <c r="SB11" s="214"/>
      <c r="SC11" s="214"/>
      <c r="SD11" s="214"/>
      <c r="SE11" s="214"/>
      <c r="SF11" s="214"/>
      <c r="SG11" s="214"/>
      <c r="SH11" s="214"/>
      <c r="SI11" s="214"/>
      <c r="SJ11" s="214"/>
      <c r="SK11" s="214"/>
      <c r="SL11" s="214"/>
      <c r="SM11" s="214"/>
      <c r="SN11" s="214"/>
      <c r="SO11" s="214"/>
      <c r="SP11" s="214"/>
      <c r="SQ11" s="214"/>
      <c r="SR11" s="214"/>
      <c r="SS11" s="214"/>
      <c r="ST11" s="214"/>
      <c r="SU11" s="214"/>
      <c r="SV11" s="214"/>
      <c r="SW11" s="214"/>
      <c r="SX11" s="214"/>
      <c r="SY11" s="214"/>
      <c r="SZ11" s="214"/>
      <c r="TA11" s="214"/>
      <c r="TB11" s="214"/>
      <c r="TC11" s="214"/>
      <c r="TD11" s="214"/>
      <c r="TE11" s="214"/>
      <c r="TF11" s="214"/>
      <c r="TG11" s="214"/>
      <c r="TH11" s="214"/>
      <c r="TI11" s="214"/>
      <c r="TJ11" s="214"/>
      <c r="TK11" s="214"/>
      <c r="TL11" s="214"/>
      <c r="TM11" s="214"/>
      <c r="TN11" s="214"/>
      <c r="TO11" s="214"/>
      <c r="TP11" s="214"/>
      <c r="TQ11" s="214"/>
      <c r="TR11" s="214"/>
      <c r="TS11" s="214"/>
      <c r="TT11" s="214"/>
      <c r="TU11" s="214"/>
      <c r="TV11" s="214"/>
      <c r="TW11" s="214"/>
      <c r="TX11" s="214"/>
      <c r="TY11" s="214"/>
      <c r="TZ11" s="214"/>
      <c r="UA11" s="214"/>
      <c r="UB11" s="214"/>
      <c r="UC11" s="214"/>
      <c r="UD11" s="214"/>
      <c r="UE11" s="214"/>
      <c r="UF11" s="214"/>
      <c r="UG11" s="214"/>
      <c r="UH11" s="214"/>
      <c r="UI11" s="214"/>
      <c r="UJ11" s="214"/>
      <c r="UK11" s="214"/>
      <c r="UL11" s="214"/>
      <c r="UM11" s="214"/>
      <c r="UN11" s="214"/>
      <c r="UO11" s="214"/>
      <c r="UP11" s="214"/>
      <c r="UQ11" s="214"/>
      <c r="UR11" s="214"/>
      <c r="US11" s="214"/>
      <c r="UT11" s="214"/>
      <c r="UU11" s="214"/>
      <c r="UV11" s="214"/>
      <c r="UW11" s="214"/>
      <c r="UX11" s="214"/>
      <c r="UY11" s="214"/>
      <c r="UZ11" s="214"/>
      <c r="VA11" s="214"/>
      <c r="VB11" s="214"/>
      <c r="VC11" s="214"/>
      <c r="VD11" s="214"/>
      <c r="VE11" s="214"/>
      <c r="VF11" s="214"/>
      <c r="VG11" s="214"/>
      <c r="VH11" s="214"/>
      <c r="VI11" s="214"/>
      <c r="VJ11" s="214"/>
      <c r="VK11" s="214"/>
      <c r="VL11" s="214"/>
      <c r="VM11" s="214"/>
      <c r="VN11" s="214"/>
      <c r="VO11" s="214"/>
      <c r="VP11" s="214"/>
      <c r="VQ11" s="214"/>
      <c r="VR11" s="214"/>
      <c r="VS11" s="214"/>
      <c r="VT11" s="214"/>
      <c r="VU11" s="214"/>
      <c r="VV11" s="214"/>
      <c r="VW11" s="214"/>
      <c r="VX11" s="214"/>
      <c r="VY11" s="214"/>
      <c r="VZ11" s="214"/>
      <c r="WA11" s="214"/>
      <c r="WB11" s="214"/>
      <c r="WC11" s="214"/>
      <c r="WD11" s="214"/>
      <c r="WE11" s="214"/>
      <c r="WF11" s="214"/>
      <c r="WG11" s="214"/>
      <c r="WH11" s="214"/>
      <c r="WI11" s="214"/>
      <c r="WJ11" s="214"/>
      <c r="WK11" s="214"/>
      <c r="WL11" s="214"/>
      <c r="WM11" s="214"/>
      <c r="WN11" s="214"/>
      <c r="WO11" s="214"/>
      <c r="WP11" s="214"/>
      <c r="WQ11" s="214"/>
      <c r="WR11" s="214"/>
      <c r="WS11" s="214"/>
      <c r="WT11" s="214"/>
      <c r="WU11" s="214"/>
      <c r="WV11" s="214"/>
      <c r="WW11" s="214"/>
      <c r="WX11" s="214"/>
      <c r="WY11" s="214"/>
      <c r="WZ11" s="214"/>
      <c r="XA11" s="214"/>
      <c r="XB11" s="214"/>
      <c r="XC11" s="214"/>
      <c r="XD11" s="214"/>
      <c r="XE11" s="214"/>
      <c r="XF11" s="214"/>
      <c r="XG11" s="214"/>
      <c r="XH11" s="214"/>
      <c r="XI11" s="214"/>
      <c r="XJ11" s="214"/>
      <c r="XK11" s="214"/>
      <c r="XL11" s="214"/>
      <c r="XM11" s="214"/>
      <c r="XN11" s="214"/>
      <c r="XO11" s="214"/>
      <c r="XP11" s="214"/>
      <c r="XQ11" s="214"/>
      <c r="XR11" s="214"/>
      <c r="XS11" s="214"/>
      <c r="XT11" s="214"/>
      <c r="XU11" s="214"/>
      <c r="XV11" s="214"/>
      <c r="XW11" s="214"/>
      <c r="XX11" s="214"/>
      <c r="XY11" s="214"/>
      <c r="XZ11" s="214"/>
      <c r="YA11" s="214"/>
      <c r="YB11" s="214"/>
      <c r="YC11" s="214"/>
      <c r="YD11" s="214"/>
      <c r="YE11" s="214"/>
      <c r="YF11" s="214"/>
      <c r="YG11" s="214"/>
      <c r="YH11" s="214"/>
      <c r="YI11" s="214"/>
      <c r="YJ11" s="214"/>
      <c r="YK11" s="214"/>
      <c r="YL11" s="214"/>
      <c r="YM11" s="214"/>
      <c r="YN11" s="214"/>
      <c r="YO11" s="214"/>
      <c r="YP11" s="214"/>
      <c r="YQ11" s="214"/>
      <c r="YR11" s="214"/>
      <c r="YS11" s="214"/>
      <c r="YT11" s="214"/>
      <c r="YU11" s="214"/>
      <c r="YV11" s="214"/>
      <c r="YW11" s="214"/>
      <c r="YX11" s="214"/>
      <c r="YY11" s="214"/>
      <c r="YZ11" s="214"/>
      <c r="ZA11" s="214"/>
      <c r="ZB11" s="214"/>
      <c r="ZC11" s="214"/>
      <c r="ZD11" s="214"/>
      <c r="ZE11" s="214"/>
      <c r="ZF11" s="214"/>
      <c r="ZG11" s="214"/>
      <c r="ZH11" s="214"/>
      <c r="ZI11" s="214"/>
      <c r="ZJ11" s="214"/>
      <c r="ZK11" s="214"/>
      <c r="ZL11" s="214"/>
      <c r="ZM11" s="214"/>
      <c r="ZN11" s="214"/>
      <c r="ZO11" s="214"/>
      <c r="ZP11" s="214"/>
      <c r="ZQ11" s="214"/>
      <c r="ZR11" s="214"/>
      <c r="ZS11" s="214"/>
      <c r="ZT11" s="214"/>
      <c r="ZU11" s="214"/>
      <c r="ZV11" s="214"/>
      <c r="ZW11" s="214"/>
      <c r="ZX11" s="214"/>
      <c r="ZY11" s="214"/>
      <c r="ZZ11" s="214"/>
      <c r="AAA11" s="214"/>
      <c r="AAB11" s="214"/>
      <c r="AAC11" s="214"/>
      <c r="AAD11" s="214"/>
      <c r="AAE11" s="214"/>
      <c r="AAF11" s="214"/>
      <c r="AAG11" s="214"/>
      <c r="AAH11" s="214"/>
      <c r="AAI11" s="214"/>
      <c r="AAJ11" s="214"/>
      <c r="AAK11" s="214"/>
      <c r="AAL11" s="214"/>
      <c r="AAM11" s="214"/>
      <c r="AAN11" s="214"/>
      <c r="AAO11" s="214"/>
      <c r="AAP11" s="214"/>
      <c r="AAQ11" s="214"/>
      <c r="AAR11" s="214"/>
      <c r="AAS11" s="214"/>
      <c r="AAT11" s="214"/>
      <c r="AAU11" s="214"/>
      <c r="AAV11" s="214"/>
      <c r="AAW11" s="214"/>
      <c r="AAX11" s="214"/>
      <c r="AAY11" s="214"/>
      <c r="AAZ11" s="214"/>
      <c r="ABA11" s="214"/>
      <c r="ABB11" s="214"/>
      <c r="ABC11" s="214"/>
      <c r="ABD11" s="214"/>
      <c r="ABE11" s="214"/>
      <c r="ABF11" s="214"/>
      <c r="ABG11" s="214"/>
      <c r="ABH11" s="214"/>
      <c r="ABI11" s="214"/>
      <c r="ABJ11" s="214"/>
      <c r="ABK11" s="214"/>
      <c r="ABL11" s="214"/>
      <c r="ABM11" s="214"/>
      <c r="ABN11" s="214"/>
      <c r="ABO11" s="214"/>
      <c r="ABP11" s="214"/>
      <c r="ABQ11" s="214"/>
      <c r="ABR11" s="214"/>
      <c r="ABS11" s="214"/>
      <c r="ABT11" s="214"/>
      <c r="ABU11" s="214"/>
      <c r="ABV11" s="214"/>
      <c r="ABW11" s="214"/>
      <c r="ABX11" s="214"/>
      <c r="ABY11" s="214"/>
      <c r="ABZ11" s="214"/>
      <c r="ACA11" s="214"/>
      <c r="ACB11" s="214"/>
      <c r="ACC11" s="214"/>
      <c r="ACD11" s="214"/>
      <c r="ACE11" s="214"/>
      <c r="ACF11" s="214"/>
      <c r="ACG11" s="214"/>
      <c r="ACH11" s="214"/>
      <c r="ACI11" s="214"/>
      <c r="ACJ11" s="214"/>
      <c r="ACK11" s="214"/>
      <c r="ACL11" s="214"/>
      <c r="ACM11" s="214"/>
      <c r="ACN11" s="214"/>
      <c r="ACO11" s="214"/>
      <c r="ACP11" s="214"/>
      <c r="ACQ11" s="214"/>
      <c r="ACR11" s="214"/>
      <c r="ACS11" s="214"/>
      <c r="ACT11" s="214"/>
      <c r="ACU11" s="214"/>
      <c r="ACV11" s="214"/>
      <c r="ACW11" s="214"/>
      <c r="ACX11" s="214"/>
      <c r="ACY11" s="214"/>
      <c r="ACZ11" s="214"/>
      <c r="ADA11" s="214"/>
      <c r="ADB11" s="214"/>
      <c r="ADC11" s="214"/>
      <c r="ADD11" s="214"/>
      <c r="ADE11" s="214"/>
      <c r="ADF11" s="214"/>
      <c r="ADG11" s="214"/>
      <c r="ADH11" s="214"/>
      <c r="ADI11" s="214"/>
      <c r="ADJ11" s="214"/>
      <c r="ADK11" s="214"/>
      <c r="ADL11" s="214"/>
      <c r="ADM11" s="214"/>
      <c r="ADN11" s="214"/>
      <c r="ADO11" s="214"/>
      <c r="ADP11" s="214"/>
      <c r="ADQ11" s="214"/>
      <c r="ADR11" s="214"/>
      <c r="ADS11" s="214"/>
      <c r="ADT11" s="214"/>
      <c r="ADU11" s="214"/>
      <c r="ADV11" s="214"/>
      <c r="ADW11" s="214"/>
      <c r="ADX11" s="214"/>
      <c r="ADY11" s="214"/>
      <c r="ADZ11" s="214"/>
      <c r="AEA11" s="214"/>
      <c r="AEB11" s="214"/>
      <c r="AEC11" s="214"/>
      <c r="AED11" s="214"/>
      <c r="AEE11" s="214"/>
      <c r="AEF11" s="214"/>
      <c r="AEG11" s="214"/>
      <c r="AEH11" s="214"/>
      <c r="AEI11" s="214"/>
      <c r="AEJ11" s="214"/>
      <c r="AEK11" s="214"/>
      <c r="AEL11" s="214"/>
      <c r="AEM11" s="214"/>
      <c r="AEN11" s="214"/>
      <c r="AEO11" s="214"/>
      <c r="AEP11" s="214"/>
      <c r="AEQ11" s="214"/>
      <c r="AER11" s="214"/>
      <c r="AES11" s="214"/>
      <c r="AET11" s="214"/>
      <c r="AEU11" s="214"/>
      <c r="AEV11" s="214"/>
      <c r="AEW11" s="214"/>
      <c r="AEX11" s="214"/>
      <c r="AEY11" s="214"/>
      <c r="AEZ11" s="214"/>
      <c r="AFA11" s="214"/>
      <c r="AFB11" s="214"/>
      <c r="AFC11" s="214"/>
      <c r="AFD11" s="214"/>
      <c r="AFE11" s="214"/>
      <c r="AFF11" s="214"/>
      <c r="AFG11" s="214"/>
      <c r="AFH11" s="214"/>
      <c r="AFI11" s="214"/>
      <c r="AFJ11" s="214"/>
      <c r="AFK11" s="214"/>
      <c r="AFL11" s="214"/>
      <c r="AFM11" s="214"/>
      <c r="AFN11" s="214"/>
      <c r="AFO11" s="214"/>
      <c r="AFP11" s="214"/>
      <c r="AFQ11" s="214"/>
      <c r="AFR11" s="214"/>
      <c r="AFS11" s="214"/>
      <c r="AFT11" s="214"/>
      <c r="AFU11" s="214"/>
      <c r="AFV11" s="214"/>
      <c r="AFW11" s="214"/>
      <c r="AFX11" s="214"/>
      <c r="AFY11" s="214"/>
      <c r="AFZ11" s="214"/>
      <c r="AGA11" s="214"/>
      <c r="AGB11" s="214"/>
      <c r="AGC11" s="214"/>
      <c r="AGD11" s="214"/>
      <c r="AGE11" s="214"/>
      <c r="AGF11" s="214"/>
      <c r="AGG11" s="214"/>
      <c r="AGH11" s="214"/>
      <c r="AGI11" s="214"/>
      <c r="AGJ11" s="214"/>
      <c r="AGK11" s="214"/>
      <c r="AGL11" s="214"/>
      <c r="AGM11" s="214"/>
      <c r="AGN11" s="214"/>
      <c r="AGO11" s="214"/>
      <c r="AGP11" s="214"/>
      <c r="AGQ11" s="214"/>
      <c r="AGR11" s="214"/>
      <c r="AGS11" s="214"/>
      <c r="AGT11" s="214"/>
      <c r="AGU11" s="214"/>
      <c r="AGV11" s="214"/>
      <c r="AGW11" s="214"/>
      <c r="AGX11" s="214"/>
      <c r="AGY11" s="214"/>
      <c r="AGZ11" s="214"/>
      <c r="AHA11" s="214"/>
      <c r="AHB11" s="214"/>
      <c r="AHC11" s="214"/>
      <c r="AHD11" s="214"/>
      <c r="AHE11" s="214"/>
      <c r="AHF11" s="214"/>
      <c r="AHG11" s="214"/>
      <c r="AHH11" s="214"/>
      <c r="AHI11" s="214"/>
      <c r="AHJ11" s="214"/>
      <c r="AHK11" s="214"/>
      <c r="AHL11" s="214"/>
      <c r="AHM11" s="214"/>
      <c r="AHN11" s="214"/>
      <c r="AHO11" s="214"/>
      <c r="AHP11" s="214"/>
      <c r="AHQ11" s="214"/>
      <c r="AHR11" s="214"/>
      <c r="AHS11" s="214"/>
      <c r="AHT11" s="214"/>
      <c r="AHU11" s="214"/>
      <c r="AHV11" s="214"/>
      <c r="AHW11" s="214"/>
      <c r="AHX11" s="214"/>
      <c r="AHY11" s="214"/>
      <c r="AHZ11" s="214"/>
      <c r="AIA11" s="214"/>
      <c r="AIB11" s="214"/>
      <c r="AIC11" s="214"/>
      <c r="AID11" s="214"/>
      <c r="AIE11" s="214"/>
      <c r="AIF11" s="214"/>
      <c r="AIG11" s="214"/>
      <c r="AIH11" s="214"/>
      <c r="AII11" s="214"/>
      <c r="AIJ11" s="214"/>
      <c r="AIK11" s="214"/>
      <c r="AIL11" s="214"/>
      <c r="AIM11" s="214"/>
      <c r="AIN11" s="214"/>
      <c r="AIO11" s="214"/>
      <c r="AIP11" s="214"/>
      <c r="AIQ11" s="214"/>
      <c r="AIR11" s="214"/>
      <c r="AIS11" s="214"/>
      <c r="AIT11" s="214"/>
      <c r="AIU11" s="214"/>
      <c r="AIV11" s="214"/>
      <c r="AIW11" s="214"/>
      <c r="AIX11" s="214"/>
      <c r="AIY11" s="214"/>
      <c r="AIZ11" s="214"/>
      <c r="AJA11" s="214"/>
      <c r="AJB11" s="214"/>
      <c r="AJC11" s="214"/>
      <c r="AJD11" s="214"/>
      <c r="AJE11" s="214"/>
      <c r="AJF11" s="214"/>
      <c r="AJG11" s="214"/>
      <c r="AJH11" s="214"/>
      <c r="AJI11" s="214"/>
      <c r="AJJ11" s="214"/>
      <c r="AJK11" s="214"/>
      <c r="AJL11" s="214"/>
      <c r="AJM11" s="214"/>
      <c r="AJN11" s="214"/>
      <c r="AJO11" s="214"/>
      <c r="AJP11" s="214"/>
      <c r="AJQ11" s="214"/>
      <c r="AJR11" s="214"/>
      <c r="AJS11" s="214"/>
      <c r="AJT11" s="214"/>
      <c r="AJU11" s="214"/>
      <c r="AJV11" s="214"/>
      <c r="AJW11" s="214"/>
      <c r="AJX11" s="214"/>
      <c r="AJY11" s="214"/>
      <c r="AJZ11" s="214"/>
      <c r="AKA11" s="214"/>
      <c r="AKB11" s="214"/>
      <c r="AKC11" s="214"/>
      <c r="AKD11" s="214"/>
      <c r="AKE11" s="214"/>
      <c r="AKF11" s="214"/>
      <c r="AKG11" s="214"/>
      <c r="AKH11" s="214"/>
      <c r="AKI11" s="214"/>
      <c r="AKJ11" s="214"/>
      <c r="AKK11" s="214"/>
      <c r="AKL11" s="214"/>
      <c r="AKM11" s="214"/>
      <c r="AKN11" s="214"/>
      <c r="AKO11" s="214"/>
      <c r="AKP11" s="214"/>
      <c r="AKQ11" s="214"/>
      <c r="AKR11" s="214"/>
      <c r="AKS11" s="214"/>
      <c r="AKT11" s="214"/>
      <c r="AKU11" s="214"/>
      <c r="AKV11" s="214"/>
      <c r="AKW11" s="214"/>
      <c r="AKX11" s="214"/>
      <c r="AKY11" s="214"/>
      <c r="AKZ11" s="214"/>
      <c r="ALA11" s="214"/>
      <c r="ALB11" s="214"/>
      <c r="ALC11" s="214"/>
      <c r="ALD11" s="214"/>
      <c r="ALE11" s="214"/>
      <c r="ALF11" s="214"/>
      <c r="ALG11" s="214"/>
      <c r="ALH11" s="214"/>
      <c r="ALI11" s="214"/>
      <c r="ALJ11" s="214"/>
      <c r="ALK11" s="214"/>
      <c r="ALL11" s="214"/>
      <c r="ALM11" s="214"/>
      <c r="ALN11" s="214"/>
      <c r="ALO11" s="214"/>
      <c r="ALP11" s="214"/>
      <c r="ALQ11" s="214"/>
      <c r="ALR11" s="214"/>
      <c r="ALS11" s="214"/>
      <c r="ALT11" s="214"/>
      <c r="ALU11" s="214"/>
      <c r="ALV11" s="214"/>
      <c r="ALW11" s="214"/>
      <c r="ALX11" s="214"/>
      <c r="ALY11" s="214"/>
      <c r="ALZ11" s="214"/>
      <c r="AMA11" s="214"/>
      <c r="AMB11" s="214"/>
      <c r="AMC11" s="214"/>
      <c r="AMD11" s="214"/>
      <c r="AME11" s="214"/>
      <c r="AMF11" s="214"/>
      <c r="AMG11" s="214"/>
      <c r="AMH11" s="214"/>
      <c r="AMI11" s="214"/>
      <c r="AMJ11" s="214"/>
      <c r="AMK11" s="214"/>
      <c r="AML11" s="214"/>
      <c r="AMM11" s="214"/>
      <c r="AMN11" s="214"/>
      <c r="AMO11" s="214"/>
      <c r="AMP11" s="214"/>
      <c r="AMQ11" s="214"/>
      <c r="AMR11" s="214"/>
      <c r="AMS11" s="214"/>
      <c r="AMT11" s="214"/>
      <c r="AMU11" s="214"/>
      <c r="AMV11" s="214"/>
      <c r="AMW11" s="214"/>
      <c r="AMX11" s="214"/>
      <c r="AMY11" s="214"/>
      <c r="AMZ11" s="214"/>
      <c r="ANA11" s="214"/>
      <c r="ANB11" s="214"/>
      <c r="ANC11" s="214"/>
      <c r="AND11" s="214"/>
      <c r="ANE11" s="214"/>
      <c r="ANF11" s="214"/>
      <c r="ANG11" s="214"/>
      <c r="ANH11" s="214"/>
      <c r="ANI11" s="214"/>
      <c r="ANJ11" s="214"/>
      <c r="ANK11" s="214"/>
      <c r="ANL11" s="214"/>
      <c r="ANM11" s="214"/>
      <c r="ANN11" s="214"/>
      <c r="ANO11" s="214"/>
      <c r="ANP11" s="214"/>
      <c r="ANQ11" s="214"/>
      <c r="ANR11" s="214"/>
      <c r="ANS11" s="214"/>
      <c r="ANT11" s="214"/>
      <c r="ANU11" s="214"/>
      <c r="ANV11" s="214"/>
      <c r="ANW11" s="214"/>
      <c r="ANX11" s="214"/>
      <c r="ANY11" s="214"/>
      <c r="ANZ11" s="214"/>
      <c r="AOA11" s="214"/>
      <c r="AOB11" s="214"/>
      <c r="AOC11" s="214"/>
      <c r="AOD11" s="214"/>
      <c r="AOE11" s="214"/>
      <c r="AOF11" s="214"/>
      <c r="AOG11" s="214"/>
      <c r="AOH11" s="214"/>
      <c r="AOI11" s="214"/>
      <c r="AOJ11" s="214"/>
      <c r="AOK11" s="214"/>
      <c r="AOL11" s="214"/>
      <c r="AOM11" s="214"/>
      <c r="AON11" s="214"/>
      <c r="AOO11" s="214"/>
      <c r="AOP11" s="214"/>
      <c r="AOQ11" s="214"/>
      <c r="AOR11" s="214"/>
      <c r="AOS11" s="214"/>
      <c r="AOT11" s="214"/>
      <c r="AOU11" s="214"/>
      <c r="AOV11" s="214"/>
      <c r="AOW11" s="214"/>
      <c r="AOX11" s="214"/>
      <c r="AOY11" s="214"/>
      <c r="AOZ11" s="214"/>
      <c r="APA11" s="214"/>
      <c r="APB11" s="214"/>
      <c r="APC11" s="214"/>
      <c r="APD11" s="214"/>
      <c r="APE11" s="214"/>
      <c r="APF11" s="214"/>
      <c r="APG11" s="214"/>
      <c r="APH11" s="214"/>
      <c r="API11" s="214"/>
      <c r="APJ11" s="214"/>
      <c r="APK11" s="214"/>
      <c r="APL11" s="214"/>
      <c r="APM11" s="214"/>
      <c r="APN11" s="214"/>
      <c r="APO11" s="214"/>
      <c r="APP11" s="214"/>
      <c r="APQ11" s="214"/>
      <c r="APR11" s="214"/>
      <c r="APS11" s="214"/>
      <c r="APT11" s="214"/>
      <c r="APU11" s="214"/>
      <c r="APV11" s="214"/>
      <c r="APW11" s="214"/>
      <c r="APX11" s="214"/>
      <c r="APY11" s="214"/>
      <c r="APZ11" s="214"/>
      <c r="AQA11" s="214"/>
      <c r="AQB11" s="214"/>
      <c r="AQC11" s="214"/>
      <c r="AQD11" s="214"/>
      <c r="AQE11" s="214"/>
      <c r="AQF11" s="214"/>
      <c r="AQG11" s="214"/>
      <c r="AQH11" s="214"/>
      <c r="AQI11" s="214"/>
      <c r="AQJ11" s="214"/>
      <c r="AQK11" s="214"/>
      <c r="AQL11" s="214"/>
      <c r="AQM11" s="214"/>
      <c r="AQN11" s="214"/>
      <c r="AQO11" s="214"/>
      <c r="AQP11" s="214"/>
      <c r="AQQ11" s="214"/>
      <c r="AQR11" s="214"/>
      <c r="AQS11" s="214"/>
      <c r="AQT11" s="214"/>
      <c r="AQU11" s="214"/>
      <c r="AQV11" s="214"/>
      <c r="AQW11" s="214"/>
      <c r="AQX11" s="214"/>
      <c r="AQY11" s="214"/>
      <c r="AQZ11" s="214"/>
      <c r="ARA11" s="214"/>
      <c r="ARB11" s="214"/>
      <c r="ARC11" s="214"/>
      <c r="ARD11" s="214"/>
      <c r="ARE11" s="214"/>
      <c r="ARF11" s="214"/>
      <c r="ARG11" s="214"/>
      <c r="ARH11" s="214"/>
      <c r="ARI11" s="214"/>
      <c r="ARJ11" s="214"/>
      <c r="ARK11" s="214"/>
      <c r="ARL11" s="214"/>
      <c r="ARM11" s="214"/>
      <c r="ARN11" s="214"/>
      <c r="ARO11" s="214"/>
      <c r="ARP11" s="214"/>
      <c r="ARQ11" s="214"/>
      <c r="ARR11" s="214"/>
      <c r="ARS11" s="214"/>
      <c r="ART11" s="214"/>
      <c r="ARU11" s="214"/>
      <c r="ARV11" s="214"/>
      <c r="ARW11" s="214"/>
      <c r="ARX11" s="214"/>
      <c r="ARY11" s="214"/>
      <c r="ARZ11" s="214"/>
      <c r="ASA11" s="214"/>
      <c r="ASB11" s="214"/>
      <c r="ASC11" s="214"/>
      <c r="ASD11" s="214"/>
      <c r="ASE11" s="214"/>
      <c r="ASF11" s="214"/>
      <c r="ASG11" s="214"/>
      <c r="ASH11" s="214"/>
      <c r="ASI11" s="214"/>
      <c r="ASJ11" s="214"/>
      <c r="ASK11" s="214"/>
      <c r="ASL11" s="214"/>
      <c r="ASM11" s="214"/>
      <c r="ASN11" s="214"/>
      <c r="ASO11" s="214"/>
      <c r="ASP11" s="214"/>
      <c r="ASQ11" s="214"/>
      <c r="ASR11" s="214"/>
      <c r="ASS11" s="214"/>
      <c r="AST11" s="214"/>
      <c r="ASU11" s="214"/>
      <c r="ASV11" s="214"/>
      <c r="ASW11" s="214"/>
      <c r="ASX11" s="214"/>
      <c r="ASY11" s="214"/>
      <c r="ASZ11" s="214"/>
      <c r="ATA11" s="214"/>
      <c r="ATB11" s="214"/>
      <c r="ATC11" s="214"/>
      <c r="ATD11" s="214"/>
      <c r="ATE11" s="214"/>
      <c r="ATF11" s="214"/>
      <c r="ATG11" s="214"/>
      <c r="ATH11" s="214"/>
      <c r="ATI11" s="214"/>
      <c r="ATJ11" s="214"/>
      <c r="ATK11" s="214"/>
      <c r="ATL11" s="214"/>
      <c r="ATM11" s="214"/>
      <c r="ATN11" s="214"/>
      <c r="ATO11" s="214"/>
      <c r="ATP11" s="214"/>
      <c r="ATQ11" s="214"/>
      <c r="ATR11" s="214"/>
      <c r="ATS11" s="214"/>
      <c r="ATT11" s="214"/>
      <c r="ATU11" s="214"/>
      <c r="ATV11" s="214"/>
      <c r="ATW11" s="214"/>
      <c r="ATX11" s="214"/>
      <c r="ATY11" s="214"/>
      <c r="ATZ11" s="214"/>
      <c r="AUA11" s="214"/>
      <c r="AUB11" s="214"/>
      <c r="AUC11" s="214"/>
      <c r="AUD11" s="214"/>
      <c r="AUE11" s="214"/>
      <c r="AUF11" s="214"/>
      <c r="AUG11" s="214"/>
      <c r="AUH11" s="214"/>
      <c r="AUI11" s="214"/>
      <c r="AUJ11" s="214"/>
      <c r="AUK11" s="214"/>
      <c r="AUL11" s="214"/>
      <c r="AUM11" s="214"/>
      <c r="AUN11" s="214"/>
      <c r="AUO11" s="214"/>
      <c r="AUP11" s="214"/>
      <c r="AUQ11" s="214"/>
      <c r="AUR11" s="214"/>
      <c r="AUS11" s="214"/>
      <c r="AUT11" s="214"/>
      <c r="AUU11" s="214"/>
      <c r="AUV11" s="214"/>
      <c r="AUW11" s="214"/>
      <c r="AUX11" s="214"/>
      <c r="AUY11" s="214"/>
      <c r="AUZ11" s="214"/>
      <c r="AVA11" s="214"/>
      <c r="AVB11" s="214"/>
      <c r="AVC11" s="214"/>
      <c r="AVD11" s="214"/>
      <c r="AVE11" s="214"/>
      <c r="AVF11" s="214"/>
      <c r="AVG11" s="214"/>
      <c r="AVH11" s="214"/>
      <c r="AVI11" s="214"/>
      <c r="AVJ11" s="214"/>
      <c r="AVK11" s="214"/>
      <c r="AVL11" s="214"/>
      <c r="AVM11" s="214"/>
      <c r="AVN11" s="214"/>
      <c r="AVO11" s="214"/>
      <c r="AVP11" s="214"/>
      <c r="AVQ11" s="214"/>
      <c r="AVR11" s="214"/>
      <c r="AVS11" s="214"/>
      <c r="AVT11" s="214"/>
      <c r="AVU11" s="214"/>
      <c r="AVV11" s="214"/>
      <c r="AVW11" s="214"/>
      <c r="AVX11" s="214"/>
      <c r="AVY11" s="214"/>
      <c r="AVZ11" s="214"/>
      <c r="AWA11" s="214"/>
      <c r="AWB11" s="214"/>
      <c r="AWC11" s="214"/>
      <c r="AWD11" s="214"/>
      <c r="AWE11" s="214"/>
      <c r="AWF11" s="214"/>
      <c r="AWG11" s="214"/>
      <c r="AWH11" s="214"/>
      <c r="AWI11" s="214"/>
      <c r="AWJ11" s="214"/>
      <c r="AWK11" s="214"/>
      <c r="AWL11" s="214"/>
      <c r="AWM11" s="214"/>
      <c r="AWN11" s="214"/>
      <c r="AWO11" s="214"/>
      <c r="AWP11" s="214"/>
      <c r="AWQ11" s="214"/>
      <c r="AWR11" s="214"/>
      <c r="AWS11" s="214"/>
      <c r="AWT11" s="214"/>
      <c r="AWU11" s="214"/>
      <c r="AWV11" s="214"/>
      <c r="AWW11" s="214"/>
      <c r="AWX11" s="214"/>
      <c r="AWY11" s="214"/>
      <c r="AWZ11" s="214"/>
      <c r="AXA11" s="214"/>
      <c r="AXB11" s="214"/>
      <c r="AXC11" s="214"/>
      <c r="AXD11" s="214"/>
      <c r="AXE11" s="214"/>
      <c r="AXF11" s="214"/>
      <c r="AXG11" s="214"/>
      <c r="AXH11" s="214"/>
      <c r="AXI11" s="214"/>
      <c r="AXJ11" s="214"/>
      <c r="AXK11" s="214"/>
      <c r="AXL11" s="214"/>
      <c r="AXM11" s="214"/>
      <c r="AXN11" s="214"/>
      <c r="AXO11" s="214"/>
      <c r="AXP11" s="214"/>
      <c r="AXQ11" s="214"/>
      <c r="AXR11" s="214"/>
      <c r="AXS11" s="214"/>
      <c r="AXT11" s="214"/>
      <c r="AXU11" s="214"/>
      <c r="AXV11" s="214"/>
      <c r="AXW11" s="214"/>
      <c r="AXX11" s="214"/>
      <c r="AXY11" s="214"/>
      <c r="AXZ11" s="214"/>
      <c r="AYA11" s="214"/>
      <c r="AYB11" s="214"/>
      <c r="AYC11" s="214"/>
      <c r="AYD11" s="214"/>
      <c r="AYE11" s="214"/>
      <c r="AYF11" s="214"/>
      <c r="AYG11" s="214"/>
      <c r="AYH11" s="214"/>
      <c r="AYI11" s="214"/>
      <c r="AYJ11" s="214"/>
      <c r="AYK11" s="214"/>
      <c r="AYL11" s="214"/>
      <c r="AYM11" s="214"/>
      <c r="AYN11" s="214"/>
      <c r="AYO11" s="214"/>
      <c r="AYP11" s="214"/>
      <c r="AYQ11" s="214"/>
      <c r="AYR11" s="214"/>
      <c r="AYS11" s="214"/>
      <c r="AYT11" s="214"/>
      <c r="AYU11" s="214"/>
      <c r="AYV11" s="214"/>
      <c r="AYW11" s="214"/>
      <c r="AYX11" s="214"/>
      <c r="AYY11" s="214"/>
      <c r="AYZ11" s="214"/>
      <c r="AZA11" s="214"/>
      <c r="AZB11" s="214"/>
      <c r="AZC11" s="214"/>
      <c r="AZD11" s="214"/>
      <c r="AZE11" s="214"/>
      <c r="AZF11" s="214"/>
      <c r="AZG11" s="214"/>
      <c r="AZH11" s="214"/>
      <c r="AZI11" s="214"/>
      <c r="AZJ11" s="214"/>
      <c r="AZK11" s="214"/>
      <c r="AZL11" s="214"/>
      <c r="AZM11" s="214"/>
      <c r="AZN11" s="214"/>
      <c r="AZO11" s="214"/>
      <c r="AZP11" s="214"/>
      <c r="AZQ11" s="214"/>
      <c r="AZR11" s="214"/>
      <c r="AZS11" s="214"/>
      <c r="AZT11" s="214"/>
      <c r="AZU11" s="214"/>
      <c r="AZV11" s="214"/>
      <c r="AZW11" s="214"/>
      <c r="AZX11" s="214"/>
      <c r="AZY11" s="214"/>
      <c r="AZZ11" s="214"/>
      <c r="BAA11" s="214"/>
      <c r="BAB11" s="214"/>
      <c r="BAC11" s="214"/>
      <c r="BAD11" s="214"/>
      <c r="BAE11" s="214"/>
      <c r="BAF11" s="214"/>
      <c r="BAG11" s="214"/>
      <c r="BAH11" s="214"/>
      <c r="BAI11" s="214"/>
      <c r="BAJ11" s="214"/>
      <c r="BAK11" s="214"/>
      <c r="BAL11" s="214"/>
      <c r="BAM11" s="214"/>
      <c r="BAN11" s="214"/>
      <c r="BAO11" s="214"/>
      <c r="BAP11" s="214"/>
      <c r="BAQ11" s="214"/>
      <c r="BAR11" s="214"/>
      <c r="BAS11" s="214"/>
      <c r="BAT11" s="214"/>
      <c r="BAU11" s="214"/>
      <c r="BAV11" s="214"/>
      <c r="BAW11" s="214"/>
      <c r="BAX11" s="214"/>
      <c r="BAY11" s="214"/>
      <c r="BAZ11" s="214"/>
      <c r="BBA11" s="214"/>
      <c r="BBB11" s="214"/>
      <c r="BBC11" s="214"/>
      <c r="BBD11" s="214"/>
      <c r="BBE11" s="214"/>
      <c r="BBF11" s="214"/>
      <c r="BBG11" s="214"/>
      <c r="BBH11" s="214"/>
      <c r="BBI11" s="214"/>
      <c r="BBJ11" s="214"/>
      <c r="BBK11" s="214"/>
      <c r="BBL11" s="214"/>
      <c r="BBM11" s="214"/>
      <c r="BBN11" s="214"/>
      <c r="BBO11" s="214"/>
      <c r="BBP11" s="214"/>
      <c r="BBQ11" s="214"/>
      <c r="BBR11" s="214"/>
      <c r="BBS11" s="214"/>
      <c r="BBT11" s="214"/>
      <c r="BBU11" s="214"/>
      <c r="BBV11" s="214"/>
      <c r="BBW11" s="214"/>
      <c r="BBX11" s="214"/>
      <c r="BBY11" s="214"/>
      <c r="BBZ11" s="214"/>
      <c r="BCA11" s="214"/>
      <c r="BCB11" s="214"/>
      <c r="BCC11" s="214"/>
      <c r="BCD11" s="214"/>
      <c r="BCE11" s="214"/>
      <c r="BCF11" s="214"/>
      <c r="BCG11" s="214"/>
      <c r="BCH11" s="214"/>
      <c r="BCI11" s="214"/>
      <c r="BCJ11" s="214"/>
      <c r="BCK11" s="214"/>
      <c r="BCL11" s="214"/>
      <c r="BCM11" s="214"/>
      <c r="BCN11" s="214"/>
      <c r="BCO11" s="214"/>
      <c r="BCP11" s="214"/>
      <c r="BCQ11" s="214"/>
      <c r="BCR11" s="214"/>
      <c r="BCS11" s="214"/>
      <c r="BCT11" s="214"/>
      <c r="BCU11" s="214"/>
      <c r="BCV11" s="214"/>
      <c r="BCW11" s="214"/>
      <c r="BCX11" s="214"/>
      <c r="BCY11" s="214"/>
      <c r="BCZ11" s="214"/>
      <c r="BDA11" s="214"/>
      <c r="BDB11" s="214"/>
      <c r="BDC11" s="214"/>
      <c r="BDD11" s="214"/>
      <c r="BDE11" s="214"/>
      <c r="BDF11" s="214"/>
      <c r="BDG11" s="214"/>
      <c r="BDH11" s="214"/>
      <c r="BDI11" s="214"/>
      <c r="BDJ11" s="214"/>
      <c r="BDK11" s="214"/>
      <c r="BDL11" s="214"/>
      <c r="BDM11" s="214"/>
      <c r="BDN11" s="214"/>
      <c r="BDO11" s="214"/>
      <c r="BDP11" s="214"/>
      <c r="BDQ11" s="214"/>
      <c r="BDR11" s="214"/>
      <c r="BDS11" s="214"/>
      <c r="BDT11" s="214"/>
      <c r="BDU11" s="214"/>
      <c r="BDV11" s="214"/>
      <c r="BDW11" s="214"/>
      <c r="BDX11" s="214"/>
      <c r="BDY11" s="214"/>
      <c r="BDZ11" s="214"/>
      <c r="BEA11" s="214"/>
      <c r="BEB11" s="214"/>
      <c r="BEC11" s="214"/>
      <c r="BED11" s="214"/>
      <c r="BEE11" s="214"/>
      <c r="BEF11" s="214"/>
      <c r="BEG11" s="214"/>
      <c r="BEH11" s="214"/>
      <c r="BEI11" s="214"/>
      <c r="BEJ11" s="214"/>
      <c r="BEK11" s="214"/>
      <c r="BEL11" s="214"/>
      <c r="BEM11" s="214"/>
      <c r="BEN11" s="214"/>
      <c r="BEO11" s="214"/>
      <c r="BEP11" s="214"/>
      <c r="BEQ11" s="214"/>
      <c r="BER11" s="214"/>
      <c r="BES11" s="214"/>
      <c r="BET11" s="214"/>
      <c r="BEU11" s="214"/>
      <c r="BEV11" s="214"/>
      <c r="BEW11" s="214"/>
      <c r="BEX11" s="214"/>
      <c r="BEY11" s="214"/>
      <c r="BEZ11" s="214"/>
      <c r="BFA11" s="214"/>
      <c r="BFB11" s="214"/>
      <c r="BFC11" s="214"/>
      <c r="BFD11" s="214"/>
      <c r="BFE11" s="214"/>
      <c r="BFF11" s="214"/>
      <c r="BFG11" s="214"/>
      <c r="BFH11" s="214"/>
      <c r="BFI11" s="214"/>
      <c r="BFJ11" s="214"/>
      <c r="BFK11" s="214"/>
      <c r="BFL11" s="214"/>
      <c r="BFM11" s="214"/>
      <c r="BFN11" s="214"/>
      <c r="BFO11" s="214"/>
      <c r="BFP11" s="214"/>
      <c r="BFQ11" s="214"/>
      <c r="BFR11" s="214"/>
      <c r="BFS11" s="214"/>
      <c r="BFT11" s="214"/>
      <c r="BFU11" s="214"/>
      <c r="BFV11" s="214"/>
      <c r="BFW11" s="214"/>
      <c r="BFX11" s="214"/>
      <c r="BFY11" s="214"/>
      <c r="BFZ11" s="214"/>
      <c r="BGA11" s="214"/>
      <c r="BGB11" s="214"/>
      <c r="BGC11" s="214"/>
      <c r="BGD11" s="214"/>
      <c r="BGE11" s="214"/>
      <c r="BGF11" s="214"/>
      <c r="BGG11" s="214"/>
      <c r="BGH11" s="214"/>
      <c r="BGI11" s="214"/>
      <c r="BGJ11" s="214"/>
      <c r="BGK11" s="214"/>
      <c r="BGL11" s="214"/>
      <c r="BGM11" s="214"/>
      <c r="BGN11" s="214"/>
      <c r="BGO11" s="214"/>
      <c r="BGP11" s="214"/>
      <c r="BGQ11" s="214"/>
      <c r="BGR11" s="214"/>
      <c r="BGS11" s="214"/>
      <c r="BGT11" s="214"/>
      <c r="BGU11" s="214"/>
      <c r="BGV11" s="214"/>
      <c r="BGW11" s="214"/>
      <c r="BGX11" s="214"/>
      <c r="BGY11" s="214"/>
      <c r="BGZ11" s="214"/>
      <c r="BHA11" s="214"/>
      <c r="BHB11" s="214"/>
      <c r="BHC11" s="214"/>
      <c r="BHD11" s="214"/>
      <c r="BHE11" s="214"/>
      <c r="BHF11" s="214"/>
      <c r="BHG11" s="214"/>
      <c r="BHH11" s="214"/>
      <c r="BHI11" s="214"/>
      <c r="BHJ11" s="214"/>
      <c r="BHK11" s="214"/>
      <c r="BHL11" s="214"/>
      <c r="BHM11" s="214"/>
      <c r="BHN11" s="214"/>
      <c r="BHO11" s="214"/>
      <c r="BHP11" s="214"/>
      <c r="BHQ11" s="214"/>
      <c r="BHR11" s="214"/>
      <c r="BHS11" s="214"/>
      <c r="BHT11" s="214"/>
      <c r="BHU11" s="214"/>
      <c r="BHV11" s="214"/>
      <c r="BHW11" s="214"/>
    </row>
    <row r="12" spans="1:1583" s="221" customFormat="1" ht="15.75" thickBot="1">
      <c r="A12" s="75"/>
      <c r="B12" s="182"/>
      <c r="C12" s="182"/>
      <c r="D12" s="182" t="s">
        <v>612</v>
      </c>
      <c r="E12" s="264" t="s">
        <v>24</v>
      </c>
      <c r="F12" s="135">
        <f>F11*38.0440529671749</f>
        <v>35726.028819884938</v>
      </c>
      <c r="G12" s="60" t="s">
        <v>668</v>
      </c>
      <c r="H12" s="473">
        <f t="shared" si="2"/>
        <v>36105.501326462712</v>
      </c>
      <c r="I12" s="144">
        <f t="shared" ref="I12" si="3">I11*38.0440529671749</f>
        <v>36461.080426235501</v>
      </c>
      <c r="J12" s="437"/>
      <c r="K12" s="144">
        <f t="shared" ref="K12:AN12" si="4">K11*38.0440529671749</f>
        <v>36473.021055099067</v>
      </c>
      <c r="L12" s="144">
        <f t="shared" si="4"/>
        <v>36528.998236236817</v>
      </c>
      <c r="M12" s="144">
        <f t="shared" si="4"/>
        <v>36509.803367150991</v>
      </c>
      <c r="N12" s="144">
        <f t="shared" si="4"/>
        <v>36475.38633165694</v>
      </c>
      <c r="O12" s="144">
        <f t="shared" si="4"/>
        <v>36458.351085101938</v>
      </c>
      <c r="P12" s="144">
        <f t="shared" si="4"/>
        <v>36438.276161603477</v>
      </c>
      <c r="Q12" s="144">
        <f t="shared" si="4"/>
        <v>36445.88727345744</v>
      </c>
      <c r="R12" s="144">
        <f t="shared" si="4"/>
        <v>36304.729043590487</v>
      </c>
      <c r="S12" s="144">
        <f t="shared" si="4"/>
        <v>36037.616926868548</v>
      </c>
      <c r="T12" s="144">
        <f t="shared" si="4"/>
        <v>36096.728424964233</v>
      </c>
      <c r="U12" s="144">
        <f t="shared" si="4"/>
        <v>36109.677966662006</v>
      </c>
      <c r="V12" s="144">
        <f t="shared" si="4"/>
        <v>36042.991919357439</v>
      </c>
      <c r="W12" s="144">
        <f t="shared" si="4"/>
        <v>36022.741924142661</v>
      </c>
      <c r="X12" s="144">
        <f t="shared" si="4"/>
        <v>36057.530533628385</v>
      </c>
      <c r="Y12" s="144">
        <f t="shared" si="4"/>
        <v>35942.453123336993</v>
      </c>
      <c r="Z12" s="144">
        <f t="shared" si="4"/>
        <v>35905.221338264593</v>
      </c>
      <c r="AA12" s="144">
        <f t="shared" si="4"/>
        <v>35871.322760331728</v>
      </c>
      <c r="AB12" s="144">
        <f t="shared" si="4"/>
        <v>35917.301956451694</v>
      </c>
      <c r="AC12" s="144">
        <f t="shared" si="4"/>
        <v>35958.027887173543</v>
      </c>
      <c r="AD12" s="144">
        <f t="shared" si="4"/>
        <v>35957.11561388665</v>
      </c>
      <c r="AE12" s="144">
        <f t="shared" si="4"/>
        <v>35959.586192380048</v>
      </c>
      <c r="AF12" s="144">
        <f t="shared" si="4"/>
        <v>35940.709647054195</v>
      </c>
      <c r="AG12" s="144">
        <f t="shared" si="4"/>
        <v>35892.067311160965</v>
      </c>
      <c r="AH12" s="144">
        <f t="shared" si="4"/>
        <v>35800.272011293731</v>
      </c>
      <c r="AI12" s="144">
        <f t="shared" si="4"/>
        <v>35906.115613097129</v>
      </c>
      <c r="AJ12" s="144">
        <f t="shared" si="4"/>
        <v>35920.861733965088</v>
      </c>
      <c r="AK12" s="144">
        <f t="shared" si="4"/>
        <v>35903.376029081352</v>
      </c>
      <c r="AL12" s="144">
        <f t="shared" si="4"/>
        <v>35935.964851750941</v>
      </c>
      <c r="AM12" s="144">
        <f t="shared" si="4"/>
        <v>36005.918338493255</v>
      </c>
      <c r="AN12" s="144">
        <f t="shared" si="4"/>
        <v>35991.406036866036</v>
      </c>
      <c r="AO12" s="214"/>
      <c r="AP12" s="214"/>
      <c r="AQ12" s="214"/>
      <c r="AR12" s="214"/>
      <c r="AS12" s="214"/>
      <c r="AT12" s="214"/>
      <c r="AU12" s="214"/>
      <c r="AV12" s="214"/>
      <c r="AW12" s="214"/>
      <c r="AX12" s="214"/>
      <c r="AY12" s="214"/>
      <c r="AZ12" s="214"/>
      <c r="BA12" s="214"/>
      <c r="BB12" s="214"/>
      <c r="BC12" s="214"/>
      <c r="BD12" s="214"/>
      <c r="BE12" s="214"/>
      <c r="BF12" s="214"/>
      <c r="BG12" s="214"/>
      <c r="BH12" s="214"/>
      <c r="BI12" s="214"/>
      <c r="BJ12" s="214"/>
      <c r="BK12" s="214"/>
      <c r="BL12" s="214"/>
      <c r="BM12" s="214"/>
      <c r="BN12" s="214"/>
      <c r="BO12" s="214"/>
      <c r="BP12" s="214"/>
      <c r="BQ12" s="214"/>
      <c r="BR12" s="214"/>
      <c r="BS12" s="214"/>
      <c r="BT12" s="214"/>
      <c r="BU12" s="214"/>
      <c r="BV12" s="214"/>
      <c r="BW12" s="214"/>
      <c r="BX12" s="214"/>
      <c r="BY12" s="214"/>
      <c r="BZ12" s="214"/>
      <c r="CA12" s="214"/>
      <c r="CB12" s="214"/>
      <c r="CC12" s="214"/>
      <c r="CD12" s="214"/>
      <c r="CE12" s="214"/>
      <c r="CF12" s="214"/>
      <c r="CG12" s="214"/>
      <c r="CH12" s="214"/>
      <c r="CI12" s="214"/>
      <c r="CJ12" s="214"/>
      <c r="CK12" s="214"/>
      <c r="CL12" s="214"/>
      <c r="CM12" s="214"/>
      <c r="CN12" s="214"/>
      <c r="CO12" s="214"/>
      <c r="CP12" s="214"/>
      <c r="CQ12" s="214"/>
      <c r="CR12" s="214"/>
      <c r="CS12" s="214"/>
      <c r="CT12" s="214"/>
      <c r="CU12" s="214"/>
      <c r="CV12" s="214"/>
      <c r="CW12" s="214"/>
      <c r="CX12" s="214"/>
      <c r="CY12" s="214"/>
      <c r="CZ12" s="214"/>
      <c r="DA12" s="214"/>
      <c r="DB12" s="214"/>
      <c r="DC12" s="214"/>
      <c r="DD12" s="214"/>
      <c r="DE12" s="214"/>
      <c r="DF12" s="214"/>
      <c r="DG12" s="214"/>
      <c r="DH12" s="214"/>
      <c r="DI12" s="214"/>
      <c r="DJ12" s="214"/>
      <c r="DK12" s="214"/>
      <c r="DL12" s="214"/>
      <c r="DM12" s="214"/>
      <c r="DN12" s="214"/>
      <c r="DO12" s="214"/>
      <c r="DP12" s="214"/>
      <c r="DQ12" s="214"/>
      <c r="DR12" s="214"/>
      <c r="DS12" s="214"/>
      <c r="DT12" s="214"/>
      <c r="DU12" s="214"/>
      <c r="DV12" s="214"/>
      <c r="DW12" s="214"/>
      <c r="DX12" s="214"/>
      <c r="DY12" s="214"/>
      <c r="DZ12" s="214"/>
      <c r="EA12" s="214"/>
      <c r="EB12" s="214"/>
      <c r="EC12" s="214"/>
      <c r="ED12" s="214"/>
      <c r="EE12" s="214"/>
      <c r="EF12" s="214"/>
      <c r="EG12" s="214"/>
      <c r="EH12" s="214"/>
      <c r="EI12" s="214"/>
      <c r="EJ12" s="214"/>
      <c r="EK12" s="214"/>
      <c r="EL12" s="214"/>
      <c r="EM12" s="214"/>
      <c r="EN12" s="214"/>
      <c r="EO12" s="214"/>
      <c r="EP12" s="214"/>
      <c r="EQ12" s="214"/>
      <c r="ER12" s="214"/>
      <c r="ES12" s="214"/>
      <c r="ET12" s="214"/>
      <c r="EU12" s="214"/>
      <c r="EV12" s="214"/>
      <c r="EW12" s="214"/>
      <c r="EX12" s="214"/>
      <c r="EY12" s="214"/>
      <c r="EZ12" s="214"/>
      <c r="FA12" s="214"/>
      <c r="FB12" s="214"/>
      <c r="FC12" s="214"/>
      <c r="FD12" s="214"/>
      <c r="FE12" s="214"/>
      <c r="FF12" s="214"/>
      <c r="FG12" s="214"/>
      <c r="FH12" s="214"/>
      <c r="FI12" s="214"/>
      <c r="FJ12" s="214"/>
      <c r="FK12" s="214"/>
      <c r="FL12" s="214"/>
      <c r="FM12" s="214"/>
      <c r="FN12" s="214"/>
      <c r="FO12" s="214"/>
      <c r="FP12" s="214"/>
      <c r="FQ12" s="214"/>
      <c r="FR12" s="214"/>
      <c r="FS12" s="214"/>
      <c r="FT12" s="214"/>
      <c r="FU12" s="214"/>
      <c r="FV12" s="214"/>
      <c r="FW12" s="214"/>
      <c r="FX12" s="214"/>
      <c r="FY12" s="214"/>
      <c r="FZ12" s="214"/>
      <c r="GA12" s="214"/>
      <c r="GB12" s="214"/>
      <c r="GC12" s="214"/>
      <c r="GD12" s="214"/>
      <c r="GE12" s="214"/>
      <c r="GF12" s="214"/>
      <c r="GG12" s="214"/>
      <c r="GH12" s="214"/>
      <c r="GI12" s="214"/>
      <c r="GJ12" s="214"/>
      <c r="GK12" s="214"/>
      <c r="GL12" s="214"/>
      <c r="GM12" s="214"/>
      <c r="GN12" s="214"/>
      <c r="GO12" s="214"/>
      <c r="GP12" s="214"/>
      <c r="GQ12" s="214"/>
      <c r="GR12" s="214"/>
      <c r="GS12" s="214"/>
      <c r="GT12" s="214"/>
      <c r="GU12" s="214"/>
      <c r="GV12" s="214"/>
      <c r="GW12" s="214"/>
      <c r="GX12" s="214"/>
      <c r="GY12" s="214"/>
      <c r="GZ12" s="214"/>
      <c r="HA12" s="214"/>
      <c r="HB12" s="214"/>
      <c r="HC12" s="214"/>
      <c r="HD12" s="214"/>
      <c r="HE12" s="214"/>
      <c r="HF12" s="214"/>
      <c r="HG12" s="214"/>
      <c r="HH12" s="214"/>
      <c r="HI12" s="214"/>
      <c r="HJ12" s="214"/>
      <c r="HK12" s="214"/>
      <c r="HL12" s="214"/>
      <c r="HM12" s="214"/>
      <c r="HN12" s="214"/>
      <c r="HO12" s="214"/>
      <c r="HP12" s="214"/>
      <c r="HQ12" s="214"/>
      <c r="HR12" s="214"/>
      <c r="HS12" s="214"/>
      <c r="HT12" s="214"/>
      <c r="HU12" s="214"/>
      <c r="HV12" s="214"/>
      <c r="HW12" s="214"/>
      <c r="HX12" s="214"/>
      <c r="HY12" s="214"/>
      <c r="HZ12" s="214"/>
      <c r="IA12" s="214"/>
      <c r="IB12" s="214"/>
      <c r="IC12" s="214"/>
      <c r="ID12" s="214"/>
      <c r="IE12" s="214"/>
      <c r="IF12" s="214"/>
      <c r="IG12" s="214"/>
      <c r="IH12" s="214"/>
      <c r="II12" s="214"/>
      <c r="IJ12" s="214"/>
      <c r="IK12" s="214"/>
      <c r="IL12" s="214"/>
      <c r="IM12" s="214"/>
      <c r="IN12" s="214"/>
      <c r="IO12" s="214"/>
      <c r="IP12" s="214"/>
      <c r="IQ12" s="214"/>
      <c r="IR12" s="214"/>
      <c r="IS12" s="214"/>
      <c r="IT12" s="214"/>
      <c r="IU12" s="214"/>
      <c r="IV12" s="214"/>
      <c r="IW12" s="214"/>
      <c r="IX12" s="214"/>
      <c r="IY12" s="214"/>
      <c r="IZ12" s="214"/>
      <c r="JA12" s="214"/>
      <c r="JB12" s="214"/>
      <c r="JC12" s="214"/>
      <c r="JD12" s="214"/>
      <c r="JE12" s="214"/>
      <c r="JF12" s="214"/>
      <c r="JG12" s="214"/>
      <c r="JH12" s="214"/>
      <c r="JI12" s="214"/>
      <c r="JJ12" s="214"/>
      <c r="JK12" s="214"/>
      <c r="JL12" s="214"/>
      <c r="JM12" s="214"/>
      <c r="JN12" s="214"/>
      <c r="JO12" s="214"/>
      <c r="JP12" s="214"/>
      <c r="JQ12" s="214"/>
      <c r="JR12" s="214"/>
      <c r="JS12" s="214"/>
      <c r="JT12" s="214"/>
      <c r="JU12" s="214"/>
      <c r="JV12" s="214"/>
      <c r="JW12" s="214"/>
      <c r="JX12" s="214"/>
      <c r="JY12" s="214"/>
      <c r="JZ12" s="214"/>
      <c r="KA12" s="214"/>
      <c r="KB12" s="214"/>
      <c r="KC12" s="214"/>
      <c r="KD12" s="214"/>
      <c r="KE12" s="214"/>
      <c r="KF12" s="214"/>
      <c r="KG12" s="214"/>
      <c r="KH12" s="214"/>
      <c r="KI12" s="214"/>
      <c r="KJ12" s="214"/>
      <c r="KK12" s="214"/>
      <c r="KL12" s="214"/>
      <c r="KM12" s="214"/>
      <c r="KN12" s="214"/>
      <c r="KO12" s="214"/>
      <c r="KP12" s="214"/>
      <c r="KQ12" s="214"/>
      <c r="KR12" s="214"/>
      <c r="KS12" s="214"/>
      <c r="KT12" s="214"/>
      <c r="KU12" s="214"/>
      <c r="KV12" s="214"/>
      <c r="KW12" s="214"/>
      <c r="KX12" s="214"/>
      <c r="KY12" s="214"/>
      <c r="KZ12" s="214"/>
      <c r="LA12" s="214"/>
      <c r="LB12" s="214"/>
      <c r="LC12" s="214"/>
      <c r="LD12" s="214"/>
      <c r="LE12" s="214"/>
      <c r="LF12" s="214"/>
      <c r="LG12" s="214"/>
      <c r="LH12" s="214"/>
      <c r="LI12" s="214"/>
      <c r="LJ12" s="214"/>
      <c r="LK12" s="214"/>
      <c r="LL12" s="214"/>
      <c r="LM12" s="214"/>
      <c r="LN12" s="214"/>
      <c r="LO12" s="214"/>
      <c r="LP12" s="214"/>
      <c r="LQ12" s="214"/>
      <c r="LR12" s="214"/>
      <c r="LS12" s="214"/>
      <c r="LT12" s="214"/>
      <c r="LU12" s="214"/>
      <c r="LV12" s="214"/>
      <c r="LW12" s="214"/>
      <c r="LX12" s="214"/>
      <c r="LY12" s="214"/>
      <c r="LZ12" s="214"/>
      <c r="MA12" s="214"/>
      <c r="MB12" s="214"/>
      <c r="MC12" s="214"/>
      <c r="MD12" s="214"/>
      <c r="ME12" s="214"/>
      <c r="MF12" s="214"/>
      <c r="MG12" s="214"/>
      <c r="MH12" s="214"/>
      <c r="MI12" s="214"/>
      <c r="MJ12" s="214"/>
      <c r="MK12" s="214"/>
      <c r="ML12" s="214"/>
      <c r="MM12" s="214"/>
      <c r="MN12" s="214"/>
      <c r="MO12" s="214"/>
      <c r="MP12" s="214"/>
      <c r="MQ12" s="214"/>
      <c r="MR12" s="214"/>
      <c r="MS12" s="214"/>
      <c r="MT12" s="214"/>
      <c r="MU12" s="214"/>
      <c r="MV12" s="214"/>
      <c r="MW12" s="214"/>
      <c r="MX12" s="214"/>
      <c r="MY12" s="214"/>
      <c r="MZ12" s="214"/>
      <c r="NA12" s="214"/>
      <c r="NB12" s="214"/>
      <c r="NC12" s="214"/>
      <c r="ND12" s="214"/>
      <c r="NE12" s="214"/>
      <c r="NF12" s="214"/>
      <c r="NG12" s="214"/>
      <c r="NH12" s="214"/>
      <c r="NI12" s="214"/>
      <c r="NJ12" s="214"/>
      <c r="NK12" s="214"/>
      <c r="NL12" s="214"/>
      <c r="NM12" s="214"/>
      <c r="NN12" s="214"/>
      <c r="NO12" s="214"/>
      <c r="NP12" s="214"/>
      <c r="NQ12" s="214"/>
      <c r="NR12" s="214"/>
      <c r="NS12" s="214"/>
      <c r="NT12" s="214"/>
      <c r="NU12" s="214"/>
      <c r="NV12" s="214"/>
      <c r="NW12" s="214"/>
      <c r="NX12" s="214"/>
      <c r="NY12" s="214"/>
      <c r="NZ12" s="214"/>
      <c r="OA12" s="214"/>
      <c r="OB12" s="214"/>
      <c r="OC12" s="214"/>
      <c r="OD12" s="214"/>
      <c r="OE12" s="214"/>
      <c r="OF12" s="214"/>
      <c r="OG12" s="214"/>
      <c r="OH12" s="214"/>
      <c r="OI12" s="214"/>
      <c r="OJ12" s="214"/>
      <c r="OK12" s="214"/>
      <c r="OL12" s="214"/>
      <c r="OM12" s="214"/>
      <c r="ON12" s="214"/>
      <c r="OO12" s="214"/>
      <c r="OP12" s="214"/>
      <c r="OQ12" s="214"/>
      <c r="OR12" s="214"/>
      <c r="OS12" s="214"/>
      <c r="OT12" s="214"/>
      <c r="OU12" s="214"/>
      <c r="OV12" s="214"/>
      <c r="OW12" s="214"/>
      <c r="OX12" s="214"/>
      <c r="OY12" s="214"/>
      <c r="OZ12" s="214"/>
      <c r="PA12" s="214"/>
      <c r="PB12" s="214"/>
      <c r="PC12" s="214"/>
      <c r="PD12" s="214"/>
      <c r="PE12" s="214"/>
      <c r="PF12" s="214"/>
      <c r="PG12" s="214"/>
      <c r="PH12" s="214"/>
      <c r="PI12" s="214"/>
      <c r="PJ12" s="214"/>
      <c r="PK12" s="214"/>
      <c r="PL12" s="214"/>
      <c r="PM12" s="214"/>
      <c r="PN12" s="214"/>
      <c r="PO12" s="214"/>
      <c r="PP12" s="214"/>
      <c r="PQ12" s="214"/>
      <c r="PR12" s="214"/>
      <c r="PS12" s="214"/>
      <c r="PT12" s="214"/>
      <c r="PU12" s="214"/>
      <c r="PV12" s="214"/>
      <c r="PW12" s="214"/>
      <c r="PX12" s="214"/>
      <c r="PY12" s="214"/>
      <c r="PZ12" s="214"/>
      <c r="QA12" s="214"/>
      <c r="QB12" s="214"/>
      <c r="QC12" s="214"/>
      <c r="QD12" s="214"/>
      <c r="QE12" s="214"/>
      <c r="QF12" s="214"/>
      <c r="QG12" s="214"/>
      <c r="QH12" s="214"/>
      <c r="QI12" s="214"/>
      <c r="QJ12" s="214"/>
      <c r="QK12" s="214"/>
      <c r="QL12" s="214"/>
      <c r="QM12" s="214"/>
      <c r="QN12" s="214"/>
      <c r="QO12" s="214"/>
      <c r="QP12" s="214"/>
      <c r="QQ12" s="214"/>
      <c r="QR12" s="214"/>
      <c r="QS12" s="214"/>
      <c r="QT12" s="214"/>
      <c r="QU12" s="214"/>
      <c r="QV12" s="214"/>
      <c r="QW12" s="214"/>
      <c r="QX12" s="214"/>
      <c r="QY12" s="214"/>
      <c r="QZ12" s="214"/>
      <c r="RA12" s="214"/>
      <c r="RB12" s="214"/>
      <c r="RC12" s="214"/>
      <c r="RD12" s="214"/>
      <c r="RE12" s="214"/>
      <c r="RF12" s="214"/>
      <c r="RG12" s="214"/>
      <c r="RH12" s="214"/>
      <c r="RI12" s="214"/>
      <c r="RJ12" s="214"/>
      <c r="RK12" s="214"/>
      <c r="RL12" s="214"/>
      <c r="RM12" s="214"/>
      <c r="RN12" s="214"/>
      <c r="RO12" s="214"/>
      <c r="RP12" s="214"/>
      <c r="RQ12" s="214"/>
      <c r="RR12" s="214"/>
      <c r="RS12" s="214"/>
      <c r="RT12" s="214"/>
      <c r="RU12" s="214"/>
      <c r="RV12" s="214"/>
      <c r="RW12" s="214"/>
      <c r="RX12" s="214"/>
      <c r="RY12" s="214"/>
      <c r="RZ12" s="214"/>
      <c r="SA12" s="214"/>
      <c r="SB12" s="214"/>
      <c r="SC12" s="214"/>
      <c r="SD12" s="214"/>
      <c r="SE12" s="214"/>
      <c r="SF12" s="214"/>
      <c r="SG12" s="214"/>
      <c r="SH12" s="214"/>
      <c r="SI12" s="214"/>
      <c r="SJ12" s="214"/>
      <c r="SK12" s="214"/>
      <c r="SL12" s="214"/>
      <c r="SM12" s="214"/>
      <c r="SN12" s="214"/>
      <c r="SO12" s="214"/>
      <c r="SP12" s="214"/>
      <c r="SQ12" s="214"/>
      <c r="SR12" s="214"/>
      <c r="SS12" s="214"/>
      <c r="ST12" s="214"/>
      <c r="SU12" s="214"/>
      <c r="SV12" s="214"/>
      <c r="SW12" s="214"/>
      <c r="SX12" s="214"/>
      <c r="SY12" s="214"/>
      <c r="SZ12" s="214"/>
      <c r="TA12" s="214"/>
      <c r="TB12" s="214"/>
      <c r="TC12" s="214"/>
      <c r="TD12" s="214"/>
      <c r="TE12" s="214"/>
      <c r="TF12" s="214"/>
      <c r="TG12" s="214"/>
      <c r="TH12" s="214"/>
      <c r="TI12" s="214"/>
      <c r="TJ12" s="214"/>
      <c r="TK12" s="214"/>
      <c r="TL12" s="214"/>
      <c r="TM12" s="214"/>
      <c r="TN12" s="214"/>
      <c r="TO12" s="214"/>
      <c r="TP12" s="214"/>
      <c r="TQ12" s="214"/>
      <c r="TR12" s="214"/>
      <c r="TS12" s="214"/>
      <c r="TT12" s="214"/>
      <c r="TU12" s="214"/>
      <c r="TV12" s="214"/>
      <c r="TW12" s="214"/>
      <c r="TX12" s="214"/>
      <c r="TY12" s="214"/>
      <c r="TZ12" s="214"/>
      <c r="UA12" s="214"/>
      <c r="UB12" s="214"/>
      <c r="UC12" s="214"/>
      <c r="UD12" s="214"/>
      <c r="UE12" s="214"/>
      <c r="UF12" s="214"/>
      <c r="UG12" s="214"/>
      <c r="UH12" s="214"/>
      <c r="UI12" s="214"/>
      <c r="UJ12" s="214"/>
      <c r="UK12" s="214"/>
      <c r="UL12" s="214"/>
      <c r="UM12" s="214"/>
      <c r="UN12" s="214"/>
      <c r="UO12" s="214"/>
      <c r="UP12" s="214"/>
      <c r="UQ12" s="214"/>
      <c r="UR12" s="214"/>
      <c r="US12" s="214"/>
      <c r="UT12" s="214"/>
      <c r="UU12" s="214"/>
      <c r="UV12" s="214"/>
      <c r="UW12" s="214"/>
      <c r="UX12" s="214"/>
      <c r="UY12" s="214"/>
      <c r="UZ12" s="214"/>
      <c r="VA12" s="214"/>
      <c r="VB12" s="214"/>
      <c r="VC12" s="214"/>
      <c r="VD12" s="214"/>
      <c r="VE12" s="214"/>
      <c r="VF12" s="214"/>
      <c r="VG12" s="214"/>
      <c r="VH12" s="214"/>
      <c r="VI12" s="214"/>
      <c r="VJ12" s="214"/>
      <c r="VK12" s="214"/>
      <c r="VL12" s="214"/>
      <c r="VM12" s="214"/>
      <c r="VN12" s="214"/>
      <c r="VO12" s="214"/>
      <c r="VP12" s="214"/>
      <c r="VQ12" s="214"/>
      <c r="VR12" s="214"/>
      <c r="VS12" s="214"/>
      <c r="VT12" s="214"/>
      <c r="VU12" s="214"/>
      <c r="VV12" s="214"/>
      <c r="VW12" s="214"/>
      <c r="VX12" s="214"/>
      <c r="VY12" s="214"/>
      <c r="VZ12" s="214"/>
      <c r="WA12" s="214"/>
      <c r="WB12" s="214"/>
      <c r="WC12" s="214"/>
      <c r="WD12" s="214"/>
      <c r="WE12" s="214"/>
      <c r="WF12" s="214"/>
      <c r="WG12" s="214"/>
      <c r="WH12" s="214"/>
      <c r="WI12" s="214"/>
      <c r="WJ12" s="214"/>
      <c r="WK12" s="214"/>
      <c r="WL12" s="214"/>
      <c r="WM12" s="214"/>
      <c r="WN12" s="214"/>
      <c r="WO12" s="214"/>
      <c r="WP12" s="214"/>
      <c r="WQ12" s="214"/>
      <c r="WR12" s="214"/>
      <c r="WS12" s="214"/>
      <c r="WT12" s="214"/>
      <c r="WU12" s="214"/>
      <c r="WV12" s="214"/>
      <c r="WW12" s="214"/>
      <c r="WX12" s="214"/>
      <c r="WY12" s="214"/>
      <c r="WZ12" s="214"/>
      <c r="XA12" s="214"/>
      <c r="XB12" s="214"/>
      <c r="XC12" s="214"/>
      <c r="XD12" s="214"/>
      <c r="XE12" s="214"/>
      <c r="XF12" s="214"/>
      <c r="XG12" s="214"/>
      <c r="XH12" s="214"/>
      <c r="XI12" s="214"/>
      <c r="XJ12" s="214"/>
      <c r="XK12" s="214"/>
      <c r="XL12" s="214"/>
      <c r="XM12" s="214"/>
      <c r="XN12" s="214"/>
      <c r="XO12" s="214"/>
      <c r="XP12" s="214"/>
      <c r="XQ12" s="214"/>
      <c r="XR12" s="214"/>
      <c r="XS12" s="214"/>
      <c r="XT12" s="214"/>
      <c r="XU12" s="214"/>
      <c r="XV12" s="214"/>
      <c r="XW12" s="214"/>
      <c r="XX12" s="214"/>
      <c r="XY12" s="214"/>
      <c r="XZ12" s="214"/>
      <c r="YA12" s="214"/>
      <c r="YB12" s="214"/>
      <c r="YC12" s="214"/>
      <c r="YD12" s="214"/>
      <c r="YE12" s="214"/>
      <c r="YF12" s="214"/>
      <c r="YG12" s="214"/>
      <c r="YH12" s="214"/>
      <c r="YI12" s="214"/>
      <c r="YJ12" s="214"/>
      <c r="YK12" s="214"/>
      <c r="YL12" s="214"/>
      <c r="YM12" s="214"/>
      <c r="YN12" s="214"/>
      <c r="YO12" s="214"/>
      <c r="YP12" s="214"/>
      <c r="YQ12" s="214"/>
      <c r="YR12" s="214"/>
      <c r="YS12" s="214"/>
      <c r="YT12" s="214"/>
      <c r="YU12" s="214"/>
      <c r="YV12" s="214"/>
      <c r="YW12" s="214"/>
      <c r="YX12" s="214"/>
      <c r="YY12" s="214"/>
      <c r="YZ12" s="214"/>
      <c r="ZA12" s="214"/>
      <c r="ZB12" s="214"/>
      <c r="ZC12" s="214"/>
      <c r="ZD12" s="214"/>
      <c r="ZE12" s="214"/>
      <c r="ZF12" s="214"/>
      <c r="ZG12" s="214"/>
      <c r="ZH12" s="214"/>
      <c r="ZI12" s="214"/>
      <c r="ZJ12" s="214"/>
      <c r="ZK12" s="214"/>
      <c r="ZL12" s="214"/>
      <c r="ZM12" s="214"/>
      <c r="ZN12" s="214"/>
      <c r="ZO12" s="214"/>
      <c r="ZP12" s="214"/>
      <c r="ZQ12" s="214"/>
      <c r="ZR12" s="214"/>
      <c r="ZS12" s="214"/>
      <c r="ZT12" s="214"/>
      <c r="ZU12" s="214"/>
      <c r="ZV12" s="214"/>
      <c r="ZW12" s="214"/>
      <c r="ZX12" s="214"/>
      <c r="ZY12" s="214"/>
      <c r="ZZ12" s="214"/>
      <c r="AAA12" s="214"/>
      <c r="AAB12" s="214"/>
      <c r="AAC12" s="214"/>
      <c r="AAD12" s="214"/>
      <c r="AAE12" s="214"/>
      <c r="AAF12" s="214"/>
      <c r="AAG12" s="214"/>
      <c r="AAH12" s="214"/>
      <c r="AAI12" s="214"/>
      <c r="AAJ12" s="214"/>
      <c r="AAK12" s="214"/>
      <c r="AAL12" s="214"/>
      <c r="AAM12" s="214"/>
      <c r="AAN12" s="214"/>
      <c r="AAO12" s="214"/>
      <c r="AAP12" s="214"/>
      <c r="AAQ12" s="214"/>
      <c r="AAR12" s="214"/>
      <c r="AAS12" s="214"/>
      <c r="AAT12" s="214"/>
      <c r="AAU12" s="214"/>
      <c r="AAV12" s="214"/>
      <c r="AAW12" s="214"/>
      <c r="AAX12" s="214"/>
      <c r="AAY12" s="214"/>
      <c r="AAZ12" s="214"/>
      <c r="ABA12" s="214"/>
      <c r="ABB12" s="214"/>
      <c r="ABC12" s="214"/>
      <c r="ABD12" s="214"/>
      <c r="ABE12" s="214"/>
      <c r="ABF12" s="214"/>
      <c r="ABG12" s="214"/>
      <c r="ABH12" s="214"/>
      <c r="ABI12" s="214"/>
      <c r="ABJ12" s="214"/>
      <c r="ABK12" s="214"/>
      <c r="ABL12" s="214"/>
      <c r="ABM12" s="214"/>
      <c r="ABN12" s="214"/>
      <c r="ABO12" s="214"/>
      <c r="ABP12" s="214"/>
      <c r="ABQ12" s="214"/>
      <c r="ABR12" s="214"/>
      <c r="ABS12" s="214"/>
      <c r="ABT12" s="214"/>
      <c r="ABU12" s="214"/>
      <c r="ABV12" s="214"/>
      <c r="ABW12" s="214"/>
      <c r="ABX12" s="214"/>
      <c r="ABY12" s="214"/>
      <c r="ABZ12" s="214"/>
      <c r="ACA12" s="214"/>
      <c r="ACB12" s="214"/>
      <c r="ACC12" s="214"/>
      <c r="ACD12" s="214"/>
      <c r="ACE12" s="214"/>
      <c r="ACF12" s="214"/>
      <c r="ACG12" s="214"/>
      <c r="ACH12" s="214"/>
      <c r="ACI12" s="214"/>
      <c r="ACJ12" s="214"/>
      <c r="ACK12" s="214"/>
      <c r="ACL12" s="214"/>
      <c r="ACM12" s="214"/>
      <c r="ACN12" s="214"/>
      <c r="ACO12" s="214"/>
      <c r="ACP12" s="214"/>
      <c r="ACQ12" s="214"/>
      <c r="ACR12" s="214"/>
      <c r="ACS12" s="214"/>
      <c r="ACT12" s="214"/>
      <c r="ACU12" s="214"/>
      <c r="ACV12" s="214"/>
      <c r="ACW12" s="214"/>
      <c r="ACX12" s="214"/>
      <c r="ACY12" s="214"/>
      <c r="ACZ12" s="214"/>
      <c r="ADA12" s="214"/>
      <c r="ADB12" s="214"/>
      <c r="ADC12" s="214"/>
      <c r="ADD12" s="214"/>
      <c r="ADE12" s="214"/>
      <c r="ADF12" s="214"/>
      <c r="ADG12" s="214"/>
      <c r="ADH12" s="214"/>
      <c r="ADI12" s="214"/>
      <c r="ADJ12" s="214"/>
      <c r="ADK12" s="214"/>
      <c r="ADL12" s="214"/>
      <c r="ADM12" s="214"/>
      <c r="ADN12" s="214"/>
      <c r="ADO12" s="214"/>
      <c r="ADP12" s="214"/>
      <c r="ADQ12" s="214"/>
      <c r="ADR12" s="214"/>
      <c r="ADS12" s="214"/>
      <c r="ADT12" s="214"/>
      <c r="ADU12" s="214"/>
      <c r="ADV12" s="214"/>
      <c r="ADW12" s="214"/>
      <c r="ADX12" s="214"/>
      <c r="ADY12" s="214"/>
      <c r="ADZ12" s="214"/>
      <c r="AEA12" s="214"/>
      <c r="AEB12" s="214"/>
      <c r="AEC12" s="214"/>
      <c r="AED12" s="214"/>
      <c r="AEE12" s="214"/>
      <c r="AEF12" s="214"/>
      <c r="AEG12" s="214"/>
      <c r="AEH12" s="214"/>
      <c r="AEI12" s="214"/>
      <c r="AEJ12" s="214"/>
      <c r="AEK12" s="214"/>
      <c r="AEL12" s="214"/>
      <c r="AEM12" s="214"/>
      <c r="AEN12" s="214"/>
      <c r="AEO12" s="214"/>
      <c r="AEP12" s="214"/>
      <c r="AEQ12" s="214"/>
      <c r="AER12" s="214"/>
      <c r="AES12" s="214"/>
      <c r="AET12" s="214"/>
      <c r="AEU12" s="214"/>
      <c r="AEV12" s="214"/>
      <c r="AEW12" s="214"/>
      <c r="AEX12" s="214"/>
      <c r="AEY12" s="214"/>
      <c r="AEZ12" s="214"/>
      <c r="AFA12" s="214"/>
      <c r="AFB12" s="214"/>
      <c r="AFC12" s="214"/>
      <c r="AFD12" s="214"/>
      <c r="AFE12" s="214"/>
      <c r="AFF12" s="214"/>
      <c r="AFG12" s="214"/>
      <c r="AFH12" s="214"/>
      <c r="AFI12" s="214"/>
      <c r="AFJ12" s="214"/>
      <c r="AFK12" s="214"/>
      <c r="AFL12" s="214"/>
      <c r="AFM12" s="214"/>
      <c r="AFN12" s="214"/>
      <c r="AFO12" s="214"/>
      <c r="AFP12" s="214"/>
      <c r="AFQ12" s="214"/>
      <c r="AFR12" s="214"/>
      <c r="AFS12" s="214"/>
      <c r="AFT12" s="214"/>
      <c r="AFU12" s="214"/>
      <c r="AFV12" s="214"/>
      <c r="AFW12" s="214"/>
      <c r="AFX12" s="214"/>
      <c r="AFY12" s="214"/>
      <c r="AFZ12" s="214"/>
      <c r="AGA12" s="214"/>
      <c r="AGB12" s="214"/>
      <c r="AGC12" s="214"/>
      <c r="AGD12" s="214"/>
      <c r="AGE12" s="214"/>
      <c r="AGF12" s="214"/>
      <c r="AGG12" s="214"/>
      <c r="AGH12" s="214"/>
      <c r="AGI12" s="214"/>
      <c r="AGJ12" s="214"/>
      <c r="AGK12" s="214"/>
      <c r="AGL12" s="214"/>
      <c r="AGM12" s="214"/>
      <c r="AGN12" s="214"/>
      <c r="AGO12" s="214"/>
      <c r="AGP12" s="214"/>
      <c r="AGQ12" s="214"/>
      <c r="AGR12" s="214"/>
      <c r="AGS12" s="214"/>
      <c r="AGT12" s="214"/>
      <c r="AGU12" s="214"/>
      <c r="AGV12" s="214"/>
      <c r="AGW12" s="214"/>
      <c r="AGX12" s="214"/>
      <c r="AGY12" s="214"/>
      <c r="AGZ12" s="214"/>
      <c r="AHA12" s="214"/>
      <c r="AHB12" s="214"/>
      <c r="AHC12" s="214"/>
      <c r="AHD12" s="214"/>
      <c r="AHE12" s="214"/>
      <c r="AHF12" s="214"/>
      <c r="AHG12" s="214"/>
      <c r="AHH12" s="214"/>
      <c r="AHI12" s="214"/>
      <c r="AHJ12" s="214"/>
      <c r="AHK12" s="214"/>
      <c r="AHL12" s="214"/>
      <c r="AHM12" s="214"/>
      <c r="AHN12" s="214"/>
      <c r="AHO12" s="214"/>
      <c r="AHP12" s="214"/>
      <c r="AHQ12" s="214"/>
      <c r="AHR12" s="214"/>
      <c r="AHS12" s="214"/>
      <c r="AHT12" s="214"/>
      <c r="AHU12" s="214"/>
      <c r="AHV12" s="214"/>
      <c r="AHW12" s="214"/>
      <c r="AHX12" s="214"/>
      <c r="AHY12" s="214"/>
      <c r="AHZ12" s="214"/>
      <c r="AIA12" s="214"/>
      <c r="AIB12" s="214"/>
      <c r="AIC12" s="214"/>
      <c r="AID12" s="214"/>
      <c r="AIE12" s="214"/>
      <c r="AIF12" s="214"/>
      <c r="AIG12" s="214"/>
      <c r="AIH12" s="214"/>
      <c r="AII12" s="214"/>
      <c r="AIJ12" s="214"/>
      <c r="AIK12" s="214"/>
      <c r="AIL12" s="214"/>
      <c r="AIM12" s="214"/>
      <c r="AIN12" s="214"/>
      <c r="AIO12" s="214"/>
      <c r="AIP12" s="214"/>
      <c r="AIQ12" s="214"/>
      <c r="AIR12" s="214"/>
      <c r="AIS12" s="214"/>
      <c r="AIT12" s="214"/>
      <c r="AIU12" s="214"/>
      <c r="AIV12" s="214"/>
      <c r="AIW12" s="214"/>
      <c r="AIX12" s="214"/>
      <c r="AIY12" s="214"/>
      <c r="AIZ12" s="214"/>
      <c r="AJA12" s="214"/>
      <c r="AJB12" s="214"/>
      <c r="AJC12" s="214"/>
      <c r="AJD12" s="214"/>
      <c r="AJE12" s="214"/>
      <c r="AJF12" s="214"/>
      <c r="AJG12" s="214"/>
      <c r="AJH12" s="214"/>
      <c r="AJI12" s="214"/>
      <c r="AJJ12" s="214"/>
      <c r="AJK12" s="214"/>
      <c r="AJL12" s="214"/>
      <c r="AJM12" s="214"/>
      <c r="AJN12" s="214"/>
      <c r="AJO12" s="214"/>
      <c r="AJP12" s="214"/>
      <c r="AJQ12" s="214"/>
      <c r="AJR12" s="214"/>
      <c r="AJS12" s="214"/>
      <c r="AJT12" s="214"/>
      <c r="AJU12" s="214"/>
      <c r="AJV12" s="214"/>
      <c r="AJW12" s="214"/>
      <c r="AJX12" s="214"/>
      <c r="AJY12" s="214"/>
      <c r="AJZ12" s="214"/>
      <c r="AKA12" s="214"/>
      <c r="AKB12" s="214"/>
      <c r="AKC12" s="214"/>
      <c r="AKD12" s="214"/>
      <c r="AKE12" s="214"/>
      <c r="AKF12" s="214"/>
      <c r="AKG12" s="214"/>
      <c r="AKH12" s="214"/>
      <c r="AKI12" s="214"/>
      <c r="AKJ12" s="214"/>
      <c r="AKK12" s="214"/>
      <c r="AKL12" s="214"/>
      <c r="AKM12" s="214"/>
      <c r="AKN12" s="214"/>
      <c r="AKO12" s="214"/>
      <c r="AKP12" s="214"/>
      <c r="AKQ12" s="214"/>
      <c r="AKR12" s="214"/>
      <c r="AKS12" s="214"/>
      <c r="AKT12" s="214"/>
      <c r="AKU12" s="214"/>
      <c r="AKV12" s="214"/>
      <c r="AKW12" s="214"/>
      <c r="AKX12" s="214"/>
      <c r="AKY12" s="214"/>
      <c r="AKZ12" s="214"/>
      <c r="ALA12" s="214"/>
      <c r="ALB12" s="214"/>
      <c r="ALC12" s="214"/>
      <c r="ALD12" s="214"/>
      <c r="ALE12" s="214"/>
      <c r="ALF12" s="214"/>
      <c r="ALG12" s="214"/>
      <c r="ALH12" s="214"/>
      <c r="ALI12" s="214"/>
      <c r="ALJ12" s="214"/>
      <c r="ALK12" s="214"/>
      <c r="ALL12" s="214"/>
      <c r="ALM12" s="214"/>
      <c r="ALN12" s="214"/>
      <c r="ALO12" s="214"/>
      <c r="ALP12" s="214"/>
      <c r="ALQ12" s="214"/>
      <c r="ALR12" s="214"/>
      <c r="ALS12" s="214"/>
      <c r="ALT12" s="214"/>
      <c r="ALU12" s="214"/>
      <c r="ALV12" s="214"/>
      <c r="ALW12" s="214"/>
      <c r="ALX12" s="214"/>
      <c r="ALY12" s="214"/>
      <c r="ALZ12" s="214"/>
      <c r="AMA12" s="214"/>
      <c r="AMB12" s="214"/>
      <c r="AMC12" s="214"/>
      <c r="AMD12" s="214"/>
      <c r="AME12" s="214"/>
      <c r="AMF12" s="214"/>
      <c r="AMG12" s="214"/>
      <c r="AMH12" s="214"/>
      <c r="AMI12" s="214"/>
      <c r="AMJ12" s="214"/>
      <c r="AMK12" s="214"/>
      <c r="AML12" s="214"/>
      <c r="AMM12" s="214"/>
      <c r="AMN12" s="214"/>
      <c r="AMO12" s="214"/>
      <c r="AMP12" s="214"/>
      <c r="AMQ12" s="214"/>
      <c r="AMR12" s="214"/>
      <c r="AMS12" s="214"/>
      <c r="AMT12" s="214"/>
      <c r="AMU12" s="214"/>
      <c r="AMV12" s="214"/>
      <c r="AMW12" s="214"/>
      <c r="AMX12" s="214"/>
      <c r="AMY12" s="214"/>
      <c r="AMZ12" s="214"/>
      <c r="ANA12" s="214"/>
      <c r="ANB12" s="214"/>
      <c r="ANC12" s="214"/>
      <c r="AND12" s="214"/>
      <c r="ANE12" s="214"/>
      <c r="ANF12" s="214"/>
      <c r="ANG12" s="214"/>
      <c r="ANH12" s="214"/>
      <c r="ANI12" s="214"/>
      <c r="ANJ12" s="214"/>
      <c r="ANK12" s="214"/>
      <c r="ANL12" s="214"/>
      <c r="ANM12" s="214"/>
      <c r="ANN12" s="214"/>
      <c r="ANO12" s="214"/>
      <c r="ANP12" s="214"/>
      <c r="ANQ12" s="214"/>
      <c r="ANR12" s="214"/>
      <c r="ANS12" s="214"/>
      <c r="ANT12" s="214"/>
      <c r="ANU12" s="214"/>
      <c r="ANV12" s="214"/>
      <c r="ANW12" s="214"/>
      <c r="ANX12" s="214"/>
      <c r="ANY12" s="214"/>
      <c r="ANZ12" s="214"/>
      <c r="AOA12" s="214"/>
      <c r="AOB12" s="214"/>
      <c r="AOC12" s="214"/>
      <c r="AOD12" s="214"/>
      <c r="AOE12" s="214"/>
      <c r="AOF12" s="214"/>
      <c r="AOG12" s="214"/>
      <c r="AOH12" s="214"/>
      <c r="AOI12" s="214"/>
      <c r="AOJ12" s="214"/>
      <c r="AOK12" s="214"/>
      <c r="AOL12" s="214"/>
      <c r="AOM12" s="214"/>
      <c r="AON12" s="214"/>
      <c r="AOO12" s="214"/>
      <c r="AOP12" s="214"/>
      <c r="AOQ12" s="214"/>
      <c r="AOR12" s="214"/>
      <c r="AOS12" s="214"/>
      <c r="AOT12" s="214"/>
      <c r="AOU12" s="214"/>
      <c r="AOV12" s="214"/>
      <c r="AOW12" s="214"/>
      <c r="AOX12" s="214"/>
      <c r="AOY12" s="214"/>
      <c r="AOZ12" s="214"/>
      <c r="APA12" s="214"/>
      <c r="APB12" s="214"/>
      <c r="APC12" s="214"/>
      <c r="APD12" s="214"/>
      <c r="APE12" s="214"/>
      <c r="APF12" s="214"/>
      <c r="APG12" s="214"/>
      <c r="APH12" s="214"/>
      <c r="API12" s="214"/>
      <c r="APJ12" s="214"/>
      <c r="APK12" s="214"/>
      <c r="APL12" s="214"/>
      <c r="APM12" s="214"/>
      <c r="APN12" s="214"/>
      <c r="APO12" s="214"/>
      <c r="APP12" s="214"/>
      <c r="APQ12" s="214"/>
      <c r="APR12" s="214"/>
      <c r="APS12" s="214"/>
      <c r="APT12" s="214"/>
      <c r="APU12" s="214"/>
      <c r="APV12" s="214"/>
      <c r="APW12" s="214"/>
      <c r="APX12" s="214"/>
      <c r="APY12" s="214"/>
      <c r="APZ12" s="214"/>
      <c r="AQA12" s="214"/>
      <c r="AQB12" s="214"/>
      <c r="AQC12" s="214"/>
      <c r="AQD12" s="214"/>
      <c r="AQE12" s="214"/>
      <c r="AQF12" s="214"/>
      <c r="AQG12" s="214"/>
      <c r="AQH12" s="214"/>
      <c r="AQI12" s="214"/>
      <c r="AQJ12" s="214"/>
      <c r="AQK12" s="214"/>
      <c r="AQL12" s="214"/>
      <c r="AQM12" s="214"/>
      <c r="AQN12" s="214"/>
      <c r="AQO12" s="214"/>
      <c r="AQP12" s="214"/>
      <c r="AQQ12" s="214"/>
      <c r="AQR12" s="214"/>
      <c r="AQS12" s="214"/>
      <c r="AQT12" s="214"/>
      <c r="AQU12" s="214"/>
      <c r="AQV12" s="214"/>
      <c r="AQW12" s="214"/>
      <c r="AQX12" s="214"/>
      <c r="AQY12" s="214"/>
      <c r="AQZ12" s="214"/>
      <c r="ARA12" s="214"/>
      <c r="ARB12" s="214"/>
      <c r="ARC12" s="214"/>
      <c r="ARD12" s="214"/>
      <c r="ARE12" s="214"/>
      <c r="ARF12" s="214"/>
      <c r="ARG12" s="214"/>
      <c r="ARH12" s="214"/>
      <c r="ARI12" s="214"/>
      <c r="ARJ12" s="214"/>
      <c r="ARK12" s="214"/>
      <c r="ARL12" s="214"/>
      <c r="ARM12" s="214"/>
      <c r="ARN12" s="214"/>
      <c r="ARO12" s="214"/>
      <c r="ARP12" s="214"/>
      <c r="ARQ12" s="214"/>
      <c r="ARR12" s="214"/>
      <c r="ARS12" s="214"/>
      <c r="ART12" s="214"/>
      <c r="ARU12" s="214"/>
      <c r="ARV12" s="214"/>
      <c r="ARW12" s="214"/>
      <c r="ARX12" s="214"/>
      <c r="ARY12" s="214"/>
      <c r="ARZ12" s="214"/>
      <c r="ASA12" s="214"/>
      <c r="ASB12" s="214"/>
      <c r="ASC12" s="214"/>
      <c r="ASD12" s="214"/>
      <c r="ASE12" s="214"/>
      <c r="ASF12" s="214"/>
      <c r="ASG12" s="214"/>
      <c r="ASH12" s="214"/>
      <c r="ASI12" s="214"/>
      <c r="ASJ12" s="214"/>
      <c r="ASK12" s="214"/>
      <c r="ASL12" s="214"/>
      <c r="ASM12" s="214"/>
      <c r="ASN12" s="214"/>
      <c r="ASO12" s="214"/>
      <c r="ASP12" s="214"/>
      <c r="ASQ12" s="214"/>
      <c r="ASR12" s="214"/>
      <c r="ASS12" s="214"/>
      <c r="AST12" s="214"/>
      <c r="ASU12" s="214"/>
      <c r="ASV12" s="214"/>
      <c r="ASW12" s="214"/>
      <c r="ASX12" s="214"/>
      <c r="ASY12" s="214"/>
      <c r="ASZ12" s="214"/>
      <c r="ATA12" s="214"/>
      <c r="ATB12" s="214"/>
      <c r="ATC12" s="214"/>
      <c r="ATD12" s="214"/>
      <c r="ATE12" s="214"/>
      <c r="ATF12" s="214"/>
      <c r="ATG12" s="214"/>
      <c r="ATH12" s="214"/>
      <c r="ATI12" s="214"/>
      <c r="ATJ12" s="214"/>
      <c r="ATK12" s="214"/>
      <c r="ATL12" s="214"/>
      <c r="ATM12" s="214"/>
      <c r="ATN12" s="214"/>
      <c r="ATO12" s="214"/>
      <c r="ATP12" s="214"/>
      <c r="ATQ12" s="214"/>
      <c r="ATR12" s="214"/>
      <c r="ATS12" s="214"/>
      <c r="ATT12" s="214"/>
      <c r="ATU12" s="214"/>
      <c r="ATV12" s="214"/>
      <c r="ATW12" s="214"/>
      <c r="ATX12" s="214"/>
      <c r="ATY12" s="214"/>
      <c r="ATZ12" s="214"/>
      <c r="AUA12" s="214"/>
      <c r="AUB12" s="214"/>
      <c r="AUC12" s="214"/>
      <c r="AUD12" s="214"/>
      <c r="AUE12" s="214"/>
      <c r="AUF12" s="214"/>
      <c r="AUG12" s="214"/>
      <c r="AUH12" s="214"/>
      <c r="AUI12" s="214"/>
      <c r="AUJ12" s="214"/>
      <c r="AUK12" s="214"/>
      <c r="AUL12" s="214"/>
      <c r="AUM12" s="214"/>
      <c r="AUN12" s="214"/>
      <c r="AUO12" s="214"/>
      <c r="AUP12" s="214"/>
      <c r="AUQ12" s="214"/>
      <c r="AUR12" s="214"/>
      <c r="AUS12" s="214"/>
      <c r="AUT12" s="214"/>
      <c r="AUU12" s="214"/>
      <c r="AUV12" s="214"/>
      <c r="AUW12" s="214"/>
      <c r="AUX12" s="214"/>
      <c r="AUY12" s="214"/>
      <c r="AUZ12" s="214"/>
      <c r="AVA12" s="214"/>
      <c r="AVB12" s="214"/>
      <c r="AVC12" s="214"/>
      <c r="AVD12" s="214"/>
      <c r="AVE12" s="214"/>
      <c r="AVF12" s="214"/>
      <c r="AVG12" s="214"/>
      <c r="AVH12" s="214"/>
      <c r="AVI12" s="214"/>
      <c r="AVJ12" s="214"/>
      <c r="AVK12" s="214"/>
      <c r="AVL12" s="214"/>
      <c r="AVM12" s="214"/>
      <c r="AVN12" s="214"/>
      <c r="AVO12" s="214"/>
      <c r="AVP12" s="214"/>
      <c r="AVQ12" s="214"/>
      <c r="AVR12" s="214"/>
      <c r="AVS12" s="214"/>
      <c r="AVT12" s="214"/>
      <c r="AVU12" s="214"/>
      <c r="AVV12" s="214"/>
      <c r="AVW12" s="214"/>
      <c r="AVX12" s="214"/>
      <c r="AVY12" s="214"/>
      <c r="AVZ12" s="214"/>
      <c r="AWA12" s="214"/>
      <c r="AWB12" s="214"/>
      <c r="AWC12" s="214"/>
      <c r="AWD12" s="214"/>
      <c r="AWE12" s="214"/>
      <c r="AWF12" s="214"/>
      <c r="AWG12" s="214"/>
      <c r="AWH12" s="214"/>
      <c r="AWI12" s="214"/>
      <c r="AWJ12" s="214"/>
      <c r="AWK12" s="214"/>
      <c r="AWL12" s="214"/>
      <c r="AWM12" s="214"/>
      <c r="AWN12" s="214"/>
      <c r="AWO12" s="214"/>
      <c r="AWP12" s="214"/>
      <c r="AWQ12" s="214"/>
      <c r="AWR12" s="214"/>
      <c r="AWS12" s="214"/>
      <c r="AWT12" s="214"/>
      <c r="AWU12" s="214"/>
      <c r="AWV12" s="214"/>
      <c r="AWW12" s="214"/>
      <c r="AWX12" s="214"/>
      <c r="AWY12" s="214"/>
      <c r="AWZ12" s="214"/>
      <c r="AXA12" s="214"/>
      <c r="AXB12" s="214"/>
      <c r="AXC12" s="214"/>
      <c r="AXD12" s="214"/>
      <c r="AXE12" s="214"/>
      <c r="AXF12" s="214"/>
      <c r="AXG12" s="214"/>
      <c r="AXH12" s="214"/>
      <c r="AXI12" s="214"/>
      <c r="AXJ12" s="214"/>
      <c r="AXK12" s="214"/>
      <c r="AXL12" s="214"/>
      <c r="AXM12" s="214"/>
      <c r="AXN12" s="214"/>
      <c r="AXO12" s="214"/>
      <c r="AXP12" s="214"/>
      <c r="AXQ12" s="214"/>
      <c r="AXR12" s="214"/>
      <c r="AXS12" s="214"/>
      <c r="AXT12" s="214"/>
      <c r="AXU12" s="214"/>
      <c r="AXV12" s="214"/>
      <c r="AXW12" s="214"/>
      <c r="AXX12" s="214"/>
      <c r="AXY12" s="214"/>
      <c r="AXZ12" s="214"/>
      <c r="AYA12" s="214"/>
      <c r="AYB12" s="214"/>
      <c r="AYC12" s="214"/>
      <c r="AYD12" s="214"/>
      <c r="AYE12" s="214"/>
      <c r="AYF12" s="214"/>
      <c r="AYG12" s="214"/>
      <c r="AYH12" s="214"/>
      <c r="AYI12" s="214"/>
      <c r="AYJ12" s="214"/>
      <c r="AYK12" s="214"/>
      <c r="AYL12" s="214"/>
      <c r="AYM12" s="214"/>
      <c r="AYN12" s="214"/>
      <c r="AYO12" s="214"/>
      <c r="AYP12" s="214"/>
      <c r="AYQ12" s="214"/>
      <c r="AYR12" s="214"/>
      <c r="AYS12" s="214"/>
      <c r="AYT12" s="214"/>
      <c r="AYU12" s="214"/>
      <c r="AYV12" s="214"/>
      <c r="AYW12" s="214"/>
      <c r="AYX12" s="214"/>
      <c r="AYY12" s="214"/>
      <c r="AYZ12" s="214"/>
      <c r="AZA12" s="214"/>
      <c r="AZB12" s="214"/>
      <c r="AZC12" s="214"/>
      <c r="AZD12" s="214"/>
      <c r="AZE12" s="214"/>
      <c r="AZF12" s="214"/>
      <c r="AZG12" s="214"/>
      <c r="AZH12" s="214"/>
      <c r="AZI12" s="214"/>
      <c r="AZJ12" s="214"/>
      <c r="AZK12" s="214"/>
      <c r="AZL12" s="214"/>
      <c r="AZM12" s="214"/>
      <c r="AZN12" s="214"/>
      <c r="AZO12" s="214"/>
      <c r="AZP12" s="214"/>
      <c r="AZQ12" s="214"/>
      <c r="AZR12" s="214"/>
      <c r="AZS12" s="214"/>
      <c r="AZT12" s="214"/>
      <c r="AZU12" s="214"/>
      <c r="AZV12" s="214"/>
      <c r="AZW12" s="214"/>
      <c r="AZX12" s="214"/>
      <c r="AZY12" s="214"/>
      <c r="AZZ12" s="214"/>
      <c r="BAA12" s="214"/>
      <c r="BAB12" s="214"/>
      <c r="BAC12" s="214"/>
      <c r="BAD12" s="214"/>
      <c r="BAE12" s="214"/>
      <c r="BAF12" s="214"/>
      <c r="BAG12" s="214"/>
      <c r="BAH12" s="214"/>
      <c r="BAI12" s="214"/>
      <c r="BAJ12" s="214"/>
      <c r="BAK12" s="214"/>
      <c r="BAL12" s="214"/>
      <c r="BAM12" s="214"/>
      <c r="BAN12" s="214"/>
      <c r="BAO12" s="214"/>
      <c r="BAP12" s="214"/>
      <c r="BAQ12" s="214"/>
      <c r="BAR12" s="214"/>
      <c r="BAS12" s="214"/>
      <c r="BAT12" s="214"/>
      <c r="BAU12" s="214"/>
      <c r="BAV12" s="214"/>
      <c r="BAW12" s="214"/>
      <c r="BAX12" s="214"/>
      <c r="BAY12" s="214"/>
      <c r="BAZ12" s="214"/>
      <c r="BBA12" s="214"/>
      <c r="BBB12" s="214"/>
      <c r="BBC12" s="214"/>
      <c r="BBD12" s="214"/>
      <c r="BBE12" s="214"/>
      <c r="BBF12" s="214"/>
      <c r="BBG12" s="214"/>
      <c r="BBH12" s="214"/>
      <c r="BBI12" s="214"/>
      <c r="BBJ12" s="214"/>
      <c r="BBK12" s="214"/>
      <c r="BBL12" s="214"/>
      <c r="BBM12" s="214"/>
      <c r="BBN12" s="214"/>
      <c r="BBO12" s="214"/>
      <c r="BBP12" s="214"/>
      <c r="BBQ12" s="214"/>
      <c r="BBR12" s="214"/>
      <c r="BBS12" s="214"/>
      <c r="BBT12" s="214"/>
      <c r="BBU12" s="214"/>
      <c r="BBV12" s="214"/>
      <c r="BBW12" s="214"/>
      <c r="BBX12" s="214"/>
      <c r="BBY12" s="214"/>
      <c r="BBZ12" s="214"/>
      <c r="BCA12" s="214"/>
      <c r="BCB12" s="214"/>
      <c r="BCC12" s="214"/>
      <c r="BCD12" s="214"/>
      <c r="BCE12" s="214"/>
      <c r="BCF12" s="214"/>
      <c r="BCG12" s="214"/>
      <c r="BCH12" s="214"/>
      <c r="BCI12" s="214"/>
      <c r="BCJ12" s="214"/>
      <c r="BCK12" s="214"/>
      <c r="BCL12" s="214"/>
      <c r="BCM12" s="214"/>
      <c r="BCN12" s="214"/>
      <c r="BCO12" s="214"/>
      <c r="BCP12" s="214"/>
      <c r="BCQ12" s="214"/>
      <c r="BCR12" s="214"/>
      <c r="BCS12" s="214"/>
      <c r="BCT12" s="214"/>
      <c r="BCU12" s="214"/>
      <c r="BCV12" s="214"/>
      <c r="BCW12" s="214"/>
      <c r="BCX12" s="214"/>
      <c r="BCY12" s="214"/>
      <c r="BCZ12" s="214"/>
      <c r="BDA12" s="214"/>
      <c r="BDB12" s="214"/>
      <c r="BDC12" s="214"/>
      <c r="BDD12" s="214"/>
      <c r="BDE12" s="214"/>
      <c r="BDF12" s="214"/>
      <c r="BDG12" s="214"/>
      <c r="BDH12" s="214"/>
      <c r="BDI12" s="214"/>
      <c r="BDJ12" s="214"/>
      <c r="BDK12" s="214"/>
      <c r="BDL12" s="214"/>
      <c r="BDM12" s="214"/>
      <c r="BDN12" s="214"/>
      <c r="BDO12" s="214"/>
      <c r="BDP12" s="214"/>
      <c r="BDQ12" s="214"/>
      <c r="BDR12" s="214"/>
      <c r="BDS12" s="214"/>
      <c r="BDT12" s="214"/>
      <c r="BDU12" s="214"/>
      <c r="BDV12" s="214"/>
      <c r="BDW12" s="214"/>
      <c r="BDX12" s="214"/>
      <c r="BDY12" s="214"/>
      <c r="BDZ12" s="214"/>
      <c r="BEA12" s="214"/>
      <c r="BEB12" s="214"/>
      <c r="BEC12" s="214"/>
      <c r="BED12" s="214"/>
      <c r="BEE12" s="214"/>
      <c r="BEF12" s="214"/>
      <c r="BEG12" s="214"/>
      <c r="BEH12" s="214"/>
      <c r="BEI12" s="214"/>
      <c r="BEJ12" s="214"/>
      <c r="BEK12" s="214"/>
      <c r="BEL12" s="214"/>
      <c r="BEM12" s="214"/>
      <c r="BEN12" s="214"/>
      <c r="BEO12" s="214"/>
      <c r="BEP12" s="214"/>
      <c r="BEQ12" s="214"/>
      <c r="BER12" s="214"/>
      <c r="BES12" s="214"/>
      <c r="BET12" s="214"/>
      <c r="BEU12" s="214"/>
      <c r="BEV12" s="214"/>
      <c r="BEW12" s="214"/>
      <c r="BEX12" s="214"/>
      <c r="BEY12" s="214"/>
      <c r="BEZ12" s="214"/>
      <c r="BFA12" s="214"/>
      <c r="BFB12" s="214"/>
      <c r="BFC12" s="214"/>
      <c r="BFD12" s="214"/>
      <c r="BFE12" s="214"/>
      <c r="BFF12" s="214"/>
      <c r="BFG12" s="214"/>
      <c r="BFH12" s="214"/>
      <c r="BFI12" s="214"/>
      <c r="BFJ12" s="214"/>
      <c r="BFK12" s="214"/>
      <c r="BFL12" s="214"/>
      <c r="BFM12" s="214"/>
      <c r="BFN12" s="214"/>
      <c r="BFO12" s="214"/>
      <c r="BFP12" s="214"/>
      <c r="BFQ12" s="214"/>
      <c r="BFR12" s="214"/>
      <c r="BFS12" s="214"/>
      <c r="BFT12" s="214"/>
      <c r="BFU12" s="214"/>
      <c r="BFV12" s="214"/>
      <c r="BFW12" s="214"/>
      <c r="BFX12" s="214"/>
      <c r="BFY12" s="214"/>
      <c r="BFZ12" s="214"/>
      <c r="BGA12" s="214"/>
      <c r="BGB12" s="214"/>
      <c r="BGC12" s="214"/>
      <c r="BGD12" s="214"/>
      <c r="BGE12" s="214"/>
      <c r="BGF12" s="214"/>
      <c r="BGG12" s="214"/>
      <c r="BGH12" s="214"/>
      <c r="BGI12" s="214"/>
      <c r="BGJ12" s="214"/>
      <c r="BGK12" s="214"/>
      <c r="BGL12" s="214"/>
      <c r="BGM12" s="214"/>
      <c r="BGN12" s="214"/>
      <c r="BGO12" s="214"/>
      <c r="BGP12" s="214"/>
      <c r="BGQ12" s="214"/>
      <c r="BGR12" s="214"/>
      <c r="BGS12" s="214"/>
      <c r="BGT12" s="214"/>
      <c r="BGU12" s="214"/>
      <c r="BGV12" s="214"/>
      <c r="BGW12" s="214"/>
      <c r="BGX12" s="214"/>
      <c r="BGY12" s="214"/>
      <c r="BGZ12" s="214"/>
      <c r="BHA12" s="214"/>
      <c r="BHB12" s="214"/>
      <c r="BHC12" s="214"/>
      <c r="BHD12" s="214"/>
      <c r="BHE12" s="214"/>
      <c r="BHF12" s="214"/>
      <c r="BHG12" s="214"/>
      <c r="BHH12" s="214"/>
      <c r="BHI12" s="214"/>
      <c r="BHJ12" s="214"/>
      <c r="BHK12" s="214"/>
      <c r="BHL12" s="214"/>
      <c r="BHM12" s="214"/>
      <c r="BHN12" s="214"/>
      <c r="BHO12" s="214"/>
      <c r="BHP12" s="214"/>
      <c r="BHQ12" s="214"/>
      <c r="BHR12" s="214"/>
      <c r="BHS12" s="214"/>
      <c r="BHT12" s="214"/>
      <c r="BHU12" s="214"/>
      <c r="BHV12" s="214"/>
      <c r="BHW12" s="214"/>
    </row>
    <row r="13" spans="1:1583" s="216" customFormat="1" ht="14.45" customHeight="1">
      <c r="A13" s="152" t="s">
        <v>27</v>
      </c>
      <c r="B13" s="77"/>
      <c r="C13" s="77"/>
      <c r="D13" s="77" t="s">
        <v>613</v>
      </c>
      <c r="E13" s="63" t="s">
        <v>24</v>
      </c>
      <c r="F13" s="131"/>
      <c r="G13" s="60" t="s">
        <v>669</v>
      </c>
      <c r="H13" s="473">
        <f t="shared" si="2"/>
        <v>35799.453842111601</v>
      </c>
      <c r="I13" s="289">
        <f>I14*38.0440529671749</f>
        <v>35799.453842111579</v>
      </c>
      <c r="J13" s="437"/>
      <c r="K13" s="153">
        <f t="shared" ref="K13:AN13" si="5">K14*38.0440529671749</f>
        <v>35799.453842111579</v>
      </c>
      <c r="L13" s="153">
        <f t="shared" si="5"/>
        <v>35799.453842111579</v>
      </c>
      <c r="M13" s="153">
        <f t="shared" si="5"/>
        <v>35799.453842111579</v>
      </c>
      <c r="N13" s="153">
        <f t="shared" si="5"/>
        <v>35799.453842111579</v>
      </c>
      <c r="O13" s="153">
        <f t="shared" si="5"/>
        <v>35799.453842111579</v>
      </c>
      <c r="P13" s="153">
        <f t="shared" si="5"/>
        <v>35799.453842111579</v>
      </c>
      <c r="Q13" s="153">
        <f t="shared" si="5"/>
        <v>35799.453842111579</v>
      </c>
      <c r="R13" s="153">
        <f t="shared" si="5"/>
        <v>35799.453842111579</v>
      </c>
      <c r="S13" s="153">
        <f t="shared" si="5"/>
        <v>35799.453842111579</v>
      </c>
      <c r="T13" s="153">
        <f t="shared" si="5"/>
        <v>35799.453842111579</v>
      </c>
      <c r="U13" s="153">
        <f t="shared" si="5"/>
        <v>35799.453842111579</v>
      </c>
      <c r="V13" s="153">
        <f t="shared" si="5"/>
        <v>35799.453842111579</v>
      </c>
      <c r="W13" s="153">
        <f t="shared" si="5"/>
        <v>35799.453842111579</v>
      </c>
      <c r="X13" s="153">
        <f t="shared" si="5"/>
        <v>35799.453842111579</v>
      </c>
      <c r="Y13" s="153">
        <f t="shared" si="5"/>
        <v>35799.453842111579</v>
      </c>
      <c r="Z13" s="153">
        <f t="shared" si="5"/>
        <v>35799.453842111579</v>
      </c>
      <c r="AA13" s="153">
        <f t="shared" si="5"/>
        <v>35799.453842111579</v>
      </c>
      <c r="AB13" s="153">
        <f t="shared" si="5"/>
        <v>35799.453842111579</v>
      </c>
      <c r="AC13" s="153">
        <f t="shared" si="5"/>
        <v>35799.453842111579</v>
      </c>
      <c r="AD13" s="153">
        <f t="shared" si="5"/>
        <v>35799.453842111579</v>
      </c>
      <c r="AE13" s="153">
        <f t="shared" si="5"/>
        <v>35799.453842111579</v>
      </c>
      <c r="AF13" s="153">
        <f t="shared" si="5"/>
        <v>35799.453842111579</v>
      </c>
      <c r="AG13" s="153">
        <f t="shared" si="5"/>
        <v>35799.453842111579</v>
      </c>
      <c r="AH13" s="153">
        <f t="shared" si="5"/>
        <v>35799.453842111579</v>
      </c>
      <c r="AI13" s="153">
        <f t="shared" si="5"/>
        <v>35799.453842111579</v>
      </c>
      <c r="AJ13" s="153">
        <f t="shared" si="5"/>
        <v>35799.453842111579</v>
      </c>
      <c r="AK13" s="153">
        <f t="shared" si="5"/>
        <v>35799.453842111579</v>
      </c>
      <c r="AL13" s="153">
        <f t="shared" si="5"/>
        <v>35799.453842111579</v>
      </c>
      <c r="AM13" s="153">
        <f t="shared" si="5"/>
        <v>35799.453842111579</v>
      </c>
      <c r="AN13" s="153">
        <f t="shared" si="5"/>
        <v>35799.453842111579</v>
      </c>
    </row>
    <row r="14" spans="1:1583" s="217" customFormat="1" ht="14.45" customHeight="1">
      <c r="A14" s="254" t="s">
        <v>27</v>
      </c>
      <c r="B14" s="255"/>
      <c r="C14" s="255"/>
      <c r="D14" s="255"/>
      <c r="E14" s="59" t="s">
        <v>408</v>
      </c>
      <c r="F14" s="132"/>
      <c r="G14" s="60" t="s">
        <v>787</v>
      </c>
      <c r="H14" s="473">
        <v>941</v>
      </c>
      <c r="I14" s="310">
        <f>$H$14</f>
        <v>941</v>
      </c>
      <c r="J14" s="255"/>
      <c r="K14" s="310">
        <f t="shared" ref="K14:AN14" si="6">$H$14</f>
        <v>941</v>
      </c>
      <c r="L14" s="310">
        <f t="shared" si="6"/>
        <v>941</v>
      </c>
      <c r="M14" s="310">
        <f t="shared" si="6"/>
        <v>941</v>
      </c>
      <c r="N14" s="310">
        <f t="shared" si="6"/>
        <v>941</v>
      </c>
      <c r="O14" s="310">
        <f t="shared" si="6"/>
        <v>941</v>
      </c>
      <c r="P14" s="310">
        <f t="shared" si="6"/>
        <v>941</v>
      </c>
      <c r="Q14" s="310">
        <f t="shared" si="6"/>
        <v>941</v>
      </c>
      <c r="R14" s="310">
        <f t="shared" si="6"/>
        <v>941</v>
      </c>
      <c r="S14" s="310">
        <f t="shared" si="6"/>
        <v>941</v>
      </c>
      <c r="T14" s="310">
        <f t="shared" si="6"/>
        <v>941</v>
      </c>
      <c r="U14" s="310">
        <f t="shared" si="6"/>
        <v>941</v>
      </c>
      <c r="V14" s="310">
        <f t="shared" si="6"/>
        <v>941</v>
      </c>
      <c r="W14" s="310">
        <f t="shared" si="6"/>
        <v>941</v>
      </c>
      <c r="X14" s="310">
        <f t="shared" si="6"/>
        <v>941</v>
      </c>
      <c r="Y14" s="310">
        <f t="shared" si="6"/>
        <v>941</v>
      </c>
      <c r="Z14" s="310">
        <f t="shared" si="6"/>
        <v>941</v>
      </c>
      <c r="AA14" s="310">
        <f t="shared" si="6"/>
        <v>941</v>
      </c>
      <c r="AB14" s="310">
        <f t="shared" si="6"/>
        <v>941</v>
      </c>
      <c r="AC14" s="310">
        <f t="shared" si="6"/>
        <v>941</v>
      </c>
      <c r="AD14" s="310">
        <f t="shared" si="6"/>
        <v>941</v>
      </c>
      <c r="AE14" s="310">
        <f t="shared" si="6"/>
        <v>941</v>
      </c>
      <c r="AF14" s="310">
        <f t="shared" si="6"/>
        <v>941</v>
      </c>
      <c r="AG14" s="310">
        <f t="shared" si="6"/>
        <v>941</v>
      </c>
      <c r="AH14" s="310">
        <f t="shared" si="6"/>
        <v>941</v>
      </c>
      <c r="AI14" s="310">
        <f t="shared" si="6"/>
        <v>941</v>
      </c>
      <c r="AJ14" s="310">
        <f t="shared" si="6"/>
        <v>941</v>
      </c>
      <c r="AK14" s="310">
        <f t="shared" si="6"/>
        <v>941</v>
      </c>
      <c r="AL14" s="310">
        <f t="shared" si="6"/>
        <v>941</v>
      </c>
      <c r="AM14" s="310">
        <f t="shared" si="6"/>
        <v>941</v>
      </c>
      <c r="AN14" s="310">
        <f t="shared" si="6"/>
        <v>941</v>
      </c>
    </row>
    <row r="15" spans="1:1583" s="219" customFormat="1" ht="14.45" customHeight="1" thickBot="1">
      <c r="A15" s="256" t="s">
        <v>28</v>
      </c>
      <c r="B15" s="257"/>
      <c r="C15" s="257"/>
      <c r="D15" s="257" t="s">
        <v>613</v>
      </c>
      <c r="E15" s="265" t="s">
        <v>24</v>
      </c>
      <c r="F15" s="137"/>
      <c r="G15" s="60" t="s">
        <v>669</v>
      </c>
      <c r="H15" s="473">
        <f t="shared" si="2"/>
        <v>35799.453842111601</v>
      </c>
      <c r="I15" s="311">
        <f>I13</f>
        <v>35799.453842111579</v>
      </c>
      <c r="J15" s="255"/>
      <c r="K15" s="154">
        <f t="shared" ref="K15:AN15" si="7">K13</f>
        <v>35799.453842111579</v>
      </c>
      <c r="L15" s="154">
        <f t="shared" si="7"/>
        <v>35799.453842111579</v>
      </c>
      <c r="M15" s="154">
        <f t="shared" si="7"/>
        <v>35799.453842111579</v>
      </c>
      <c r="N15" s="154">
        <f t="shared" si="7"/>
        <v>35799.453842111579</v>
      </c>
      <c r="O15" s="154">
        <f t="shared" si="7"/>
        <v>35799.453842111579</v>
      </c>
      <c r="P15" s="154">
        <f t="shared" si="7"/>
        <v>35799.453842111579</v>
      </c>
      <c r="Q15" s="154">
        <f t="shared" si="7"/>
        <v>35799.453842111579</v>
      </c>
      <c r="R15" s="154">
        <f t="shared" si="7"/>
        <v>35799.453842111579</v>
      </c>
      <c r="S15" s="154">
        <f t="shared" si="7"/>
        <v>35799.453842111579</v>
      </c>
      <c r="T15" s="154">
        <f t="shared" si="7"/>
        <v>35799.453842111579</v>
      </c>
      <c r="U15" s="154">
        <f t="shared" si="7"/>
        <v>35799.453842111579</v>
      </c>
      <c r="V15" s="154">
        <f t="shared" si="7"/>
        <v>35799.453842111579</v>
      </c>
      <c r="W15" s="154">
        <f t="shared" si="7"/>
        <v>35799.453842111579</v>
      </c>
      <c r="X15" s="154">
        <f t="shared" si="7"/>
        <v>35799.453842111579</v>
      </c>
      <c r="Y15" s="154">
        <f t="shared" si="7"/>
        <v>35799.453842111579</v>
      </c>
      <c r="Z15" s="154">
        <f t="shared" si="7"/>
        <v>35799.453842111579</v>
      </c>
      <c r="AA15" s="154">
        <f t="shared" si="7"/>
        <v>35799.453842111579</v>
      </c>
      <c r="AB15" s="154">
        <f t="shared" si="7"/>
        <v>35799.453842111579</v>
      </c>
      <c r="AC15" s="154">
        <f t="shared" si="7"/>
        <v>35799.453842111579</v>
      </c>
      <c r="AD15" s="154">
        <f t="shared" si="7"/>
        <v>35799.453842111579</v>
      </c>
      <c r="AE15" s="154">
        <f t="shared" si="7"/>
        <v>35799.453842111579</v>
      </c>
      <c r="AF15" s="154">
        <f t="shared" si="7"/>
        <v>35799.453842111579</v>
      </c>
      <c r="AG15" s="154">
        <f t="shared" si="7"/>
        <v>35799.453842111579</v>
      </c>
      <c r="AH15" s="154">
        <f t="shared" si="7"/>
        <v>35799.453842111579</v>
      </c>
      <c r="AI15" s="154">
        <f t="shared" si="7"/>
        <v>35799.453842111579</v>
      </c>
      <c r="AJ15" s="154">
        <f t="shared" si="7"/>
        <v>35799.453842111579</v>
      </c>
      <c r="AK15" s="154">
        <f t="shared" si="7"/>
        <v>35799.453842111579</v>
      </c>
      <c r="AL15" s="154">
        <f t="shared" si="7"/>
        <v>35799.453842111579</v>
      </c>
      <c r="AM15" s="154">
        <f t="shared" si="7"/>
        <v>35799.453842111579</v>
      </c>
      <c r="AN15" s="154">
        <f t="shared" si="7"/>
        <v>35799.453842111579</v>
      </c>
    </row>
    <row r="16" spans="1:1583" s="220" customFormat="1" ht="28.5">
      <c r="A16" s="258" t="s">
        <v>29</v>
      </c>
      <c r="B16" s="183"/>
      <c r="C16" s="183"/>
      <c r="D16" s="183" t="s">
        <v>614</v>
      </c>
      <c r="E16" s="68" t="s">
        <v>30</v>
      </c>
      <c r="F16" s="138"/>
      <c r="G16" s="60" t="s">
        <v>670</v>
      </c>
      <c r="H16" s="473">
        <f t="shared" ref="H16:H27" si="8">SUM(I16:AN16)</f>
        <v>717033.44797194458</v>
      </c>
      <c r="I16" s="146">
        <f t="shared" ref="I16" si="9">I15*((I7-I57)*1000/(I10/22.414))/1000000</f>
        <v>22007.30362962664</v>
      </c>
      <c r="J16" s="437"/>
      <c r="K16" s="146">
        <f t="shared" ref="K16:AN16" si="10">K15*((K7-K57)*1000/(K10/22.414))/1000000</f>
        <v>23866.898691259361</v>
      </c>
      <c r="L16" s="146">
        <f t="shared" si="10"/>
        <v>23808.132208657473</v>
      </c>
      <c r="M16" s="146">
        <f t="shared" si="10"/>
        <v>23728.114902501056</v>
      </c>
      <c r="N16" s="146">
        <f t="shared" si="10"/>
        <v>23954.960762623206</v>
      </c>
      <c r="O16" s="146">
        <f t="shared" si="10"/>
        <v>24218.174490207872</v>
      </c>
      <c r="P16" s="146">
        <f t="shared" si="10"/>
        <v>24040.765688394928</v>
      </c>
      <c r="Q16" s="146">
        <f t="shared" si="10"/>
        <v>23606.245138091268</v>
      </c>
      <c r="R16" s="146">
        <f t="shared" si="10"/>
        <v>23243.938869254052</v>
      </c>
      <c r="S16" s="146">
        <f t="shared" si="10"/>
        <v>23111.696338639016</v>
      </c>
      <c r="T16" s="146">
        <f t="shared" si="10"/>
        <v>22916.535053667805</v>
      </c>
      <c r="U16" s="146">
        <f t="shared" si="10"/>
        <v>23004.778486738574</v>
      </c>
      <c r="V16" s="146">
        <f t="shared" si="10"/>
        <v>22992.079659947853</v>
      </c>
      <c r="W16" s="146">
        <f t="shared" si="10"/>
        <v>23311.134786230399</v>
      </c>
      <c r="X16" s="146">
        <f t="shared" si="10"/>
        <v>22588.298242177432</v>
      </c>
      <c r="Y16" s="146">
        <f t="shared" si="10"/>
        <v>21649.481004237725</v>
      </c>
      <c r="Z16" s="146">
        <f t="shared" si="10"/>
        <v>21235.067107894418</v>
      </c>
      <c r="AA16" s="146">
        <f t="shared" si="10"/>
        <v>21615.072387267388</v>
      </c>
      <c r="AB16" s="146">
        <f t="shared" si="10"/>
        <v>21694.01937026986</v>
      </c>
      <c r="AC16" s="146">
        <f t="shared" si="10"/>
        <v>22189.685685770208</v>
      </c>
      <c r="AD16" s="146">
        <f t="shared" si="10"/>
        <v>23221.119355446452</v>
      </c>
      <c r="AE16" s="146">
        <f t="shared" si="10"/>
        <v>23471.472885810315</v>
      </c>
      <c r="AF16" s="146">
        <f t="shared" si="10"/>
        <v>23409.622573090961</v>
      </c>
      <c r="AG16" s="146">
        <f t="shared" si="10"/>
        <v>23377.852305685246</v>
      </c>
      <c r="AH16" s="146">
        <f t="shared" si="10"/>
        <v>23442.699432115212</v>
      </c>
      <c r="AI16" s="146">
        <f t="shared" si="10"/>
        <v>23481.798053969087</v>
      </c>
      <c r="AJ16" s="146">
        <f t="shared" si="10"/>
        <v>23502.898914035355</v>
      </c>
      <c r="AK16" s="146">
        <f t="shared" si="10"/>
        <v>23483.031329109042</v>
      </c>
      <c r="AL16" s="146">
        <f t="shared" si="10"/>
        <v>23485.259709779973</v>
      </c>
      <c r="AM16" s="146">
        <f t="shared" si="10"/>
        <v>23621.771179183641</v>
      </c>
      <c r="AN16" s="146">
        <f t="shared" si="10"/>
        <v>23753.539730262957</v>
      </c>
      <c r="AO16" s="214"/>
      <c r="AP16" s="214"/>
      <c r="AQ16" s="214"/>
      <c r="AR16" s="214"/>
      <c r="AS16" s="214"/>
      <c r="AT16" s="214"/>
      <c r="AU16" s="214"/>
      <c r="AV16" s="214"/>
      <c r="AW16" s="214"/>
      <c r="AX16" s="214"/>
      <c r="AY16" s="214"/>
      <c r="AZ16" s="214"/>
      <c r="BA16" s="214"/>
      <c r="BB16" s="214"/>
      <c r="BC16" s="214"/>
      <c r="BD16" s="214"/>
      <c r="BE16" s="214"/>
      <c r="BF16" s="214"/>
      <c r="BG16" s="214"/>
      <c r="BH16" s="214"/>
      <c r="BI16" s="214"/>
      <c r="BJ16" s="214"/>
      <c r="BK16" s="214"/>
      <c r="BL16" s="214"/>
      <c r="BM16" s="214"/>
      <c r="BN16" s="214"/>
      <c r="BO16" s="214"/>
      <c r="BP16" s="214"/>
      <c r="BQ16" s="214"/>
      <c r="BR16" s="214"/>
      <c r="BS16" s="214"/>
      <c r="BT16" s="214"/>
      <c r="BU16" s="214"/>
      <c r="BV16" s="214"/>
      <c r="BW16" s="214"/>
      <c r="BX16" s="214"/>
      <c r="BY16" s="214"/>
      <c r="BZ16" s="214"/>
      <c r="CA16" s="214"/>
      <c r="CB16" s="214"/>
      <c r="CC16" s="214"/>
      <c r="CD16" s="214"/>
      <c r="CE16" s="214"/>
      <c r="CF16" s="214"/>
      <c r="CG16" s="214"/>
      <c r="CH16" s="214"/>
      <c r="CI16" s="214"/>
      <c r="CJ16" s="214"/>
      <c r="CK16" s="214"/>
      <c r="CL16" s="214"/>
      <c r="CM16" s="214"/>
      <c r="CN16" s="214"/>
      <c r="CO16" s="214"/>
      <c r="CP16" s="214"/>
      <c r="CQ16" s="214"/>
      <c r="CR16" s="214"/>
      <c r="CS16" s="214"/>
      <c r="CT16" s="214"/>
      <c r="CU16" s="214"/>
      <c r="CV16" s="214"/>
      <c r="CW16" s="214"/>
      <c r="CX16" s="214"/>
      <c r="CY16" s="214"/>
      <c r="CZ16" s="214"/>
      <c r="DA16" s="214"/>
      <c r="DB16" s="214"/>
      <c r="DC16" s="214"/>
      <c r="DD16" s="214"/>
      <c r="DE16" s="214"/>
      <c r="DF16" s="214"/>
      <c r="DG16" s="214"/>
      <c r="DH16" s="214"/>
      <c r="DI16" s="214"/>
      <c r="DJ16" s="214"/>
      <c r="DK16" s="214"/>
      <c r="DL16" s="214"/>
      <c r="DM16" s="214"/>
      <c r="DN16" s="214"/>
      <c r="DO16" s="214"/>
      <c r="DP16" s="214"/>
      <c r="DQ16" s="214"/>
      <c r="DR16" s="214"/>
      <c r="DS16" s="214"/>
      <c r="DT16" s="214"/>
      <c r="DU16" s="214"/>
      <c r="DV16" s="214"/>
      <c r="DW16" s="214"/>
      <c r="DX16" s="214"/>
      <c r="DY16" s="214"/>
      <c r="DZ16" s="214"/>
      <c r="EA16" s="214"/>
      <c r="EB16" s="214"/>
      <c r="EC16" s="214"/>
      <c r="ED16" s="214"/>
      <c r="EE16" s="214"/>
      <c r="EF16" s="214"/>
      <c r="EG16" s="214"/>
      <c r="EH16" s="214"/>
      <c r="EI16" s="214"/>
      <c r="EJ16" s="214"/>
      <c r="EK16" s="214"/>
      <c r="EL16" s="214"/>
      <c r="EM16" s="214"/>
      <c r="EN16" s="214"/>
      <c r="EO16" s="214"/>
      <c r="EP16" s="214"/>
      <c r="EQ16" s="214"/>
      <c r="ER16" s="214"/>
      <c r="ES16" s="214"/>
      <c r="ET16" s="214"/>
      <c r="EU16" s="214"/>
      <c r="EV16" s="214"/>
      <c r="EW16" s="214"/>
      <c r="EX16" s="214"/>
      <c r="EY16" s="214"/>
      <c r="EZ16" s="214"/>
      <c r="FA16" s="214"/>
      <c r="FB16" s="214"/>
      <c r="FC16" s="214"/>
      <c r="FD16" s="214"/>
      <c r="FE16" s="214"/>
      <c r="FF16" s="214"/>
      <c r="FG16" s="214"/>
      <c r="FH16" s="214"/>
      <c r="FI16" s="214"/>
      <c r="FJ16" s="214"/>
      <c r="FK16" s="214"/>
      <c r="FL16" s="214"/>
      <c r="FM16" s="214"/>
      <c r="FN16" s="214"/>
      <c r="FO16" s="214"/>
      <c r="FP16" s="214"/>
      <c r="FQ16" s="214"/>
      <c r="FR16" s="214"/>
      <c r="FS16" s="214"/>
      <c r="FT16" s="214"/>
      <c r="FU16" s="214"/>
      <c r="FV16" s="214"/>
      <c r="FW16" s="214"/>
      <c r="FX16" s="214"/>
      <c r="FY16" s="214"/>
      <c r="FZ16" s="214"/>
      <c r="GA16" s="214"/>
      <c r="GB16" s="214"/>
      <c r="GC16" s="214"/>
      <c r="GD16" s="214"/>
      <c r="GE16" s="214"/>
      <c r="GF16" s="214"/>
      <c r="GG16" s="214"/>
      <c r="GH16" s="214"/>
      <c r="GI16" s="214"/>
      <c r="GJ16" s="214"/>
      <c r="GK16" s="214"/>
      <c r="GL16" s="214"/>
      <c r="GM16" s="214"/>
      <c r="GN16" s="214"/>
      <c r="GO16" s="214"/>
      <c r="GP16" s="214"/>
      <c r="GQ16" s="214"/>
      <c r="GR16" s="214"/>
      <c r="GS16" s="214"/>
      <c r="GT16" s="214"/>
      <c r="GU16" s="214"/>
      <c r="GV16" s="214"/>
      <c r="GW16" s="214"/>
      <c r="GX16" s="214"/>
      <c r="GY16" s="214"/>
      <c r="GZ16" s="214"/>
      <c r="HA16" s="214"/>
      <c r="HB16" s="214"/>
      <c r="HC16" s="214"/>
      <c r="HD16" s="214"/>
      <c r="HE16" s="214"/>
      <c r="HF16" s="214"/>
      <c r="HG16" s="214"/>
      <c r="HH16" s="214"/>
      <c r="HI16" s="214"/>
      <c r="HJ16" s="214"/>
      <c r="HK16" s="214"/>
      <c r="HL16" s="214"/>
      <c r="HM16" s="214"/>
      <c r="HN16" s="214"/>
      <c r="HO16" s="214"/>
      <c r="HP16" s="214"/>
      <c r="HQ16" s="214"/>
      <c r="HR16" s="214"/>
      <c r="HS16" s="214"/>
      <c r="HT16" s="214"/>
      <c r="HU16" s="214"/>
      <c r="HV16" s="214"/>
      <c r="HW16" s="214"/>
      <c r="HX16" s="214"/>
      <c r="HY16" s="214"/>
      <c r="HZ16" s="214"/>
      <c r="IA16" s="214"/>
      <c r="IB16" s="214"/>
      <c r="IC16" s="214"/>
      <c r="ID16" s="214"/>
      <c r="IE16" s="214"/>
      <c r="IF16" s="214"/>
      <c r="IG16" s="214"/>
      <c r="IH16" s="214"/>
      <c r="II16" s="214"/>
      <c r="IJ16" s="214"/>
      <c r="IK16" s="214"/>
      <c r="IL16" s="214"/>
      <c r="IM16" s="214"/>
      <c r="IN16" s="214"/>
      <c r="IO16" s="214"/>
      <c r="IP16" s="214"/>
      <c r="IQ16" s="214"/>
      <c r="IR16" s="214"/>
      <c r="IS16" s="214"/>
      <c r="IT16" s="214"/>
      <c r="IU16" s="214"/>
      <c r="IV16" s="214"/>
      <c r="IW16" s="214"/>
      <c r="IX16" s="214"/>
      <c r="IY16" s="214"/>
      <c r="IZ16" s="214"/>
      <c r="JA16" s="214"/>
      <c r="JB16" s="214"/>
      <c r="JC16" s="214"/>
      <c r="JD16" s="214"/>
      <c r="JE16" s="214"/>
      <c r="JF16" s="214"/>
      <c r="JG16" s="214"/>
      <c r="JH16" s="214"/>
      <c r="JI16" s="214"/>
      <c r="JJ16" s="214"/>
      <c r="JK16" s="214"/>
      <c r="JL16" s="214"/>
      <c r="JM16" s="214"/>
      <c r="JN16" s="214"/>
      <c r="JO16" s="214"/>
      <c r="JP16" s="214"/>
      <c r="JQ16" s="214"/>
      <c r="JR16" s="214"/>
      <c r="JS16" s="214"/>
      <c r="JT16" s="214"/>
      <c r="JU16" s="214"/>
      <c r="JV16" s="214"/>
      <c r="JW16" s="214"/>
      <c r="JX16" s="214"/>
      <c r="JY16" s="214"/>
      <c r="JZ16" s="214"/>
      <c r="KA16" s="214"/>
      <c r="KB16" s="214"/>
      <c r="KC16" s="214"/>
      <c r="KD16" s="214"/>
      <c r="KE16" s="214"/>
      <c r="KF16" s="214"/>
      <c r="KG16" s="214"/>
      <c r="KH16" s="214"/>
      <c r="KI16" s="214"/>
      <c r="KJ16" s="214"/>
      <c r="KK16" s="214"/>
      <c r="KL16" s="214"/>
      <c r="KM16" s="214"/>
      <c r="KN16" s="214"/>
      <c r="KO16" s="214"/>
      <c r="KP16" s="214"/>
      <c r="KQ16" s="214"/>
      <c r="KR16" s="214"/>
      <c r="KS16" s="214"/>
      <c r="KT16" s="214"/>
      <c r="KU16" s="214"/>
      <c r="KV16" s="214"/>
      <c r="KW16" s="214"/>
      <c r="KX16" s="214"/>
      <c r="KY16" s="214"/>
      <c r="KZ16" s="214"/>
      <c r="LA16" s="214"/>
      <c r="LB16" s="214"/>
      <c r="LC16" s="214"/>
      <c r="LD16" s="214"/>
      <c r="LE16" s="214"/>
      <c r="LF16" s="214"/>
      <c r="LG16" s="214"/>
      <c r="LH16" s="214"/>
      <c r="LI16" s="214"/>
      <c r="LJ16" s="214"/>
      <c r="LK16" s="214"/>
      <c r="LL16" s="214"/>
      <c r="LM16" s="214"/>
      <c r="LN16" s="214"/>
      <c r="LO16" s="214"/>
      <c r="LP16" s="214"/>
      <c r="LQ16" s="214"/>
      <c r="LR16" s="214"/>
      <c r="LS16" s="214"/>
      <c r="LT16" s="214"/>
      <c r="LU16" s="214"/>
      <c r="LV16" s="214"/>
      <c r="LW16" s="214"/>
      <c r="LX16" s="214"/>
      <c r="LY16" s="214"/>
      <c r="LZ16" s="214"/>
      <c r="MA16" s="214"/>
      <c r="MB16" s="214"/>
      <c r="MC16" s="214"/>
      <c r="MD16" s="214"/>
      <c r="ME16" s="214"/>
      <c r="MF16" s="214"/>
      <c r="MG16" s="214"/>
      <c r="MH16" s="214"/>
      <c r="MI16" s="214"/>
      <c r="MJ16" s="214"/>
      <c r="MK16" s="214"/>
      <c r="ML16" s="214"/>
      <c r="MM16" s="214"/>
      <c r="MN16" s="214"/>
      <c r="MO16" s="214"/>
      <c r="MP16" s="214"/>
      <c r="MQ16" s="214"/>
      <c r="MR16" s="214"/>
      <c r="MS16" s="214"/>
      <c r="MT16" s="214"/>
      <c r="MU16" s="214"/>
      <c r="MV16" s="214"/>
      <c r="MW16" s="214"/>
      <c r="MX16" s="214"/>
      <c r="MY16" s="214"/>
      <c r="MZ16" s="214"/>
      <c r="NA16" s="214"/>
      <c r="NB16" s="214"/>
      <c r="NC16" s="214"/>
      <c r="ND16" s="214"/>
      <c r="NE16" s="214"/>
      <c r="NF16" s="214"/>
      <c r="NG16" s="214"/>
      <c r="NH16" s="214"/>
      <c r="NI16" s="214"/>
      <c r="NJ16" s="214"/>
      <c r="NK16" s="214"/>
      <c r="NL16" s="214"/>
      <c r="NM16" s="214"/>
      <c r="NN16" s="214"/>
      <c r="NO16" s="214"/>
      <c r="NP16" s="214"/>
      <c r="NQ16" s="214"/>
      <c r="NR16" s="214"/>
      <c r="NS16" s="214"/>
      <c r="NT16" s="214"/>
      <c r="NU16" s="214"/>
      <c r="NV16" s="214"/>
      <c r="NW16" s="214"/>
      <c r="NX16" s="214"/>
      <c r="NY16" s="214"/>
      <c r="NZ16" s="214"/>
      <c r="OA16" s="214"/>
      <c r="OB16" s="214"/>
      <c r="OC16" s="214"/>
      <c r="OD16" s="214"/>
      <c r="OE16" s="214"/>
      <c r="OF16" s="214"/>
      <c r="OG16" s="214"/>
      <c r="OH16" s="214"/>
      <c r="OI16" s="214"/>
      <c r="OJ16" s="214"/>
      <c r="OK16" s="214"/>
      <c r="OL16" s="214"/>
      <c r="OM16" s="214"/>
      <c r="ON16" s="214"/>
      <c r="OO16" s="214"/>
      <c r="OP16" s="214"/>
      <c r="OQ16" s="214"/>
      <c r="OR16" s="214"/>
      <c r="OS16" s="214"/>
      <c r="OT16" s="214"/>
      <c r="OU16" s="214"/>
      <c r="OV16" s="214"/>
      <c r="OW16" s="214"/>
      <c r="OX16" s="214"/>
      <c r="OY16" s="214"/>
      <c r="OZ16" s="214"/>
      <c r="PA16" s="214"/>
      <c r="PB16" s="214"/>
      <c r="PC16" s="214"/>
      <c r="PD16" s="214"/>
      <c r="PE16" s="214"/>
      <c r="PF16" s="214"/>
      <c r="PG16" s="214"/>
      <c r="PH16" s="214"/>
      <c r="PI16" s="214"/>
      <c r="PJ16" s="214"/>
      <c r="PK16" s="214"/>
      <c r="PL16" s="214"/>
      <c r="PM16" s="214"/>
      <c r="PN16" s="214"/>
      <c r="PO16" s="214"/>
      <c r="PP16" s="214"/>
      <c r="PQ16" s="214"/>
      <c r="PR16" s="214"/>
      <c r="PS16" s="214"/>
      <c r="PT16" s="214"/>
      <c r="PU16" s="214"/>
      <c r="PV16" s="214"/>
      <c r="PW16" s="214"/>
      <c r="PX16" s="214"/>
      <c r="PY16" s="214"/>
      <c r="PZ16" s="214"/>
      <c r="QA16" s="214"/>
      <c r="QB16" s="214"/>
      <c r="QC16" s="214"/>
      <c r="QD16" s="214"/>
      <c r="QE16" s="214"/>
      <c r="QF16" s="214"/>
      <c r="QG16" s="214"/>
      <c r="QH16" s="214"/>
      <c r="QI16" s="214"/>
      <c r="QJ16" s="214"/>
      <c r="QK16" s="214"/>
      <c r="QL16" s="214"/>
      <c r="QM16" s="214"/>
      <c r="QN16" s="214"/>
      <c r="QO16" s="214"/>
      <c r="QP16" s="214"/>
      <c r="QQ16" s="214"/>
      <c r="QR16" s="214"/>
      <c r="QS16" s="214"/>
      <c r="QT16" s="214"/>
      <c r="QU16" s="214"/>
      <c r="QV16" s="214"/>
      <c r="QW16" s="214"/>
      <c r="QX16" s="214"/>
      <c r="QY16" s="214"/>
      <c r="QZ16" s="214"/>
      <c r="RA16" s="214"/>
      <c r="RB16" s="214"/>
      <c r="RC16" s="214"/>
      <c r="RD16" s="214"/>
      <c r="RE16" s="214"/>
      <c r="RF16" s="214"/>
      <c r="RG16" s="214"/>
      <c r="RH16" s="214"/>
      <c r="RI16" s="214"/>
      <c r="RJ16" s="214"/>
      <c r="RK16" s="214"/>
      <c r="RL16" s="214"/>
      <c r="RM16" s="214"/>
      <c r="RN16" s="214"/>
      <c r="RO16" s="214"/>
      <c r="RP16" s="214"/>
      <c r="RQ16" s="214"/>
      <c r="RR16" s="214"/>
      <c r="RS16" s="214"/>
      <c r="RT16" s="214"/>
      <c r="RU16" s="214"/>
      <c r="RV16" s="214"/>
      <c r="RW16" s="214"/>
      <c r="RX16" s="214"/>
      <c r="RY16" s="214"/>
      <c r="RZ16" s="214"/>
      <c r="SA16" s="214"/>
      <c r="SB16" s="214"/>
      <c r="SC16" s="214"/>
      <c r="SD16" s="214"/>
      <c r="SE16" s="214"/>
      <c r="SF16" s="214"/>
      <c r="SG16" s="214"/>
      <c r="SH16" s="214"/>
      <c r="SI16" s="214"/>
      <c r="SJ16" s="214"/>
      <c r="SK16" s="214"/>
      <c r="SL16" s="214"/>
      <c r="SM16" s="214"/>
      <c r="SN16" s="214"/>
      <c r="SO16" s="214"/>
      <c r="SP16" s="214"/>
      <c r="SQ16" s="214"/>
      <c r="SR16" s="214"/>
      <c r="SS16" s="214"/>
      <c r="ST16" s="214"/>
      <c r="SU16" s="214"/>
      <c r="SV16" s="214"/>
      <c r="SW16" s="214"/>
      <c r="SX16" s="214"/>
      <c r="SY16" s="214"/>
      <c r="SZ16" s="214"/>
      <c r="TA16" s="214"/>
      <c r="TB16" s="214"/>
      <c r="TC16" s="214"/>
      <c r="TD16" s="214"/>
      <c r="TE16" s="214"/>
      <c r="TF16" s="214"/>
      <c r="TG16" s="214"/>
      <c r="TH16" s="214"/>
      <c r="TI16" s="214"/>
      <c r="TJ16" s="214"/>
      <c r="TK16" s="214"/>
      <c r="TL16" s="214"/>
      <c r="TM16" s="214"/>
      <c r="TN16" s="214"/>
      <c r="TO16" s="214"/>
      <c r="TP16" s="214"/>
      <c r="TQ16" s="214"/>
      <c r="TR16" s="214"/>
      <c r="TS16" s="214"/>
      <c r="TT16" s="214"/>
      <c r="TU16" s="214"/>
      <c r="TV16" s="214"/>
      <c r="TW16" s="214"/>
      <c r="TX16" s="214"/>
      <c r="TY16" s="214"/>
      <c r="TZ16" s="214"/>
      <c r="UA16" s="214"/>
      <c r="UB16" s="214"/>
      <c r="UC16" s="214"/>
      <c r="UD16" s="214"/>
      <c r="UE16" s="214"/>
      <c r="UF16" s="214"/>
      <c r="UG16" s="214"/>
      <c r="UH16" s="214"/>
      <c r="UI16" s="214"/>
      <c r="UJ16" s="214"/>
      <c r="UK16" s="214"/>
      <c r="UL16" s="214"/>
      <c r="UM16" s="214"/>
      <c r="UN16" s="214"/>
      <c r="UO16" s="214"/>
      <c r="UP16" s="214"/>
      <c r="UQ16" s="214"/>
      <c r="UR16" s="214"/>
      <c r="US16" s="214"/>
      <c r="UT16" s="214"/>
      <c r="UU16" s="214"/>
      <c r="UV16" s="214"/>
      <c r="UW16" s="214"/>
      <c r="UX16" s="214"/>
      <c r="UY16" s="214"/>
      <c r="UZ16" s="214"/>
      <c r="VA16" s="214"/>
      <c r="VB16" s="214"/>
      <c r="VC16" s="214"/>
      <c r="VD16" s="214"/>
      <c r="VE16" s="214"/>
      <c r="VF16" s="214"/>
      <c r="VG16" s="214"/>
      <c r="VH16" s="214"/>
      <c r="VI16" s="214"/>
      <c r="VJ16" s="214"/>
      <c r="VK16" s="214"/>
      <c r="VL16" s="214"/>
      <c r="VM16" s="214"/>
      <c r="VN16" s="214"/>
      <c r="VO16" s="214"/>
      <c r="VP16" s="214"/>
      <c r="VQ16" s="214"/>
      <c r="VR16" s="214"/>
      <c r="VS16" s="214"/>
      <c r="VT16" s="214"/>
      <c r="VU16" s="214"/>
      <c r="VV16" s="214"/>
      <c r="VW16" s="214"/>
      <c r="VX16" s="214"/>
      <c r="VY16" s="214"/>
      <c r="VZ16" s="214"/>
      <c r="WA16" s="214"/>
      <c r="WB16" s="214"/>
      <c r="WC16" s="214"/>
      <c r="WD16" s="214"/>
      <c r="WE16" s="214"/>
      <c r="WF16" s="214"/>
      <c r="WG16" s="214"/>
      <c r="WH16" s="214"/>
      <c r="WI16" s="214"/>
      <c r="WJ16" s="214"/>
      <c r="WK16" s="214"/>
      <c r="WL16" s="214"/>
      <c r="WM16" s="214"/>
      <c r="WN16" s="214"/>
      <c r="WO16" s="214"/>
      <c r="WP16" s="214"/>
      <c r="WQ16" s="214"/>
      <c r="WR16" s="214"/>
      <c r="WS16" s="214"/>
      <c r="WT16" s="214"/>
      <c r="WU16" s="214"/>
      <c r="WV16" s="214"/>
      <c r="WW16" s="214"/>
      <c r="WX16" s="214"/>
      <c r="WY16" s="214"/>
      <c r="WZ16" s="214"/>
      <c r="XA16" s="214"/>
      <c r="XB16" s="214"/>
      <c r="XC16" s="214"/>
      <c r="XD16" s="214"/>
      <c r="XE16" s="214"/>
      <c r="XF16" s="214"/>
      <c r="XG16" s="214"/>
      <c r="XH16" s="214"/>
      <c r="XI16" s="214"/>
      <c r="XJ16" s="214"/>
      <c r="XK16" s="214"/>
      <c r="XL16" s="214"/>
      <c r="XM16" s="214"/>
      <c r="XN16" s="214"/>
      <c r="XO16" s="214"/>
      <c r="XP16" s="214"/>
      <c r="XQ16" s="214"/>
      <c r="XR16" s="214"/>
      <c r="XS16" s="214"/>
      <c r="XT16" s="214"/>
      <c r="XU16" s="214"/>
      <c r="XV16" s="214"/>
      <c r="XW16" s="214"/>
      <c r="XX16" s="214"/>
      <c r="XY16" s="214"/>
      <c r="XZ16" s="214"/>
      <c r="YA16" s="214"/>
      <c r="YB16" s="214"/>
      <c r="YC16" s="214"/>
      <c r="YD16" s="214"/>
      <c r="YE16" s="214"/>
      <c r="YF16" s="214"/>
      <c r="YG16" s="214"/>
      <c r="YH16" s="214"/>
      <c r="YI16" s="214"/>
      <c r="YJ16" s="214"/>
      <c r="YK16" s="214"/>
      <c r="YL16" s="214"/>
      <c r="YM16" s="214"/>
      <c r="YN16" s="214"/>
      <c r="YO16" s="214"/>
      <c r="YP16" s="214"/>
      <c r="YQ16" s="214"/>
      <c r="YR16" s="214"/>
      <c r="YS16" s="214"/>
      <c r="YT16" s="214"/>
      <c r="YU16" s="214"/>
      <c r="YV16" s="214"/>
      <c r="YW16" s="214"/>
      <c r="YX16" s="214"/>
      <c r="YY16" s="214"/>
      <c r="YZ16" s="214"/>
      <c r="ZA16" s="214"/>
      <c r="ZB16" s="214"/>
      <c r="ZC16" s="214"/>
      <c r="ZD16" s="214"/>
      <c r="ZE16" s="214"/>
      <c r="ZF16" s="214"/>
      <c r="ZG16" s="214"/>
      <c r="ZH16" s="214"/>
      <c r="ZI16" s="214"/>
      <c r="ZJ16" s="214"/>
      <c r="ZK16" s="214"/>
      <c r="ZL16" s="214"/>
      <c r="ZM16" s="214"/>
      <c r="ZN16" s="214"/>
      <c r="ZO16" s="214"/>
      <c r="ZP16" s="214"/>
      <c r="ZQ16" s="214"/>
      <c r="ZR16" s="214"/>
      <c r="ZS16" s="214"/>
      <c r="ZT16" s="214"/>
      <c r="ZU16" s="214"/>
      <c r="ZV16" s="214"/>
      <c r="ZW16" s="214"/>
      <c r="ZX16" s="214"/>
      <c r="ZY16" s="214"/>
      <c r="ZZ16" s="214"/>
      <c r="AAA16" s="214"/>
      <c r="AAB16" s="214"/>
      <c r="AAC16" s="214"/>
      <c r="AAD16" s="214"/>
      <c r="AAE16" s="214"/>
      <c r="AAF16" s="214"/>
      <c r="AAG16" s="214"/>
      <c r="AAH16" s="214"/>
      <c r="AAI16" s="214"/>
      <c r="AAJ16" s="214"/>
      <c r="AAK16" s="214"/>
      <c r="AAL16" s="214"/>
      <c r="AAM16" s="214"/>
      <c r="AAN16" s="214"/>
      <c r="AAO16" s="214"/>
      <c r="AAP16" s="214"/>
      <c r="AAQ16" s="214"/>
      <c r="AAR16" s="214"/>
      <c r="AAS16" s="214"/>
      <c r="AAT16" s="214"/>
      <c r="AAU16" s="214"/>
      <c r="AAV16" s="214"/>
      <c r="AAW16" s="214"/>
      <c r="AAX16" s="214"/>
      <c r="AAY16" s="214"/>
      <c r="AAZ16" s="214"/>
      <c r="ABA16" s="214"/>
      <c r="ABB16" s="214"/>
      <c r="ABC16" s="214"/>
      <c r="ABD16" s="214"/>
      <c r="ABE16" s="214"/>
      <c r="ABF16" s="214"/>
      <c r="ABG16" s="214"/>
      <c r="ABH16" s="214"/>
      <c r="ABI16" s="214"/>
      <c r="ABJ16" s="214"/>
      <c r="ABK16" s="214"/>
      <c r="ABL16" s="214"/>
      <c r="ABM16" s="214"/>
      <c r="ABN16" s="214"/>
      <c r="ABO16" s="214"/>
      <c r="ABP16" s="214"/>
      <c r="ABQ16" s="214"/>
      <c r="ABR16" s="214"/>
      <c r="ABS16" s="214"/>
      <c r="ABT16" s="214"/>
      <c r="ABU16" s="214"/>
      <c r="ABV16" s="214"/>
      <c r="ABW16" s="214"/>
      <c r="ABX16" s="214"/>
      <c r="ABY16" s="214"/>
      <c r="ABZ16" s="214"/>
      <c r="ACA16" s="214"/>
      <c r="ACB16" s="214"/>
      <c r="ACC16" s="214"/>
      <c r="ACD16" s="214"/>
      <c r="ACE16" s="214"/>
      <c r="ACF16" s="214"/>
      <c r="ACG16" s="214"/>
      <c r="ACH16" s="214"/>
      <c r="ACI16" s="214"/>
      <c r="ACJ16" s="214"/>
      <c r="ACK16" s="214"/>
      <c r="ACL16" s="214"/>
      <c r="ACM16" s="214"/>
      <c r="ACN16" s="214"/>
      <c r="ACO16" s="214"/>
      <c r="ACP16" s="214"/>
      <c r="ACQ16" s="214"/>
      <c r="ACR16" s="214"/>
      <c r="ACS16" s="214"/>
      <c r="ACT16" s="214"/>
      <c r="ACU16" s="214"/>
      <c r="ACV16" s="214"/>
      <c r="ACW16" s="214"/>
      <c r="ACX16" s="214"/>
      <c r="ACY16" s="214"/>
      <c r="ACZ16" s="214"/>
      <c r="ADA16" s="214"/>
      <c r="ADB16" s="214"/>
      <c r="ADC16" s="214"/>
      <c r="ADD16" s="214"/>
      <c r="ADE16" s="214"/>
      <c r="ADF16" s="214"/>
      <c r="ADG16" s="214"/>
      <c r="ADH16" s="214"/>
      <c r="ADI16" s="214"/>
      <c r="ADJ16" s="214"/>
      <c r="ADK16" s="214"/>
      <c r="ADL16" s="214"/>
      <c r="ADM16" s="214"/>
      <c r="ADN16" s="214"/>
      <c r="ADO16" s="214"/>
      <c r="ADP16" s="214"/>
      <c r="ADQ16" s="214"/>
      <c r="ADR16" s="214"/>
      <c r="ADS16" s="214"/>
      <c r="ADT16" s="214"/>
      <c r="ADU16" s="214"/>
      <c r="ADV16" s="214"/>
      <c r="ADW16" s="214"/>
      <c r="ADX16" s="214"/>
      <c r="ADY16" s="214"/>
      <c r="ADZ16" s="214"/>
      <c r="AEA16" s="214"/>
      <c r="AEB16" s="214"/>
      <c r="AEC16" s="214"/>
      <c r="AED16" s="214"/>
      <c r="AEE16" s="214"/>
      <c r="AEF16" s="214"/>
      <c r="AEG16" s="214"/>
      <c r="AEH16" s="214"/>
      <c r="AEI16" s="214"/>
      <c r="AEJ16" s="214"/>
      <c r="AEK16" s="214"/>
      <c r="AEL16" s="214"/>
      <c r="AEM16" s="214"/>
      <c r="AEN16" s="214"/>
      <c r="AEO16" s="214"/>
      <c r="AEP16" s="214"/>
      <c r="AEQ16" s="214"/>
      <c r="AER16" s="214"/>
      <c r="AES16" s="214"/>
      <c r="AET16" s="214"/>
      <c r="AEU16" s="214"/>
      <c r="AEV16" s="214"/>
      <c r="AEW16" s="214"/>
      <c r="AEX16" s="214"/>
      <c r="AEY16" s="214"/>
      <c r="AEZ16" s="214"/>
      <c r="AFA16" s="214"/>
      <c r="AFB16" s="214"/>
      <c r="AFC16" s="214"/>
      <c r="AFD16" s="214"/>
      <c r="AFE16" s="214"/>
      <c r="AFF16" s="214"/>
      <c r="AFG16" s="214"/>
      <c r="AFH16" s="214"/>
      <c r="AFI16" s="214"/>
      <c r="AFJ16" s="214"/>
      <c r="AFK16" s="214"/>
      <c r="AFL16" s="214"/>
      <c r="AFM16" s="214"/>
      <c r="AFN16" s="214"/>
      <c r="AFO16" s="214"/>
      <c r="AFP16" s="214"/>
      <c r="AFQ16" s="214"/>
      <c r="AFR16" s="214"/>
      <c r="AFS16" s="214"/>
      <c r="AFT16" s="214"/>
      <c r="AFU16" s="214"/>
      <c r="AFV16" s="214"/>
      <c r="AFW16" s="214"/>
      <c r="AFX16" s="214"/>
      <c r="AFY16" s="214"/>
      <c r="AFZ16" s="214"/>
      <c r="AGA16" s="214"/>
      <c r="AGB16" s="214"/>
      <c r="AGC16" s="214"/>
      <c r="AGD16" s="214"/>
      <c r="AGE16" s="214"/>
      <c r="AGF16" s="214"/>
      <c r="AGG16" s="214"/>
      <c r="AGH16" s="214"/>
      <c r="AGI16" s="214"/>
      <c r="AGJ16" s="214"/>
      <c r="AGK16" s="214"/>
      <c r="AGL16" s="214"/>
      <c r="AGM16" s="214"/>
      <c r="AGN16" s="214"/>
      <c r="AGO16" s="214"/>
      <c r="AGP16" s="214"/>
      <c r="AGQ16" s="214"/>
      <c r="AGR16" s="214"/>
      <c r="AGS16" s="214"/>
      <c r="AGT16" s="214"/>
      <c r="AGU16" s="214"/>
      <c r="AGV16" s="214"/>
      <c r="AGW16" s="214"/>
      <c r="AGX16" s="214"/>
      <c r="AGY16" s="214"/>
      <c r="AGZ16" s="214"/>
      <c r="AHA16" s="214"/>
      <c r="AHB16" s="214"/>
      <c r="AHC16" s="214"/>
      <c r="AHD16" s="214"/>
      <c r="AHE16" s="214"/>
      <c r="AHF16" s="214"/>
      <c r="AHG16" s="214"/>
      <c r="AHH16" s="214"/>
      <c r="AHI16" s="214"/>
      <c r="AHJ16" s="214"/>
      <c r="AHK16" s="214"/>
      <c r="AHL16" s="214"/>
      <c r="AHM16" s="214"/>
      <c r="AHN16" s="214"/>
      <c r="AHO16" s="214"/>
      <c r="AHP16" s="214"/>
      <c r="AHQ16" s="214"/>
      <c r="AHR16" s="214"/>
      <c r="AHS16" s="214"/>
      <c r="AHT16" s="214"/>
      <c r="AHU16" s="214"/>
      <c r="AHV16" s="214"/>
      <c r="AHW16" s="214"/>
      <c r="AHX16" s="214"/>
      <c r="AHY16" s="214"/>
      <c r="AHZ16" s="214"/>
      <c r="AIA16" s="214"/>
      <c r="AIB16" s="214"/>
      <c r="AIC16" s="214"/>
      <c r="AID16" s="214"/>
      <c r="AIE16" s="214"/>
      <c r="AIF16" s="214"/>
      <c r="AIG16" s="214"/>
      <c r="AIH16" s="214"/>
      <c r="AII16" s="214"/>
      <c r="AIJ16" s="214"/>
      <c r="AIK16" s="214"/>
      <c r="AIL16" s="214"/>
      <c r="AIM16" s="214"/>
      <c r="AIN16" s="214"/>
      <c r="AIO16" s="214"/>
      <c r="AIP16" s="214"/>
      <c r="AIQ16" s="214"/>
      <c r="AIR16" s="214"/>
      <c r="AIS16" s="214"/>
      <c r="AIT16" s="214"/>
      <c r="AIU16" s="214"/>
      <c r="AIV16" s="214"/>
      <c r="AIW16" s="214"/>
      <c r="AIX16" s="214"/>
      <c r="AIY16" s="214"/>
      <c r="AIZ16" s="214"/>
      <c r="AJA16" s="214"/>
      <c r="AJB16" s="214"/>
      <c r="AJC16" s="214"/>
      <c r="AJD16" s="214"/>
      <c r="AJE16" s="214"/>
      <c r="AJF16" s="214"/>
      <c r="AJG16" s="214"/>
      <c r="AJH16" s="214"/>
      <c r="AJI16" s="214"/>
      <c r="AJJ16" s="214"/>
      <c r="AJK16" s="214"/>
      <c r="AJL16" s="214"/>
      <c r="AJM16" s="214"/>
      <c r="AJN16" s="214"/>
      <c r="AJO16" s="214"/>
      <c r="AJP16" s="214"/>
      <c r="AJQ16" s="214"/>
      <c r="AJR16" s="214"/>
      <c r="AJS16" s="214"/>
      <c r="AJT16" s="214"/>
      <c r="AJU16" s="214"/>
      <c r="AJV16" s="214"/>
      <c r="AJW16" s="214"/>
      <c r="AJX16" s="214"/>
      <c r="AJY16" s="214"/>
      <c r="AJZ16" s="214"/>
      <c r="AKA16" s="214"/>
      <c r="AKB16" s="214"/>
      <c r="AKC16" s="214"/>
      <c r="AKD16" s="214"/>
      <c r="AKE16" s="214"/>
      <c r="AKF16" s="214"/>
      <c r="AKG16" s="214"/>
      <c r="AKH16" s="214"/>
      <c r="AKI16" s="214"/>
      <c r="AKJ16" s="214"/>
      <c r="AKK16" s="214"/>
      <c r="AKL16" s="214"/>
      <c r="AKM16" s="214"/>
      <c r="AKN16" s="214"/>
      <c r="AKO16" s="214"/>
      <c r="AKP16" s="214"/>
      <c r="AKQ16" s="214"/>
      <c r="AKR16" s="214"/>
      <c r="AKS16" s="214"/>
      <c r="AKT16" s="214"/>
      <c r="AKU16" s="214"/>
      <c r="AKV16" s="214"/>
      <c r="AKW16" s="214"/>
      <c r="AKX16" s="214"/>
      <c r="AKY16" s="214"/>
      <c r="AKZ16" s="214"/>
      <c r="ALA16" s="214"/>
      <c r="ALB16" s="214"/>
      <c r="ALC16" s="214"/>
      <c r="ALD16" s="214"/>
      <c r="ALE16" s="214"/>
      <c r="ALF16" s="214"/>
      <c r="ALG16" s="214"/>
      <c r="ALH16" s="214"/>
      <c r="ALI16" s="214"/>
      <c r="ALJ16" s="214"/>
      <c r="ALK16" s="214"/>
      <c r="ALL16" s="214"/>
      <c r="ALM16" s="214"/>
      <c r="ALN16" s="214"/>
      <c r="ALO16" s="214"/>
      <c r="ALP16" s="214"/>
      <c r="ALQ16" s="214"/>
      <c r="ALR16" s="214"/>
      <c r="ALS16" s="214"/>
      <c r="ALT16" s="214"/>
      <c r="ALU16" s="214"/>
      <c r="ALV16" s="214"/>
      <c r="ALW16" s="214"/>
      <c r="ALX16" s="214"/>
      <c r="ALY16" s="214"/>
      <c r="ALZ16" s="214"/>
      <c r="AMA16" s="214"/>
      <c r="AMB16" s="214"/>
      <c r="AMC16" s="214"/>
      <c r="AMD16" s="214"/>
      <c r="AME16" s="214"/>
      <c r="AMF16" s="214"/>
      <c r="AMG16" s="214"/>
      <c r="AMH16" s="214"/>
      <c r="AMI16" s="214"/>
      <c r="AMJ16" s="214"/>
      <c r="AMK16" s="214"/>
      <c r="AML16" s="214"/>
      <c r="AMM16" s="214"/>
      <c r="AMN16" s="214"/>
      <c r="AMO16" s="214"/>
      <c r="AMP16" s="214"/>
      <c r="AMQ16" s="214"/>
      <c r="AMR16" s="214"/>
      <c r="AMS16" s="214"/>
      <c r="AMT16" s="214"/>
      <c r="AMU16" s="214"/>
      <c r="AMV16" s="214"/>
      <c r="AMW16" s="214"/>
      <c r="AMX16" s="214"/>
      <c r="AMY16" s="214"/>
      <c r="AMZ16" s="214"/>
      <c r="ANA16" s="214"/>
      <c r="ANB16" s="214"/>
      <c r="ANC16" s="214"/>
      <c r="AND16" s="214"/>
      <c r="ANE16" s="214"/>
      <c r="ANF16" s="214"/>
      <c r="ANG16" s="214"/>
      <c r="ANH16" s="214"/>
      <c r="ANI16" s="214"/>
      <c r="ANJ16" s="214"/>
      <c r="ANK16" s="214"/>
      <c r="ANL16" s="214"/>
      <c r="ANM16" s="214"/>
      <c r="ANN16" s="214"/>
      <c r="ANO16" s="214"/>
      <c r="ANP16" s="214"/>
      <c r="ANQ16" s="214"/>
      <c r="ANR16" s="214"/>
      <c r="ANS16" s="214"/>
      <c r="ANT16" s="214"/>
      <c r="ANU16" s="214"/>
      <c r="ANV16" s="214"/>
      <c r="ANW16" s="214"/>
      <c r="ANX16" s="214"/>
      <c r="ANY16" s="214"/>
      <c r="ANZ16" s="214"/>
      <c r="AOA16" s="214"/>
      <c r="AOB16" s="214"/>
      <c r="AOC16" s="214"/>
      <c r="AOD16" s="214"/>
      <c r="AOE16" s="214"/>
      <c r="AOF16" s="214"/>
      <c r="AOG16" s="214"/>
      <c r="AOH16" s="214"/>
      <c r="AOI16" s="214"/>
      <c r="AOJ16" s="214"/>
      <c r="AOK16" s="214"/>
      <c r="AOL16" s="214"/>
      <c r="AOM16" s="214"/>
      <c r="AON16" s="214"/>
      <c r="AOO16" s="214"/>
      <c r="AOP16" s="214"/>
      <c r="AOQ16" s="214"/>
      <c r="AOR16" s="214"/>
      <c r="AOS16" s="214"/>
      <c r="AOT16" s="214"/>
      <c r="AOU16" s="214"/>
      <c r="AOV16" s="214"/>
      <c r="AOW16" s="214"/>
      <c r="AOX16" s="214"/>
      <c r="AOY16" s="214"/>
      <c r="AOZ16" s="214"/>
      <c r="APA16" s="214"/>
      <c r="APB16" s="214"/>
      <c r="APC16" s="214"/>
      <c r="APD16" s="214"/>
      <c r="APE16" s="214"/>
      <c r="APF16" s="214"/>
      <c r="APG16" s="214"/>
      <c r="APH16" s="214"/>
      <c r="API16" s="214"/>
      <c r="APJ16" s="214"/>
      <c r="APK16" s="214"/>
      <c r="APL16" s="214"/>
      <c r="APM16" s="214"/>
      <c r="APN16" s="214"/>
      <c r="APO16" s="214"/>
      <c r="APP16" s="214"/>
      <c r="APQ16" s="214"/>
      <c r="APR16" s="214"/>
      <c r="APS16" s="214"/>
      <c r="APT16" s="214"/>
      <c r="APU16" s="214"/>
      <c r="APV16" s="214"/>
      <c r="APW16" s="214"/>
      <c r="APX16" s="214"/>
      <c r="APY16" s="214"/>
      <c r="APZ16" s="214"/>
      <c r="AQA16" s="214"/>
      <c r="AQB16" s="214"/>
      <c r="AQC16" s="214"/>
      <c r="AQD16" s="214"/>
      <c r="AQE16" s="214"/>
      <c r="AQF16" s="214"/>
      <c r="AQG16" s="214"/>
      <c r="AQH16" s="214"/>
      <c r="AQI16" s="214"/>
      <c r="AQJ16" s="214"/>
      <c r="AQK16" s="214"/>
      <c r="AQL16" s="214"/>
      <c r="AQM16" s="214"/>
      <c r="AQN16" s="214"/>
      <c r="AQO16" s="214"/>
      <c r="AQP16" s="214"/>
      <c r="AQQ16" s="214"/>
      <c r="AQR16" s="214"/>
      <c r="AQS16" s="214"/>
      <c r="AQT16" s="214"/>
      <c r="AQU16" s="214"/>
      <c r="AQV16" s="214"/>
      <c r="AQW16" s="214"/>
      <c r="AQX16" s="214"/>
      <c r="AQY16" s="214"/>
      <c r="AQZ16" s="214"/>
      <c r="ARA16" s="214"/>
      <c r="ARB16" s="214"/>
      <c r="ARC16" s="214"/>
      <c r="ARD16" s="214"/>
      <c r="ARE16" s="214"/>
      <c r="ARF16" s="214"/>
      <c r="ARG16" s="214"/>
      <c r="ARH16" s="214"/>
      <c r="ARI16" s="214"/>
      <c r="ARJ16" s="214"/>
      <c r="ARK16" s="214"/>
      <c r="ARL16" s="214"/>
      <c r="ARM16" s="214"/>
      <c r="ARN16" s="214"/>
      <c r="ARO16" s="214"/>
      <c r="ARP16" s="214"/>
      <c r="ARQ16" s="214"/>
      <c r="ARR16" s="214"/>
      <c r="ARS16" s="214"/>
      <c r="ART16" s="214"/>
      <c r="ARU16" s="214"/>
      <c r="ARV16" s="214"/>
      <c r="ARW16" s="214"/>
      <c r="ARX16" s="214"/>
      <c r="ARY16" s="214"/>
      <c r="ARZ16" s="214"/>
      <c r="ASA16" s="214"/>
      <c r="ASB16" s="214"/>
      <c r="ASC16" s="214"/>
      <c r="ASD16" s="214"/>
      <c r="ASE16" s="214"/>
      <c r="ASF16" s="214"/>
      <c r="ASG16" s="214"/>
      <c r="ASH16" s="214"/>
      <c r="ASI16" s="214"/>
      <c r="ASJ16" s="214"/>
      <c r="ASK16" s="214"/>
      <c r="ASL16" s="214"/>
      <c r="ASM16" s="214"/>
      <c r="ASN16" s="214"/>
      <c r="ASO16" s="214"/>
      <c r="ASP16" s="214"/>
      <c r="ASQ16" s="214"/>
      <c r="ASR16" s="214"/>
      <c r="ASS16" s="214"/>
      <c r="AST16" s="214"/>
      <c r="ASU16" s="214"/>
      <c r="ASV16" s="214"/>
      <c r="ASW16" s="214"/>
      <c r="ASX16" s="214"/>
      <c r="ASY16" s="214"/>
      <c r="ASZ16" s="214"/>
      <c r="ATA16" s="214"/>
      <c r="ATB16" s="214"/>
      <c r="ATC16" s="214"/>
      <c r="ATD16" s="214"/>
      <c r="ATE16" s="214"/>
      <c r="ATF16" s="214"/>
      <c r="ATG16" s="214"/>
      <c r="ATH16" s="214"/>
      <c r="ATI16" s="214"/>
      <c r="ATJ16" s="214"/>
      <c r="ATK16" s="214"/>
      <c r="ATL16" s="214"/>
      <c r="ATM16" s="214"/>
      <c r="ATN16" s="214"/>
      <c r="ATO16" s="214"/>
      <c r="ATP16" s="214"/>
      <c r="ATQ16" s="214"/>
      <c r="ATR16" s="214"/>
      <c r="ATS16" s="214"/>
      <c r="ATT16" s="214"/>
      <c r="ATU16" s="214"/>
      <c r="ATV16" s="214"/>
      <c r="ATW16" s="214"/>
      <c r="ATX16" s="214"/>
      <c r="ATY16" s="214"/>
      <c r="ATZ16" s="214"/>
      <c r="AUA16" s="214"/>
      <c r="AUB16" s="214"/>
      <c r="AUC16" s="214"/>
      <c r="AUD16" s="214"/>
      <c r="AUE16" s="214"/>
      <c r="AUF16" s="214"/>
      <c r="AUG16" s="214"/>
      <c r="AUH16" s="214"/>
      <c r="AUI16" s="214"/>
      <c r="AUJ16" s="214"/>
      <c r="AUK16" s="214"/>
      <c r="AUL16" s="214"/>
      <c r="AUM16" s="214"/>
      <c r="AUN16" s="214"/>
      <c r="AUO16" s="214"/>
      <c r="AUP16" s="214"/>
      <c r="AUQ16" s="214"/>
      <c r="AUR16" s="214"/>
      <c r="AUS16" s="214"/>
      <c r="AUT16" s="214"/>
      <c r="AUU16" s="214"/>
      <c r="AUV16" s="214"/>
      <c r="AUW16" s="214"/>
      <c r="AUX16" s="214"/>
      <c r="AUY16" s="214"/>
      <c r="AUZ16" s="214"/>
      <c r="AVA16" s="214"/>
      <c r="AVB16" s="214"/>
      <c r="AVC16" s="214"/>
      <c r="AVD16" s="214"/>
      <c r="AVE16" s="214"/>
      <c r="AVF16" s="214"/>
      <c r="AVG16" s="214"/>
      <c r="AVH16" s="214"/>
      <c r="AVI16" s="214"/>
      <c r="AVJ16" s="214"/>
      <c r="AVK16" s="214"/>
      <c r="AVL16" s="214"/>
      <c r="AVM16" s="214"/>
      <c r="AVN16" s="214"/>
      <c r="AVO16" s="214"/>
      <c r="AVP16" s="214"/>
      <c r="AVQ16" s="214"/>
      <c r="AVR16" s="214"/>
      <c r="AVS16" s="214"/>
      <c r="AVT16" s="214"/>
      <c r="AVU16" s="214"/>
      <c r="AVV16" s="214"/>
      <c r="AVW16" s="214"/>
      <c r="AVX16" s="214"/>
      <c r="AVY16" s="214"/>
      <c r="AVZ16" s="214"/>
      <c r="AWA16" s="214"/>
      <c r="AWB16" s="214"/>
      <c r="AWC16" s="214"/>
      <c r="AWD16" s="214"/>
      <c r="AWE16" s="214"/>
      <c r="AWF16" s="214"/>
      <c r="AWG16" s="214"/>
      <c r="AWH16" s="214"/>
      <c r="AWI16" s="214"/>
      <c r="AWJ16" s="214"/>
      <c r="AWK16" s="214"/>
      <c r="AWL16" s="214"/>
      <c r="AWM16" s="214"/>
      <c r="AWN16" s="214"/>
      <c r="AWO16" s="214"/>
      <c r="AWP16" s="214"/>
      <c r="AWQ16" s="214"/>
      <c r="AWR16" s="214"/>
      <c r="AWS16" s="214"/>
      <c r="AWT16" s="214"/>
      <c r="AWU16" s="214"/>
      <c r="AWV16" s="214"/>
      <c r="AWW16" s="214"/>
      <c r="AWX16" s="214"/>
      <c r="AWY16" s="214"/>
      <c r="AWZ16" s="214"/>
      <c r="AXA16" s="214"/>
      <c r="AXB16" s="214"/>
      <c r="AXC16" s="214"/>
      <c r="AXD16" s="214"/>
      <c r="AXE16" s="214"/>
      <c r="AXF16" s="214"/>
      <c r="AXG16" s="214"/>
      <c r="AXH16" s="214"/>
      <c r="AXI16" s="214"/>
      <c r="AXJ16" s="214"/>
      <c r="AXK16" s="214"/>
      <c r="AXL16" s="214"/>
      <c r="AXM16" s="214"/>
      <c r="AXN16" s="214"/>
      <c r="AXO16" s="214"/>
      <c r="AXP16" s="214"/>
      <c r="AXQ16" s="214"/>
      <c r="AXR16" s="214"/>
      <c r="AXS16" s="214"/>
      <c r="AXT16" s="214"/>
      <c r="AXU16" s="214"/>
      <c r="AXV16" s="214"/>
      <c r="AXW16" s="214"/>
      <c r="AXX16" s="214"/>
      <c r="AXY16" s="214"/>
      <c r="AXZ16" s="214"/>
      <c r="AYA16" s="214"/>
      <c r="AYB16" s="214"/>
      <c r="AYC16" s="214"/>
      <c r="AYD16" s="214"/>
      <c r="AYE16" s="214"/>
      <c r="AYF16" s="214"/>
      <c r="AYG16" s="214"/>
      <c r="AYH16" s="214"/>
      <c r="AYI16" s="214"/>
      <c r="AYJ16" s="214"/>
      <c r="AYK16" s="214"/>
      <c r="AYL16" s="214"/>
      <c r="AYM16" s="214"/>
      <c r="AYN16" s="214"/>
      <c r="AYO16" s="214"/>
      <c r="AYP16" s="214"/>
      <c r="AYQ16" s="214"/>
      <c r="AYR16" s="214"/>
      <c r="AYS16" s="214"/>
      <c r="AYT16" s="214"/>
      <c r="AYU16" s="214"/>
      <c r="AYV16" s="214"/>
      <c r="AYW16" s="214"/>
      <c r="AYX16" s="214"/>
      <c r="AYY16" s="214"/>
      <c r="AYZ16" s="214"/>
      <c r="AZA16" s="214"/>
      <c r="AZB16" s="214"/>
      <c r="AZC16" s="214"/>
      <c r="AZD16" s="214"/>
      <c r="AZE16" s="214"/>
      <c r="AZF16" s="214"/>
      <c r="AZG16" s="214"/>
      <c r="AZH16" s="214"/>
      <c r="AZI16" s="214"/>
      <c r="AZJ16" s="214"/>
      <c r="AZK16" s="214"/>
      <c r="AZL16" s="214"/>
      <c r="AZM16" s="214"/>
      <c r="AZN16" s="214"/>
      <c r="AZO16" s="214"/>
      <c r="AZP16" s="214"/>
      <c r="AZQ16" s="214"/>
      <c r="AZR16" s="214"/>
      <c r="AZS16" s="214"/>
      <c r="AZT16" s="214"/>
      <c r="AZU16" s="214"/>
      <c r="AZV16" s="214"/>
      <c r="AZW16" s="214"/>
      <c r="AZX16" s="214"/>
      <c r="AZY16" s="214"/>
      <c r="AZZ16" s="214"/>
      <c r="BAA16" s="214"/>
      <c r="BAB16" s="214"/>
      <c r="BAC16" s="214"/>
      <c r="BAD16" s="214"/>
      <c r="BAE16" s="214"/>
      <c r="BAF16" s="214"/>
      <c r="BAG16" s="214"/>
      <c r="BAH16" s="214"/>
      <c r="BAI16" s="214"/>
      <c r="BAJ16" s="214"/>
      <c r="BAK16" s="214"/>
      <c r="BAL16" s="214"/>
      <c r="BAM16" s="214"/>
      <c r="BAN16" s="214"/>
      <c r="BAO16" s="214"/>
      <c r="BAP16" s="214"/>
      <c r="BAQ16" s="214"/>
      <c r="BAR16" s="214"/>
      <c r="BAS16" s="214"/>
      <c r="BAT16" s="214"/>
      <c r="BAU16" s="214"/>
      <c r="BAV16" s="214"/>
      <c r="BAW16" s="214"/>
      <c r="BAX16" s="214"/>
      <c r="BAY16" s="214"/>
      <c r="BAZ16" s="214"/>
      <c r="BBA16" s="214"/>
      <c r="BBB16" s="214"/>
      <c r="BBC16" s="214"/>
      <c r="BBD16" s="214"/>
      <c r="BBE16" s="214"/>
      <c r="BBF16" s="214"/>
      <c r="BBG16" s="214"/>
      <c r="BBH16" s="214"/>
      <c r="BBI16" s="214"/>
      <c r="BBJ16" s="214"/>
      <c r="BBK16" s="214"/>
      <c r="BBL16" s="214"/>
      <c r="BBM16" s="214"/>
      <c r="BBN16" s="214"/>
      <c r="BBO16" s="214"/>
      <c r="BBP16" s="214"/>
      <c r="BBQ16" s="214"/>
      <c r="BBR16" s="214"/>
      <c r="BBS16" s="214"/>
      <c r="BBT16" s="214"/>
      <c r="BBU16" s="214"/>
      <c r="BBV16" s="214"/>
      <c r="BBW16" s="214"/>
      <c r="BBX16" s="214"/>
      <c r="BBY16" s="214"/>
      <c r="BBZ16" s="214"/>
      <c r="BCA16" s="214"/>
      <c r="BCB16" s="214"/>
      <c r="BCC16" s="214"/>
      <c r="BCD16" s="214"/>
      <c r="BCE16" s="214"/>
      <c r="BCF16" s="214"/>
      <c r="BCG16" s="214"/>
      <c r="BCH16" s="214"/>
      <c r="BCI16" s="214"/>
      <c r="BCJ16" s="214"/>
      <c r="BCK16" s="214"/>
      <c r="BCL16" s="214"/>
      <c r="BCM16" s="214"/>
      <c r="BCN16" s="214"/>
      <c r="BCO16" s="214"/>
      <c r="BCP16" s="214"/>
      <c r="BCQ16" s="214"/>
      <c r="BCR16" s="214"/>
      <c r="BCS16" s="214"/>
      <c r="BCT16" s="214"/>
      <c r="BCU16" s="214"/>
      <c r="BCV16" s="214"/>
      <c r="BCW16" s="214"/>
      <c r="BCX16" s="214"/>
      <c r="BCY16" s="214"/>
      <c r="BCZ16" s="214"/>
      <c r="BDA16" s="214"/>
      <c r="BDB16" s="214"/>
      <c r="BDC16" s="214"/>
      <c r="BDD16" s="214"/>
      <c r="BDE16" s="214"/>
      <c r="BDF16" s="214"/>
      <c r="BDG16" s="214"/>
      <c r="BDH16" s="214"/>
      <c r="BDI16" s="214"/>
      <c r="BDJ16" s="214"/>
      <c r="BDK16" s="214"/>
      <c r="BDL16" s="214"/>
      <c r="BDM16" s="214"/>
      <c r="BDN16" s="214"/>
      <c r="BDO16" s="214"/>
      <c r="BDP16" s="214"/>
      <c r="BDQ16" s="214"/>
      <c r="BDR16" s="214"/>
      <c r="BDS16" s="214"/>
      <c r="BDT16" s="214"/>
      <c r="BDU16" s="214"/>
      <c r="BDV16" s="214"/>
      <c r="BDW16" s="214"/>
      <c r="BDX16" s="214"/>
      <c r="BDY16" s="214"/>
      <c r="BDZ16" s="214"/>
      <c r="BEA16" s="214"/>
      <c r="BEB16" s="214"/>
      <c r="BEC16" s="214"/>
      <c r="BED16" s="214"/>
      <c r="BEE16" s="214"/>
      <c r="BEF16" s="214"/>
      <c r="BEG16" s="214"/>
      <c r="BEH16" s="214"/>
      <c r="BEI16" s="214"/>
      <c r="BEJ16" s="214"/>
      <c r="BEK16" s="214"/>
      <c r="BEL16" s="214"/>
      <c r="BEM16" s="214"/>
      <c r="BEN16" s="214"/>
      <c r="BEO16" s="214"/>
      <c r="BEP16" s="214"/>
      <c r="BEQ16" s="214"/>
      <c r="BER16" s="214"/>
      <c r="BES16" s="214"/>
      <c r="BET16" s="214"/>
      <c r="BEU16" s="214"/>
      <c r="BEV16" s="214"/>
      <c r="BEW16" s="214"/>
      <c r="BEX16" s="214"/>
      <c r="BEY16" s="214"/>
      <c r="BEZ16" s="214"/>
      <c r="BFA16" s="214"/>
      <c r="BFB16" s="214"/>
      <c r="BFC16" s="214"/>
      <c r="BFD16" s="214"/>
      <c r="BFE16" s="214"/>
      <c r="BFF16" s="214"/>
      <c r="BFG16" s="214"/>
      <c r="BFH16" s="214"/>
      <c r="BFI16" s="214"/>
      <c r="BFJ16" s="214"/>
      <c r="BFK16" s="214"/>
      <c r="BFL16" s="214"/>
      <c r="BFM16" s="214"/>
      <c r="BFN16" s="214"/>
      <c r="BFO16" s="214"/>
      <c r="BFP16" s="214"/>
      <c r="BFQ16" s="214"/>
      <c r="BFR16" s="214"/>
      <c r="BFS16" s="214"/>
      <c r="BFT16" s="214"/>
      <c r="BFU16" s="214"/>
      <c r="BFV16" s="214"/>
      <c r="BFW16" s="214"/>
      <c r="BFX16" s="214"/>
      <c r="BFY16" s="214"/>
      <c r="BFZ16" s="214"/>
      <c r="BGA16" s="214"/>
      <c r="BGB16" s="214"/>
      <c r="BGC16" s="214"/>
      <c r="BGD16" s="214"/>
      <c r="BGE16" s="214"/>
      <c r="BGF16" s="214"/>
      <c r="BGG16" s="214"/>
      <c r="BGH16" s="214"/>
      <c r="BGI16" s="214"/>
      <c r="BGJ16" s="214"/>
      <c r="BGK16" s="214"/>
      <c r="BGL16" s="214"/>
      <c r="BGM16" s="214"/>
      <c r="BGN16" s="214"/>
      <c r="BGO16" s="214"/>
      <c r="BGP16" s="214"/>
      <c r="BGQ16" s="214"/>
      <c r="BGR16" s="214"/>
      <c r="BGS16" s="214"/>
      <c r="BGT16" s="214"/>
      <c r="BGU16" s="214"/>
      <c r="BGV16" s="214"/>
      <c r="BGW16" s="214"/>
      <c r="BGX16" s="214"/>
      <c r="BGY16" s="214"/>
      <c r="BGZ16" s="214"/>
      <c r="BHA16" s="214"/>
      <c r="BHB16" s="214"/>
      <c r="BHC16" s="214"/>
      <c r="BHD16" s="214"/>
      <c r="BHE16" s="214"/>
      <c r="BHF16" s="214"/>
      <c r="BHG16" s="214"/>
      <c r="BHH16" s="214"/>
      <c r="BHI16" s="214"/>
      <c r="BHJ16" s="214"/>
      <c r="BHK16" s="214"/>
      <c r="BHL16" s="214"/>
      <c r="BHM16" s="214"/>
      <c r="BHN16" s="214"/>
      <c r="BHO16" s="214"/>
      <c r="BHP16" s="214"/>
      <c r="BHQ16" s="214"/>
      <c r="BHR16" s="214"/>
      <c r="BHS16" s="214"/>
      <c r="BHT16" s="214"/>
      <c r="BHU16" s="214"/>
      <c r="BHV16" s="214"/>
      <c r="BHW16" s="214"/>
    </row>
    <row r="17" spans="1:1583" s="217" customFormat="1" ht="28.5">
      <c r="A17" s="259" t="s">
        <v>31</v>
      </c>
      <c r="B17" s="255"/>
      <c r="C17" s="255"/>
      <c r="D17" s="255" t="s">
        <v>615</v>
      </c>
      <c r="E17" s="59" t="s">
        <v>30</v>
      </c>
      <c r="F17" s="132"/>
      <c r="G17" s="60" t="s">
        <v>671</v>
      </c>
      <c r="H17" s="473">
        <f t="shared" si="8"/>
        <v>472230.66787447874</v>
      </c>
      <c r="I17" s="145">
        <f>I15*(I8*1000/(I10/22.414))/1000000</f>
        <v>13826.223226902463</v>
      </c>
      <c r="J17" s="437"/>
      <c r="K17" s="145">
        <f t="shared" ref="K17:AN17" si="11">K15*(K8*1000/(K10/22.414))/1000000</f>
        <v>14947.330228665931</v>
      </c>
      <c r="L17" s="145">
        <f t="shared" si="11"/>
        <v>14982.85525303183</v>
      </c>
      <c r="M17" s="145">
        <f t="shared" si="11"/>
        <v>14939.049910300317</v>
      </c>
      <c r="N17" s="145">
        <f t="shared" si="11"/>
        <v>15147.215345940622</v>
      </c>
      <c r="O17" s="145">
        <f t="shared" si="11"/>
        <v>15463.200644240986</v>
      </c>
      <c r="P17" s="145">
        <f t="shared" si="11"/>
        <v>15416.293311051297</v>
      </c>
      <c r="Q17" s="145">
        <f t="shared" si="11"/>
        <v>15290.154075916493</v>
      </c>
      <c r="R17" s="145">
        <f t="shared" si="11"/>
        <v>15214.35842080473</v>
      </c>
      <c r="S17" s="145">
        <f t="shared" si="11"/>
        <v>15331.604516834544</v>
      </c>
      <c r="T17" s="145">
        <f t="shared" si="11"/>
        <v>15217.53151221601</v>
      </c>
      <c r="U17" s="145">
        <f t="shared" si="11"/>
        <v>15222.872248864136</v>
      </c>
      <c r="V17" s="145">
        <f t="shared" si="11"/>
        <v>15208.61288560036</v>
      </c>
      <c r="W17" s="145">
        <f t="shared" si="11"/>
        <v>15368.04111642755</v>
      </c>
      <c r="X17" s="145">
        <f t="shared" si="11"/>
        <v>15148.63140270871</v>
      </c>
      <c r="Y17" s="145">
        <f t="shared" si="11"/>
        <v>14704.490265843066</v>
      </c>
      <c r="Z17" s="145">
        <f t="shared" si="11"/>
        <v>14581.201803510785</v>
      </c>
      <c r="AA17" s="145">
        <f t="shared" si="11"/>
        <v>14707.068466514955</v>
      </c>
      <c r="AB17" s="145">
        <f t="shared" si="11"/>
        <v>14762.6388700322</v>
      </c>
      <c r="AC17" s="145">
        <f t="shared" si="11"/>
        <v>15023.491271389528</v>
      </c>
      <c r="AD17" s="145">
        <f t="shared" si="11"/>
        <v>15465.013793060731</v>
      </c>
      <c r="AE17" s="145">
        <f t="shared" si="11"/>
        <v>15552.841964153384</v>
      </c>
      <c r="AF17" s="145">
        <f t="shared" si="11"/>
        <v>15577.135123263823</v>
      </c>
      <c r="AG17" s="145">
        <f t="shared" si="11"/>
        <v>15598.595267627987</v>
      </c>
      <c r="AH17" s="145">
        <f t="shared" si="11"/>
        <v>15659.667527272819</v>
      </c>
      <c r="AI17" s="145">
        <f t="shared" si="11"/>
        <v>15650.774720385843</v>
      </c>
      <c r="AJ17" s="145">
        <f t="shared" si="11"/>
        <v>15680.706484554186</v>
      </c>
      <c r="AK17" s="145">
        <f t="shared" si="11"/>
        <v>15625.266243773865</v>
      </c>
      <c r="AL17" s="145">
        <f t="shared" si="11"/>
        <v>15626.158979943248</v>
      </c>
      <c r="AM17" s="145">
        <f t="shared" si="11"/>
        <v>15611.565306655888</v>
      </c>
      <c r="AN17" s="145">
        <f t="shared" si="11"/>
        <v>15680.077686990426</v>
      </c>
      <c r="AO17" s="214"/>
      <c r="AP17" s="214"/>
      <c r="AQ17" s="214"/>
      <c r="AR17" s="214"/>
      <c r="AS17" s="214"/>
      <c r="AT17" s="214"/>
      <c r="AU17" s="214"/>
      <c r="AV17" s="214"/>
      <c r="AW17" s="214"/>
      <c r="AX17" s="214"/>
      <c r="AY17" s="214"/>
      <c r="AZ17" s="214"/>
      <c r="BA17" s="214"/>
      <c r="BB17" s="214"/>
      <c r="BC17" s="214"/>
      <c r="BD17" s="214"/>
      <c r="BE17" s="214"/>
      <c r="BF17" s="214"/>
      <c r="BG17" s="214"/>
      <c r="BH17" s="214"/>
      <c r="BI17" s="214"/>
      <c r="BJ17" s="214"/>
      <c r="BK17" s="214"/>
      <c r="BL17" s="214"/>
      <c r="BM17" s="214"/>
      <c r="BN17" s="214"/>
      <c r="BO17" s="214"/>
      <c r="BP17" s="214"/>
      <c r="BQ17" s="214"/>
      <c r="BR17" s="214"/>
      <c r="BS17" s="214"/>
      <c r="BT17" s="214"/>
      <c r="BU17" s="214"/>
      <c r="BV17" s="214"/>
      <c r="BW17" s="214"/>
      <c r="BX17" s="214"/>
      <c r="BY17" s="214"/>
      <c r="BZ17" s="214"/>
      <c r="CA17" s="214"/>
      <c r="CB17" s="214"/>
      <c r="CC17" s="214"/>
      <c r="CD17" s="214"/>
      <c r="CE17" s="214"/>
      <c r="CF17" s="214"/>
      <c r="CG17" s="214"/>
      <c r="CH17" s="214"/>
      <c r="CI17" s="214"/>
      <c r="CJ17" s="214"/>
      <c r="CK17" s="214"/>
      <c r="CL17" s="214"/>
      <c r="CM17" s="214"/>
      <c r="CN17" s="214"/>
      <c r="CO17" s="214"/>
      <c r="CP17" s="214"/>
      <c r="CQ17" s="214"/>
      <c r="CR17" s="214"/>
      <c r="CS17" s="214"/>
      <c r="CT17" s="214"/>
      <c r="CU17" s="214"/>
      <c r="CV17" s="214"/>
      <c r="CW17" s="214"/>
      <c r="CX17" s="214"/>
      <c r="CY17" s="214"/>
      <c r="CZ17" s="214"/>
      <c r="DA17" s="214"/>
      <c r="DB17" s="214"/>
      <c r="DC17" s="214"/>
      <c r="DD17" s="214"/>
      <c r="DE17" s="214"/>
      <c r="DF17" s="214"/>
      <c r="DG17" s="214"/>
      <c r="DH17" s="214"/>
      <c r="DI17" s="214"/>
      <c r="DJ17" s="214"/>
      <c r="DK17" s="214"/>
      <c r="DL17" s="214"/>
      <c r="DM17" s="214"/>
      <c r="DN17" s="214"/>
      <c r="DO17" s="214"/>
      <c r="DP17" s="214"/>
      <c r="DQ17" s="214"/>
      <c r="DR17" s="214"/>
      <c r="DS17" s="214"/>
      <c r="DT17" s="214"/>
      <c r="DU17" s="214"/>
      <c r="DV17" s="214"/>
      <c r="DW17" s="214"/>
      <c r="DX17" s="214"/>
      <c r="DY17" s="214"/>
      <c r="DZ17" s="214"/>
      <c r="EA17" s="214"/>
      <c r="EB17" s="214"/>
      <c r="EC17" s="214"/>
      <c r="ED17" s="214"/>
      <c r="EE17" s="214"/>
      <c r="EF17" s="214"/>
      <c r="EG17" s="214"/>
      <c r="EH17" s="214"/>
      <c r="EI17" s="214"/>
      <c r="EJ17" s="214"/>
      <c r="EK17" s="214"/>
      <c r="EL17" s="214"/>
      <c r="EM17" s="214"/>
      <c r="EN17" s="214"/>
      <c r="EO17" s="214"/>
      <c r="EP17" s="214"/>
      <c r="EQ17" s="214"/>
      <c r="ER17" s="214"/>
      <c r="ES17" s="214"/>
      <c r="ET17" s="214"/>
      <c r="EU17" s="214"/>
      <c r="EV17" s="214"/>
      <c r="EW17" s="214"/>
      <c r="EX17" s="214"/>
      <c r="EY17" s="214"/>
      <c r="EZ17" s="214"/>
      <c r="FA17" s="214"/>
      <c r="FB17" s="214"/>
      <c r="FC17" s="214"/>
      <c r="FD17" s="214"/>
      <c r="FE17" s="214"/>
      <c r="FF17" s="214"/>
      <c r="FG17" s="214"/>
      <c r="FH17" s="214"/>
      <c r="FI17" s="214"/>
      <c r="FJ17" s="214"/>
      <c r="FK17" s="214"/>
      <c r="FL17" s="214"/>
      <c r="FM17" s="214"/>
      <c r="FN17" s="214"/>
      <c r="FO17" s="214"/>
      <c r="FP17" s="214"/>
      <c r="FQ17" s="214"/>
      <c r="FR17" s="214"/>
      <c r="FS17" s="214"/>
      <c r="FT17" s="214"/>
      <c r="FU17" s="214"/>
      <c r="FV17" s="214"/>
      <c r="FW17" s="214"/>
      <c r="FX17" s="214"/>
      <c r="FY17" s="214"/>
      <c r="FZ17" s="214"/>
      <c r="GA17" s="214"/>
      <c r="GB17" s="214"/>
      <c r="GC17" s="214"/>
      <c r="GD17" s="214"/>
      <c r="GE17" s="214"/>
      <c r="GF17" s="214"/>
      <c r="GG17" s="214"/>
      <c r="GH17" s="214"/>
      <c r="GI17" s="214"/>
      <c r="GJ17" s="214"/>
      <c r="GK17" s="214"/>
      <c r="GL17" s="214"/>
      <c r="GM17" s="214"/>
      <c r="GN17" s="214"/>
      <c r="GO17" s="214"/>
      <c r="GP17" s="214"/>
      <c r="GQ17" s="214"/>
      <c r="GR17" s="214"/>
      <c r="GS17" s="214"/>
      <c r="GT17" s="214"/>
      <c r="GU17" s="214"/>
      <c r="GV17" s="214"/>
      <c r="GW17" s="214"/>
      <c r="GX17" s="214"/>
      <c r="GY17" s="214"/>
      <c r="GZ17" s="214"/>
      <c r="HA17" s="214"/>
      <c r="HB17" s="214"/>
      <c r="HC17" s="214"/>
      <c r="HD17" s="214"/>
      <c r="HE17" s="214"/>
      <c r="HF17" s="214"/>
      <c r="HG17" s="214"/>
      <c r="HH17" s="214"/>
      <c r="HI17" s="214"/>
      <c r="HJ17" s="214"/>
      <c r="HK17" s="214"/>
      <c r="HL17" s="214"/>
      <c r="HM17" s="214"/>
      <c r="HN17" s="214"/>
      <c r="HO17" s="214"/>
      <c r="HP17" s="214"/>
      <c r="HQ17" s="214"/>
      <c r="HR17" s="214"/>
      <c r="HS17" s="214"/>
      <c r="HT17" s="214"/>
      <c r="HU17" s="214"/>
      <c r="HV17" s="214"/>
      <c r="HW17" s="214"/>
      <c r="HX17" s="214"/>
      <c r="HY17" s="214"/>
      <c r="HZ17" s="214"/>
      <c r="IA17" s="214"/>
      <c r="IB17" s="214"/>
      <c r="IC17" s="214"/>
      <c r="ID17" s="214"/>
      <c r="IE17" s="214"/>
      <c r="IF17" s="214"/>
      <c r="IG17" s="214"/>
      <c r="IH17" s="214"/>
      <c r="II17" s="214"/>
      <c r="IJ17" s="214"/>
      <c r="IK17" s="214"/>
      <c r="IL17" s="214"/>
      <c r="IM17" s="214"/>
      <c r="IN17" s="214"/>
      <c r="IO17" s="214"/>
      <c r="IP17" s="214"/>
      <c r="IQ17" s="214"/>
      <c r="IR17" s="214"/>
      <c r="IS17" s="214"/>
      <c r="IT17" s="214"/>
      <c r="IU17" s="214"/>
      <c r="IV17" s="214"/>
      <c r="IW17" s="214"/>
      <c r="IX17" s="214"/>
      <c r="IY17" s="214"/>
      <c r="IZ17" s="214"/>
      <c r="JA17" s="214"/>
      <c r="JB17" s="214"/>
      <c r="JC17" s="214"/>
      <c r="JD17" s="214"/>
      <c r="JE17" s="214"/>
      <c r="JF17" s="214"/>
      <c r="JG17" s="214"/>
      <c r="JH17" s="214"/>
      <c r="JI17" s="214"/>
      <c r="JJ17" s="214"/>
      <c r="JK17" s="214"/>
      <c r="JL17" s="214"/>
      <c r="JM17" s="214"/>
      <c r="JN17" s="214"/>
      <c r="JO17" s="214"/>
      <c r="JP17" s="214"/>
      <c r="JQ17" s="214"/>
      <c r="JR17" s="214"/>
      <c r="JS17" s="214"/>
      <c r="JT17" s="214"/>
      <c r="JU17" s="214"/>
      <c r="JV17" s="214"/>
      <c r="JW17" s="214"/>
      <c r="JX17" s="214"/>
      <c r="JY17" s="214"/>
      <c r="JZ17" s="214"/>
      <c r="KA17" s="214"/>
      <c r="KB17" s="214"/>
      <c r="KC17" s="214"/>
      <c r="KD17" s="214"/>
      <c r="KE17" s="214"/>
      <c r="KF17" s="214"/>
      <c r="KG17" s="214"/>
      <c r="KH17" s="214"/>
      <c r="KI17" s="214"/>
      <c r="KJ17" s="214"/>
      <c r="KK17" s="214"/>
      <c r="KL17" s="214"/>
      <c r="KM17" s="214"/>
      <c r="KN17" s="214"/>
      <c r="KO17" s="214"/>
      <c r="KP17" s="214"/>
      <c r="KQ17" s="214"/>
      <c r="KR17" s="214"/>
      <c r="KS17" s="214"/>
      <c r="KT17" s="214"/>
      <c r="KU17" s="214"/>
      <c r="KV17" s="214"/>
      <c r="KW17" s="214"/>
      <c r="KX17" s="214"/>
      <c r="KY17" s="214"/>
      <c r="KZ17" s="214"/>
      <c r="LA17" s="214"/>
      <c r="LB17" s="214"/>
      <c r="LC17" s="214"/>
      <c r="LD17" s="214"/>
      <c r="LE17" s="214"/>
      <c r="LF17" s="214"/>
      <c r="LG17" s="214"/>
      <c r="LH17" s="214"/>
      <c r="LI17" s="214"/>
      <c r="LJ17" s="214"/>
      <c r="LK17" s="214"/>
      <c r="LL17" s="214"/>
      <c r="LM17" s="214"/>
      <c r="LN17" s="214"/>
      <c r="LO17" s="214"/>
      <c r="LP17" s="214"/>
      <c r="LQ17" s="214"/>
      <c r="LR17" s="214"/>
      <c r="LS17" s="214"/>
      <c r="LT17" s="214"/>
      <c r="LU17" s="214"/>
      <c r="LV17" s="214"/>
      <c r="LW17" s="214"/>
      <c r="LX17" s="214"/>
      <c r="LY17" s="214"/>
      <c r="LZ17" s="214"/>
      <c r="MA17" s="214"/>
      <c r="MB17" s="214"/>
      <c r="MC17" s="214"/>
      <c r="MD17" s="214"/>
      <c r="ME17" s="214"/>
      <c r="MF17" s="214"/>
      <c r="MG17" s="214"/>
      <c r="MH17" s="214"/>
      <c r="MI17" s="214"/>
      <c r="MJ17" s="214"/>
      <c r="MK17" s="214"/>
      <c r="ML17" s="214"/>
      <c r="MM17" s="214"/>
      <c r="MN17" s="214"/>
      <c r="MO17" s="214"/>
      <c r="MP17" s="214"/>
      <c r="MQ17" s="214"/>
      <c r="MR17" s="214"/>
      <c r="MS17" s="214"/>
      <c r="MT17" s="214"/>
      <c r="MU17" s="214"/>
      <c r="MV17" s="214"/>
      <c r="MW17" s="214"/>
      <c r="MX17" s="214"/>
      <c r="MY17" s="214"/>
      <c r="MZ17" s="214"/>
      <c r="NA17" s="214"/>
      <c r="NB17" s="214"/>
      <c r="NC17" s="214"/>
      <c r="ND17" s="214"/>
      <c r="NE17" s="214"/>
      <c r="NF17" s="214"/>
      <c r="NG17" s="214"/>
      <c r="NH17" s="214"/>
      <c r="NI17" s="214"/>
      <c r="NJ17" s="214"/>
      <c r="NK17" s="214"/>
      <c r="NL17" s="214"/>
      <c r="NM17" s="214"/>
      <c r="NN17" s="214"/>
      <c r="NO17" s="214"/>
      <c r="NP17" s="214"/>
      <c r="NQ17" s="214"/>
      <c r="NR17" s="214"/>
      <c r="NS17" s="214"/>
      <c r="NT17" s="214"/>
      <c r="NU17" s="214"/>
      <c r="NV17" s="214"/>
      <c r="NW17" s="214"/>
      <c r="NX17" s="214"/>
      <c r="NY17" s="214"/>
      <c r="NZ17" s="214"/>
      <c r="OA17" s="214"/>
      <c r="OB17" s="214"/>
      <c r="OC17" s="214"/>
      <c r="OD17" s="214"/>
      <c r="OE17" s="214"/>
      <c r="OF17" s="214"/>
      <c r="OG17" s="214"/>
      <c r="OH17" s="214"/>
      <c r="OI17" s="214"/>
      <c r="OJ17" s="214"/>
      <c r="OK17" s="214"/>
      <c r="OL17" s="214"/>
      <c r="OM17" s="214"/>
      <c r="ON17" s="214"/>
      <c r="OO17" s="214"/>
      <c r="OP17" s="214"/>
      <c r="OQ17" s="214"/>
      <c r="OR17" s="214"/>
      <c r="OS17" s="214"/>
      <c r="OT17" s="214"/>
      <c r="OU17" s="214"/>
      <c r="OV17" s="214"/>
      <c r="OW17" s="214"/>
      <c r="OX17" s="214"/>
      <c r="OY17" s="214"/>
      <c r="OZ17" s="214"/>
      <c r="PA17" s="214"/>
      <c r="PB17" s="214"/>
      <c r="PC17" s="214"/>
      <c r="PD17" s="214"/>
      <c r="PE17" s="214"/>
      <c r="PF17" s="214"/>
      <c r="PG17" s="214"/>
      <c r="PH17" s="214"/>
      <c r="PI17" s="214"/>
      <c r="PJ17" s="214"/>
      <c r="PK17" s="214"/>
      <c r="PL17" s="214"/>
      <c r="PM17" s="214"/>
      <c r="PN17" s="214"/>
      <c r="PO17" s="214"/>
      <c r="PP17" s="214"/>
      <c r="PQ17" s="214"/>
      <c r="PR17" s="214"/>
      <c r="PS17" s="214"/>
      <c r="PT17" s="214"/>
      <c r="PU17" s="214"/>
      <c r="PV17" s="214"/>
      <c r="PW17" s="214"/>
      <c r="PX17" s="214"/>
      <c r="PY17" s="214"/>
      <c r="PZ17" s="214"/>
      <c r="QA17" s="214"/>
      <c r="QB17" s="214"/>
      <c r="QC17" s="214"/>
      <c r="QD17" s="214"/>
      <c r="QE17" s="214"/>
      <c r="QF17" s="214"/>
      <c r="QG17" s="214"/>
      <c r="QH17" s="214"/>
      <c r="QI17" s="214"/>
      <c r="QJ17" s="214"/>
      <c r="QK17" s="214"/>
      <c r="QL17" s="214"/>
      <c r="QM17" s="214"/>
      <c r="QN17" s="214"/>
      <c r="QO17" s="214"/>
      <c r="QP17" s="214"/>
      <c r="QQ17" s="214"/>
      <c r="QR17" s="214"/>
      <c r="QS17" s="214"/>
      <c r="QT17" s="214"/>
      <c r="QU17" s="214"/>
      <c r="QV17" s="214"/>
      <c r="QW17" s="214"/>
      <c r="QX17" s="214"/>
      <c r="QY17" s="214"/>
      <c r="QZ17" s="214"/>
      <c r="RA17" s="214"/>
      <c r="RB17" s="214"/>
      <c r="RC17" s="214"/>
      <c r="RD17" s="214"/>
      <c r="RE17" s="214"/>
      <c r="RF17" s="214"/>
      <c r="RG17" s="214"/>
      <c r="RH17" s="214"/>
      <c r="RI17" s="214"/>
      <c r="RJ17" s="214"/>
      <c r="RK17" s="214"/>
      <c r="RL17" s="214"/>
      <c r="RM17" s="214"/>
      <c r="RN17" s="214"/>
      <c r="RO17" s="214"/>
      <c r="RP17" s="214"/>
      <c r="RQ17" s="214"/>
      <c r="RR17" s="214"/>
      <c r="RS17" s="214"/>
      <c r="RT17" s="214"/>
      <c r="RU17" s="214"/>
      <c r="RV17" s="214"/>
      <c r="RW17" s="214"/>
      <c r="RX17" s="214"/>
      <c r="RY17" s="214"/>
      <c r="RZ17" s="214"/>
      <c r="SA17" s="214"/>
      <c r="SB17" s="214"/>
      <c r="SC17" s="214"/>
      <c r="SD17" s="214"/>
      <c r="SE17" s="214"/>
      <c r="SF17" s="214"/>
      <c r="SG17" s="214"/>
      <c r="SH17" s="214"/>
      <c r="SI17" s="214"/>
      <c r="SJ17" s="214"/>
      <c r="SK17" s="214"/>
      <c r="SL17" s="214"/>
      <c r="SM17" s="214"/>
      <c r="SN17" s="214"/>
      <c r="SO17" s="214"/>
      <c r="SP17" s="214"/>
      <c r="SQ17" s="214"/>
      <c r="SR17" s="214"/>
      <c r="SS17" s="214"/>
      <c r="ST17" s="214"/>
      <c r="SU17" s="214"/>
      <c r="SV17" s="214"/>
      <c r="SW17" s="214"/>
      <c r="SX17" s="214"/>
      <c r="SY17" s="214"/>
      <c r="SZ17" s="214"/>
      <c r="TA17" s="214"/>
      <c r="TB17" s="214"/>
      <c r="TC17" s="214"/>
      <c r="TD17" s="214"/>
      <c r="TE17" s="214"/>
      <c r="TF17" s="214"/>
      <c r="TG17" s="214"/>
      <c r="TH17" s="214"/>
      <c r="TI17" s="214"/>
      <c r="TJ17" s="214"/>
      <c r="TK17" s="214"/>
      <c r="TL17" s="214"/>
      <c r="TM17" s="214"/>
      <c r="TN17" s="214"/>
      <c r="TO17" s="214"/>
      <c r="TP17" s="214"/>
      <c r="TQ17" s="214"/>
      <c r="TR17" s="214"/>
      <c r="TS17" s="214"/>
      <c r="TT17" s="214"/>
      <c r="TU17" s="214"/>
      <c r="TV17" s="214"/>
      <c r="TW17" s="214"/>
      <c r="TX17" s="214"/>
      <c r="TY17" s="214"/>
      <c r="TZ17" s="214"/>
      <c r="UA17" s="214"/>
      <c r="UB17" s="214"/>
      <c r="UC17" s="214"/>
      <c r="UD17" s="214"/>
      <c r="UE17" s="214"/>
      <c r="UF17" s="214"/>
      <c r="UG17" s="214"/>
      <c r="UH17" s="214"/>
      <c r="UI17" s="214"/>
      <c r="UJ17" s="214"/>
      <c r="UK17" s="214"/>
      <c r="UL17" s="214"/>
      <c r="UM17" s="214"/>
      <c r="UN17" s="214"/>
      <c r="UO17" s="214"/>
      <c r="UP17" s="214"/>
      <c r="UQ17" s="214"/>
      <c r="UR17" s="214"/>
      <c r="US17" s="214"/>
      <c r="UT17" s="214"/>
      <c r="UU17" s="214"/>
      <c r="UV17" s="214"/>
      <c r="UW17" s="214"/>
      <c r="UX17" s="214"/>
      <c r="UY17" s="214"/>
      <c r="UZ17" s="214"/>
      <c r="VA17" s="214"/>
      <c r="VB17" s="214"/>
      <c r="VC17" s="214"/>
      <c r="VD17" s="214"/>
      <c r="VE17" s="214"/>
      <c r="VF17" s="214"/>
      <c r="VG17" s="214"/>
      <c r="VH17" s="214"/>
      <c r="VI17" s="214"/>
      <c r="VJ17" s="214"/>
      <c r="VK17" s="214"/>
      <c r="VL17" s="214"/>
      <c r="VM17" s="214"/>
      <c r="VN17" s="214"/>
      <c r="VO17" s="214"/>
      <c r="VP17" s="214"/>
      <c r="VQ17" s="214"/>
      <c r="VR17" s="214"/>
      <c r="VS17" s="214"/>
      <c r="VT17" s="214"/>
      <c r="VU17" s="214"/>
      <c r="VV17" s="214"/>
      <c r="VW17" s="214"/>
      <c r="VX17" s="214"/>
      <c r="VY17" s="214"/>
      <c r="VZ17" s="214"/>
      <c r="WA17" s="214"/>
      <c r="WB17" s="214"/>
      <c r="WC17" s="214"/>
      <c r="WD17" s="214"/>
      <c r="WE17" s="214"/>
      <c r="WF17" s="214"/>
      <c r="WG17" s="214"/>
      <c r="WH17" s="214"/>
      <c r="WI17" s="214"/>
      <c r="WJ17" s="214"/>
      <c r="WK17" s="214"/>
      <c r="WL17" s="214"/>
      <c r="WM17" s="214"/>
      <c r="WN17" s="214"/>
      <c r="WO17" s="214"/>
      <c r="WP17" s="214"/>
      <c r="WQ17" s="214"/>
      <c r="WR17" s="214"/>
      <c r="WS17" s="214"/>
      <c r="WT17" s="214"/>
      <c r="WU17" s="214"/>
      <c r="WV17" s="214"/>
      <c r="WW17" s="214"/>
      <c r="WX17" s="214"/>
      <c r="WY17" s="214"/>
      <c r="WZ17" s="214"/>
      <c r="XA17" s="214"/>
      <c r="XB17" s="214"/>
      <c r="XC17" s="214"/>
      <c r="XD17" s="214"/>
      <c r="XE17" s="214"/>
      <c r="XF17" s="214"/>
      <c r="XG17" s="214"/>
      <c r="XH17" s="214"/>
      <c r="XI17" s="214"/>
      <c r="XJ17" s="214"/>
      <c r="XK17" s="214"/>
      <c r="XL17" s="214"/>
      <c r="XM17" s="214"/>
      <c r="XN17" s="214"/>
      <c r="XO17" s="214"/>
      <c r="XP17" s="214"/>
      <c r="XQ17" s="214"/>
      <c r="XR17" s="214"/>
      <c r="XS17" s="214"/>
      <c r="XT17" s="214"/>
      <c r="XU17" s="214"/>
      <c r="XV17" s="214"/>
      <c r="XW17" s="214"/>
      <c r="XX17" s="214"/>
      <c r="XY17" s="214"/>
      <c r="XZ17" s="214"/>
      <c r="YA17" s="214"/>
      <c r="YB17" s="214"/>
      <c r="YC17" s="214"/>
      <c r="YD17" s="214"/>
      <c r="YE17" s="214"/>
      <c r="YF17" s="214"/>
      <c r="YG17" s="214"/>
      <c r="YH17" s="214"/>
      <c r="YI17" s="214"/>
      <c r="YJ17" s="214"/>
      <c r="YK17" s="214"/>
      <c r="YL17" s="214"/>
      <c r="YM17" s="214"/>
      <c r="YN17" s="214"/>
      <c r="YO17" s="214"/>
      <c r="YP17" s="214"/>
      <c r="YQ17" s="214"/>
      <c r="YR17" s="214"/>
      <c r="YS17" s="214"/>
      <c r="YT17" s="214"/>
      <c r="YU17" s="214"/>
      <c r="YV17" s="214"/>
      <c r="YW17" s="214"/>
      <c r="YX17" s="214"/>
      <c r="YY17" s="214"/>
      <c r="YZ17" s="214"/>
      <c r="ZA17" s="214"/>
      <c r="ZB17" s="214"/>
      <c r="ZC17" s="214"/>
      <c r="ZD17" s="214"/>
      <c r="ZE17" s="214"/>
      <c r="ZF17" s="214"/>
      <c r="ZG17" s="214"/>
      <c r="ZH17" s="214"/>
      <c r="ZI17" s="214"/>
      <c r="ZJ17" s="214"/>
      <c r="ZK17" s="214"/>
      <c r="ZL17" s="214"/>
      <c r="ZM17" s="214"/>
      <c r="ZN17" s="214"/>
      <c r="ZO17" s="214"/>
      <c r="ZP17" s="214"/>
      <c r="ZQ17" s="214"/>
      <c r="ZR17" s="214"/>
      <c r="ZS17" s="214"/>
      <c r="ZT17" s="214"/>
      <c r="ZU17" s="214"/>
      <c r="ZV17" s="214"/>
      <c r="ZW17" s="214"/>
      <c r="ZX17" s="214"/>
      <c r="ZY17" s="214"/>
      <c r="ZZ17" s="214"/>
      <c r="AAA17" s="214"/>
      <c r="AAB17" s="214"/>
      <c r="AAC17" s="214"/>
      <c r="AAD17" s="214"/>
      <c r="AAE17" s="214"/>
      <c r="AAF17" s="214"/>
      <c r="AAG17" s="214"/>
      <c r="AAH17" s="214"/>
      <c r="AAI17" s="214"/>
      <c r="AAJ17" s="214"/>
      <c r="AAK17" s="214"/>
      <c r="AAL17" s="214"/>
      <c r="AAM17" s="214"/>
      <c r="AAN17" s="214"/>
      <c r="AAO17" s="214"/>
      <c r="AAP17" s="214"/>
      <c r="AAQ17" s="214"/>
      <c r="AAR17" s="214"/>
      <c r="AAS17" s="214"/>
      <c r="AAT17" s="214"/>
      <c r="AAU17" s="214"/>
      <c r="AAV17" s="214"/>
      <c r="AAW17" s="214"/>
      <c r="AAX17" s="214"/>
      <c r="AAY17" s="214"/>
      <c r="AAZ17" s="214"/>
      <c r="ABA17" s="214"/>
      <c r="ABB17" s="214"/>
      <c r="ABC17" s="214"/>
      <c r="ABD17" s="214"/>
      <c r="ABE17" s="214"/>
      <c r="ABF17" s="214"/>
      <c r="ABG17" s="214"/>
      <c r="ABH17" s="214"/>
      <c r="ABI17" s="214"/>
      <c r="ABJ17" s="214"/>
      <c r="ABK17" s="214"/>
      <c r="ABL17" s="214"/>
      <c r="ABM17" s="214"/>
      <c r="ABN17" s="214"/>
      <c r="ABO17" s="214"/>
      <c r="ABP17" s="214"/>
      <c r="ABQ17" s="214"/>
      <c r="ABR17" s="214"/>
      <c r="ABS17" s="214"/>
      <c r="ABT17" s="214"/>
      <c r="ABU17" s="214"/>
      <c r="ABV17" s="214"/>
      <c r="ABW17" s="214"/>
      <c r="ABX17" s="214"/>
      <c r="ABY17" s="214"/>
      <c r="ABZ17" s="214"/>
      <c r="ACA17" s="214"/>
      <c r="ACB17" s="214"/>
      <c r="ACC17" s="214"/>
      <c r="ACD17" s="214"/>
      <c r="ACE17" s="214"/>
      <c r="ACF17" s="214"/>
      <c r="ACG17" s="214"/>
      <c r="ACH17" s="214"/>
      <c r="ACI17" s="214"/>
      <c r="ACJ17" s="214"/>
      <c r="ACK17" s="214"/>
      <c r="ACL17" s="214"/>
      <c r="ACM17" s="214"/>
      <c r="ACN17" s="214"/>
      <c r="ACO17" s="214"/>
      <c r="ACP17" s="214"/>
      <c r="ACQ17" s="214"/>
      <c r="ACR17" s="214"/>
      <c r="ACS17" s="214"/>
      <c r="ACT17" s="214"/>
      <c r="ACU17" s="214"/>
      <c r="ACV17" s="214"/>
      <c r="ACW17" s="214"/>
      <c r="ACX17" s="214"/>
      <c r="ACY17" s="214"/>
      <c r="ACZ17" s="214"/>
      <c r="ADA17" s="214"/>
      <c r="ADB17" s="214"/>
      <c r="ADC17" s="214"/>
      <c r="ADD17" s="214"/>
      <c r="ADE17" s="214"/>
      <c r="ADF17" s="214"/>
      <c r="ADG17" s="214"/>
      <c r="ADH17" s="214"/>
      <c r="ADI17" s="214"/>
      <c r="ADJ17" s="214"/>
      <c r="ADK17" s="214"/>
      <c r="ADL17" s="214"/>
      <c r="ADM17" s="214"/>
      <c r="ADN17" s="214"/>
      <c r="ADO17" s="214"/>
      <c r="ADP17" s="214"/>
      <c r="ADQ17" s="214"/>
      <c r="ADR17" s="214"/>
      <c r="ADS17" s="214"/>
      <c r="ADT17" s="214"/>
      <c r="ADU17" s="214"/>
      <c r="ADV17" s="214"/>
      <c r="ADW17" s="214"/>
      <c r="ADX17" s="214"/>
      <c r="ADY17" s="214"/>
      <c r="ADZ17" s="214"/>
      <c r="AEA17" s="214"/>
      <c r="AEB17" s="214"/>
      <c r="AEC17" s="214"/>
      <c r="AED17" s="214"/>
      <c r="AEE17" s="214"/>
      <c r="AEF17" s="214"/>
      <c r="AEG17" s="214"/>
      <c r="AEH17" s="214"/>
      <c r="AEI17" s="214"/>
      <c r="AEJ17" s="214"/>
      <c r="AEK17" s="214"/>
      <c r="AEL17" s="214"/>
      <c r="AEM17" s="214"/>
      <c r="AEN17" s="214"/>
      <c r="AEO17" s="214"/>
      <c r="AEP17" s="214"/>
      <c r="AEQ17" s="214"/>
      <c r="AER17" s="214"/>
      <c r="AES17" s="214"/>
      <c r="AET17" s="214"/>
      <c r="AEU17" s="214"/>
      <c r="AEV17" s="214"/>
      <c r="AEW17" s="214"/>
      <c r="AEX17" s="214"/>
      <c r="AEY17" s="214"/>
      <c r="AEZ17" s="214"/>
      <c r="AFA17" s="214"/>
      <c r="AFB17" s="214"/>
      <c r="AFC17" s="214"/>
      <c r="AFD17" s="214"/>
      <c r="AFE17" s="214"/>
      <c r="AFF17" s="214"/>
      <c r="AFG17" s="214"/>
      <c r="AFH17" s="214"/>
      <c r="AFI17" s="214"/>
      <c r="AFJ17" s="214"/>
      <c r="AFK17" s="214"/>
      <c r="AFL17" s="214"/>
      <c r="AFM17" s="214"/>
      <c r="AFN17" s="214"/>
      <c r="AFO17" s="214"/>
      <c r="AFP17" s="214"/>
      <c r="AFQ17" s="214"/>
      <c r="AFR17" s="214"/>
      <c r="AFS17" s="214"/>
      <c r="AFT17" s="214"/>
      <c r="AFU17" s="214"/>
      <c r="AFV17" s="214"/>
      <c r="AFW17" s="214"/>
      <c r="AFX17" s="214"/>
      <c r="AFY17" s="214"/>
      <c r="AFZ17" s="214"/>
      <c r="AGA17" s="214"/>
      <c r="AGB17" s="214"/>
      <c r="AGC17" s="214"/>
      <c r="AGD17" s="214"/>
      <c r="AGE17" s="214"/>
      <c r="AGF17" s="214"/>
      <c r="AGG17" s="214"/>
      <c r="AGH17" s="214"/>
      <c r="AGI17" s="214"/>
      <c r="AGJ17" s="214"/>
      <c r="AGK17" s="214"/>
      <c r="AGL17" s="214"/>
      <c r="AGM17" s="214"/>
      <c r="AGN17" s="214"/>
      <c r="AGO17" s="214"/>
      <c r="AGP17" s="214"/>
      <c r="AGQ17" s="214"/>
      <c r="AGR17" s="214"/>
      <c r="AGS17" s="214"/>
      <c r="AGT17" s="214"/>
      <c r="AGU17" s="214"/>
      <c r="AGV17" s="214"/>
      <c r="AGW17" s="214"/>
      <c r="AGX17" s="214"/>
      <c r="AGY17" s="214"/>
      <c r="AGZ17" s="214"/>
      <c r="AHA17" s="214"/>
      <c r="AHB17" s="214"/>
      <c r="AHC17" s="214"/>
      <c r="AHD17" s="214"/>
      <c r="AHE17" s="214"/>
      <c r="AHF17" s="214"/>
      <c r="AHG17" s="214"/>
      <c r="AHH17" s="214"/>
      <c r="AHI17" s="214"/>
      <c r="AHJ17" s="214"/>
      <c r="AHK17" s="214"/>
      <c r="AHL17" s="214"/>
      <c r="AHM17" s="214"/>
      <c r="AHN17" s="214"/>
      <c r="AHO17" s="214"/>
      <c r="AHP17" s="214"/>
      <c r="AHQ17" s="214"/>
      <c r="AHR17" s="214"/>
      <c r="AHS17" s="214"/>
      <c r="AHT17" s="214"/>
      <c r="AHU17" s="214"/>
      <c r="AHV17" s="214"/>
      <c r="AHW17" s="214"/>
      <c r="AHX17" s="214"/>
      <c r="AHY17" s="214"/>
      <c r="AHZ17" s="214"/>
      <c r="AIA17" s="214"/>
      <c r="AIB17" s="214"/>
      <c r="AIC17" s="214"/>
      <c r="AID17" s="214"/>
      <c r="AIE17" s="214"/>
      <c r="AIF17" s="214"/>
      <c r="AIG17" s="214"/>
      <c r="AIH17" s="214"/>
      <c r="AII17" s="214"/>
      <c r="AIJ17" s="214"/>
      <c r="AIK17" s="214"/>
      <c r="AIL17" s="214"/>
      <c r="AIM17" s="214"/>
      <c r="AIN17" s="214"/>
      <c r="AIO17" s="214"/>
      <c r="AIP17" s="214"/>
      <c r="AIQ17" s="214"/>
      <c r="AIR17" s="214"/>
      <c r="AIS17" s="214"/>
      <c r="AIT17" s="214"/>
      <c r="AIU17" s="214"/>
      <c r="AIV17" s="214"/>
      <c r="AIW17" s="214"/>
      <c r="AIX17" s="214"/>
      <c r="AIY17" s="214"/>
      <c r="AIZ17" s="214"/>
      <c r="AJA17" s="214"/>
      <c r="AJB17" s="214"/>
      <c r="AJC17" s="214"/>
      <c r="AJD17" s="214"/>
      <c r="AJE17" s="214"/>
      <c r="AJF17" s="214"/>
      <c r="AJG17" s="214"/>
      <c r="AJH17" s="214"/>
      <c r="AJI17" s="214"/>
      <c r="AJJ17" s="214"/>
      <c r="AJK17" s="214"/>
      <c r="AJL17" s="214"/>
      <c r="AJM17" s="214"/>
      <c r="AJN17" s="214"/>
      <c r="AJO17" s="214"/>
      <c r="AJP17" s="214"/>
      <c r="AJQ17" s="214"/>
      <c r="AJR17" s="214"/>
      <c r="AJS17" s="214"/>
      <c r="AJT17" s="214"/>
      <c r="AJU17" s="214"/>
      <c r="AJV17" s="214"/>
      <c r="AJW17" s="214"/>
      <c r="AJX17" s="214"/>
      <c r="AJY17" s="214"/>
      <c r="AJZ17" s="214"/>
      <c r="AKA17" s="214"/>
      <c r="AKB17" s="214"/>
      <c r="AKC17" s="214"/>
      <c r="AKD17" s="214"/>
      <c r="AKE17" s="214"/>
      <c r="AKF17" s="214"/>
      <c r="AKG17" s="214"/>
      <c r="AKH17" s="214"/>
      <c r="AKI17" s="214"/>
      <c r="AKJ17" s="214"/>
      <c r="AKK17" s="214"/>
      <c r="AKL17" s="214"/>
      <c r="AKM17" s="214"/>
      <c r="AKN17" s="214"/>
      <c r="AKO17" s="214"/>
      <c r="AKP17" s="214"/>
      <c r="AKQ17" s="214"/>
      <c r="AKR17" s="214"/>
      <c r="AKS17" s="214"/>
      <c r="AKT17" s="214"/>
      <c r="AKU17" s="214"/>
      <c r="AKV17" s="214"/>
      <c r="AKW17" s="214"/>
      <c r="AKX17" s="214"/>
      <c r="AKY17" s="214"/>
      <c r="AKZ17" s="214"/>
      <c r="ALA17" s="214"/>
      <c r="ALB17" s="214"/>
      <c r="ALC17" s="214"/>
      <c r="ALD17" s="214"/>
      <c r="ALE17" s="214"/>
      <c r="ALF17" s="214"/>
      <c r="ALG17" s="214"/>
      <c r="ALH17" s="214"/>
      <c r="ALI17" s="214"/>
      <c r="ALJ17" s="214"/>
      <c r="ALK17" s="214"/>
      <c r="ALL17" s="214"/>
      <c r="ALM17" s="214"/>
      <c r="ALN17" s="214"/>
      <c r="ALO17" s="214"/>
      <c r="ALP17" s="214"/>
      <c r="ALQ17" s="214"/>
      <c r="ALR17" s="214"/>
      <c r="ALS17" s="214"/>
      <c r="ALT17" s="214"/>
      <c r="ALU17" s="214"/>
      <c r="ALV17" s="214"/>
      <c r="ALW17" s="214"/>
      <c r="ALX17" s="214"/>
      <c r="ALY17" s="214"/>
      <c r="ALZ17" s="214"/>
      <c r="AMA17" s="214"/>
      <c r="AMB17" s="214"/>
      <c r="AMC17" s="214"/>
      <c r="AMD17" s="214"/>
      <c r="AME17" s="214"/>
      <c r="AMF17" s="214"/>
      <c r="AMG17" s="214"/>
      <c r="AMH17" s="214"/>
      <c r="AMI17" s="214"/>
      <c r="AMJ17" s="214"/>
      <c r="AMK17" s="214"/>
      <c r="AML17" s="214"/>
      <c r="AMM17" s="214"/>
      <c r="AMN17" s="214"/>
      <c r="AMO17" s="214"/>
      <c r="AMP17" s="214"/>
      <c r="AMQ17" s="214"/>
      <c r="AMR17" s="214"/>
      <c r="AMS17" s="214"/>
      <c r="AMT17" s="214"/>
      <c r="AMU17" s="214"/>
      <c r="AMV17" s="214"/>
      <c r="AMW17" s="214"/>
      <c r="AMX17" s="214"/>
      <c r="AMY17" s="214"/>
      <c r="AMZ17" s="214"/>
      <c r="ANA17" s="214"/>
      <c r="ANB17" s="214"/>
      <c r="ANC17" s="214"/>
      <c r="AND17" s="214"/>
      <c r="ANE17" s="214"/>
      <c r="ANF17" s="214"/>
      <c r="ANG17" s="214"/>
      <c r="ANH17" s="214"/>
      <c r="ANI17" s="214"/>
      <c r="ANJ17" s="214"/>
      <c r="ANK17" s="214"/>
      <c r="ANL17" s="214"/>
      <c r="ANM17" s="214"/>
      <c r="ANN17" s="214"/>
      <c r="ANO17" s="214"/>
      <c r="ANP17" s="214"/>
      <c r="ANQ17" s="214"/>
      <c r="ANR17" s="214"/>
      <c r="ANS17" s="214"/>
      <c r="ANT17" s="214"/>
      <c r="ANU17" s="214"/>
      <c r="ANV17" s="214"/>
      <c r="ANW17" s="214"/>
      <c r="ANX17" s="214"/>
      <c r="ANY17" s="214"/>
      <c r="ANZ17" s="214"/>
      <c r="AOA17" s="214"/>
      <c r="AOB17" s="214"/>
      <c r="AOC17" s="214"/>
      <c r="AOD17" s="214"/>
      <c r="AOE17" s="214"/>
      <c r="AOF17" s="214"/>
      <c r="AOG17" s="214"/>
      <c r="AOH17" s="214"/>
      <c r="AOI17" s="214"/>
      <c r="AOJ17" s="214"/>
      <c r="AOK17" s="214"/>
      <c r="AOL17" s="214"/>
      <c r="AOM17" s="214"/>
      <c r="AON17" s="214"/>
      <c r="AOO17" s="214"/>
      <c r="AOP17" s="214"/>
      <c r="AOQ17" s="214"/>
      <c r="AOR17" s="214"/>
      <c r="AOS17" s="214"/>
      <c r="AOT17" s="214"/>
      <c r="AOU17" s="214"/>
      <c r="AOV17" s="214"/>
      <c r="AOW17" s="214"/>
      <c r="AOX17" s="214"/>
      <c r="AOY17" s="214"/>
      <c r="AOZ17" s="214"/>
      <c r="APA17" s="214"/>
      <c r="APB17" s="214"/>
      <c r="APC17" s="214"/>
      <c r="APD17" s="214"/>
      <c r="APE17" s="214"/>
      <c r="APF17" s="214"/>
      <c r="APG17" s="214"/>
      <c r="APH17" s="214"/>
      <c r="API17" s="214"/>
      <c r="APJ17" s="214"/>
      <c r="APK17" s="214"/>
      <c r="APL17" s="214"/>
      <c r="APM17" s="214"/>
      <c r="APN17" s="214"/>
      <c r="APO17" s="214"/>
      <c r="APP17" s="214"/>
      <c r="APQ17" s="214"/>
      <c r="APR17" s="214"/>
      <c r="APS17" s="214"/>
      <c r="APT17" s="214"/>
      <c r="APU17" s="214"/>
      <c r="APV17" s="214"/>
      <c r="APW17" s="214"/>
      <c r="APX17" s="214"/>
      <c r="APY17" s="214"/>
      <c r="APZ17" s="214"/>
      <c r="AQA17" s="214"/>
      <c r="AQB17" s="214"/>
      <c r="AQC17" s="214"/>
      <c r="AQD17" s="214"/>
      <c r="AQE17" s="214"/>
      <c r="AQF17" s="214"/>
      <c r="AQG17" s="214"/>
      <c r="AQH17" s="214"/>
      <c r="AQI17" s="214"/>
      <c r="AQJ17" s="214"/>
      <c r="AQK17" s="214"/>
      <c r="AQL17" s="214"/>
      <c r="AQM17" s="214"/>
      <c r="AQN17" s="214"/>
      <c r="AQO17" s="214"/>
      <c r="AQP17" s="214"/>
      <c r="AQQ17" s="214"/>
      <c r="AQR17" s="214"/>
      <c r="AQS17" s="214"/>
      <c r="AQT17" s="214"/>
      <c r="AQU17" s="214"/>
      <c r="AQV17" s="214"/>
      <c r="AQW17" s="214"/>
      <c r="AQX17" s="214"/>
      <c r="AQY17" s="214"/>
      <c r="AQZ17" s="214"/>
      <c r="ARA17" s="214"/>
      <c r="ARB17" s="214"/>
      <c r="ARC17" s="214"/>
      <c r="ARD17" s="214"/>
      <c r="ARE17" s="214"/>
      <c r="ARF17" s="214"/>
      <c r="ARG17" s="214"/>
      <c r="ARH17" s="214"/>
      <c r="ARI17" s="214"/>
      <c r="ARJ17" s="214"/>
      <c r="ARK17" s="214"/>
      <c r="ARL17" s="214"/>
      <c r="ARM17" s="214"/>
      <c r="ARN17" s="214"/>
      <c r="ARO17" s="214"/>
      <c r="ARP17" s="214"/>
      <c r="ARQ17" s="214"/>
      <c r="ARR17" s="214"/>
      <c r="ARS17" s="214"/>
      <c r="ART17" s="214"/>
      <c r="ARU17" s="214"/>
      <c r="ARV17" s="214"/>
      <c r="ARW17" s="214"/>
      <c r="ARX17" s="214"/>
      <c r="ARY17" s="214"/>
      <c r="ARZ17" s="214"/>
      <c r="ASA17" s="214"/>
      <c r="ASB17" s="214"/>
      <c r="ASC17" s="214"/>
      <c r="ASD17" s="214"/>
      <c r="ASE17" s="214"/>
      <c r="ASF17" s="214"/>
      <c r="ASG17" s="214"/>
      <c r="ASH17" s="214"/>
      <c r="ASI17" s="214"/>
      <c r="ASJ17" s="214"/>
      <c r="ASK17" s="214"/>
      <c r="ASL17" s="214"/>
      <c r="ASM17" s="214"/>
      <c r="ASN17" s="214"/>
      <c r="ASO17" s="214"/>
      <c r="ASP17" s="214"/>
      <c r="ASQ17" s="214"/>
      <c r="ASR17" s="214"/>
      <c r="ASS17" s="214"/>
      <c r="AST17" s="214"/>
      <c r="ASU17" s="214"/>
      <c r="ASV17" s="214"/>
      <c r="ASW17" s="214"/>
      <c r="ASX17" s="214"/>
      <c r="ASY17" s="214"/>
      <c r="ASZ17" s="214"/>
      <c r="ATA17" s="214"/>
      <c r="ATB17" s="214"/>
      <c r="ATC17" s="214"/>
      <c r="ATD17" s="214"/>
      <c r="ATE17" s="214"/>
      <c r="ATF17" s="214"/>
      <c r="ATG17" s="214"/>
      <c r="ATH17" s="214"/>
      <c r="ATI17" s="214"/>
      <c r="ATJ17" s="214"/>
      <c r="ATK17" s="214"/>
      <c r="ATL17" s="214"/>
      <c r="ATM17" s="214"/>
      <c r="ATN17" s="214"/>
      <c r="ATO17" s="214"/>
      <c r="ATP17" s="214"/>
      <c r="ATQ17" s="214"/>
      <c r="ATR17" s="214"/>
      <c r="ATS17" s="214"/>
      <c r="ATT17" s="214"/>
      <c r="ATU17" s="214"/>
      <c r="ATV17" s="214"/>
      <c r="ATW17" s="214"/>
      <c r="ATX17" s="214"/>
      <c r="ATY17" s="214"/>
      <c r="ATZ17" s="214"/>
      <c r="AUA17" s="214"/>
      <c r="AUB17" s="214"/>
      <c r="AUC17" s="214"/>
      <c r="AUD17" s="214"/>
      <c r="AUE17" s="214"/>
      <c r="AUF17" s="214"/>
      <c r="AUG17" s="214"/>
      <c r="AUH17" s="214"/>
      <c r="AUI17" s="214"/>
      <c r="AUJ17" s="214"/>
      <c r="AUK17" s="214"/>
      <c r="AUL17" s="214"/>
      <c r="AUM17" s="214"/>
      <c r="AUN17" s="214"/>
      <c r="AUO17" s="214"/>
      <c r="AUP17" s="214"/>
      <c r="AUQ17" s="214"/>
      <c r="AUR17" s="214"/>
      <c r="AUS17" s="214"/>
      <c r="AUT17" s="214"/>
      <c r="AUU17" s="214"/>
      <c r="AUV17" s="214"/>
      <c r="AUW17" s="214"/>
      <c r="AUX17" s="214"/>
      <c r="AUY17" s="214"/>
      <c r="AUZ17" s="214"/>
      <c r="AVA17" s="214"/>
      <c r="AVB17" s="214"/>
      <c r="AVC17" s="214"/>
      <c r="AVD17" s="214"/>
      <c r="AVE17" s="214"/>
      <c r="AVF17" s="214"/>
      <c r="AVG17" s="214"/>
      <c r="AVH17" s="214"/>
      <c r="AVI17" s="214"/>
      <c r="AVJ17" s="214"/>
      <c r="AVK17" s="214"/>
      <c r="AVL17" s="214"/>
      <c r="AVM17" s="214"/>
      <c r="AVN17" s="214"/>
      <c r="AVO17" s="214"/>
      <c r="AVP17" s="214"/>
      <c r="AVQ17" s="214"/>
      <c r="AVR17" s="214"/>
      <c r="AVS17" s="214"/>
      <c r="AVT17" s="214"/>
      <c r="AVU17" s="214"/>
      <c r="AVV17" s="214"/>
      <c r="AVW17" s="214"/>
      <c r="AVX17" s="214"/>
      <c r="AVY17" s="214"/>
      <c r="AVZ17" s="214"/>
      <c r="AWA17" s="214"/>
      <c r="AWB17" s="214"/>
      <c r="AWC17" s="214"/>
      <c r="AWD17" s="214"/>
      <c r="AWE17" s="214"/>
      <c r="AWF17" s="214"/>
      <c r="AWG17" s="214"/>
      <c r="AWH17" s="214"/>
      <c r="AWI17" s="214"/>
      <c r="AWJ17" s="214"/>
      <c r="AWK17" s="214"/>
      <c r="AWL17" s="214"/>
      <c r="AWM17" s="214"/>
      <c r="AWN17" s="214"/>
      <c r="AWO17" s="214"/>
      <c r="AWP17" s="214"/>
      <c r="AWQ17" s="214"/>
      <c r="AWR17" s="214"/>
      <c r="AWS17" s="214"/>
      <c r="AWT17" s="214"/>
      <c r="AWU17" s="214"/>
      <c r="AWV17" s="214"/>
      <c r="AWW17" s="214"/>
      <c r="AWX17" s="214"/>
      <c r="AWY17" s="214"/>
      <c r="AWZ17" s="214"/>
      <c r="AXA17" s="214"/>
      <c r="AXB17" s="214"/>
      <c r="AXC17" s="214"/>
      <c r="AXD17" s="214"/>
      <c r="AXE17" s="214"/>
      <c r="AXF17" s="214"/>
      <c r="AXG17" s="214"/>
      <c r="AXH17" s="214"/>
      <c r="AXI17" s="214"/>
      <c r="AXJ17" s="214"/>
      <c r="AXK17" s="214"/>
      <c r="AXL17" s="214"/>
      <c r="AXM17" s="214"/>
      <c r="AXN17" s="214"/>
      <c r="AXO17" s="214"/>
      <c r="AXP17" s="214"/>
      <c r="AXQ17" s="214"/>
      <c r="AXR17" s="214"/>
      <c r="AXS17" s="214"/>
      <c r="AXT17" s="214"/>
      <c r="AXU17" s="214"/>
      <c r="AXV17" s="214"/>
      <c r="AXW17" s="214"/>
      <c r="AXX17" s="214"/>
      <c r="AXY17" s="214"/>
      <c r="AXZ17" s="214"/>
      <c r="AYA17" s="214"/>
      <c r="AYB17" s="214"/>
      <c r="AYC17" s="214"/>
      <c r="AYD17" s="214"/>
      <c r="AYE17" s="214"/>
      <c r="AYF17" s="214"/>
      <c r="AYG17" s="214"/>
      <c r="AYH17" s="214"/>
      <c r="AYI17" s="214"/>
      <c r="AYJ17" s="214"/>
      <c r="AYK17" s="214"/>
      <c r="AYL17" s="214"/>
      <c r="AYM17" s="214"/>
      <c r="AYN17" s="214"/>
      <c r="AYO17" s="214"/>
      <c r="AYP17" s="214"/>
      <c r="AYQ17" s="214"/>
      <c r="AYR17" s="214"/>
      <c r="AYS17" s="214"/>
      <c r="AYT17" s="214"/>
      <c r="AYU17" s="214"/>
      <c r="AYV17" s="214"/>
      <c r="AYW17" s="214"/>
      <c r="AYX17" s="214"/>
      <c r="AYY17" s="214"/>
      <c r="AYZ17" s="214"/>
      <c r="AZA17" s="214"/>
      <c r="AZB17" s="214"/>
      <c r="AZC17" s="214"/>
      <c r="AZD17" s="214"/>
      <c r="AZE17" s="214"/>
      <c r="AZF17" s="214"/>
      <c r="AZG17" s="214"/>
      <c r="AZH17" s="214"/>
      <c r="AZI17" s="214"/>
      <c r="AZJ17" s="214"/>
      <c r="AZK17" s="214"/>
      <c r="AZL17" s="214"/>
      <c r="AZM17" s="214"/>
      <c r="AZN17" s="214"/>
      <c r="AZO17" s="214"/>
      <c r="AZP17" s="214"/>
      <c r="AZQ17" s="214"/>
      <c r="AZR17" s="214"/>
      <c r="AZS17" s="214"/>
      <c r="AZT17" s="214"/>
      <c r="AZU17" s="214"/>
      <c r="AZV17" s="214"/>
      <c r="AZW17" s="214"/>
      <c r="AZX17" s="214"/>
      <c r="AZY17" s="214"/>
      <c r="AZZ17" s="214"/>
      <c r="BAA17" s="214"/>
      <c r="BAB17" s="214"/>
      <c r="BAC17" s="214"/>
      <c r="BAD17" s="214"/>
      <c r="BAE17" s="214"/>
      <c r="BAF17" s="214"/>
      <c r="BAG17" s="214"/>
      <c r="BAH17" s="214"/>
      <c r="BAI17" s="214"/>
      <c r="BAJ17" s="214"/>
      <c r="BAK17" s="214"/>
      <c r="BAL17" s="214"/>
      <c r="BAM17" s="214"/>
      <c r="BAN17" s="214"/>
      <c r="BAO17" s="214"/>
      <c r="BAP17" s="214"/>
      <c r="BAQ17" s="214"/>
      <c r="BAR17" s="214"/>
      <c r="BAS17" s="214"/>
      <c r="BAT17" s="214"/>
      <c r="BAU17" s="214"/>
      <c r="BAV17" s="214"/>
      <c r="BAW17" s="214"/>
      <c r="BAX17" s="214"/>
      <c r="BAY17" s="214"/>
      <c r="BAZ17" s="214"/>
      <c r="BBA17" s="214"/>
      <c r="BBB17" s="214"/>
      <c r="BBC17" s="214"/>
      <c r="BBD17" s="214"/>
      <c r="BBE17" s="214"/>
      <c r="BBF17" s="214"/>
      <c r="BBG17" s="214"/>
      <c r="BBH17" s="214"/>
      <c r="BBI17" s="214"/>
      <c r="BBJ17" s="214"/>
      <c r="BBK17" s="214"/>
      <c r="BBL17" s="214"/>
      <c r="BBM17" s="214"/>
      <c r="BBN17" s="214"/>
      <c r="BBO17" s="214"/>
      <c r="BBP17" s="214"/>
      <c r="BBQ17" s="214"/>
      <c r="BBR17" s="214"/>
      <c r="BBS17" s="214"/>
      <c r="BBT17" s="214"/>
      <c r="BBU17" s="214"/>
      <c r="BBV17" s="214"/>
      <c r="BBW17" s="214"/>
      <c r="BBX17" s="214"/>
      <c r="BBY17" s="214"/>
      <c r="BBZ17" s="214"/>
      <c r="BCA17" s="214"/>
      <c r="BCB17" s="214"/>
      <c r="BCC17" s="214"/>
      <c r="BCD17" s="214"/>
      <c r="BCE17" s="214"/>
      <c r="BCF17" s="214"/>
      <c r="BCG17" s="214"/>
      <c r="BCH17" s="214"/>
      <c r="BCI17" s="214"/>
      <c r="BCJ17" s="214"/>
      <c r="BCK17" s="214"/>
      <c r="BCL17" s="214"/>
      <c r="BCM17" s="214"/>
      <c r="BCN17" s="214"/>
      <c r="BCO17" s="214"/>
      <c r="BCP17" s="214"/>
      <c r="BCQ17" s="214"/>
      <c r="BCR17" s="214"/>
      <c r="BCS17" s="214"/>
      <c r="BCT17" s="214"/>
      <c r="BCU17" s="214"/>
      <c r="BCV17" s="214"/>
      <c r="BCW17" s="214"/>
      <c r="BCX17" s="214"/>
      <c r="BCY17" s="214"/>
      <c r="BCZ17" s="214"/>
      <c r="BDA17" s="214"/>
      <c r="BDB17" s="214"/>
      <c r="BDC17" s="214"/>
      <c r="BDD17" s="214"/>
      <c r="BDE17" s="214"/>
      <c r="BDF17" s="214"/>
      <c r="BDG17" s="214"/>
      <c r="BDH17" s="214"/>
      <c r="BDI17" s="214"/>
      <c r="BDJ17" s="214"/>
      <c r="BDK17" s="214"/>
      <c r="BDL17" s="214"/>
      <c r="BDM17" s="214"/>
      <c r="BDN17" s="214"/>
      <c r="BDO17" s="214"/>
      <c r="BDP17" s="214"/>
      <c r="BDQ17" s="214"/>
      <c r="BDR17" s="214"/>
      <c r="BDS17" s="214"/>
      <c r="BDT17" s="214"/>
      <c r="BDU17" s="214"/>
      <c r="BDV17" s="214"/>
      <c r="BDW17" s="214"/>
      <c r="BDX17" s="214"/>
      <c r="BDY17" s="214"/>
      <c r="BDZ17" s="214"/>
      <c r="BEA17" s="214"/>
      <c r="BEB17" s="214"/>
      <c r="BEC17" s="214"/>
      <c r="BED17" s="214"/>
      <c r="BEE17" s="214"/>
      <c r="BEF17" s="214"/>
      <c r="BEG17" s="214"/>
      <c r="BEH17" s="214"/>
      <c r="BEI17" s="214"/>
      <c r="BEJ17" s="214"/>
      <c r="BEK17" s="214"/>
      <c r="BEL17" s="214"/>
      <c r="BEM17" s="214"/>
      <c r="BEN17" s="214"/>
      <c r="BEO17" s="214"/>
      <c r="BEP17" s="214"/>
      <c r="BEQ17" s="214"/>
      <c r="BER17" s="214"/>
      <c r="BES17" s="214"/>
      <c r="BET17" s="214"/>
      <c r="BEU17" s="214"/>
      <c r="BEV17" s="214"/>
      <c r="BEW17" s="214"/>
      <c r="BEX17" s="214"/>
      <c r="BEY17" s="214"/>
      <c r="BEZ17" s="214"/>
      <c r="BFA17" s="214"/>
      <c r="BFB17" s="214"/>
      <c r="BFC17" s="214"/>
      <c r="BFD17" s="214"/>
      <c r="BFE17" s="214"/>
      <c r="BFF17" s="214"/>
      <c r="BFG17" s="214"/>
      <c r="BFH17" s="214"/>
      <c r="BFI17" s="214"/>
      <c r="BFJ17" s="214"/>
      <c r="BFK17" s="214"/>
      <c r="BFL17" s="214"/>
      <c r="BFM17" s="214"/>
      <c r="BFN17" s="214"/>
      <c r="BFO17" s="214"/>
      <c r="BFP17" s="214"/>
      <c r="BFQ17" s="214"/>
      <c r="BFR17" s="214"/>
      <c r="BFS17" s="214"/>
      <c r="BFT17" s="214"/>
      <c r="BFU17" s="214"/>
      <c r="BFV17" s="214"/>
      <c r="BFW17" s="214"/>
      <c r="BFX17" s="214"/>
      <c r="BFY17" s="214"/>
      <c r="BFZ17" s="214"/>
      <c r="BGA17" s="214"/>
      <c r="BGB17" s="214"/>
      <c r="BGC17" s="214"/>
      <c r="BGD17" s="214"/>
      <c r="BGE17" s="214"/>
      <c r="BGF17" s="214"/>
      <c r="BGG17" s="214"/>
      <c r="BGH17" s="214"/>
      <c r="BGI17" s="214"/>
      <c r="BGJ17" s="214"/>
      <c r="BGK17" s="214"/>
      <c r="BGL17" s="214"/>
      <c r="BGM17" s="214"/>
      <c r="BGN17" s="214"/>
      <c r="BGO17" s="214"/>
      <c r="BGP17" s="214"/>
      <c r="BGQ17" s="214"/>
      <c r="BGR17" s="214"/>
      <c r="BGS17" s="214"/>
      <c r="BGT17" s="214"/>
      <c r="BGU17" s="214"/>
      <c r="BGV17" s="214"/>
      <c r="BGW17" s="214"/>
      <c r="BGX17" s="214"/>
      <c r="BGY17" s="214"/>
      <c r="BGZ17" s="214"/>
      <c r="BHA17" s="214"/>
      <c r="BHB17" s="214"/>
      <c r="BHC17" s="214"/>
      <c r="BHD17" s="214"/>
      <c r="BHE17" s="214"/>
      <c r="BHF17" s="214"/>
      <c r="BHG17" s="214"/>
      <c r="BHH17" s="214"/>
      <c r="BHI17" s="214"/>
      <c r="BHJ17" s="214"/>
      <c r="BHK17" s="214"/>
      <c r="BHL17" s="214"/>
      <c r="BHM17" s="214"/>
      <c r="BHN17" s="214"/>
      <c r="BHO17" s="214"/>
      <c r="BHP17" s="214"/>
      <c r="BHQ17" s="214"/>
      <c r="BHR17" s="214"/>
      <c r="BHS17" s="214"/>
      <c r="BHT17" s="214"/>
      <c r="BHU17" s="214"/>
      <c r="BHV17" s="214"/>
      <c r="BHW17" s="214"/>
    </row>
    <row r="18" spans="1:1583" s="219" customFormat="1" ht="15.75" thickBot="1">
      <c r="A18" s="290" t="s">
        <v>417</v>
      </c>
      <c r="B18" s="291"/>
      <c r="C18" s="291"/>
      <c r="D18" s="291" t="s">
        <v>616</v>
      </c>
      <c r="E18" s="265" t="s">
        <v>30</v>
      </c>
      <c r="F18" s="137"/>
      <c r="G18" s="60" t="s">
        <v>672</v>
      </c>
      <c r="H18" s="473">
        <f>SUM(I18:AN18)</f>
        <v>1189264.1158464232</v>
      </c>
      <c r="I18" s="292">
        <f>I17+I16</f>
        <v>35833.526856529104</v>
      </c>
      <c r="J18" s="437"/>
      <c r="K18" s="292">
        <f t="shared" ref="K18:AN18" si="12">K17+K16</f>
        <v>38814.228919925292</v>
      </c>
      <c r="L18" s="292">
        <f t="shared" si="12"/>
        <v>38790.987461689307</v>
      </c>
      <c r="M18" s="292">
        <f t="shared" si="12"/>
        <v>38667.164812801377</v>
      </c>
      <c r="N18" s="292">
        <f t="shared" si="12"/>
        <v>39102.176108563828</v>
      </c>
      <c r="O18" s="292">
        <f t="shared" si="12"/>
        <v>39681.375134448856</v>
      </c>
      <c r="P18" s="292">
        <f t="shared" si="12"/>
        <v>39457.058999446221</v>
      </c>
      <c r="Q18" s="292">
        <f t="shared" si="12"/>
        <v>38896.399214007761</v>
      </c>
      <c r="R18" s="292">
        <f t="shared" si="12"/>
        <v>38458.297290058785</v>
      </c>
      <c r="S18" s="292">
        <f t="shared" si="12"/>
        <v>38443.300855473557</v>
      </c>
      <c r="T18" s="292">
        <f t="shared" si="12"/>
        <v>38134.066565883812</v>
      </c>
      <c r="U18" s="292">
        <f t="shared" si="12"/>
        <v>38227.650735602714</v>
      </c>
      <c r="V18" s="292">
        <f t="shared" si="12"/>
        <v>38200.692545548212</v>
      </c>
      <c r="W18" s="292">
        <f t="shared" si="12"/>
        <v>38679.175902657953</v>
      </c>
      <c r="X18" s="292">
        <f t="shared" si="12"/>
        <v>37736.929644886142</v>
      </c>
      <c r="Y18" s="292">
        <f t="shared" si="12"/>
        <v>36353.971270080787</v>
      </c>
      <c r="Z18" s="292">
        <f t="shared" si="12"/>
        <v>35816.268911405205</v>
      </c>
      <c r="AA18" s="292">
        <f t="shared" si="12"/>
        <v>36322.140853782344</v>
      </c>
      <c r="AB18" s="292">
        <f t="shared" si="12"/>
        <v>36456.658240302058</v>
      </c>
      <c r="AC18" s="292">
        <f t="shared" si="12"/>
        <v>37213.17695715974</v>
      </c>
      <c r="AD18" s="292">
        <f t="shared" si="12"/>
        <v>38686.133148507186</v>
      </c>
      <c r="AE18" s="292">
        <f t="shared" si="12"/>
        <v>39024.314849963703</v>
      </c>
      <c r="AF18" s="292">
        <f t="shared" si="12"/>
        <v>38986.757696354784</v>
      </c>
      <c r="AG18" s="292">
        <f t="shared" si="12"/>
        <v>38976.447573313235</v>
      </c>
      <c r="AH18" s="292">
        <f t="shared" si="12"/>
        <v>39102.366959388033</v>
      </c>
      <c r="AI18" s="292">
        <f t="shared" si="12"/>
        <v>39132.572774354929</v>
      </c>
      <c r="AJ18" s="292">
        <f t="shared" si="12"/>
        <v>39183.605398589541</v>
      </c>
      <c r="AK18" s="292">
        <f t="shared" si="12"/>
        <v>39108.297572882904</v>
      </c>
      <c r="AL18" s="292">
        <f t="shared" si="12"/>
        <v>39111.418689723221</v>
      </c>
      <c r="AM18" s="292">
        <f t="shared" si="12"/>
        <v>39233.336485839529</v>
      </c>
      <c r="AN18" s="292">
        <f t="shared" si="12"/>
        <v>39433.617417253379</v>
      </c>
      <c r="AO18" s="218"/>
      <c r="AP18" s="218"/>
      <c r="AQ18" s="218"/>
      <c r="AR18" s="218"/>
      <c r="AS18" s="218"/>
      <c r="AT18" s="218"/>
      <c r="AU18" s="218"/>
      <c r="AV18" s="218"/>
      <c r="AW18" s="218"/>
      <c r="AX18" s="218"/>
      <c r="AY18" s="218"/>
      <c r="AZ18" s="218"/>
      <c r="BA18" s="218"/>
      <c r="BB18" s="218"/>
      <c r="BC18" s="218"/>
      <c r="BD18" s="218"/>
      <c r="BE18" s="218"/>
      <c r="BF18" s="218"/>
      <c r="BG18" s="218"/>
      <c r="BH18" s="218"/>
      <c r="BI18" s="218"/>
      <c r="BJ18" s="218"/>
      <c r="BK18" s="218"/>
      <c r="BL18" s="218"/>
      <c r="BM18" s="218"/>
      <c r="BN18" s="218"/>
      <c r="BO18" s="218"/>
      <c r="BP18" s="218"/>
      <c r="BQ18" s="218"/>
      <c r="BR18" s="218"/>
      <c r="BS18" s="218"/>
      <c r="BT18" s="218"/>
      <c r="BU18" s="218"/>
      <c r="BV18" s="218"/>
      <c r="BW18" s="218"/>
      <c r="BX18" s="218"/>
      <c r="BY18" s="218"/>
      <c r="BZ18" s="218"/>
      <c r="CA18" s="218"/>
      <c r="CB18" s="218"/>
      <c r="CC18" s="218"/>
      <c r="CD18" s="218"/>
      <c r="CE18" s="218"/>
      <c r="CF18" s="218"/>
      <c r="CG18" s="218"/>
      <c r="CH18" s="218"/>
      <c r="CI18" s="218"/>
      <c r="CJ18" s="218"/>
      <c r="CK18" s="218"/>
      <c r="CL18" s="218"/>
      <c r="CM18" s="218"/>
      <c r="CN18" s="218"/>
      <c r="CO18" s="218"/>
      <c r="CP18" s="218"/>
      <c r="CQ18" s="218"/>
      <c r="CR18" s="218"/>
      <c r="CS18" s="218"/>
      <c r="CT18" s="218"/>
      <c r="CU18" s="218"/>
      <c r="CV18" s="218"/>
      <c r="CW18" s="218"/>
      <c r="CX18" s="218"/>
      <c r="CY18" s="218"/>
      <c r="CZ18" s="218"/>
      <c r="DA18" s="218"/>
      <c r="DB18" s="218"/>
      <c r="DC18" s="218"/>
      <c r="DD18" s="218"/>
      <c r="DE18" s="218"/>
      <c r="DF18" s="218"/>
      <c r="DG18" s="218"/>
      <c r="DH18" s="218"/>
      <c r="DI18" s="218"/>
      <c r="DJ18" s="218"/>
      <c r="DK18" s="218"/>
      <c r="DL18" s="218"/>
      <c r="DM18" s="218"/>
      <c r="DN18" s="218"/>
      <c r="DO18" s="218"/>
      <c r="DP18" s="218"/>
      <c r="DQ18" s="218"/>
      <c r="DR18" s="218"/>
      <c r="DS18" s="218"/>
      <c r="DT18" s="218"/>
      <c r="DU18" s="218"/>
      <c r="DV18" s="218"/>
      <c r="DW18" s="218"/>
      <c r="DX18" s="218"/>
      <c r="DY18" s="218"/>
      <c r="DZ18" s="218"/>
      <c r="EA18" s="218"/>
      <c r="EB18" s="218"/>
      <c r="EC18" s="218"/>
      <c r="ED18" s="218"/>
      <c r="EE18" s="218"/>
      <c r="EF18" s="218"/>
      <c r="EG18" s="218"/>
      <c r="EH18" s="218"/>
      <c r="EI18" s="218"/>
      <c r="EJ18" s="218"/>
      <c r="EK18" s="218"/>
      <c r="EL18" s="218"/>
      <c r="EM18" s="218"/>
      <c r="EN18" s="218"/>
      <c r="EO18" s="218"/>
      <c r="EP18" s="218"/>
      <c r="EQ18" s="218"/>
      <c r="ER18" s="218"/>
      <c r="ES18" s="218"/>
      <c r="ET18" s="218"/>
      <c r="EU18" s="218"/>
      <c r="EV18" s="218"/>
      <c r="EW18" s="218"/>
      <c r="EX18" s="218"/>
      <c r="EY18" s="218"/>
      <c r="EZ18" s="218"/>
      <c r="FA18" s="218"/>
      <c r="FB18" s="218"/>
      <c r="FC18" s="218"/>
      <c r="FD18" s="218"/>
      <c r="FE18" s="218"/>
      <c r="FF18" s="218"/>
      <c r="FG18" s="218"/>
      <c r="FH18" s="218"/>
      <c r="FI18" s="218"/>
      <c r="FJ18" s="218"/>
      <c r="FK18" s="218"/>
      <c r="FL18" s="218"/>
      <c r="FM18" s="218"/>
      <c r="FN18" s="218"/>
      <c r="FO18" s="218"/>
      <c r="FP18" s="218"/>
      <c r="FQ18" s="218"/>
      <c r="FR18" s="218"/>
      <c r="FS18" s="218"/>
      <c r="FT18" s="218"/>
      <c r="FU18" s="218"/>
      <c r="FV18" s="218"/>
      <c r="FW18" s="218"/>
      <c r="FX18" s="218"/>
      <c r="FY18" s="218"/>
      <c r="FZ18" s="218"/>
      <c r="GA18" s="218"/>
      <c r="GB18" s="218"/>
      <c r="GC18" s="218"/>
      <c r="GD18" s="218"/>
      <c r="GE18" s="218"/>
      <c r="GF18" s="218"/>
      <c r="GG18" s="218"/>
      <c r="GH18" s="218"/>
      <c r="GI18" s="218"/>
      <c r="GJ18" s="218"/>
      <c r="GK18" s="218"/>
      <c r="GL18" s="218"/>
      <c r="GM18" s="218"/>
      <c r="GN18" s="218"/>
      <c r="GO18" s="218"/>
      <c r="GP18" s="218"/>
      <c r="GQ18" s="218"/>
      <c r="GR18" s="218"/>
      <c r="GS18" s="218"/>
      <c r="GT18" s="218"/>
      <c r="GU18" s="218"/>
      <c r="GV18" s="218"/>
      <c r="GW18" s="218"/>
      <c r="GX18" s="218"/>
      <c r="GY18" s="218"/>
      <c r="GZ18" s="218"/>
      <c r="HA18" s="218"/>
      <c r="HB18" s="218"/>
      <c r="HC18" s="218"/>
      <c r="HD18" s="218"/>
      <c r="HE18" s="218"/>
      <c r="HF18" s="218"/>
      <c r="HG18" s="218"/>
      <c r="HH18" s="218"/>
      <c r="HI18" s="218"/>
      <c r="HJ18" s="218"/>
      <c r="HK18" s="218"/>
      <c r="HL18" s="218"/>
      <c r="HM18" s="218"/>
      <c r="HN18" s="218"/>
      <c r="HO18" s="218"/>
      <c r="HP18" s="218"/>
      <c r="HQ18" s="218"/>
      <c r="HR18" s="218"/>
      <c r="HS18" s="218"/>
      <c r="HT18" s="218"/>
      <c r="HU18" s="218"/>
      <c r="HV18" s="218"/>
      <c r="HW18" s="218"/>
      <c r="HX18" s="218"/>
      <c r="HY18" s="218"/>
      <c r="HZ18" s="218"/>
      <c r="IA18" s="218"/>
      <c r="IB18" s="218"/>
      <c r="IC18" s="218"/>
      <c r="ID18" s="218"/>
      <c r="IE18" s="218"/>
      <c r="IF18" s="218"/>
      <c r="IG18" s="218"/>
      <c r="IH18" s="218"/>
      <c r="II18" s="218"/>
      <c r="IJ18" s="218"/>
      <c r="IK18" s="218"/>
      <c r="IL18" s="218"/>
      <c r="IM18" s="218"/>
      <c r="IN18" s="218"/>
      <c r="IO18" s="218"/>
      <c r="IP18" s="218"/>
      <c r="IQ18" s="218"/>
      <c r="IR18" s="218"/>
      <c r="IS18" s="218"/>
      <c r="IT18" s="218"/>
      <c r="IU18" s="218"/>
      <c r="IV18" s="218"/>
      <c r="IW18" s="218"/>
      <c r="IX18" s="218"/>
      <c r="IY18" s="218"/>
      <c r="IZ18" s="218"/>
      <c r="JA18" s="218"/>
      <c r="JB18" s="218"/>
      <c r="JC18" s="218"/>
      <c r="JD18" s="218"/>
      <c r="JE18" s="218"/>
      <c r="JF18" s="218"/>
      <c r="JG18" s="218"/>
      <c r="JH18" s="218"/>
      <c r="JI18" s="218"/>
      <c r="JJ18" s="218"/>
      <c r="JK18" s="218"/>
      <c r="JL18" s="218"/>
      <c r="JM18" s="218"/>
      <c r="JN18" s="218"/>
      <c r="JO18" s="218"/>
      <c r="JP18" s="218"/>
      <c r="JQ18" s="218"/>
      <c r="JR18" s="218"/>
      <c r="JS18" s="218"/>
      <c r="JT18" s="218"/>
      <c r="JU18" s="218"/>
      <c r="JV18" s="218"/>
      <c r="JW18" s="218"/>
      <c r="JX18" s="218"/>
      <c r="JY18" s="218"/>
      <c r="JZ18" s="218"/>
      <c r="KA18" s="218"/>
      <c r="KB18" s="218"/>
      <c r="KC18" s="218"/>
      <c r="KD18" s="218"/>
      <c r="KE18" s="218"/>
      <c r="KF18" s="218"/>
      <c r="KG18" s="218"/>
      <c r="KH18" s="218"/>
      <c r="KI18" s="218"/>
      <c r="KJ18" s="218"/>
      <c r="KK18" s="218"/>
      <c r="KL18" s="218"/>
      <c r="KM18" s="218"/>
      <c r="KN18" s="218"/>
      <c r="KO18" s="218"/>
      <c r="KP18" s="218"/>
      <c r="KQ18" s="218"/>
      <c r="KR18" s="218"/>
      <c r="KS18" s="218"/>
      <c r="KT18" s="218"/>
      <c r="KU18" s="218"/>
      <c r="KV18" s="218"/>
      <c r="KW18" s="218"/>
      <c r="KX18" s="218"/>
      <c r="KY18" s="218"/>
      <c r="KZ18" s="218"/>
      <c r="LA18" s="218"/>
      <c r="LB18" s="218"/>
      <c r="LC18" s="218"/>
      <c r="LD18" s="218"/>
      <c r="LE18" s="218"/>
      <c r="LF18" s="218"/>
      <c r="LG18" s="218"/>
      <c r="LH18" s="218"/>
      <c r="LI18" s="218"/>
      <c r="LJ18" s="218"/>
      <c r="LK18" s="218"/>
      <c r="LL18" s="218"/>
      <c r="LM18" s="218"/>
      <c r="LN18" s="218"/>
      <c r="LO18" s="218"/>
      <c r="LP18" s="218"/>
      <c r="LQ18" s="218"/>
      <c r="LR18" s="218"/>
      <c r="LS18" s="218"/>
      <c r="LT18" s="218"/>
      <c r="LU18" s="218"/>
      <c r="LV18" s="218"/>
      <c r="LW18" s="218"/>
      <c r="LX18" s="218"/>
      <c r="LY18" s="218"/>
      <c r="LZ18" s="218"/>
      <c r="MA18" s="218"/>
      <c r="MB18" s="218"/>
      <c r="MC18" s="218"/>
      <c r="MD18" s="218"/>
      <c r="ME18" s="218"/>
      <c r="MF18" s="218"/>
      <c r="MG18" s="218"/>
      <c r="MH18" s="218"/>
      <c r="MI18" s="218"/>
      <c r="MJ18" s="218"/>
      <c r="MK18" s="218"/>
      <c r="ML18" s="218"/>
      <c r="MM18" s="218"/>
      <c r="MN18" s="218"/>
      <c r="MO18" s="218"/>
      <c r="MP18" s="218"/>
      <c r="MQ18" s="218"/>
      <c r="MR18" s="218"/>
      <c r="MS18" s="218"/>
      <c r="MT18" s="218"/>
      <c r="MU18" s="218"/>
      <c r="MV18" s="218"/>
      <c r="MW18" s="218"/>
      <c r="MX18" s="218"/>
      <c r="MY18" s="218"/>
      <c r="MZ18" s="218"/>
      <c r="NA18" s="218"/>
      <c r="NB18" s="218"/>
      <c r="NC18" s="218"/>
      <c r="ND18" s="218"/>
      <c r="NE18" s="218"/>
      <c r="NF18" s="218"/>
      <c r="NG18" s="218"/>
      <c r="NH18" s="218"/>
      <c r="NI18" s="218"/>
      <c r="NJ18" s="218"/>
      <c r="NK18" s="218"/>
      <c r="NL18" s="218"/>
      <c r="NM18" s="218"/>
      <c r="NN18" s="218"/>
      <c r="NO18" s="218"/>
      <c r="NP18" s="218"/>
      <c r="NQ18" s="218"/>
      <c r="NR18" s="218"/>
      <c r="NS18" s="218"/>
      <c r="NT18" s="218"/>
      <c r="NU18" s="218"/>
      <c r="NV18" s="218"/>
      <c r="NW18" s="218"/>
      <c r="NX18" s="218"/>
      <c r="NY18" s="218"/>
      <c r="NZ18" s="218"/>
      <c r="OA18" s="218"/>
      <c r="OB18" s="218"/>
      <c r="OC18" s="218"/>
      <c r="OD18" s="218"/>
      <c r="OE18" s="218"/>
      <c r="OF18" s="218"/>
      <c r="OG18" s="218"/>
      <c r="OH18" s="218"/>
      <c r="OI18" s="218"/>
      <c r="OJ18" s="218"/>
      <c r="OK18" s="218"/>
      <c r="OL18" s="218"/>
      <c r="OM18" s="218"/>
      <c r="ON18" s="218"/>
      <c r="OO18" s="218"/>
      <c r="OP18" s="218"/>
      <c r="OQ18" s="218"/>
      <c r="OR18" s="218"/>
      <c r="OS18" s="218"/>
      <c r="OT18" s="218"/>
      <c r="OU18" s="218"/>
      <c r="OV18" s="218"/>
      <c r="OW18" s="218"/>
      <c r="OX18" s="218"/>
      <c r="OY18" s="218"/>
      <c r="OZ18" s="218"/>
      <c r="PA18" s="218"/>
      <c r="PB18" s="218"/>
      <c r="PC18" s="218"/>
      <c r="PD18" s="218"/>
      <c r="PE18" s="218"/>
      <c r="PF18" s="218"/>
      <c r="PG18" s="218"/>
      <c r="PH18" s="218"/>
      <c r="PI18" s="218"/>
      <c r="PJ18" s="218"/>
      <c r="PK18" s="218"/>
      <c r="PL18" s="218"/>
      <c r="PM18" s="218"/>
      <c r="PN18" s="218"/>
      <c r="PO18" s="218"/>
      <c r="PP18" s="218"/>
      <c r="PQ18" s="218"/>
      <c r="PR18" s="218"/>
      <c r="PS18" s="218"/>
      <c r="PT18" s="218"/>
      <c r="PU18" s="218"/>
      <c r="PV18" s="218"/>
      <c r="PW18" s="218"/>
      <c r="PX18" s="218"/>
      <c r="PY18" s="218"/>
      <c r="PZ18" s="218"/>
      <c r="QA18" s="218"/>
      <c r="QB18" s="218"/>
      <c r="QC18" s="218"/>
      <c r="QD18" s="218"/>
      <c r="QE18" s="218"/>
      <c r="QF18" s="218"/>
      <c r="QG18" s="218"/>
      <c r="QH18" s="218"/>
      <c r="QI18" s="218"/>
      <c r="QJ18" s="218"/>
      <c r="QK18" s="218"/>
      <c r="QL18" s="218"/>
      <c r="QM18" s="218"/>
      <c r="QN18" s="218"/>
      <c r="QO18" s="218"/>
      <c r="QP18" s="218"/>
      <c r="QQ18" s="218"/>
      <c r="QR18" s="218"/>
      <c r="QS18" s="218"/>
      <c r="QT18" s="218"/>
      <c r="QU18" s="218"/>
      <c r="QV18" s="218"/>
      <c r="QW18" s="218"/>
      <c r="QX18" s="218"/>
      <c r="QY18" s="218"/>
      <c r="QZ18" s="218"/>
      <c r="RA18" s="218"/>
      <c r="RB18" s="218"/>
      <c r="RC18" s="218"/>
      <c r="RD18" s="218"/>
      <c r="RE18" s="218"/>
      <c r="RF18" s="218"/>
      <c r="RG18" s="218"/>
      <c r="RH18" s="218"/>
      <c r="RI18" s="218"/>
      <c r="RJ18" s="218"/>
      <c r="RK18" s="218"/>
      <c r="RL18" s="218"/>
      <c r="RM18" s="218"/>
      <c r="RN18" s="218"/>
      <c r="RO18" s="218"/>
      <c r="RP18" s="218"/>
      <c r="RQ18" s="218"/>
      <c r="RR18" s="218"/>
      <c r="RS18" s="218"/>
      <c r="RT18" s="218"/>
      <c r="RU18" s="218"/>
      <c r="RV18" s="218"/>
      <c r="RW18" s="218"/>
      <c r="RX18" s="218"/>
      <c r="RY18" s="218"/>
      <c r="RZ18" s="218"/>
      <c r="SA18" s="218"/>
      <c r="SB18" s="218"/>
      <c r="SC18" s="218"/>
      <c r="SD18" s="218"/>
      <c r="SE18" s="218"/>
      <c r="SF18" s="218"/>
      <c r="SG18" s="218"/>
      <c r="SH18" s="218"/>
      <c r="SI18" s="218"/>
      <c r="SJ18" s="218"/>
      <c r="SK18" s="218"/>
      <c r="SL18" s="218"/>
      <c r="SM18" s="218"/>
      <c r="SN18" s="218"/>
      <c r="SO18" s="218"/>
      <c r="SP18" s="218"/>
      <c r="SQ18" s="218"/>
      <c r="SR18" s="218"/>
      <c r="SS18" s="218"/>
      <c r="ST18" s="218"/>
      <c r="SU18" s="218"/>
      <c r="SV18" s="218"/>
      <c r="SW18" s="218"/>
      <c r="SX18" s="218"/>
      <c r="SY18" s="218"/>
      <c r="SZ18" s="218"/>
      <c r="TA18" s="218"/>
      <c r="TB18" s="218"/>
      <c r="TC18" s="218"/>
      <c r="TD18" s="218"/>
      <c r="TE18" s="218"/>
      <c r="TF18" s="218"/>
      <c r="TG18" s="218"/>
      <c r="TH18" s="218"/>
      <c r="TI18" s="218"/>
      <c r="TJ18" s="218"/>
      <c r="TK18" s="218"/>
      <c r="TL18" s="218"/>
      <c r="TM18" s="218"/>
      <c r="TN18" s="218"/>
      <c r="TO18" s="218"/>
      <c r="TP18" s="218"/>
      <c r="TQ18" s="218"/>
      <c r="TR18" s="218"/>
      <c r="TS18" s="218"/>
      <c r="TT18" s="218"/>
      <c r="TU18" s="218"/>
      <c r="TV18" s="218"/>
      <c r="TW18" s="218"/>
      <c r="TX18" s="218"/>
      <c r="TY18" s="218"/>
      <c r="TZ18" s="218"/>
      <c r="UA18" s="218"/>
      <c r="UB18" s="218"/>
      <c r="UC18" s="218"/>
      <c r="UD18" s="218"/>
      <c r="UE18" s="218"/>
      <c r="UF18" s="218"/>
      <c r="UG18" s="218"/>
      <c r="UH18" s="218"/>
      <c r="UI18" s="218"/>
      <c r="UJ18" s="218"/>
      <c r="UK18" s="218"/>
      <c r="UL18" s="218"/>
      <c r="UM18" s="218"/>
      <c r="UN18" s="218"/>
      <c r="UO18" s="218"/>
      <c r="UP18" s="218"/>
      <c r="UQ18" s="218"/>
      <c r="UR18" s="218"/>
      <c r="US18" s="218"/>
      <c r="UT18" s="218"/>
      <c r="UU18" s="218"/>
      <c r="UV18" s="218"/>
      <c r="UW18" s="218"/>
      <c r="UX18" s="218"/>
      <c r="UY18" s="218"/>
      <c r="UZ18" s="218"/>
      <c r="VA18" s="218"/>
      <c r="VB18" s="218"/>
      <c r="VC18" s="218"/>
      <c r="VD18" s="218"/>
      <c r="VE18" s="218"/>
      <c r="VF18" s="218"/>
      <c r="VG18" s="218"/>
      <c r="VH18" s="218"/>
      <c r="VI18" s="218"/>
      <c r="VJ18" s="218"/>
      <c r="VK18" s="218"/>
      <c r="VL18" s="218"/>
      <c r="VM18" s="218"/>
      <c r="VN18" s="218"/>
      <c r="VO18" s="218"/>
      <c r="VP18" s="218"/>
      <c r="VQ18" s="218"/>
      <c r="VR18" s="218"/>
      <c r="VS18" s="218"/>
      <c r="VT18" s="218"/>
      <c r="VU18" s="218"/>
      <c r="VV18" s="218"/>
      <c r="VW18" s="218"/>
      <c r="VX18" s="218"/>
      <c r="VY18" s="218"/>
      <c r="VZ18" s="218"/>
      <c r="WA18" s="218"/>
      <c r="WB18" s="218"/>
      <c r="WC18" s="218"/>
      <c r="WD18" s="218"/>
      <c r="WE18" s="218"/>
      <c r="WF18" s="218"/>
      <c r="WG18" s="218"/>
      <c r="WH18" s="218"/>
      <c r="WI18" s="218"/>
      <c r="WJ18" s="218"/>
      <c r="WK18" s="218"/>
      <c r="WL18" s="218"/>
      <c r="WM18" s="218"/>
      <c r="WN18" s="218"/>
      <c r="WO18" s="218"/>
      <c r="WP18" s="218"/>
      <c r="WQ18" s="218"/>
      <c r="WR18" s="218"/>
      <c r="WS18" s="218"/>
      <c r="WT18" s="218"/>
      <c r="WU18" s="218"/>
      <c r="WV18" s="218"/>
      <c r="WW18" s="218"/>
      <c r="WX18" s="218"/>
      <c r="WY18" s="218"/>
      <c r="WZ18" s="218"/>
      <c r="XA18" s="218"/>
      <c r="XB18" s="218"/>
      <c r="XC18" s="218"/>
      <c r="XD18" s="218"/>
      <c r="XE18" s="218"/>
      <c r="XF18" s="218"/>
      <c r="XG18" s="218"/>
      <c r="XH18" s="218"/>
      <c r="XI18" s="218"/>
      <c r="XJ18" s="218"/>
      <c r="XK18" s="218"/>
      <c r="XL18" s="218"/>
      <c r="XM18" s="218"/>
      <c r="XN18" s="218"/>
      <c r="XO18" s="218"/>
      <c r="XP18" s="218"/>
      <c r="XQ18" s="218"/>
      <c r="XR18" s="218"/>
      <c r="XS18" s="218"/>
      <c r="XT18" s="218"/>
      <c r="XU18" s="218"/>
      <c r="XV18" s="218"/>
      <c r="XW18" s="218"/>
      <c r="XX18" s="218"/>
      <c r="XY18" s="218"/>
      <c r="XZ18" s="218"/>
      <c r="YA18" s="218"/>
      <c r="YB18" s="218"/>
      <c r="YC18" s="218"/>
      <c r="YD18" s="218"/>
      <c r="YE18" s="218"/>
      <c r="YF18" s="218"/>
      <c r="YG18" s="218"/>
      <c r="YH18" s="218"/>
      <c r="YI18" s="218"/>
      <c r="YJ18" s="218"/>
      <c r="YK18" s="218"/>
      <c r="YL18" s="218"/>
      <c r="YM18" s="218"/>
      <c r="YN18" s="218"/>
      <c r="YO18" s="218"/>
      <c r="YP18" s="218"/>
      <c r="YQ18" s="218"/>
      <c r="YR18" s="218"/>
      <c r="YS18" s="218"/>
      <c r="YT18" s="218"/>
      <c r="YU18" s="218"/>
      <c r="YV18" s="218"/>
      <c r="YW18" s="218"/>
      <c r="YX18" s="218"/>
      <c r="YY18" s="218"/>
      <c r="YZ18" s="218"/>
      <c r="ZA18" s="218"/>
      <c r="ZB18" s="218"/>
      <c r="ZC18" s="218"/>
      <c r="ZD18" s="218"/>
      <c r="ZE18" s="218"/>
      <c r="ZF18" s="218"/>
      <c r="ZG18" s="218"/>
      <c r="ZH18" s="218"/>
      <c r="ZI18" s="218"/>
      <c r="ZJ18" s="218"/>
      <c r="ZK18" s="218"/>
      <c r="ZL18" s="218"/>
      <c r="ZM18" s="218"/>
      <c r="ZN18" s="218"/>
      <c r="ZO18" s="218"/>
      <c r="ZP18" s="218"/>
      <c r="ZQ18" s="218"/>
      <c r="ZR18" s="218"/>
      <c r="ZS18" s="218"/>
      <c r="ZT18" s="218"/>
      <c r="ZU18" s="218"/>
      <c r="ZV18" s="218"/>
      <c r="ZW18" s="218"/>
      <c r="ZX18" s="218"/>
      <c r="ZY18" s="218"/>
      <c r="ZZ18" s="218"/>
      <c r="AAA18" s="218"/>
      <c r="AAB18" s="218"/>
      <c r="AAC18" s="218"/>
      <c r="AAD18" s="218"/>
      <c r="AAE18" s="218"/>
      <c r="AAF18" s="218"/>
      <c r="AAG18" s="218"/>
      <c r="AAH18" s="218"/>
      <c r="AAI18" s="218"/>
      <c r="AAJ18" s="218"/>
      <c r="AAK18" s="218"/>
      <c r="AAL18" s="218"/>
      <c r="AAM18" s="218"/>
      <c r="AAN18" s="218"/>
      <c r="AAO18" s="218"/>
      <c r="AAP18" s="218"/>
      <c r="AAQ18" s="218"/>
      <c r="AAR18" s="218"/>
      <c r="AAS18" s="218"/>
      <c r="AAT18" s="218"/>
      <c r="AAU18" s="218"/>
      <c r="AAV18" s="218"/>
      <c r="AAW18" s="218"/>
      <c r="AAX18" s="218"/>
      <c r="AAY18" s="218"/>
      <c r="AAZ18" s="218"/>
      <c r="ABA18" s="218"/>
      <c r="ABB18" s="218"/>
      <c r="ABC18" s="218"/>
      <c r="ABD18" s="218"/>
      <c r="ABE18" s="218"/>
      <c r="ABF18" s="218"/>
      <c r="ABG18" s="218"/>
      <c r="ABH18" s="218"/>
      <c r="ABI18" s="218"/>
      <c r="ABJ18" s="218"/>
      <c r="ABK18" s="218"/>
      <c r="ABL18" s="218"/>
      <c r="ABM18" s="218"/>
      <c r="ABN18" s="218"/>
      <c r="ABO18" s="218"/>
      <c r="ABP18" s="218"/>
      <c r="ABQ18" s="218"/>
      <c r="ABR18" s="218"/>
      <c r="ABS18" s="218"/>
      <c r="ABT18" s="218"/>
      <c r="ABU18" s="218"/>
      <c r="ABV18" s="218"/>
      <c r="ABW18" s="218"/>
      <c r="ABX18" s="218"/>
      <c r="ABY18" s="218"/>
      <c r="ABZ18" s="218"/>
      <c r="ACA18" s="218"/>
      <c r="ACB18" s="218"/>
      <c r="ACC18" s="218"/>
      <c r="ACD18" s="218"/>
      <c r="ACE18" s="218"/>
      <c r="ACF18" s="218"/>
      <c r="ACG18" s="218"/>
      <c r="ACH18" s="218"/>
      <c r="ACI18" s="218"/>
      <c r="ACJ18" s="218"/>
      <c r="ACK18" s="218"/>
      <c r="ACL18" s="218"/>
      <c r="ACM18" s="218"/>
      <c r="ACN18" s="218"/>
      <c r="ACO18" s="218"/>
      <c r="ACP18" s="218"/>
      <c r="ACQ18" s="218"/>
      <c r="ACR18" s="218"/>
      <c r="ACS18" s="218"/>
      <c r="ACT18" s="218"/>
      <c r="ACU18" s="218"/>
      <c r="ACV18" s="218"/>
      <c r="ACW18" s="218"/>
      <c r="ACX18" s="218"/>
      <c r="ACY18" s="218"/>
      <c r="ACZ18" s="218"/>
      <c r="ADA18" s="218"/>
      <c r="ADB18" s="218"/>
      <c r="ADC18" s="218"/>
      <c r="ADD18" s="218"/>
      <c r="ADE18" s="218"/>
      <c r="ADF18" s="218"/>
      <c r="ADG18" s="218"/>
      <c r="ADH18" s="218"/>
      <c r="ADI18" s="218"/>
      <c r="ADJ18" s="218"/>
      <c r="ADK18" s="218"/>
      <c r="ADL18" s="218"/>
      <c r="ADM18" s="218"/>
      <c r="ADN18" s="218"/>
      <c r="ADO18" s="218"/>
      <c r="ADP18" s="218"/>
      <c r="ADQ18" s="218"/>
      <c r="ADR18" s="218"/>
      <c r="ADS18" s="218"/>
      <c r="ADT18" s="218"/>
      <c r="ADU18" s="218"/>
      <c r="ADV18" s="218"/>
      <c r="ADW18" s="218"/>
      <c r="ADX18" s="218"/>
      <c r="ADY18" s="218"/>
      <c r="ADZ18" s="218"/>
      <c r="AEA18" s="218"/>
      <c r="AEB18" s="218"/>
      <c r="AEC18" s="218"/>
      <c r="AED18" s="218"/>
      <c r="AEE18" s="218"/>
      <c r="AEF18" s="218"/>
      <c r="AEG18" s="218"/>
      <c r="AEH18" s="218"/>
      <c r="AEI18" s="218"/>
      <c r="AEJ18" s="218"/>
      <c r="AEK18" s="218"/>
      <c r="AEL18" s="218"/>
      <c r="AEM18" s="218"/>
      <c r="AEN18" s="218"/>
      <c r="AEO18" s="218"/>
      <c r="AEP18" s="218"/>
      <c r="AEQ18" s="218"/>
      <c r="AER18" s="218"/>
      <c r="AES18" s="218"/>
      <c r="AET18" s="218"/>
      <c r="AEU18" s="218"/>
      <c r="AEV18" s="218"/>
      <c r="AEW18" s="218"/>
      <c r="AEX18" s="218"/>
      <c r="AEY18" s="218"/>
      <c r="AEZ18" s="218"/>
      <c r="AFA18" s="218"/>
      <c r="AFB18" s="218"/>
      <c r="AFC18" s="218"/>
      <c r="AFD18" s="218"/>
      <c r="AFE18" s="218"/>
      <c r="AFF18" s="218"/>
      <c r="AFG18" s="218"/>
      <c r="AFH18" s="218"/>
      <c r="AFI18" s="218"/>
      <c r="AFJ18" s="218"/>
      <c r="AFK18" s="218"/>
      <c r="AFL18" s="218"/>
      <c r="AFM18" s="218"/>
      <c r="AFN18" s="218"/>
      <c r="AFO18" s="218"/>
      <c r="AFP18" s="218"/>
      <c r="AFQ18" s="218"/>
      <c r="AFR18" s="218"/>
      <c r="AFS18" s="218"/>
      <c r="AFT18" s="218"/>
      <c r="AFU18" s="218"/>
      <c r="AFV18" s="218"/>
      <c r="AFW18" s="218"/>
      <c r="AFX18" s="218"/>
      <c r="AFY18" s="218"/>
      <c r="AFZ18" s="218"/>
      <c r="AGA18" s="218"/>
      <c r="AGB18" s="218"/>
      <c r="AGC18" s="218"/>
      <c r="AGD18" s="218"/>
      <c r="AGE18" s="218"/>
      <c r="AGF18" s="218"/>
      <c r="AGG18" s="218"/>
      <c r="AGH18" s="218"/>
      <c r="AGI18" s="218"/>
      <c r="AGJ18" s="218"/>
      <c r="AGK18" s="218"/>
      <c r="AGL18" s="218"/>
      <c r="AGM18" s="218"/>
      <c r="AGN18" s="218"/>
      <c r="AGO18" s="218"/>
      <c r="AGP18" s="218"/>
      <c r="AGQ18" s="218"/>
      <c r="AGR18" s="218"/>
      <c r="AGS18" s="218"/>
      <c r="AGT18" s="218"/>
      <c r="AGU18" s="218"/>
      <c r="AGV18" s="218"/>
      <c r="AGW18" s="218"/>
      <c r="AGX18" s="218"/>
      <c r="AGY18" s="218"/>
      <c r="AGZ18" s="218"/>
      <c r="AHA18" s="218"/>
      <c r="AHB18" s="218"/>
      <c r="AHC18" s="218"/>
      <c r="AHD18" s="218"/>
      <c r="AHE18" s="218"/>
      <c r="AHF18" s="218"/>
      <c r="AHG18" s="218"/>
      <c r="AHH18" s="218"/>
      <c r="AHI18" s="218"/>
      <c r="AHJ18" s="218"/>
      <c r="AHK18" s="218"/>
      <c r="AHL18" s="218"/>
      <c r="AHM18" s="218"/>
      <c r="AHN18" s="218"/>
      <c r="AHO18" s="218"/>
      <c r="AHP18" s="218"/>
      <c r="AHQ18" s="218"/>
      <c r="AHR18" s="218"/>
      <c r="AHS18" s="218"/>
      <c r="AHT18" s="218"/>
      <c r="AHU18" s="218"/>
      <c r="AHV18" s="218"/>
      <c r="AHW18" s="218"/>
      <c r="AHX18" s="218"/>
      <c r="AHY18" s="218"/>
      <c r="AHZ18" s="218"/>
      <c r="AIA18" s="218"/>
      <c r="AIB18" s="218"/>
      <c r="AIC18" s="218"/>
      <c r="AID18" s="218"/>
      <c r="AIE18" s="218"/>
      <c r="AIF18" s="218"/>
      <c r="AIG18" s="218"/>
      <c r="AIH18" s="218"/>
      <c r="AII18" s="218"/>
      <c r="AIJ18" s="218"/>
      <c r="AIK18" s="218"/>
      <c r="AIL18" s="218"/>
      <c r="AIM18" s="218"/>
      <c r="AIN18" s="218"/>
      <c r="AIO18" s="218"/>
      <c r="AIP18" s="218"/>
      <c r="AIQ18" s="218"/>
      <c r="AIR18" s="218"/>
      <c r="AIS18" s="218"/>
      <c r="AIT18" s="218"/>
      <c r="AIU18" s="218"/>
      <c r="AIV18" s="218"/>
      <c r="AIW18" s="218"/>
      <c r="AIX18" s="218"/>
      <c r="AIY18" s="218"/>
      <c r="AIZ18" s="218"/>
      <c r="AJA18" s="218"/>
      <c r="AJB18" s="218"/>
      <c r="AJC18" s="218"/>
      <c r="AJD18" s="218"/>
      <c r="AJE18" s="218"/>
      <c r="AJF18" s="218"/>
      <c r="AJG18" s="218"/>
      <c r="AJH18" s="218"/>
      <c r="AJI18" s="218"/>
      <c r="AJJ18" s="218"/>
      <c r="AJK18" s="218"/>
      <c r="AJL18" s="218"/>
      <c r="AJM18" s="218"/>
      <c r="AJN18" s="218"/>
      <c r="AJO18" s="218"/>
      <c r="AJP18" s="218"/>
      <c r="AJQ18" s="218"/>
      <c r="AJR18" s="218"/>
      <c r="AJS18" s="218"/>
      <c r="AJT18" s="218"/>
      <c r="AJU18" s="218"/>
      <c r="AJV18" s="218"/>
      <c r="AJW18" s="218"/>
      <c r="AJX18" s="218"/>
      <c r="AJY18" s="218"/>
      <c r="AJZ18" s="218"/>
      <c r="AKA18" s="218"/>
      <c r="AKB18" s="218"/>
      <c r="AKC18" s="218"/>
      <c r="AKD18" s="218"/>
      <c r="AKE18" s="218"/>
      <c r="AKF18" s="218"/>
      <c r="AKG18" s="218"/>
      <c r="AKH18" s="218"/>
      <c r="AKI18" s="218"/>
      <c r="AKJ18" s="218"/>
      <c r="AKK18" s="218"/>
      <c r="AKL18" s="218"/>
      <c r="AKM18" s="218"/>
      <c r="AKN18" s="218"/>
      <c r="AKO18" s="218"/>
      <c r="AKP18" s="218"/>
      <c r="AKQ18" s="218"/>
      <c r="AKR18" s="218"/>
      <c r="AKS18" s="218"/>
      <c r="AKT18" s="218"/>
      <c r="AKU18" s="218"/>
      <c r="AKV18" s="218"/>
      <c r="AKW18" s="218"/>
      <c r="AKX18" s="218"/>
      <c r="AKY18" s="218"/>
      <c r="AKZ18" s="218"/>
      <c r="ALA18" s="218"/>
      <c r="ALB18" s="218"/>
      <c r="ALC18" s="218"/>
      <c r="ALD18" s="218"/>
      <c r="ALE18" s="218"/>
      <c r="ALF18" s="218"/>
      <c r="ALG18" s="218"/>
      <c r="ALH18" s="218"/>
      <c r="ALI18" s="218"/>
      <c r="ALJ18" s="218"/>
      <c r="ALK18" s="218"/>
      <c r="ALL18" s="218"/>
      <c r="ALM18" s="218"/>
      <c r="ALN18" s="218"/>
      <c r="ALO18" s="218"/>
      <c r="ALP18" s="218"/>
      <c r="ALQ18" s="218"/>
      <c r="ALR18" s="218"/>
      <c r="ALS18" s="218"/>
      <c r="ALT18" s="218"/>
      <c r="ALU18" s="218"/>
      <c r="ALV18" s="218"/>
      <c r="ALW18" s="218"/>
      <c r="ALX18" s="218"/>
      <c r="ALY18" s="218"/>
      <c r="ALZ18" s="218"/>
      <c r="AMA18" s="218"/>
      <c r="AMB18" s="218"/>
      <c r="AMC18" s="218"/>
      <c r="AMD18" s="218"/>
      <c r="AME18" s="218"/>
      <c r="AMF18" s="218"/>
      <c r="AMG18" s="218"/>
      <c r="AMH18" s="218"/>
      <c r="AMI18" s="218"/>
      <c r="AMJ18" s="218"/>
      <c r="AMK18" s="218"/>
      <c r="AML18" s="218"/>
      <c r="AMM18" s="218"/>
      <c r="AMN18" s="218"/>
      <c r="AMO18" s="218"/>
      <c r="AMP18" s="218"/>
      <c r="AMQ18" s="218"/>
      <c r="AMR18" s="218"/>
      <c r="AMS18" s="218"/>
      <c r="AMT18" s="218"/>
      <c r="AMU18" s="218"/>
      <c r="AMV18" s="218"/>
      <c r="AMW18" s="218"/>
      <c r="AMX18" s="218"/>
      <c r="AMY18" s="218"/>
      <c r="AMZ18" s="218"/>
      <c r="ANA18" s="218"/>
      <c r="ANB18" s="218"/>
      <c r="ANC18" s="218"/>
      <c r="AND18" s="218"/>
      <c r="ANE18" s="218"/>
      <c r="ANF18" s="218"/>
      <c r="ANG18" s="218"/>
      <c r="ANH18" s="218"/>
      <c r="ANI18" s="218"/>
      <c r="ANJ18" s="218"/>
      <c r="ANK18" s="218"/>
      <c r="ANL18" s="218"/>
      <c r="ANM18" s="218"/>
      <c r="ANN18" s="218"/>
      <c r="ANO18" s="218"/>
      <c r="ANP18" s="218"/>
      <c r="ANQ18" s="218"/>
      <c r="ANR18" s="218"/>
      <c r="ANS18" s="218"/>
      <c r="ANT18" s="218"/>
      <c r="ANU18" s="218"/>
      <c r="ANV18" s="218"/>
      <c r="ANW18" s="218"/>
      <c r="ANX18" s="218"/>
      <c r="ANY18" s="218"/>
      <c r="ANZ18" s="218"/>
      <c r="AOA18" s="218"/>
      <c r="AOB18" s="218"/>
      <c r="AOC18" s="218"/>
      <c r="AOD18" s="218"/>
      <c r="AOE18" s="218"/>
      <c r="AOF18" s="218"/>
      <c r="AOG18" s="218"/>
      <c r="AOH18" s="218"/>
      <c r="AOI18" s="218"/>
      <c r="AOJ18" s="218"/>
      <c r="AOK18" s="218"/>
      <c r="AOL18" s="218"/>
      <c r="AOM18" s="218"/>
      <c r="AON18" s="218"/>
      <c r="AOO18" s="218"/>
      <c r="AOP18" s="218"/>
      <c r="AOQ18" s="218"/>
      <c r="AOR18" s="218"/>
      <c r="AOS18" s="218"/>
      <c r="AOT18" s="218"/>
      <c r="AOU18" s="218"/>
      <c r="AOV18" s="218"/>
      <c r="AOW18" s="218"/>
      <c r="AOX18" s="218"/>
      <c r="AOY18" s="218"/>
      <c r="AOZ18" s="218"/>
      <c r="APA18" s="218"/>
      <c r="APB18" s="218"/>
      <c r="APC18" s="218"/>
      <c r="APD18" s="218"/>
      <c r="APE18" s="218"/>
      <c r="APF18" s="218"/>
      <c r="APG18" s="218"/>
      <c r="APH18" s="218"/>
      <c r="API18" s="218"/>
      <c r="APJ18" s="218"/>
      <c r="APK18" s="218"/>
      <c r="APL18" s="218"/>
      <c r="APM18" s="218"/>
      <c r="APN18" s="218"/>
      <c r="APO18" s="218"/>
      <c r="APP18" s="218"/>
      <c r="APQ18" s="218"/>
      <c r="APR18" s="218"/>
      <c r="APS18" s="218"/>
      <c r="APT18" s="218"/>
      <c r="APU18" s="218"/>
      <c r="APV18" s="218"/>
      <c r="APW18" s="218"/>
      <c r="APX18" s="218"/>
      <c r="APY18" s="218"/>
      <c r="APZ18" s="218"/>
      <c r="AQA18" s="218"/>
      <c r="AQB18" s="218"/>
      <c r="AQC18" s="218"/>
      <c r="AQD18" s="218"/>
      <c r="AQE18" s="218"/>
      <c r="AQF18" s="218"/>
      <c r="AQG18" s="218"/>
      <c r="AQH18" s="218"/>
      <c r="AQI18" s="218"/>
      <c r="AQJ18" s="218"/>
      <c r="AQK18" s="218"/>
      <c r="AQL18" s="218"/>
      <c r="AQM18" s="218"/>
      <c r="AQN18" s="218"/>
      <c r="AQO18" s="218"/>
      <c r="AQP18" s="218"/>
      <c r="AQQ18" s="218"/>
      <c r="AQR18" s="218"/>
      <c r="AQS18" s="218"/>
      <c r="AQT18" s="218"/>
      <c r="AQU18" s="218"/>
      <c r="AQV18" s="218"/>
      <c r="AQW18" s="218"/>
      <c r="AQX18" s="218"/>
      <c r="AQY18" s="218"/>
      <c r="AQZ18" s="218"/>
      <c r="ARA18" s="218"/>
      <c r="ARB18" s="218"/>
      <c r="ARC18" s="218"/>
      <c r="ARD18" s="218"/>
      <c r="ARE18" s="218"/>
      <c r="ARF18" s="218"/>
      <c r="ARG18" s="218"/>
      <c r="ARH18" s="218"/>
      <c r="ARI18" s="218"/>
      <c r="ARJ18" s="218"/>
      <c r="ARK18" s="218"/>
      <c r="ARL18" s="218"/>
      <c r="ARM18" s="218"/>
      <c r="ARN18" s="218"/>
      <c r="ARO18" s="218"/>
      <c r="ARP18" s="218"/>
      <c r="ARQ18" s="218"/>
      <c r="ARR18" s="218"/>
      <c r="ARS18" s="218"/>
      <c r="ART18" s="218"/>
      <c r="ARU18" s="218"/>
      <c r="ARV18" s="218"/>
      <c r="ARW18" s="218"/>
      <c r="ARX18" s="218"/>
      <c r="ARY18" s="218"/>
      <c r="ARZ18" s="218"/>
      <c r="ASA18" s="218"/>
      <c r="ASB18" s="218"/>
      <c r="ASC18" s="218"/>
      <c r="ASD18" s="218"/>
      <c r="ASE18" s="218"/>
      <c r="ASF18" s="218"/>
      <c r="ASG18" s="218"/>
      <c r="ASH18" s="218"/>
      <c r="ASI18" s="218"/>
      <c r="ASJ18" s="218"/>
      <c r="ASK18" s="218"/>
      <c r="ASL18" s="218"/>
      <c r="ASM18" s="218"/>
      <c r="ASN18" s="218"/>
      <c r="ASO18" s="218"/>
      <c r="ASP18" s="218"/>
      <c r="ASQ18" s="218"/>
      <c r="ASR18" s="218"/>
      <c r="ASS18" s="218"/>
      <c r="AST18" s="218"/>
      <c r="ASU18" s="218"/>
      <c r="ASV18" s="218"/>
      <c r="ASW18" s="218"/>
      <c r="ASX18" s="218"/>
      <c r="ASY18" s="218"/>
      <c r="ASZ18" s="218"/>
      <c r="ATA18" s="218"/>
      <c r="ATB18" s="218"/>
      <c r="ATC18" s="218"/>
      <c r="ATD18" s="218"/>
      <c r="ATE18" s="218"/>
      <c r="ATF18" s="218"/>
      <c r="ATG18" s="218"/>
      <c r="ATH18" s="218"/>
      <c r="ATI18" s="218"/>
      <c r="ATJ18" s="218"/>
      <c r="ATK18" s="218"/>
      <c r="ATL18" s="218"/>
      <c r="ATM18" s="218"/>
      <c r="ATN18" s="218"/>
      <c r="ATO18" s="218"/>
      <c r="ATP18" s="218"/>
      <c r="ATQ18" s="218"/>
      <c r="ATR18" s="218"/>
      <c r="ATS18" s="218"/>
      <c r="ATT18" s="218"/>
      <c r="ATU18" s="218"/>
      <c r="ATV18" s="218"/>
      <c r="ATW18" s="218"/>
      <c r="ATX18" s="218"/>
      <c r="ATY18" s="218"/>
      <c r="ATZ18" s="218"/>
      <c r="AUA18" s="218"/>
      <c r="AUB18" s="218"/>
      <c r="AUC18" s="218"/>
      <c r="AUD18" s="218"/>
      <c r="AUE18" s="218"/>
      <c r="AUF18" s="218"/>
      <c r="AUG18" s="218"/>
      <c r="AUH18" s="218"/>
      <c r="AUI18" s="218"/>
      <c r="AUJ18" s="218"/>
      <c r="AUK18" s="218"/>
      <c r="AUL18" s="218"/>
      <c r="AUM18" s="218"/>
      <c r="AUN18" s="218"/>
      <c r="AUO18" s="218"/>
      <c r="AUP18" s="218"/>
      <c r="AUQ18" s="218"/>
      <c r="AUR18" s="218"/>
      <c r="AUS18" s="218"/>
      <c r="AUT18" s="218"/>
      <c r="AUU18" s="218"/>
      <c r="AUV18" s="218"/>
      <c r="AUW18" s="218"/>
      <c r="AUX18" s="218"/>
      <c r="AUY18" s="218"/>
      <c r="AUZ18" s="218"/>
      <c r="AVA18" s="218"/>
      <c r="AVB18" s="218"/>
      <c r="AVC18" s="218"/>
      <c r="AVD18" s="218"/>
      <c r="AVE18" s="218"/>
      <c r="AVF18" s="218"/>
      <c r="AVG18" s="218"/>
      <c r="AVH18" s="218"/>
      <c r="AVI18" s="218"/>
      <c r="AVJ18" s="218"/>
      <c r="AVK18" s="218"/>
      <c r="AVL18" s="218"/>
      <c r="AVM18" s="218"/>
      <c r="AVN18" s="218"/>
      <c r="AVO18" s="218"/>
      <c r="AVP18" s="218"/>
      <c r="AVQ18" s="218"/>
      <c r="AVR18" s="218"/>
      <c r="AVS18" s="218"/>
      <c r="AVT18" s="218"/>
      <c r="AVU18" s="218"/>
      <c r="AVV18" s="218"/>
      <c r="AVW18" s="218"/>
      <c r="AVX18" s="218"/>
      <c r="AVY18" s="218"/>
      <c r="AVZ18" s="218"/>
      <c r="AWA18" s="218"/>
      <c r="AWB18" s="218"/>
      <c r="AWC18" s="218"/>
      <c r="AWD18" s="218"/>
      <c r="AWE18" s="218"/>
      <c r="AWF18" s="218"/>
      <c r="AWG18" s="218"/>
      <c r="AWH18" s="218"/>
      <c r="AWI18" s="218"/>
      <c r="AWJ18" s="218"/>
      <c r="AWK18" s="218"/>
      <c r="AWL18" s="218"/>
      <c r="AWM18" s="218"/>
      <c r="AWN18" s="218"/>
      <c r="AWO18" s="218"/>
      <c r="AWP18" s="218"/>
      <c r="AWQ18" s="218"/>
      <c r="AWR18" s="218"/>
      <c r="AWS18" s="218"/>
      <c r="AWT18" s="218"/>
      <c r="AWU18" s="218"/>
      <c r="AWV18" s="218"/>
      <c r="AWW18" s="218"/>
      <c r="AWX18" s="218"/>
      <c r="AWY18" s="218"/>
      <c r="AWZ18" s="218"/>
      <c r="AXA18" s="218"/>
      <c r="AXB18" s="218"/>
      <c r="AXC18" s="218"/>
      <c r="AXD18" s="218"/>
      <c r="AXE18" s="218"/>
      <c r="AXF18" s="218"/>
      <c r="AXG18" s="218"/>
      <c r="AXH18" s="218"/>
      <c r="AXI18" s="218"/>
      <c r="AXJ18" s="218"/>
      <c r="AXK18" s="218"/>
      <c r="AXL18" s="218"/>
      <c r="AXM18" s="218"/>
      <c r="AXN18" s="218"/>
      <c r="AXO18" s="218"/>
      <c r="AXP18" s="218"/>
      <c r="AXQ18" s="218"/>
      <c r="AXR18" s="218"/>
      <c r="AXS18" s="218"/>
      <c r="AXT18" s="218"/>
      <c r="AXU18" s="218"/>
      <c r="AXV18" s="218"/>
      <c r="AXW18" s="218"/>
      <c r="AXX18" s="218"/>
      <c r="AXY18" s="218"/>
      <c r="AXZ18" s="218"/>
      <c r="AYA18" s="218"/>
      <c r="AYB18" s="218"/>
      <c r="AYC18" s="218"/>
      <c r="AYD18" s="218"/>
      <c r="AYE18" s="218"/>
      <c r="AYF18" s="218"/>
      <c r="AYG18" s="218"/>
      <c r="AYH18" s="218"/>
      <c r="AYI18" s="218"/>
      <c r="AYJ18" s="218"/>
      <c r="AYK18" s="218"/>
      <c r="AYL18" s="218"/>
      <c r="AYM18" s="218"/>
      <c r="AYN18" s="218"/>
      <c r="AYO18" s="218"/>
      <c r="AYP18" s="218"/>
      <c r="AYQ18" s="218"/>
      <c r="AYR18" s="218"/>
      <c r="AYS18" s="218"/>
      <c r="AYT18" s="218"/>
      <c r="AYU18" s="218"/>
      <c r="AYV18" s="218"/>
      <c r="AYW18" s="218"/>
      <c r="AYX18" s="218"/>
      <c r="AYY18" s="218"/>
      <c r="AYZ18" s="218"/>
      <c r="AZA18" s="218"/>
      <c r="AZB18" s="218"/>
      <c r="AZC18" s="218"/>
      <c r="AZD18" s="218"/>
      <c r="AZE18" s="218"/>
      <c r="AZF18" s="218"/>
      <c r="AZG18" s="218"/>
      <c r="AZH18" s="218"/>
      <c r="AZI18" s="218"/>
      <c r="AZJ18" s="218"/>
      <c r="AZK18" s="218"/>
      <c r="AZL18" s="218"/>
      <c r="AZM18" s="218"/>
      <c r="AZN18" s="218"/>
      <c r="AZO18" s="218"/>
      <c r="AZP18" s="218"/>
      <c r="AZQ18" s="218"/>
      <c r="AZR18" s="218"/>
      <c r="AZS18" s="218"/>
      <c r="AZT18" s="218"/>
      <c r="AZU18" s="218"/>
      <c r="AZV18" s="218"/>
      <c r="AZW18" s="218"/>
      <c r="AZX18" s="218"/>
      <c r="AZY18" s="218"/>
      <c r="AZZ18" s="218"/>
      <c r="BAA18" s="218"/>
      <c r="BAB18" s="218"/>
      <c r="BAC18" s="218"/>
      <c r="BAD18" s="218"/>
      <c r="BAE18" s="218"/>
      <c r="BAF18" s="218"/>
      <c r="BAG18" s="218"/>
      <c r="BAH18" s="218"/>
      <c r="BAI18" s="218"/>
      <c r="BAJ18" s="218"/>
      <c r="BAK18" s="218"/>
      <c r="BAL18" s="218"/>
      <c r="BAM18" s="218"/>
      <c r="BAN18" s="218"/>
      <c r="BAO18" s="218"/>
      <c r="BAP18" s="218"/>
      <c r="BAQ18" s="218"/>
      <c r="BAR18" s="218"/>
      <c r="BAS18" s="218"/>
      <c r="BAT18" s="218"/>
      <c r="BAU18" s="218"/>
      <c r="BAV18" s="218"/>
      <c r="BAW18" s="218"/>
      <c r="BAX18" s="218"/>
      <c r="BAY18" s="218"/>
      <c r="BAZ18" s="218"/>
      <c r="BBA18" s="218"/>
      <c r="BBB18" s="218"/>
      <c r="BBC18" s="218"/>
      <c r="BBD18" s="218"/>
      <c r="BBE18" s="218"/>
      <c r="BBF18" s="218"/>
      <c r="BBG18" s="218"/>
      <c r="BBH18" s="218"/>
      <c r="BBI18" s="218"/>
      <c r="BBJ18" s="218"/>
      <c r="BBK18" s="218"/>
      <c r="BBL18" s="218"/>
      <c r="BBM18" s="218"/>
      <c r="BBN18" s="218"/>
      <c r="BBO18" s="218"/>
      <c r="BBP18" s="218"/>
      <c r="BBQ18" s="218"/>
      <c r="BBR18" s="218"/>
      <c r="BBS18" s="218"/>
      <c r="BBT18" s="218"/>
      <c r="BBU18" s="218"/>
      <c r="BBV18" s="218"/>
      <c r="BBW18" s="218"/>
      <c r="BBX18" s="218"/>
      <c r="BBY18" s="218"/>
      <c r="BBZ18" s="218"/>
      <c r="BCA18" s="218"/>
      <c r="BCB18" s="218"/>
      <c r="BCC18" s="218"/>
      <c r="BCD18" s="218"/>
      <c r="BCE18" s="218"/>
      <c r="BCF18" s="218"/>
      <c r="BCG18" s="218"/>
      <c r="BCH18" s="218"/>
      <c r="BCI18" s="218"/>
      <c r="BCJ18" s="218"/>
      <c r="BCK18" s="218"/>
      <c r="BCL18" s="218"/>
      <c r="BCM18" s="218"/>
      <c r="BCN18" s="218"/>
      <c r="BCO18" s="218"/>
      <c r="BCP18" s="218"/>
      <c r="BCQ18" s="218"/>
      <c r="BCR18" s="218"/>
      <c r="BCS18" s="218"/>
      <c r="BCT18" s="218"/>
      <c r="BCU18" s="218"/>
      <c r="BCV18" s="218"/>
      <c r="BCW18" s="218"/>
      <c r="BCX18" s="218"/>
      <c r="BCY18" s="218"/>
      <c r="BCZ18" s="218"/>
      <c r="BDA18" s="218"/>
      <c r="BDB18" s="218"/>
      <c r="BDC18" s="218"/>
      <c r="BDD18" s="218"/>
      <c r="BDE18" s="218"/>
      <c r="BDF18" s="218"/>
      <c r="BDG18" s="218"/>
      <c r="BDH18" s="218"/>
      <c r="BDI18" s="218"/>
      <c r="BDJ18" s="218"/>
      <c r="BDK18" s="218"/>
      <c r="BDL18" s="218"/>
      <c r="BDM18" s="218"/>
      <c r="BDN18" s="218"/>
      <c r="BDO18" s="218"/>
      <c r="BDP18" s="218"/>
      <c r="BDQ18" s="218"/>
      <c r="BDR18" s="218"/>
      <c r="BDS18" s="218"/>
      <c r="BDT18" s="218"/>
      <c r="BDU18" s="218"/>
      <c r="BDV18" s="218"/>
      <c r="BDW18" s="218"/>
      <c r="BDX18" s="218"/>
      <c r="BDY18" s="218"/>
      <c r="BDZ18" s="218"/>
      <c r="BEA18" s="218"/>
      <c r="BEB18" s="218"/>
      <c r="BEC18" s="218"/>
      <c r="BED18" s="218"/>
      <c r="BEE18" s="218"/>
      <c r="BEF18" s="218"/>
      <c r="BEG18" s="218"/>
      <c r="BEH18" s="218"/>
      <c r="BEI18" s="218"/>
      <c r="BEJ18" s="218"/>
      <c r="BEK18" s="218"/>
      <c r="BEL18" s="218"/>
      <c r="BEM18" s="218"/>
      <c r="BEN18" s="218"/>
      <c r="BEO18" s="218"/>
      <c r="BEP18" s="218"/>
      <c r="BEQ18" s="218"/>
      <c r="BER18" s="218"/>
      <c r="BES18" s="218"/>
      <c r="BET18" s="218"/>
      <c r="BEU18" s="218"/>
      <c r="BEV18" s="218"/>
      <c r="BEW18" s="218"/>
      <c r="BEX18" s="218"/>
      <c r="BEY18" s="218"/>
      <c r="BEZ18" s="218"/>
      <c r="BFA18" s="218"/>
      <c r="BFB18" s="218"/>
      <c r="BFC18" s="218"/>
      <c r="BFD18" s="218"/>
      <c r="BFE18" s="218"/>
      <c r="BFF18" s="218"/>
      <c r="BFG18" s="218"/>
      <c r="BFH18" s="218"/>
      <c r="BFI18" s="218"/>
      <c r="BFJ18" s="218"/>
      <c r="BFK18" s="218"/>
      <c r="BFL18" s="218"/>
      <c r="BFM18" s="218"/>
      <c r="BFN18" s="218"/>
      <c r="BFO18" s="218"/>
      <c r="BFP18" s="218"/>
      <c r="BFQ18" s="218"/>
      <c r="BFR18" s="218"/>
      <c r="BFS18" s="218"/>
      <c r="BFT18" s="218"/>
      <c r="BFU18" s="218"/>
      <c r="BFV18" s="218"/>
      <c r="BFW18" s="218"/>
      <c r="BFX18" s="218"/>
      <c r="BFY18" s="218"/>
      <c r="BFZ18" s="218"/>
      <c r="BGA18" s="218"/>
      <c r="BGB18" s="218"/>
      <c r="BGC18" s="218"/>
      <c r="BGD18" s="218"/>
      <c r="BGE18" s="218"/>
      <c r="BGF18" s="218"/>
      <c r="BGG18" s="218"/>
      <c r="BGH18" s="218"/>
      <c r="BGI18" s="218"/>
      <c r="BGJ18" s="218"/>
      <c r="BGK18" s="218"/>
      <c r="BGL18" s="218"/>
      <c r="BGM18" s="218"/>
      <c r="BGN18" s="218"/>
      <c r="BGO18" s="218"/>
      <c r="BGP18" s="218"/>
      <c r="BGQ18" s="218"/>
      <c r="BGR18" s="218"/>
      <c r="BGS18" s="218"/>
      <c r="BGT18" s="218"/>
      <c r="BGU18" s="218"/>
      <c r="BGV18" s="218"/>
      <c r="BGW18" s="218"/>
      <c r="BGX18" s="218"/>
      <c r="BGY18" s="218"/>
      <c r="BGZ18" s="218"/>
      <c r="BHA18" s="218"/>
      <c r="BHB18" s="218"/>
      <c r="BHC18" s="218"/>
      <c r="BHD18" s="218"/>
      <c r="BHE18" s="218"/>
      <c r="BHF18" s="218"/>
      <c r="BHG18" s="218"/>
      <c r="BHH18" s="218"/>
      <c r="BHI18" s="218"/>
      <c r="BHJ18" s="218"/>
      <c r="BHK18" s="218"/>
      <c r="BHL18" s="218"/>
      <c r="BHM18" s="218"/>
      <c r="BHN18" s="218"/>
      <c r="BHO18" s="218"/>
      <c r="BHP18" s="218"/>
      <c r="BHQ18" s="218"/>
      <c r="BHR18" s="218"/>
      <c r="BHS18" s="218"/>
      <c r="BHT18" s="218"/>
      <c r="BHU18" s="218"/>
      <c r="BHV18" s="218"/>
      <c r="BHW18" s="218"/>
    </row>
    <row r="19" spans="1:1583" s="220" customFormat="1">
      <c r="A19" s="110" t="s">
        <v>32</v>
      </c>
      <c r="B19" s="186" t="s">
        <v>349</v>
      </c>
      <c r="C19" s="416" t="s">
        <v>471</v>
      </c>
      <c r="D19" s="435" t="s">
        <v>471</v>
      </c>
      <c r="E19" s="68" t="s">
        <v>9</v>
      </c>
      <c r="F19" s="138">
        <v>413.17</v>
      </c>
      <c r="G19" s="60" t="s">
        <v>673</v>
      </c>
      <c r="H19" s="473">
        <f t="shared" si="8"/>
        <v>10120.674188582267</v>
      </c>
      <c r="I19" s="103">
        <f>VLOOKUP($B19,'DCS Data'!$E$2:$AJ$100,MATCH('Daily Report'!I$1,'DCS Data'!$E$2:$AJ$2,0),0)</f>
        <v>304.7117046546436</v>
      </c>
      <c r="J19" s="255"/>
      <c r="K19" s="103">
        <f>VLOOKUP($B19,'DCS Data'!$E$2:$AJ$100,MATCH('Daily Report'!K$1,'DCS Data'!$E$2:$AJ$2,0),0)</f>
        <v>334.80949124699646</v>
      </c>
      <c r="L19" s="103">
        <f>VLOOKUP($B19,'DCS Data'!$E$2:$AJ$100,MATCH('Daily Report'!L$1,'DCS Data'!$E$2:$AJ$2,0),0)</f>
        <v>333.98058712514779</v>
      </c>
      <c r="M19" s="103">
        <f>VLOOKUP($B19,'DCS Data'!$E$2:$AJ$100,MATCH('Daily Report'!M$1,'DCS Data'!$E$2:$AJ$2,0),0)</f>
        <v>332.17692955005782</v>
      </c>
      <c r="N19" s="103">
        <f>VLOOKUP($B19,'DCS Data'!$E$2:$AJ$100,MATCH('Daily Report'!N$1,'DCS Data'!$E$2:$AJ$2,0),0)</f>
        <v>335.66791951344709</v>
      </c>
      <c r="O19" s="103">
        <f>VLOOKUP($B19,'DCS Data'!$E$2:$AJ$100,MATCH('Daily Report'!O$1,'DCS Data'!$E$2:$AJ$2,0),0)</f>
        <v>337.06501065828451</v>
      </c>
      <c r="P19" s="103">
        <f>VLOOKUP($B19,'DCS Data'!$E$2:$AJ$100,MATCH('Daily Report'!P$1,'DCS Data'!$E$2:$AJ$2,0),0)</f>
        <v>335.78725589993809</v>
      </c>
      <c r="Q19" s="103">
        <f>VLOOKUP($B19,'DCS Data'!$E$2:$AJ$100,MATCH('Daily Report'!Q$1,'DCS Data'!$E$2:$AJ$2,0),0)</f>
        <v>330.61216198374365</v>
      </c>
      <c r="R19" s="103">
        <f>VLOOKUP($B19,'DCS Data'!$E$2:$AJ$100,MATCH('Daily Report'!R$1,'DCS Data'!$E$2:$AJ$2,0),0)</f>
        <v>326.62464289456386</v>
      </c>
      <c r="S19" s="103">
        <f>VLOOKUP($B19,'DCS Data'!$E$2:$AJ$100,MATCH('Daily Report'!S$1,'DCS Data'!$E$2:$AJ$2,0),0)</f>
        <v>324.67558486475934</v>
      </c>
      <c r="T19" s="103">
        <f>VLOOKUP($B19,'DCS Data'!$E$2:$AJ$100,MATCH('Daily Report'!T$1,'DCS Data'!$E$2:$AJ$2,0),0)</f>
        <v>322.11682257196838</v>
      </c>
      <c r="U19" s="103">
        <f>VLOOKUP($B19,'DCS Data'!$E$2:$AJ$100,MATCH('Daily Report'!U$1,'DCS Data'!$E$2:$AJ$2,0),0)</f>
        <v>323.61346755639727</v>
      </c>
      <c r="V19" s="103">
        <f>VLOOKUP($B19,'DCS Data'!$E$2:$AJ$100,MATCH('Daily Report'!V$1,'DCS Data'!$E$2:$AJ$2,0),0)</f>
        <v>325.34119556039764</v>
      </c>
      <c r="W19" s="103">
        <f>VLOOKUP($B19,'DCS Data'!$E$2:$AJ$100,MATCH('Daily Report'!W$1,'DCS Data'!$E$2:$AJ$2,0),0)</f>
        <v>330.7171137333354</v>
      </c>
      <c r="X19" s="103">
        <f>VLOOKUP($B19,'DCS Data'!$E$2:$AJ$100,MATCH('Daily Report'!X$1,'DCS Data'!$E$2:$AJ$2,0),0)</f>
        <v>322.7524794575836</v>
      </c>
      <c r="Y19" s="103">
        <f>VLOOKUP($B19,'DCS Data'!$E$2:$AJ$100,MATCH('Daily Report'!Y$1,'DCS Data'!$E$2:$AJ$2,0),0)</f>
        <v>306.27947776995398</v>
      </c>
      <c r="Z19" s="103">
        <f>VLOOKUP($B19,'DCS Data'!$E$2:$AJ$100,MATCH('Daily Report'!Z$1,'DCS Data'!$E$2:$AJ$2,0),0)</f>
        <v>302.32247410924748</v>
      </c>
      <c r="AA19" s="103">
        <f>VLOOKUP($B19,'DCS Data'!$E$2:$AJ$100,MATCH('Daily Report'!AA$1,'DCS Data'!$E$2:$AJ$2,0),0)</f>
        <v>308.7910313486185</v>
      </c>
      <c r="AB19" s="103">
        <f>VLOOKUP($B19,'DCS Data'!$E$2:$AJ$100,MATCH('Daily Report'!AB$1,'DCS Data'!$E$2:$AJ$2,0),0)</f>
        <v>309.74098997502125</v>
      </c>
      <c r="AC19" s="103">
        <f>VLOOKUP($B19,'DCS Data'!$E$2:$AJ$100,MATCH('Daily Report'!AC$1,'DCS Data'!$E$2:$AJ$2,0),0)</f>
        <v>316.34793950755704</v>
      </c>
      <c r="AD19" s="103">
        <f>VLOOKUP($B19,'DCS Data'!$E$2:$AJ$100,MATCH('Daily Report'!AD$1,'DCS Data'!$E$2:$AJ$2,0),0)</f>
        <v>330.14889456750103</v>
      </c>
      <c r="AE19" s="103">
        <f>VLOOKUP($B19,'DCS Data'!$E$2:$AJ$100,MATCH('Daily Report'!AE$1,'DCS Data'!$E$2:$AJ$2,0),0)</f>
        <v>333.94922989601775</v>
      </c>
      <c r="AF19" s="103">
        <f>VLOOKUP($B19,'DCS Data'!$E$2:$AJ$100,MATCH('Daily Report'!AF$1,'DCS Data'!$E$2:$AJ$2,0),0)</f>
        <v>332.47881878314837</v>
      </c>
      <c r="AG19" s="103">
        <f>VLOOKUP($B19,'DCS Data'!$E$2:$AJ$100,MATCH('Daily Report'!AG$1,'DCS Data'!$E$2:$AJ$2,0),0)</f>
        <v>330.76732302039886</v>
      </c>
      <c r="AH19" s="103">
        <f>VLOOKUP($B19,'DCS Data'!$E$2:$AJ$100,MATCH('Daily Report'!AH$1,'DCS Data'!$E$2:$AJ$2,0),0)</f>
        <v>329.67150761301053</v>
      </c>
      <c r="AI19" s="103">
        <f>VLOOKUP($B19,'DCS Data'!$E$2:$AJ$100,MATCH('Daily Report'!AI$1,'DCS Data'!$E$2:$AJ$2,0),0)</f>
        <v>331.85693125262299</v>
      </c>
      <c r="AJ19" s="103">
        <f>VLOOKUP($B19,'DCS Data'!$E$2:$AJ$100,MATCH('Daily Report'!AJ$1,'DCS Data'!$E$2:$AJ$2,0),0)</f>
        <v>332.04673175303236</v>
      </c>
      <c r="AK19" s="103">
        <f>VLOOKUP($B19,'DCS Data'!$E$2:$AJ$100,MATCH('Daily Report'!AK$1,'DCS Data'!$E$2:$AJ$2,0),0)</f>
        <v>334.15961957830865</v>
      </c>
      <c r="AL19" s="103">
        <f>VLOOKUP($B19,'DCS Data'!$E$2:$AJ$100,MATCH('Daily Report'!AL$1,'DCS Data'!$E$2:$AJ$2,0),0)</f>
        <v>331.42460353840113</v>
      </c>
      <c r="AM19" s="103">
        <f>VLOOKUP($B19,'DCS Data'!$E$2:$AJ$100,MATCH('Daily Report'!AM$1,'DCS Data'!$E$2:$AJ$2,0),0)</f>
        <v>333.44614805895486</v>
      </c>
      <c r="AN19" s="103">
        <f>VLOOKUP($B19,'DCS Data'!$E$2:$AJ$100,MATCH('Daily Report'!AN$1,'DCS Data'!$E$2:$AJ$2,0),0)</f>
        <v>336.59010053920758</v>
      </c>
      <c r="AO19" s="214"/>
      <c r="AP19" s="214"/>
      <c r="AQ19" s="214"/>
      <c r="AR19" s="214"/>
      <c r="AS19" s="214"/>
      <c r="AT19" s="214"/>
      <c r="AU19" s="214"/>
      <c r="AV19" s="214"/>
      <c r="AW19" s="214"/>
      <c r="AX19" s="214"/>
      <c r="AY19" s="214"/>
      <c r="AZ19" s="214"/>
      <c r="BA19" s="214"/>
      <c r="BB19" s="214"/>
      <c r="BC19" s="214"/>
      <c r="BD19" s="214"/>
      <c r="BE19" s="214"/>
      <c r="BF19" s="214"/>
      <c r="BG19" s="214"/>
      <c r="BH19" s="214"/>
      <c r="BI19" s="214"/>
      <c r="BJ19" s="214"/>
      <c r="BK19" s="214"/>
      <c r="BL19" s="214"/>
      <c r="BM19" s="214"/>
      <c r="BN19" s="214"/>
      <c r="BO19" s="214"/>
      <c r="BP19" s="214"/>
      <c r="BQ19" s="214"/>
      <c r="BR19" s="214"/>
      <c r="BS19" s="214"/>
      <c r="BT19" s="214"/>
      <c r="BU19" s="214"/>
      <c r="BV19" s="214"/>
      <c r="BW19" s="214"/>
      <c r="BX19" s="214"/>
      <c r="BY19" s="214"/>
      <c r="BZ19" s="214"/>
      <c r="CA19" s="214"/>
      <c r="CB19" s="214"/>
      <c r="CC19" s="214"/>
      <c r="CD19" s="214"/>
      <c r="CE19" s="214"/>
      <c r="CF19" s="214"/>
      <c r="CG19" s="214"/>
      <c r="CH19" s="214"/>
      <c r="CI19" s="214"/>
      <c r="CJ19" s="214"/>
      <c r="CK19" s="214"/>
      <c r="CL19" s="214"/>
      <c r="CM19" s="214"/>
      <c r="CN19" s="214"/>
      <c r="CO19" s="214"/>
      <c r="CP19" s="214"/>
      <c r="CQ19" s="214"/>
      <c r="CR19" s="214"/>
      <c r="CS19" s="214"/>
      <c r="CT19" s="214"/>
      <c r="CU19" s="214"/>
      <c r="CV19" s="214"/>
      <c r="CW19" s="214"/>
      <c r="CX19" s="214"/>
      <c r="CY19" s="214"/>
      <c r="CZ19" s="214"/>
      <c r="DA19" s="214"/>
      <c r="DB19" s="214"/>
      <c r="DC19" s="214"/>
      <c r="DD19" s="214"/>
      <c r="DE19" s="214"/>
      <c r="DF19" s="214"/>
      <c r="DG19" s="214"/>
      <c r="DH19" s="214"/>
      <c r="DI19" s="214"/>
      <c r="DJ19" s="214"/>
      <c r="DK19" s="214"/>
      <c r="DL19" s="214"/>
      <c r="DM19" s="214"/>
      <c r="DN19" s="214"/>
      <c r="DO19" s="214"/>
      <c r="DP19" s="214"/>
      <c r="DQ19" s="214"/>
      <c r="DR19" s="214"/>
      <c r="DS19" s="214"/>
      <c r="DT19" s="214"/>
      <c r="DU19" s="214"/>
      <c r="DV19" s="214"/>
      <c r="DW19" s="214"/>
      <c r="DX19" s="214"/>
      <c r="DY19" s="214"/>
      <c r="DZ19" s="214"/>
      <c r="EA19" s="214"/>
      <c r="EB19" s="214"/>
      <c r="EC19" s="214"/>
      <c r="ED19" s="214"/>
      <c r="EE19" s="214"/>
      <c r="EF19" s="214"/>
      <c r="EG19" s="214"/>
      <c r="EH19" s="214"/>
      <c r="EI19" s="214"/>
      <c r="EJ19" s="214"/>
      <c r="EK19" s="214"/>
      <c r="EL19" s="214"/>
      <c r="EM19" s="214"/>
      <c r="EN19" s="214"/>
      <c r="EO19" s="214"/>
      <c r="EP19" s="214"/>
      <c r="EQ19" s="214"/>
      <c r="ER19" s="214"/>
      <c r="ES19" s="214"/>
      <c r="ET19" s="214"/>
      <c r="EU19" s="214"/>
      <c r="EV19" s="214"/>
      <c r="EW19" s="214"/>
      <c r="EX19" s="214"/>
      <c r="EY19" s="214"/>
      <c r="EZ19" s="214"/>
      <c r="FA19" s="214"/>
      <c r="FB19" s="214"/>
      <c r="FC19" s="214"/>
      <c r="FD19" s="214"/>
      <c r="FE19" s="214"/>
      <c r="FF19" s="214"/>
      <c r="FG19" s="214"/>
      <c r="FH19" s="214"/>
      <c r="FI19" s="214"/>
      <c r="FJ19" s="214"/>
      <c r="FK19" s="214"/>
      <c r="FL19" s="214"/>
      <c r="FM19" s="214"/>
      <c r="FN19" s="214"/>
      <c r="FO19" s="214"/>
      <c r="FP19" s="214"/>
      <c r="FQ19" s="214"/>
      <c r="FR19" s="214"/>
      <c r="FS19" s="214"/>
      <c r="FT19" s="214"/>
      <c r="FU19" s="214"/>
      <c r="FV19" s="214"/>
      <c r="FW19" s="214"/>
      <c r="FX19" s="214"/>
      <c r="FY19" s="214"/>
      <c r="FZ19" s="214"/>
      <c r="GA19" s="214"/>
      <c r="GB19" s="214"/>
      <c r="GC19" s="214"/>
      <c r="GD19" s="214"/>
      <c r="GE19" s="214"/>
      <c r="GF19" s="214"/>
      <c r="GG19" s="214"/>
      <c r="GH19" s="214"/>
      <c r="GI19" s="214"/>
      <c r="GJ19" s="214"/>
      <c r="GK19" s="214"/>
      <c r="GL19" s="214"/>
      <c r="GM19" s="214"/>
      <c r="GN19" s="214"/>
      <c r="GO19" s="214"/>
      <c r="GP19" s="214"/>
      <c r="GQ19" s="214"/>
      <c r="GR19" s="214"/>
      <c r="GS19" s="214"/>
      <c r="GT19" s="214"/>
      <c r="GU19" s="214"/>
      <c r="GV19" s="214"/>
      <c r="GW19" s="214"/>
      <c r="GX19" s="214"/>
      <c r="GY19" s="214"/>
      <c r="GZ19" s="214"/>
      <c r="HA19" s="214"/>
      <c r="HB19" s="214"/>
      <c r="HC19" s="214"/>
      <c r="HD19" s="214"/>
      <c r="HE19" s="214"/>
      <c r="HF19" s="214"/>
      <c r="HG19" s="214"/>
      <c r="HH19" s="214"/>
      <c r="HI19" s="214"/>
      <c r="HJ19" s="214"/>
      <c r="HK19" s="214"/>
      <c r="HL19" s="214"/>
      <c r="HM19" s="214"/>
      <c r="HN19" s="214"/>
      <c r="HO19" s="214"/>
      <c r="HP19" s="214"/>
      <c r="HQ19" s="214"/>
      <c r="HR19" s="214"/>
      <c r="HS19" s="214"/>
      <c r="HT19" s="214"/>
      <c r="HU19" s="214"/>
      <c r="HV19" s="214"/>
      <c r="HW19" s="214"/>
      <c r="HX19" s="214"/>
      <c r="HY19" s="214"/>
      <c r="HZ19" s="214"/>
      <c r="IA19" s="214"/>
      <c r="IB19" s="214"/>
      <c r="IC19" s="214"/>
      <c r="ID19" s="214"/>
      <c r="IE19" s="214"/>
      <c r="IF19" s="214"/>
      <c r="IG19" s="214"/>
      <c r="IH19" s="214"/>
      <c r="II19" s="214"/>
      <c r="IJ19" s="214"/>
      <c r="IK19" s="214"/>
      <c r="IL19" s="214"/>
      <c r="IM19" s="214"/>
      <c r="IN19" s="214"/>
      <c r="IO19" s="214"/>
      <c r="IP19" s="214"/>
      <c r="IQ19" s="214"/>
      <c r="IR19" s="214"/>
      <c r="IS19" s="214"/>
      <c r="IT19" s="214"/>
      <c r="IU19" s="214"/>
      <c r="IV19" s="214"/>
      <c r="IW19" s="214"/>
      <c r="IX19" s="214"/>
      <c r="IY19" s="214"/>
      <c r="IZ19" s="214"/>
      <c r="JA19" s="214"/>
      <c r="JB19" s="214"/>
      <c r="JC19" s="214"/>
      <c r="JD19" s="214"/>
      <c r="JE19" s="214"/>
      <c r="JF19" s="214"/>
      <c r="JG19" s="214"/>
      <c r="JH19" s="214"/>
      <c r="JI19" s="214"/>
      <c r="JJ19" s="214"/>
      <c r="JK19" s="214"/>
      <c r="JL19" s="214"/>
      <c r="JM19" s="214"/>
      <c r="JN19" s="214"/>
      <c r="JO19" s="214"/>
      <c r="JP19" s="214"/>
      <c r="JQ19" s="214"/>
      <c r="JR19" s="214"/>
      <c r="JS19" s="214"/>
      <c r="JT19" s="214"/>
      <c r="JU19" s="214"/>
      <c r="JV19" s="214"/>
      <c r="JW19" s="214"/>
      <c r="JX19" s="214"/>
      <c r="JY19" s="214"/>
      <c r="JZ19" s="214"/>
      <c r="KA19" s="214"/>
      <c r="KB19" s="214"/>
      <c r="KC19" s="214"/>
      <c r="KD19" s="214"/>
      <c r="KE19" s="214"/>
      <c r="KF19" s="214"/>
      <c r="KG19" s="214"/>
      <c r="KH19" s="214"/>
      <c r="KI19" s="214"/>
      <c r="KJ19" s="214"/>
      <c r="KK19" s="214"/>
      <c r="KL19" s="214"/>
      <c r="KM19" s="214"/>
      <c r="KN19" s="214"/>
      <c r="KO19" s="214"/>
      <c r="KP19" s="214"/>
      <c r="KQ19" s="214"/>
      <c r="KR19" s="214"/>
      <c r="KS19" s="214"/>
      <c r="KT19" s="214"/>
      <c r="KU19" s="214"/>
      <c r="KV19" s="214"/>
      <c r="KW19" s="214"/>
      <c r="KX19" s="214"/>
      <c r="KY19" s="214"/>
      <c r="KZ19" s="214"/>
      <c r="LA19" s="214"/>
      <c r="LB19" s="214"/>
      <c r="LC19" s="214"/>
      <c r="LD19" s="214"/>
      <c r="LE19" s="214"/>
      <c r="LF19" s="214"/>
      <c r="LG19" s="214"/>
      <c r="LH19" s="214"/>
      <c r="LI19" s="214"/>
      <c r="LJ19" s="214"/>
      <c r="LK19" s="214"/>
      <c r="LL19" s="214"/>
      <c r="LM19" s="214"/>
      <c r="LN19" s="214"/>
      <c r="LO19" s="214"/>
      <c r="LP19" s="214"/>
      <c r="LQ19" s="214"/>
      <c r="LR19" s="214"/>
      <c r="LS19" s="214"/>
      <c r="LT19" s="214"/>
      <c r="LU19" s="214"/>
      <c r="LV19" s="214"/>
      <c r="LW19" s="214"/>
      <c r="LX19" s="214"/>
      <c r="LY19" s="214"/>
      <c r="LZ19" s="214"/>
      <c r="MA19" s="214"/>
      <c r="MB19" s="214"/>
      <c r="MC19" s="214"/>
      <c r="MD19" s="214"/>
      <c r="ME19" s="214"/>
      <c r="MF19" s="214"/>
      <c r="MG19" s="214"/>
      <c r="MH19" s="214"/>
      <c r="MI19" s="214"/>
      <c r="MJ19" s="214"/>
      <c r="MK19" s="214"/>
      <c r="ML19" s="214"/>
      <c r="MM19" s="214"/>
      <c r="MN19" s="214"/>
      <c r="MO19" s="214"/>
      <c r="MP19" s="214"/>
      <c r="MQ19" s="214"/>
      <c r="MR19" s="214"/>
      <c r="MS19" s="214"/>
      <c r="MT19" s="214"/>
      <c r="MU19" s="214"/>
      <c r="MV19" s="214"/>
      <c r="MW19" s="214"/>
      <c r="MX19" s="214"/>
      <c r="MY19" s="214"/>
      <c r="MZ19" s="214"/>
      <c r="NA19" s="214"/>
      <c r="NB19" s="214"/>
      <c r="NC19" s="214"/>
      <c r="ND19" s="214"/>
      <c r="NE19" s="214"/>
      <c r="NF19" s="214"/>
      <c r="NG19" s="214"/>
      <c r="NH19" s="214"/>
      <c r="NI19" s="214"/>
      <c r="NJ19" s="214"/>
      <c r="NK19" s="214"/>
      <c r="NL19" s="214"/>
      <c r="NM19" s="214"/>
      <c r="NN19" s="214"/>
      <c r="NO19" s="214"/>
      <c r="NP19" s="214"/>
      <c r="NQ19" s="214"/>
      <c r="NR19" s="214"/>
      <c r="NS19" s="214"/>
      <c r="NT19" s="214"/>
      <c r="NU19" s="214"/>
      <c r="NV19" s="214"/>
      <c r="NW19" s="214"/>
      <c r="NX19" s="214"/>
      <c r="NY19" s="214"/>
      <c r="NZ19" s="214"/>
      <c r="OA19" s="214"/>
      <c r="OB19" s="214"/>
      <c r="OC19" s="214"/>
      <c r="OD19" s="214"/>
      <c r="OE19" s="214"/>
      <c r="OF19" s="214"/>
      <c r="OG19" s="214"/>
      <c r="OH19" s="214"/>
      <c r="OI19" s="214"/>
      <c r="OJ19" s="214"/>
      <c r="OK19" s="214"/>
      <c r="OL19" s="214"/>
      <c r="OM19" s="214"/>
      <c r="ON19" s="214"/>
      <c r="OO19" s="214"/>
      <c r="OP19" s="214"/>
      <c r="OQ19" s="214"/>
      <c r="OR19" s="214"/>
      <c r="OS19" s="214"/>
      <c r="OT19" s="214"/>
      <c r="OU19" s="214"/>
      <c r="OV19" s="214"/>
      <c r="OW19" s="214"/>
      <c r="OX19" s="214"/>
      <c r="OY19" s="214"/>
      <c r="OZ19" s="214"/>
      <c r="PA19" s="214"/>
      <c r="PB19" s="214"/>
      <c r="PC19" s="214"/>
      <c r="PD19" s="214"/>
      <c r="PE19" s="214"/>
      <c r="PF19" s="214"/>
      <c r="PG19" s="214"/>
      <c r="PH19" s="214"/>
      <c r="PI19" s="214"/>
      <c r="PJ19" s="214"/>
      <c r="PK19" s="214"/>
      <c r="PL19" s="214"/>
      <c r="PM19" s="214"/>
      <c r="PN19" s="214"/>
      <c r="PO19" s="214"/>
      <c r="PP19" s="214"/>
      <c r="PQ19" s="214"/>
      <c r="PR19" s="214"/>
      <c r="PS19" s="214"/>
      <c r="PT19" s="214"/>
      <c r="PU19" s="214"/>
      <c r="PV19" s="214"/>
      <c r="PW19" s="214"/>
      <c r="PX19" s="214"/>
      <c r="PY19" s="214"/>
      <c r="PZ19" s="214"/>
      <c r="QA19" s="214"/>
      <c r="QB19" s="214"/>
      <c r="QC19" s="214"/>
      <c r="QD19" s="214"/>
      <c r="QE19" s="214"/>
      <c r="QF19" s="214"/>
      <c r="QG19" s="214"/>
      <c r="QH19" s="214"/>
      <c r="QI19" s="214"/>
      <c r="QJ19" s="214"/>
      <c r="QK19" s="214"/>
      <c r="QL19" s="214"/>
      <c r="QM19" s="214"/>
      <c r="QN19" s="214"/>
      <c r="QO19" s="214"/>
      <c r="QP19" s="214"/>
      <c r="QQ19" s="214"/>
      <c r="QR19" s="214"/>
      <c r="QS19" s="214"/>
      <c r="QT19" s="214"/>
      <c r="QU19" s="214"/>
      <c r="QV19" s="214"/>
      <c r="QW19" s="214"/>
      <c r="QX19" s="214"/>
      <c r="QY19" s="214"/>
      <c r="QZ19" s="214"/>
      <c r="RA19" s="214"/>
      <c r="RB19" s="214"/>
      <c r="RC19" s="214"/>
      <c r="RD19" s="214"/>
      <c r="RE19" s="214"/>
      <c r="RF19" s="214"/>
      <c r="RG19" s="214"/>
      <c r="RH19" s="214"/>
      <c r="RI19" s="214"/>
      <c r="RJ19" s="214"/>
      <c r="RK19" s="214"/>
      <c r="RL19" s="214"/>
      <c r="RM19" s="214"/>
      <c r="RN19" s="214"/>
      <c r="RO19" s="214"/>
      <c r="RP19" s="214"/>
      <c r="RQ19" s="214"/>
      <c r="RR19" s="214"/>
      <c r="RS19" s="214"/>
      <c r="RT19" s="214"/>
      <c r="RU19" s="214"/>
      <c r="RV19" s="214"/>
      <c r="RW19" s="214"/>
      <c r="RX19" s="214"/>
      <c r="RY19" s="214"/>
      <c r="RZ19" s="214"/>
      <c r="SA19" s="214"/>
      <c r="SB19" s="214"/>
      <c r="SC19" s="214"/>
      <c r="SD19" s="214"/>
      <c r="SE19" s="214"/>
      <c r="SF19" s="214"/>
      <c r="SG19" s="214"/>
      <c r="SH19" s="214"/>
      <c r="SI19" s="214"/>
      <c r="SJ19" s="214"/>
      <c r="SK19" s="214"/>
      <c r="SL19" s="214"/>
      <c r="SM19" s="214"/>
      <c r="SN19" s="214"/>
      <c r="SO19" s="214"/>
      <c r="SP19" s="214"/>
      <c r="SQ19" s="214"/>
      <c r="SR19" s="214"/>
      <c r="SS19" s="214"/>
      <c r="ST19" s="214"/>
      <c r="SU19" s="214"/>
      <c r="SV19" s="214"/>
      <c r="SW19" s="214"/>
      <c r="SX19" s="214"/>
      <c r="SY19" s="214"/>
      <c r="SZ19" s="214"/>
      <c r="TA19" s="214"/>
      <c r="TB19" s="214"/>
      <c r="TC19" s="214"/>
      <c r="TD19" s="214"/>
      <c r="TE19" s="214"/>
      <c r="TF19" s="214"/>
      <c r="TG19" s="214"/>
      <c r="TH19" s="214"/>
      <c r="TI19" s="214"/>
      <c r="TJ19" s="214"/>
      <c r="TK19" s="214"/>
      <c r="TL19" s="214"/>
      <c r="TM19" s="214"/>
      <c r="TN19" s="214"/>
      <c r="TO19" s="214"/>
      <c r="TP19" s="214"/>
      <c r="TQ19" s="214"/>
      <c r="TR19" s="214"/>
      <c r="TS19" s="214"/>
      <c r="TT19" s="214"/>
      <c r="TU19" s="214"/>
      <c r="TV19" s="214"/>
      <c r="TW19" s="214"/>
      <c r="TX19" s="214"/>
      <c r="TY19" s="214"/>
      <c r="TZ19" s="214"/>
      <c r="UA19" s="214"/>
      <c r="UB19" s="214"/>
      <c r="UC19" s="214"/>
      <c r="UD19" s="214"/>
      <c r="UE19" s="214"/>
      <c r="UF19" s="214"/>
      <c r="UG19" s="214"/>
      <c r="UH19" s="214"/>
      <c r="UI19" s="214"/>
      <c r="UJ19" s="214"/>
      <c r="UK19" s="214"/>
      <c r="UL19" s="214"/>
      <c r="UM19" s="214"/>
      <c r="UN19" s="214"/>
      <c r="UO19" s="214"/>
      <c r="UP19" s="214"/>
      <c r="UQ19" s="214"/>
      <c r="UR19" s="214"/>
      <c r="US19" s="214"/>
      <c r="UT19" s="214"/>
      <c r="UU19" s="214"/>
      <c r="UV19" s="214"/>
      <c r="UW19" s="214"/>
      <c r="UX19" s="214"/>
      <c r="UY19" s="214"/>
      <c r="UZ19" s="214"/>
      <c r="VA19" s="214"/>
      <c r="VB19" s="214"/>
      <c r="VC19" s="214"/>
      <c r="VD19" s="214"/>
      <c r="VE19" s="214"/>
      <c r="VF19" s="214"/>
      <c r="VG19" s="214"/>
      <c r="VH19" s="214"/>
      <c r="VI19" s="214"/>
      <c r="VJ19" s="214"/>
      <c r="VK19" s="214"/>
      <c r="VL19" s="214"/>
      <c r="VM19" s="214"/>
      <c r="VN19" s="214"/>
      <c r="VO19" s="214"/>
      <c r="VP19" s="214"/>
      <c r="VQ19" s="214"/>
      <c r="VR19" s="214"/>
      <c r="VS19" s="214"/>
      <c r="VT19" s="214"/>
      <c r="VU19" s="214"/>
      <c r="VV19" s="214"/>
      <c r="VW19" s="214"/>
      <c r="VX19" s="214"/>
      <c r="VY19" s="214"/>
      <c r="VZ19" s="214"/>
      <c r="WA19" s="214"/>
      <c r="WB19" s="214"/>
      <c r="WC19" s="214"/>
      <c r="WD19" s="214"/>
      <c r="WE19" s="214"/>
      <c r="WF19" s="214"/>
      <c r="WG19" s="214"/>
      <c r="WH19" s="214"/>
      <c r="WI19" s="214"/>
      <c r="WJ19" s="214"/>
      <c r="WK19" s="214"/>
      <c r="WL19" s="214"/>
      <c r="WM19" s="214"/>
      <c r="WN19" s="214"/>
      <c r="WO19" s="214"/>
      <c r="WP19" s="214"/>
      <c r="WQ19" s="214"/>
      <c r="WR19" s="214"/>
      <c r="WS19" s="214"/>
      <c r="WT19" s="214"/>
      <c r="WU19" s="214"/>
      <c r="WV19" s="214"/>
      <c r="WW19" s="214"/>
      <c r="WX19" s="214"/>
      <c r="WY19" s="214"/>
      <c r="WZ19" s="214"/>
      <c r="XA19" s="214"/>
      <c r="XB19" s="214"/>
      <c r="XC19" s="214"/>
      <c r="XD19" s="214"/>
      <c r="XE19" s="214"/>
      <c r="XF19" s="214"/>
      <c r="XG19" s="214"/>
      <c r="XH19" s="214"/>
      <c r="XI19" s="214"/>
      <c r="XJ19" s="214"/>
      <c r="XK19" s="214"/>
      <c r="XL19" s="214"/>
      <c r="XM19" s="214"/>
      <c r="XN19" s="214"/>
      <c r="XO19" s="214"/>
      <c r="XP19" s="214"/>
      <c r="XQ19" s="214"/>
      <c r="XR19" s="214"/>
      <c r="XS19" s="214"/>
      <c r="XT19" s="214"/>
      <c r="XU19" s="214"/>
      <c r="XV19" s="214"/>
      <c r="XW19" s="214"/>
      <c r="XX19" s="214"/>
      <c r="XY19" s="214"/>
      <c r="XZ19" s="214"/>
      <c r="YA19" s="214"/>
      <c r="YB19" s="214"/>
      <c r="YC19" s="214"/>
      <c r="YD19" s="214"/>
      <c r="YE19" s="214"/>
      <c r="YF19" s="214"/>
      <c r="YG19" s="214"/>
      <c r="YH19" s="214"/>
      <c r="YI19" s="214"/>
      <c r="YJ19" s="214"/>
      <c r="YK19" s="214"/>
      <c r="YL19" s="214"/>
      <c r="YM19" s="214"/>
      <c r="YN19" s="214"/>
      <c r="YO19" s="214"/>
      <c r="YP19" s="214"/>
      <c r="YQ19" s="214"/>
      <c r="YR19" s="214"/>
      <c r="YS19" s="214"/>
      <c r="YT19" s="214"/>
      <c r="YU19" s="214"/>
      <c r="YV19" s="214"/>
      <c r="YW19" s="214"/>
      <c r="YX19" s="214"/>
      <c r="YY19" s="214"/>
      <c r="YZ19" s="214"/>
      <c r="ZA19" s="214"/>
      <c r="ZB19" s="214"/>
      <c r="ZC19" s="214"/>
      <c r="ZD19" s="214"/>
      <c r="ZE19" s="214"/>
      <c r="ZF19" s="214"/>
      <c r="ZG19" s="214"/>
      <c r="ZH19" s="214"/>
      <c r="ZI19" s="214"/>
      <c r="ZJ19" s="214"/>
      <c r="ZK19" s="214"/>
      <c r="ZL19" s="214"/>
      <c r="ZM19" s="214"/>
      <c r="ZN19" s="214"/>
      <c r="ZO19" s="214"/>
      <c r="ZP19" s="214"/>
      <c r="ZQ19" s="214"/>
      <c r="ZR19" s="214"/>
      <c r="ZS19" s="214"/>
      <c r="ZT19" s="214"/>
      <c r="ZU19" s="214"/>
      <c r="ZV19" s="214"/>
      <c r="ZW19" s="214"/>
      <c r="ZX19" s="214"/>
      <c r="ZY19" s="214"/>
      <c r="ZZ19" s="214"/>
      <c r="AAA19" s="214"/>
      <c r="AAB19" s="214"/>
      <c r="AAC19" s="214"/>
      <c r="AAD19" s="214"/>
      <c r="AAE19" s="214"/>
      <c r="AAF19" s="214"/>
      <c r="AAG19" s="214"/>
      <c r="AAH19" s="214"/>
      <c r="AAI19" s="214"/>
      <c r="AAJ19" s="214"/>
      <c r="AAK19" s="214"/>
      <c r="AAL19" s="214"/>
      <c r="AAM19" s="214"/>
      <c r="AAN19" s="214"/>
      <c r="AAO19" s="214"/>
      <c r="AAP19" s="214"/>
      <c r="AAQ19" s="214"/>
      <c r="AAR19" s="214"/>
      <c r="AAS19" s="214"/>
      <c r="AAT19" s="214"/>
      <c r="AAU19" s="214"/>
      <c r="AAV19" s="214"/>
      <c r="AAW19" s="214"/>
      <c r="AAX19" s="214"/>
      <c r="AAY19" s="214"/>
      <c r="AAZ19" s="214"/>
      <c r="ABA19" s="214"/>
      <c r="ABB19" s="214"/>
      <c r="ABC19" s="214"/>
      <c r="ABD19" s="214"/>
      <c r="ABE19" s="214"/>
      <c r="ABF19" s="214"/>
      <c r="ABG19" s="214"/>
      <c r="ABH19" s="214"/>
      <c r="ABI19" s="214"/>
      <c r="ABJ19" s="214"/>
      <c r="ABK19" s="214"/>
      <c r="ABL19" s="214"/>
      <c r="ABM19" s="214"/>
      <c r="ABN19" s="214"/>
      <c r="ABO19" s="214"/>
      <c r="ABP19" s="214"/>
      <c r="ABQ19" s="214"/>
      <c r="ABR19" s="214"/>
      <c r="ABS19" s="214"/>
      <c r="ABT19" s="214"/>
      <c r="ABU19" s="214"/>
      <c r="ABV19" s="214"/>
      <c r="ABW19" s="214"/>
      <c r="ABX19" s="214"/>
      <c r="ABY19" s="214"/>
      <c r="ABZ19" s="214"/>
      <c r="ACA19" s="214"/>
      <c r="ACB19" s="214"/>
      <c r="ACC19" s="214"/>
      <c r="ACD19" s="214"/>
      <c r="ACE19" s="214"/>
      <c r="ACF19" s="214"/>
      <c r="ACG19" s="214"/>
      <c r="ACH19" s="214"/>
      <c r="ACI19" s="214"/>
      <c r="ACJ19" s="214"/>
      <c r="ACK19" s="214"/>
      <c r="ACL19" s="214"/>
      <c r="ACM19" s="214"/>
      <c r="ACN19" s="214"/>
      <c r="ACO19" s="214"/>
      <c r="ACP19" s="214"/>
      <c r="ACQ19" s="214"/>
      <c r="ACR19" s="214"/>
      <c r="ACS19" s="214"/>
      <c r="ACT19" s="214"/>
      <c r="ACU19" s="214"/>
      <c r="ACV19" s="214"/>
      <c r="ACW19" s="214"/>
      <c r="ACX19" s="214"/>
      <c r="ACY19" s="214"/>
      <c r="ACZ19" s="214"/>
      <c r="ADA19" s="214"/>
      <c r="ADB19" s="214"/>
      <c r="ADC19" s="214"/>
      <c r="ADD19" s="214"/>
      <c r="ADE19" s="214"/>
      <c r="ADF19" s="214"/>
      <c r="ADG19" s="214"/>
      <c r="ADH19" s="214"/>
      <c r="ADI19" s="214"/>
      <c r="ADJ19" s="214"/>
      <c r="ADK19" s="214"/>
      <c r="ADL19" s="214"/>
      <c r="ADM19" s="214"/>
      <c r="ADN19" s="214"/>
      <c r="ADO19" s="214"/>
      <c r="ADP19" s="214"/>
      <c r="ADQ19" s="214"/>
      <c r="ADR19" s="214"/>
      <c r="ADS19" s="214"/>
      <c r="ADT19" s="214"/>
      <c r="ADU19" s="214"/>
      <c r="ADV19" s="214"/>
      <c r="ADW19" s="214"/>
      <c r="ADX19" s="214"/>
      <c r="ADY19" s="214"/>
      <c r="ADZ19" s="214"/>
      <c r="AEA19" s="214"/>
      <c r="AEB19" s="214"/>
      <c r="AEC19" s="214"/>
      <c r="AED19" s="214"/>
      <c r="AEE19" s="214"/>
      <c r="AEF19" s="214"/>
      <c r="AEG19" s="214"/>
      <c r="AEH19" s="214"/>
      <c r="AEI19" s="214"/>
      <c r="AEJ19" s="214"/>
      <c r="AEK19" s="214"/>
      <c r="AEL19" s="214"/>
      <c r="AEM19" s="214"/>
      <c r="AEN19" s="214"/>
      <c r="AEO19" s="214"/>
      <c r="AEP19" s="214"/>
      <c r="AEQ19" s="214"/>
      <c r="AER19" s="214"/>
      <c r="AES19" s="214"/>
      <c r="AET19" s="214"/>
      <c r="AEU19" s="214"/>
      <c r="AEV19" s="214"/>
      <c r="AEW19" s="214"/>
      <c r="AEX19" s="214"/>
      <c r="AEY19" s="214"/>
      <c r="AEZ19" s="214"/>
      <c r="AFA19" s="214"/>
      <c r="AFB19" s="214"/>
      <c r="AFC19" s="214"/>
      <c r="AFD19" s="214"/>
      <c r="AFE19" s="214"/>
      <c r="AFF19" s="214"/>
      <c r="AFG19" s="214"/>
      <c r="AFH19" s="214"/>
      <c r="AFI19" s="214"/>
      <c r="AFJ19" s="214"/>
      <c r="AFK19" s="214"/>
      <c r="AFL19" s="214"/>
      <c r="AFM19" s="214"/>
      <c r="AFN19" s="214"/>
      <c r="AFO19" s="214"/>
      <c r="AFP19" s="214"/>
      <c r="AFQ19" s="214"/>
      <c r="AFR19" s="214"/>
      <c r="AFS19" s="214"/>
      <c r="AFT19" s="214"/>
      <c r="AFU19" s="214"/>
      <c r="AFV19" s="214"/>
      <c r="AFW19" s="214"/>
      <c r="AFX19" s="214"/>
      <c r="AFY19" s="214"/>
      <c r="AFZ19" s="214"/>
      <c r="AGA19" s="214"/>
      <c r="AGB19" s="214"/>
      <c r="AGC19" s="214"/>
      <c r="AGD19" s="214"/>
      <c r="AGE19" s="214"/>
      <c r="AGF19" s="214"/>
      <c r="AGG19" s="214"/>
      <c r="AGH19" s="214"/>
      <c r="AGI19" s="214"/>
      <c r="AGJ19" s="214"/>
      <c r="AGK19" s="214"/>
      <c r="AGL19" s="214"/>
      <c r="AGM19" s="214"/>
      <c r="AGN19" s="214"/>
      <c r="AGO19" s="214"/>
      <c r="AGP19" s="214"/>
      <c r="AGQ19" s="214"/>
      <c r="AGR19" s="214"/>
      <c r="AGS19" s="214"/>
      <c r="AGT19" s="214"/>
      <c r="AGU19" s="214"/>
      <c r="AGV19" s="214"/>
      <c r="AGW19" s="214"/>
      <c r="AGX19" s="214"/>
      <c r="AGY19" s="214"/>
      <c r="AGZ19" s="214"/>
      <c r="AHA19" s="214"/>
      <c r="AHB19" s="214"/>
      <c r="AHC19" s="214"/>
      <c r="AHD19" s="214"/>
      <c r="AHE19" s="214"/>
      <c r="AHF19" s="214"/>
      <c r="AHG19" s="214"/>
      <c r="AHH19" s="214"/>
      <c r="AHI19" s="214"/>
      <c r="AHJ19" s="214"/>
      <c r="AHK19" s="214"/>
      <c r="AHL19" s="214"/>
      <c r="AHM19" s="214"/>
      <c r="AHN19" s="214"/>
      <c r="AHO19" s="214"/>
      <c r="AHP19" s="214"/>
      <c r="AHQ19" s="214"/>
      <c r="AHR19" s="214"/>
      <c r="AHS19" s="214"/>
      <c r="AHT19" s="214"/>
      <c r="AHU19" s="214"/>
      <c r="AHV19" s="214"/>
      <c r="AHW19" s="214"/>
      <c r="AHX19" s="214"/>
      <c r="AHY19" s="214"/>
      <c r="AHZ19" s="214"/>
      <c r="AIA19" s="214"/>
      <c r="AIB19" s="214"/>
      <c r="AIC19" s="214"/>
      <c r="AID19" s="214"/>
      <c r="AIE19" s="214"/>
      <c r="AIF19" s="214"/>
      <c r="AIG19" s="214"/>
      <c r="AIH19" s="214"/>
      <c r="AII19" s="214"/>
      <c r="AIJ19" s="214"/>
      <c r="AIK19" s="214"/>
      <c r="AIL19" s="214"/>
      <c r="AIM19" s="214"/>
      <c r="AIN19" s="214"/>
      <c r="AIO19" s="214"/>
      <c r="AIP19" s="214"/>
      <c r="AIQ19" s="214"/>
      <c r="AIR19" s="214"/>
      <c r="AIS19" s="214"/>
      <c r="AIT19" s="214"/>
      <c r="AIU19" s="214"/>
      <c r="AIV19" s="214"/>
      <c r="AIW19" s="214"/>
      <c r="AIX19" s="214"/>
      <c r="AIY19" s="214"/>
      <c r="AIZ19" s="214"/>
      <c r="AJA19" s="214"/>
      <c r="AJB19" s="214"/>
      <c r="AJC19" s="214"/>
      <c r="AJD19" s="214"/>
      <c r="AJE19" s="214"/>
      <c r="AJF19" s="214"/>
      <c r="AJG19" s="214"/>
      <c r="AJH19" s="214"/>
      <c r="AJI19" s="214"/>
      <c r="AJJ19" s="214"/>
      <c r="AJK19" s="214"/>
      <c r="AJL19" s="214"/>
      <c r="AJM19" s="214"/>
      <c r="AJN19" s="214"/>
      <c r="AJO19" s="214"/>
      <c r="AJP19" s="214"/>
      <c r="AJQ19" s="214"/>
      <c r="AJR19" s="214"/>
      <c r="AJS19" s="214"/>
      <c r="AJT19" s="214"/>
      <c r="AJU19" s="214"/>
      <c r="AJV19" s="214"/>
      <c r="AJW19" s="214"/>
      <c r="AJX19" s="214"/>
      <c r="AJY19" s="214"/>
      <c r="AJZ19" s="214"/>
      <c r="AKA19" s="214"/>
      <c r="AKB19" s="214"/>
      <c r="AKC19" s="214"/>
      <c r="AKD19" s="214"/>
      <c r="AKE19" s="214"/>
      <c r="AKF19" s="214"/>
      <c r="AKG19" s="214"/>
      <c r="AKH19" s="214"/>
      <c r="AKI19" s="214"/>
      <c r="AKJ19" s="214"/>
      <c r="AKK19" s="214"/>
      <c r="AKL19" s="214"/>
      <c r="AKM19" s="214"/>
      <c r="AKN19" s="214"/>
      <c r="AKO19" s="214"/>
      <c r="AKP19" s="214"/>
      <c r="AKQ19" s="214"/>
      <c r="AKR19" s="214"/>
      <c r="AKS19" s="214"/>
      <c r="AKT19" s="214"/>
      <c r="AKU19" s="214"/>
      <c r="AKV19" s="214"/>
      <c r="AKW19" s="214"/>
      <c r="AKX19" s="214"/>
      <c r="AKY19" s="214"/>
      <c r="AKZ19" s="214"/>
      <c r="ALA19" s="214"/>
      <c r="ALB19" s="214"/>
      <c r="ALC19" s="214"/>
      <c r="ALD19" s="214"/>
      <c r="ALE19" s="214"/>
      <c r="ALF19" s="214"/>
      <c r="ALG19" s="214"/>
      <c r="ALH19" s="214"/>
      <c r="ALI19" s="214"/>
      <c r="ALJ19" s="214"/>
      <c r="ALK19" s="214"/>
      <c r="ALL19" s="214"/>
      <c r="ALM19" s="214"/>
      <c r="ALN19" s="214"/>
      <c r="ALO19" s="214"/>
      <c r="ALP19" s="214"/>
      <c r="ALQ19" s="214"/>
      <c r="ALR19" s="214"/>
      <c r="ALS19" s="214"/>
      <c r="ALT19" s="214"/>
      <c r="ALU19" s="214"/>
      <c r="ALV19" s="214"/>
      <c r="ALW19" s="214"/>
      <c r="ALX19" s="214"/>
      <c r="ALY19" s="214"/>
      <c r="ALZ19" s="214"/>
      <c r="AMA19" s="214"/>
      <c r="AMB19" s="214"/>
      <c r="AMC19" s="214"/>
      <c r="AMD19" s="214"/>
      <c r="AME19" s="214"/>
      <c r="AMF19" s="214"/>
      <c r="AMG19" s="214"/>
      <c r="AMH19" s="214"/>
      <c r="AMI19" s="214"/>
      <c r="AMJ19" s="214"/>
      <c r="AMK19" s="214"/>
      <c r="AML19" s="214"/>
      <c r="AMM19" s="214"/>
      <c r="AMN19" s="214"/>
      <c r="AMO19" s="214"/>
      <c r="AMP19" s="214"/>
      <c r="AMQ19" s="214"/>
      <c r="AMR19" s="214"/>
      <c r="AMS19" s="214"/>
      <c r="AMT19" s="214"/>
      <c r="AMU19" s="214"/>
      <c r="AMV19" s="214"/>
      <c r="AMW19" s="214"/>
      <c r="AMX19" s="214"/>
      <c r="AMY19" s="214"/>
      <c r="AMZ19" s="214"/>
      <c r="ANA19" s="214"/>
      <c r="ANB19" s="214"/>
      <c r="ANC19" s="214"/>
      <c r="AND19" s="214"/>
      <c r="ANE19" s="214"/>
      <c r="ANF19" s="214"/>
      <c r="ANG19" s="214"/>
      <c r="ANH19" s="214"/>
      <c r="ANI19" s="214"/>
      <c r="ANJ19" s="214"/>
      <c r="ANK19" s="214"/>
      <c r="ANL19" s="214"/>
      <c r="ANM19" s="214"/>
      <c r="ANN19" s="214"/>
      <c r="ANO19" s="214"/>
      <c r="ANP19" s="214"/>
      <c r="ANQ19" s="214"/>
      <c r="ANR19" s="214"/>
      <c r="ANS19" s="214"/>
      <c r="ANT19" s="214"/>
      <c r="ANU19" s="214"/>
      <c r="ANV19" s="214"/>
      <c r="ANW19" s="214"/>
      <c r="ANX19" s="214"/>
      <c r="ANY19" s="214"/>
      <c r="ANZ19" s="214"/>
      <c r="AOA19" s="214"/>
      <c r="AOB19" s="214"/>
      <c r="AOC19" s="214"/>
      <c r="AOD19" s="214"/>
      <c r="AOE19" s="214"/>
      <c r="AOF19" s="214"/>
      <c r="AOG19" s="214"/>
      <c r="AOH19" s="214"/>
      <c r="AOI19" s="214"/>
      <c r="AOJ19" s="214"/>
      <c r="AOK19" s="214"/>
      <c r="AOL19" s="214"/>
      <c r="AOM19" s="214"/>
      <c r="AON19" s="214"/>
      <c r="AOO19" s="214"/>
      <c r="AOP19" s="214"/>
      <c r="AOQ19" s="214"/>
      <c r="AOR19" s="214"/>
      <c r="AOS19" s="214"/>
      <c r="AOT19" s="214"/>
      <c r="AOU19" s="214"/>
      <c r="AOV19" s="214"/>
      <c r="AOW19" s="214"/>
      <c r="AOX19" s="214"/>
      <c r="AOY19" s="214"/>
      <c r="AOZ19" s="214"/>
      <c r="APA19" s="214"/>
      <c r="APB19" s="214"/>
      <c r="APC19" s="214"/>
      <c r="APD19" s="214"/>
      <c r="APE19" s="214"/>
      <c r="APF19" s="214"/>
      <c r="APG19" s="214"/>
      <c r="APH19" s="214"/>
      <c r="API19" s="214"/>
      <c r="APJ19" s="214"/>
      <c r="APK19" s="214"/>
      <c r="APL19" s="214"/>
      <c r="APM19" s="214"/>
      <c r="APN19" s="214"/>
      <c r="APO19" s="214"/>
      <c r="APP19" s="214"/>
      <c r="APQ19" s="214"/>
      <c r="APR19" s="214"/>
      <c r="APS19" s="214"/>
      <c r="APT19" s="214"/>
      <c r="APU19" s="214"/>
      <c r="APV19" s="214"/>
      <c r="APW19" s="214"/>
      <c r="APX19" s="214"/>
      <c r="APY19" s="214"/>
      <c r="APZ19" s="214"/>
      <c r="AQA19" s="214"/>
      <c r="AQB19" s="214"/>
      <c r="AQC19" s="214"/>
      <c r="AQD19" s="214"/>
      <c r="AQE19" s="214"/>
      <c r="AQF19" s="214"/>
      <c r="AQG19" s="214"/>
      <c r="AQH19" s="214"/>
      <c r="AQI19" s="214"/>
      <c r="AQJ19" s="214"/>
      <c r="AQK19" s="214"/>
      <c r="AQL19" s="214"/>
      <c r="AQM19" s="214"/>
      <c r="AQN19" s="214"/>
      <c r="AQO19" s="214"/>
      <c r="AQP19" s="214"/>
      <c r="AQQ19" s="214"/>
      <c r="AQR19" s="214"/>
      <c r="AQS19" s="214"/>
      <c r="AQT19" s="214"/>
      <c r="AQU19" s="214"/>
      <c r="AQV19" s="214"/>
      <c r="AQW19" s="214"/>
      <c r="AQX19" s="214"/>
      <c r="AQY19" s="214"/>
      <c r="AQZ19" s="214"/>
      <c r="ARA19" s="214"/>
      <c r="ARB19" s="214"/>
      <c r="ARC19" s="214"/>
      <c r="ARD19" s="214"/>
      <c r="ARE19" s="214"/>
      <c r="ARF19" s="214"/>
      <c r="ARG19" s="214"/>
      <c r="ARH19" s="214"/>
      <c r="ARI19" s="214"/>
      <c r="ARJ19" s="214"/>
      <c r="ARK19" s="214"/>
      <c r="ARL19" s="214"/>
      <c r="ARM19" s="214"/>
      <c r="ARN19" s="214"/>
      <c r="ARO19" s="214"/>
      <c r="ARP19" s="214"/>
      <c r="ARQ19" s="214"/>
      <c r="ARR19" s="214"/>
      <c r="ARS19" s="214"/>
      <c r="ART19" s="214"/>
      <c r="ARU19" s="214"/>
      <c r="ARV19" s="214"/>
      <c r="ARW19" s="214"/>
      <c r="ARX19" s="214"/>
      <c r="ARY19" s="214"/>
      <c r="ARZ19" s="214"/>
      <c r="ASA19" s="214"/>
      <c r="ASB19" s="214"/>
      <c r="ASC19" s="214"/>
      <c r="ASD19" s="214"/>
      <c r="ASE19" s="214"/>
      <c r="ASF19" s="214"/>
      <c r="ASG19" s="214"/>
      <c r="ASH19" s="214"/>
      <c r="ASI19" s="214"/>
      <c r="ASJ19" s="214"/>
      <c r="ASK19" s="214"/>
      <c r="ASL19" s="214"/>
      <c r="ASM19" s="214"/>
      <c r="ASN19" s="214"/>
      <c r="ASO19" s="214"/>
      <c r="ASP19" s="214"/>
      <c r="ASQ19" s="214"/>
      <c r="ASR19" s="214"/>
      <c r="ASS19" s="214"/>
      <c r="AST19" s="214"/>
      <c r="ASU19" s="214"/>
      <c r="ASV19" s="214"/>
      <c r="ASW19" s="214"/>
      <c r="ASX19" s="214"/>
      <c r="ASY19" s="214"/>
      <c r="ASZ19" s="214"/>
      <c r="ATA19" s="214"/>
      <c r="ATB19" s="214"/>
      <c r="ATC19" s="214"/>
      <c r="ATD19" s="214"/>
      <c r="ATE19" s="214"/>
      <c r="ATF19" s="214"/>
      <c r="ATG19" s="214"/>
      <c r="ATH19" s="214"/>
      <c r="ATI19" s="214"/>
      <c r="ATJ19" s="214"/>
      <c r="ATK19" s="214"/>
      <c r="ATL19" s="214"/>
      <c r="ATM19" s="214"/>
      <c r="ATN19" s="214"/>
      <c r="ATO19" s="214"/>
      <c r="ATP19" s="214"/>
      <c r="ATQ19" s="214"/>
      <c r="ATR19" s="214"/>
      <c r="ATS19" s="214"/>
      <c r="ATT19" s="214"/>
      <c r="ATU19" s="214"/>
      <c r="ATV19" s="214"/>
      <c r="ATW19" s="214"/>
      <c r="ATX19" s="214"/>
      <c r="ATY19" s="214"/>
      <c r="ATZ19" s="214"/>
      <c r="AUA19" s="214"/>
      <c r="AUB19" s="214"/>
      <c r="AUC19" s="214"/>
      <c r="AUD19" s="214"/>
      <c r="AUE19" s="214"/>
      <c r="AUF19" s="214"/>
      <c r="AUG19" s="214"/>
      <c r="AUH19" s="214"/>
      <c r="AUI19" s="214"/>
      <c r="AUJ19" s="214"/>
      <c r="AUK19" s="214"/>
      <c r="AUL19" s="214"/>
      <c r="AUM19" s="214"/>
      <c r="AUN19" s="214"/>
      <c r="AUO19" s="214"/>
      <c r="AUP19" s="214"/>
      <c r="AUQ19" s="214"/>
      <c r="AUR19" s="214"/>
      <c r="AUS19" s="214"/>
      <c r="AUT19" s="214"/>
      <c r="AUU19" s="214"/>
      <c r="AUV19" s="214"/>
      <c r="AUW19" s="214"/>
      <c r="AUX19" s="214"/>
      <c r="AUY19" s="214"/>
      <c r="AUZ19" s="214"/>
      <c r="AVA19" s="214"/>
      <c r="AVB19" s="214"/>
      <c r="AVC19" s="214"/>
      <c r="AVD19" s="214"/>
      <c r="AVE19" s="214"/>
      <c r="AVF19" s="214"/>
      <c r="AVG19" s="214"/>
      <c r="AVH19" s="214"/>
      <c r="AVI19" s="214"/>
      <c r="AVJ19" s="214"/>
      <c r="AVK19" s="214"/>
      <c r="AVL19" s="214"/>
      <c r="AVM19" s="214"/>
      <c r="AVN19" s="214"/>
      <c r="AVO19" s="214"/>
      <c r="AVP19" s="214"/>
      <c r="AVQ19" s="214"/>
      <c r="AVR19" s="214"/>
      <c r="AVS19" s="214"/>
      <c r="AVT19" s="214"/>
      <c r="AVU19" s="214"/>
      <c r="AVV19" s="214"/>
      <c r="AVW19" s="214"/>
      <c r="AVX19" s="214"/>
      <c r="AVY19" s="214"/>
      <c r="AVZ19" s="214"/>
      <c r="AWA19" s="214"/>
      <c r="AWB19" s="214"/>
      <c r="AWC19" s="214"/>
      <c r="AWD19" s="214"/>
      <c r="AWE19" s="214"/>
      <c r="AWF19" s="214"/>
      <c r="AWG19" s="214"/>
      <c r="AWH19" s="214"/>
      <c r="AWI19" s="214"/>
      <c r="AWJ19" s="214"/>
      <c r="AWK19" s="214"/>
      <c r="AWL19" s="214"/>
      <c r="AWM19" s="214"/>
      <c r="AWN19" s="214"/>
      <c r="AWO19" s="214"/>
      <c r="AWP19" s="214"/>
      <c r="AWQ19" s="214"/>
      <c r="AWR19" s="214"/>
      <c r="AWS19" s="214"/>
      <c r="AWT19" s="214"/>
      <c r="AWU19" s="214"/>
      <c r="AWV19" s="214"/>
      <c r="AWW19" s="214"/>
      <c r="AWX19" s="214"/>
      <c r="AWY19" s="214"/>
      <c r="AWZ19" s="214"/>
      <c r="AXA19" s="214"/>
      <c r="AXB19" s="214"/>
      <c r="AXC19" s="214"/>
      <c r="AXD19" s="214"/>
      <c r="AXE19" s="214"/>
      <c r="AXF19" s="214"/>
      <c r="AXG19" s="214"/>
      <c r="AXH19" s="214"/>
      <c r="AXI19" s="214"/>
      <c r="AXJ19" s="214"/>
      <c r="AXK19" s="214"/>
      <c r="AXL19" s="214"/>
      <c r="AXM19" s="214"/>
      <c r="AXN19" s="214"/>
      <c r="AXO19" s="214"/>
      <c r="AXP19" s="214"/>
      <c r="AXQ19" s="214"/>
      <c r="AXR19" s="214"/>
      <c r="AXS19" s="214"/>
      <c r="AXT19" s="214"/>
      <c r="AXU19" s="214"/>
      <c r="AXV19" s="214"/>
      <c r="AXW19" s="214"/>
      <c r="AXX19" s="214"/>
      <c r="AXY19" s="214"/>
      <c r="AXZ19" s="214"/>
      <c r="AYA19" s="214"/>
      <c r="AYB19" s="214"/>
      <c r="AYC19" s="214"/>
      <c r="AYD19" s="214"/>
      <c r="AYE19" s="214"/>
      <c r="AYF19" s="214"/>
      <c r="AYG19" s="214"/>
      <c r="AYH19" s="214"/>
      <c r="AYI19" s="214"/>
      <c r="AYJ19" s="214"/>
      <c r="AYK19" s="214"/>
      <c r="AYL19" s="214"/>
      <c r="AYM19" s="214"/>
      <c r="AYN19" s="214"/>
      <c r="AYO19" s="214"/>
      <c r="AYP19" s="214"/>
      <c r="AYQ19" s="214"/>
      <c r="AYR19" s="214"/>
      <c r="AYS19" s="214"/>
      <c r="AYT19" s="214"/>
      <c r="AYU19" s="214"/>
      <c r="AYV19" s="214"/>
      <c r="AYW19" s="214"/>
      <c r="AYX19" s="214"/>
      <c r="AYY19" s="214"/>
      <c r="AYZ19" s="214"/>
      <c r="AZA19" s="214"/>
      <c r="AZB19" s="214"/>
      <c r="AZC19" s="214"/>
      <c r="AZD19" s="214"/>
      <c r="AZE19" s="214"/>
      <c r="AZF19" s="214"/>
      <c r="AZG19" s="214"/>
      <c r="AZH19" s="214"/>
      <c r="AZI19" s="214"/>
      <c r="AZJ19" s="214"/>
      <c r="AZK19" s="214"/>
      <c r="AZL19" s="214"/>
      <c r="AZM19" s="214"/>
      <c r="AZN19" s="214"/>
      <c r="AZO19" s="214"/>
      <c r="AZP19" s="214"/>
      <c r="AZQ19" s="214"/>
      <c r="AZR19" s="214"/>
      <c r="AZS19" s="214"/>
      <c r="AZT19" s="214"/>
      <c r="AZU19" s="214"/>
      <c r="AZV19" s="214"/>
      <c r="AZW19" s="214"/>
      <c r="AZX19" s="214"/>
      <c r="AZY19" s="214"/>
      <c r="AZZ19" s="214"/>
      <c r="BAA19" s="214"/>
      <c r="BAB19" s="214"/>
      <c r="BAC19" s="214"/>
      <c r="BAD19" s="214"/>
      <c r="BAE19" s="214"/>
      <c r="BAF19" s="214"/>
      <c r="BAG19" s="214"/>
      <c r="BAH19" s="214"/>
      <c r="BAI19" s="214"/>
      <c r="BAJ19" s="214"/>
      <c r="BAK19" s="214"/>
      <c r="BAL19" s="214"/>
      <c r="BAM19" s="214"/>
      <c r="BAN19" s="214"/>
      <c r="BAO19" s="214"/>
      <c r="BAP19" s="214"/>
      <c r="BAQ19" s="214"/>
      <c r="BAR19" s="214"/>
      <c r="BAS19" s="214"/>
      <c r="BAT19" s="214"/>
      <c r="BAU19" s="214"/>
      <c r="BAV19" s="214"/>
      <c r="BAW19" s="214"/>
      <c r="BAX19" s="214"/>
      <c r="BAY19" s="214"/>
      <c r="BAZ19" s="214"/>
      <c r="BBA19" s="214"/>
      <c r="BBB19" s="214"/>
      <c r="BBC19" s="214"/>
      <c r="BBD19" s="214"/>
      <c r="BBE19" s="214"/>
      <c r="BBF19" s="214"/>
      <c r="BBG19" s="214"/>
      <c r="BBH19" s="214"/>
      <c r="BBI19" s="214"/>
      <c r="BBJ19" s="214"/>
      <c r="BBK19" s="214"/>
      <c r="BBL19" s="214"/>
      <c r="BBM19" s="214"/>
      <c r="BBN19" s="214"/>
      <c r="BBO19" s="214"/>
      <c r="BBP19" s="214"/>
      <c r="BBQ19" s="214"/>
      <c r="BBR19" s="214"/>
      <c r="BBS19" s="214"/>
      <c r="BBT19" s="214"/>
      <c r="BBU19" s="214"/>
      <c r="BBV19" s="214"/>
      <c r="BBW19" s="214"/>
      <c r="BBX19" s="214"/>
      <c r="BBY19" s="214"/>
      <c r="BBZ19" s="214"/>
      <c r="BCA19" s="214"/>
      <c r="BCB19" s="214"/>
      <c r="BCC19" s="214"/>
      <c r="BCD19" s="214"/>
      <c r="BCE19" s="214"/>
      <c r="BCF19" s="214"/>
      <c r="BCG19" s="214"/>
      <c r="BCH19" s="214"/>
      <c r="BCI19" s="214"/>
      <c r="BCJ19" s="214"/>
      <c r="BCK19" s="214"/>
      <c r="BCL19" s="214"/>
      <c r="BCM19" s="214"/>
      <c r="BCN19" s="214"/>
      <c r="BCO19" s="214"/>
      <c r="BCP19" s="214"/>
      <c r="BCQ19" s="214"/>
      <c r="BCR19" s="214"/>
      <c r="BCS19" s="214"/>
      <c r="BCT19" s="214"/>
      <c r="BCU19" s="214"/>
      <c r="BCV19" s="214"/>
      <c r="BCW19" s="214"/>
      <c r="BCX19" s="214"/>
      <c r="BCY19" s="214"/>
      <c r="BCZ19" s="214"/>
      <c r="BDA19" s="214"/>
      <c r="BDB19" s="214"/>
      <c r="BDC19" s="214"/>
      <c r="BDD19" s="214"/>
      <c r="BDE19" s="214"/>
      <c r="BDF19" s="214"/>
      <c r="BDG19" s="214"/>
      <c r="BDH19" s="214"/>
      <c r="BDI19" s="214"/>
      <c r="BDJ19" s="214"/>
      <c r="BDK19" s="214"/>
      <c r="BDL19" s="214"/>
      <c r="BDM19" s="214"/>
      <c r="BDN19" s="214"/>
      <c r="BDO19" s="214"/>
      <c r="BDP19" s="214"/>
      <c r="BDQ19" s="214"/>
      <c r="BDR19" s="214"/>
      <c r="BDS19" s="214"/>
      <c r="BDT19" s="214"/>
      <c r="BDU19" s="214"/>
      <c r="BDV19" s="214"/>
      <c r="BDW19" s="214"/>
      <c r="BDX19" s="214"/>
      <c r="BDY19" s="214"/>
      <c r="BDZ19" s="214"/>
      <c r="BEA19" s="214"/>
      <c r="BEB19" s="214"/>
      <c r="BEC19" s="214"/>
      <c r="BED19" s="214"/>
      <c r="BEE19" s="214"/>
      <c r="BEF19" s="214"/>
      <c r="BEG19" s="214"/>
      <c r="BEH19" s="214"/>
      <c r="BEI19" s="214"/>
      <c r="BEJ19" s="214"/>
      <c r="BEK19" s="214"/>
      <c r="BEL19" s="214"/>
      <c r="BEM19" s="214"/>
      <c r="BEN19" s="214"/>
      <c r="BEO19" s="214"/>
      <c r="BEP19" s="214"/>
      <c r="BEQ19" s="214"/>
      <c r="BER19" s="214"/>
      <c r="BES19" s="214"/>
      <c r="BET19" s="214"/>
      <c r="BEU19" s="214"/>
      <c r="BEV19" s="214"/>
      <c r="BEW19" s="214"/>
      <c r="BEX19" s="214"/>
      <c r="BEY19" s="214"/>
      <c r="BEZ19" s="214"/>
      <c r="BFA19" s="214"/>
      <c r="BFB19" s="214"/>
      <c r="BFC19" s="214"/>
      <c r="BFD19" s="214"/>
      <c r="BFE19" s="214"/>
      <c r="BFF19" s="214"/>
      <c r="BFG19" s="214"/>
      <c r="BFH19" s="214"/>
      <c r="BFI19" s="214"/>
      <c r="BFJ19" s="214"/>
      <c r="BFK19" s="214"/>
      <c r="BFL19" s="214"/>
      <c r="BFM19" s="214"/>
      <c r="BFN19" s="214"/>
      <c r="BFO19" s="214"/>
      <c r="BFP19" s="214"/>
      <c r="BFQ19" s="214"/>
      <c r="BFR19" s="214"/>
      <c r="BFS19" s="214"/>
      <c r="BFT19" s="214"/>
      <c r="BFU19" s="214"/>
      <c r="BFV19" s="214"/>
      <c r="BFW19" s="214"/>
      <c r="BFX19" s="214"/>
      <c r="BFY19" s="214"/>
      <c r="BFZ19" s="214"/>
      <c r="BGA19" s="214"/>
      <c r="BGB19" s="214"/>
      <c r="BGC19" s="214"/>
      <c r="BGD19" s="214"/>
      <c r="BGE19" s="214"/>
      <c r="BGF19" s="214"/>
      <c r="BGG19" s="214"/>
      <c r="BGH19" s="214"/>
      <c r="BGI19" s="214"/>
      <c r="BGJ19" s="214"/>
      <c r="BGK19" s="214"/>
      <c r="BGL19" s="214"/>
      <c r="BGM19" s="214"/>
      <c r="BGN19" s="214"/>
      <c r="BGO19" s="214"/>
      <c r="BGP19" s="214"/>
      <c r="BGQ19" s="214"/>
      <c r="BGR19" s="214"/>
      <c r="BGS19" s="214"/>
      <c r="BGT19" s="214"/>
      <c r="BGU19" s="214"/>
      <c r="BGV19" s="214"/>
      <c r="BGW19" s="214"/>
      <c r="BGX19" s="214"/>
      <c r="BGY19" s="214"/>
      <c r="BGZ19" s="214"/>
      <c r="BHA19" s="214"/>
      <c r="BHB19" s="214"/>
      <c r="BHC19" s="214"/>
      <c r="BHD19" s="214"/>
      <c r="BHE19" s="214"/>
      <c r="BHF19" s="214"/>
      <c r="BHG19" s="214"/>
      <c r="BHH19" s="214"/>
      <c r="BHI19" s="214"/>
      <c r="BHJ19" s="214"/>
      <c r="BHK19" s="214"/>
      <c r="BHL19" s="214"/>
      <c r="BHM19" s="214"/>
      <c r="BHN19" s="214"/>
      <c r="BHO19" s="214"/>
      <c r="BHP19" s="214"/>
      <c r="BHQ19" s="214"/>
      <c r="BHR19" s="214"/>
      <c r="BHS19" s="214"/>
      <c r="BHT19" s="214"/>
      <c r="BHU19" s="214"/>
      <c r="BHV19" s="214"/>
      <c r="BHW19" s="214"/>
    </row>
    <row r="20" spans="1:1583" s="217" customFormat="1">
      <c r="A20" s="118" t="s">
        <v>416</v>
      </c>
      <c r="B20" s="180" t="s">
        <v>350</v>
      </c>
      <c r="C20" s="416" t="s">
        <v>472</v>
      </c>
      <c r="D20" s="418" t="s">
        <v>472</v>
      </c>
      <c r="E20" s="59" t="s">
        <v>9</v>
      </c>
      <c r="F20" s="132">
        <v>0</v>
      </c>
      <c r="G20" s="60" t="s">
        <v>674</v>
      </c>
      <c r="H20" s="473">
        <f t="shared" si="8"/>
        <v>661.51291263470853</v>
      </c>
      <c r="I20" s="92">
        <f>VLOOKUP($B20,'DCS Data'!$E$2:$AJ$100,MATCH('Daily Report'!I$1,'DCS Data'!$E$2:$AJ$2,0),0)</f>
        <v>16.076682417913673</v>
      </c>
      <c r="J20" s="255"/>
      <c r="K20" s="92">
        <f>VLOOKUP($B20,'DCS Data'!$E$2:$AJ$100,MATCH('Daily Report'!K$1,'DCS Data'!$E$2:$AJ$2,0),0)</f>
        <v>15.097067851872492</v>
      </c>
      <c r="L20" s="92">
        <f>VLOOKUP($B20,'DCS Data'!$E$2:$AJ$100,MATCH('Daily Report'!L$1,'DCS Data'!$E$2:$AJ$2,0),0)</f>
        <v>14.873856271549341</v>
      </c>
      <c r="M20" s="92">
        <f>VLOOKUP($B20,'DCS Data'!$E$2:$AJ$100,MATCH('Daily Report'!M$1,'DCS Data'!$E$2:$AJ$2,0),0)</f>
        <v>14.599686548286126</v>
      </c>
      <c r="N20" s="92">
        <f>VLOOKUP($B20,'DCS Data'!$E$2:$AJ$100,MATCH('Daily Report'!N$1,'DCS Data'!$E$2:$AJ$2,0),0)</f>
        <v>14.090603203265042</v>
      </c>
      <c r="O20" s="92">
        <f>VLOOKUP($B20,'DCS Data'!$E$2:$AJ$100,MATCH('Daily Report'!O$1,'DCS Data'!$E$2:$AJ$2,0),0)</f>
        <v>13.464697030935969</v>
      </c>
      <c r="P20" s="92">
        <f>VLOOKUP($B20,'DCS Data'!$E$2:$AJ$100,MATCH('Daily Report'!P$1,'DCS Data'!$E$2:$AJ$2,0),0)</f>
        <v>12.752190712826767</v>
      </c>
      <c r="Q20" s="92">
        <f>VLOOKUP($B20,'DCS Data'!$E$2:$AJ$100,MATCH('Daily Report'!Q$1,'DCS Data'!$E$2:$AJ$2,0),0)</f>
        <v>12.143386590195146</v>
      </c>
      <c r="R20" s="92">
        <f>VLOOKUP($B20,'DCS Data'!$E$2:$AJ$100,MATCH('Daily Report'!R$1,'DCS Data'!$E$2:$AJ$2,0),0)</f>
        <v>11.541501504643934</v>
      </c>
      <c r="S20" s="92">
        <f>VLOOKUP($B20,'DCS Data'!$E$2:$AJ$100,MATCH('Daily Report'!S$1,'DCS Data'!$E$2:$AJ$2,0),0)</f>
        <v>10.117407421923588</v>
      </c>
      <c r="T20" s="92">
        <f>VLOOKUP($B20,'DCS Data'!$E$2:$AJ$100,MATCH('Daily Report'!T$1,'DCS Data'!$E$2:$AJ$2,0),0)</f>
        <v>9.4803941869755288</v>
      </c>
      <c r="U20" s="92">
        <f>VLOOKUP($B20,'DCS Data'!$E$2:$AJ$100,MATCH('Daily Report'!U$1,'DCS Data'!$E$2:$AJ$2,0),0)</f>
        <v>8.9027436076233872</v>
      </c>
      <c r="V20" s="92">
        <f>VLOOKUP($B20,'DCS Data'!$E$2:$AJ$100,MATCH('Daily Report'!V$1,'DCS Data'!$E$2:$AJ$2,0),0)</f>
        <v>8.3962262323700134</v>
      </c>
      <c r="W20" s="92">
        <f>VLOOKUP($B20,'DCS Data'!$E$2:$AJ$100,MATCH('Daily Report'!W$1,'DCS Data'!$E$2:$AJ$2,0),0)</f>
        <v>7.1514769483956773</v>
      </c>
      <c r="X20" s="92">
        <f>VLOOKUP($B20,'DCS Data'!$E$2:$AJ$100,MATCH('Daily Report'!X$1,'DCS Data'!$E$2:$AJ$2,0),0)</f>
        <v>14.856918440037898</v>
      </c>
      <c r="Y20" s="92">
        <f>VLOOKUP($B20,'DCS Data'!$E$2:$AJ$100,MATCH('Daily Report'!Y$1,'DCS Data'!$E$2:$AJ$2,0),0)</f>
        <v>60.756172842217374</v>
      </c>
      <c r="Z20" s="92">
        <f>VLOOKUP($B20,'DCS Data'!$E$2:$AJ$100,MATCH('Daily Report'!Z$1,'DCS Data'!$E$2:$AJ$2,0),0)</f>
        <v>95.080268689977004</v>
      </c>
      <c r="AA20" s="92">
        <f>VLOOKUP($B20,'DCS Data'!$E$2:$AJ$100,MATCH('Daily Report'!AA$1,'DCS Data'!$E$2:$AJ$2,0),0)</f>
        <v>127.31548665728691</v>
      </c>
      <c r="AB20" s="92">
        <f>VLOOKUP($B20,'DCS Data'!$E$2:$AJ$100,MATCH('Daily Report'!AB$1,'DCS Data'!$E$2:$AJ$2,0),0)</f>
        <v>130.13167392409682</v>
      </c>
      <c r="AC20" s="92">
        <f>VLOOKUP($B20,'DCS Data'!$E$2:$AJ$100,MATCH('Daily Report'!AC$1,'DCS Data'!$E$2:$AJ$2,0),0)</f>
        <v>54.203550866120118</v>
      </c>
      <c r="AD20" s="92">
        <f>VLOOKUP($B20,'DCS Data'!$E$2:$AJ$100,MATCH('Daily Report'!AD$1,'DCS Data'!$E$2:$AJ$2,0),0)</f>
        <v>5.7179577652573874</v>
      </c>
      <c r="AE20" s="92">
        <f>VLOOKUP($B20,'DCS Data'!$E$2:$AJ$100,MATCH('Daily Report'!AE$1,'DCS Data'!$E$2:$AJ$2,0),0)</f>
        <v>0.4530788072281951</v>
      </c>
      <c r="AF20" s="92">
        <f>VLOOKUP($B20,'DCS Data'!$E$2:$AJ$100,MATCH('Daily Report'!AF$1,'DCS Data'!$E$2:$AJ$2,0),0)</f>
        <v>0.18082200234445139</v>
      </c>
      <c r="AG20" s="92">
        <f>VLOOKUP($B20,'DCS Data'!$E$2:$AJ$100,MATCH('Daily Report'!AG$1,'DCS Data'!$E$2:$AJ$2,0),0)</f>
        <v>0.15496849295700821</v>
      </c>
      <c r="AH20" s="92">
        <f>VLOOKUP($B20,'DCS Data'!$E$2:$AJ$100,MATCH('Daily Report'!AH$1,'DCS Data'!$E$2:$AJ$2,0),0)</f>
        <v>0.1540449908557554</v>
      </c>
      <c r="AI20" s="92">
        <f>VLOOKUP($B20,'DCS Data'!$E$2:$AJ$100,MATCH('Daily Report'!AI$1,'DCS Data'!$E$2:$AJ$2,0),0)</f>
        <v>0.1743464228052245</v>
      </c>
      <c r="AJ20" s="92">
        <f>VLOOKUP($B20,'DCS Data'!$E$2:$AJ$100,MATCH('Daily Report'!AJ$1,'DCS Data'!$E$2:$AJ$2,0),0)</f>
        <v>0.24930579894729879</v>
      </c>
      <c r="AK20" s="92">
        <f>VLOOKUP($B20,'DCS Data'!$E$2:$AJ$100,MATCH('Daily Report'!AK$1,'DCS Data'!$E$2:$AJ$2,0),0)</f>
        <v>2.3570344580153142</v>
      </c>
      <c r="AL20" s="92">
        <f>VLOOKUP($B20,'DCS Data'!$E$2:$AJ$100,MATCH('Daily Report'!AL$1,'DCS Data'!$E$2:$AJ$2,0),0)</f>
        <v>0.48982095133303849</v>
      </c>
      <c r="AM20" s="92">
        <f>VLOOKUP($B20,'DCS Data'!$E$2:$AJ$100,MATCH('Daily Report'!AM$1,'DCS Data'!$E$2:$AJ$2,0),0)</f>
        <v>0.30648619253857057</v>
      </c>
      <c r="AN20" s="92">
        <f>VLOOKUP($B20,'DCS Data'!$E$2:$AJ$100,MATCH('Daily Report'!AN$1,'DCS Data'!$E$2:$AJ$2,0),0)</f>
        <v>0.24305480391338252</v>
      </c>
      <c r="AO20" s="214"/>
      <c r="AP20" s="214"/>
      <c r="AQ20" s="214"/>
      <c r="AR20" s="214"/>
      <c r="AS20" s="214"/>
      <c r="AT20" s="214"/>
      <c r="AU20" s="214"/>
      <c r="AV20" s="214"/>
      <c r="AW20" s="214"/>
      <c r="AX20" s="214"/>
      <c r="AY20" s="214"/>
      <c r="AZ20" s="214"/>
      <c r="BA20" s="214"/>
      <c r="BB20" s="214"/>
      <c r="BC20" s="214"/>
      <c r="BD20" s="214"/>
      <c r="BE20" s="214"/>
      <c r="BF20" s="214"/>
      <c r="BG20" s="214"/>
      <c r="BH20" s="214"/>
      <c r="BI20" s="214"/>
      <c r="BJ20" s="214"/>
      <c r="BK20" s="214"/>
      <c r="BL20" s="214"/>
      <c r="BM20" s="214"/>
      <c r="BN20" s="214"/>
      <c r="BO20" s="214"/>
      <c r="BP20" s="214"/>
      <c r="BQ20" s="214"/>
      <c r="BR20" s="214"/>
      <c r="BS20" s="214"/>
      <c r="BT20" s="214"/>
      <c r="BU20" s="214"/>
      <c r="BV20" s="214"/>
      <c r="BW20" s="214"/>
      <c r="BX20" s="214"/>
      <c r="BY20" s="214"/>
      <c r="BZ20" s="214"/>
      <c r="CA20" s="214"/>
      <c r="CB20" s="214"/>
      <c r="CC20" s="214"/>
      <c r="CD20" s="214"/>
      <c r="CE20" s="214"/>
      <c r="CF20" s="214"/>
      <c r="CG20" s="214"/>
      <c r="CH20" s="214"/>
      <c r="CI20" s="214"/>
      <c r="CJ20" s="214"/>
      <c r="CK20" s="214"/>
      <c r="CL20" s="214"/>
      <c r="CM20" s="214"/>
      <c r="CN20" s="214"/>
      <c r="CO20" s="214"/>
      <c r="CP20" s="214"/>
      <c r="CQ20" s="214"/>
      <c r="CR20" s="214"/>
      <c r="CS20" s="214"/>
      <c r="CT20" s="214"/>
      <c r="CU20" s="214"/>
      <c r="CV20" s="214"/>
      <c r="CW20" s="214"/>
      <c r="CX20" s="214"/>
      <c r="CY20" s="214"/>
      <c r="CZ20" s="214"/>
      <c r="DA20" s="214"/>
      <c r="DB20" s="214"/>
      <c r="DC20" s="214"/>
      <c r="DD20" s="214"/>
      <c r="DE20" s="214"/>
      <c r="DF20" s="214"/>
      <c r="DG20" s="214"/>
      <c r="DH20" s="214"/>
      <c r="DI20" s="214"/>
      <c r="DJ20" s="214"/>
      <c r="DK20" s="214"/>
      <c r="DL20" s="214"/>
      <c r="DM20" s="214"/>
      <c r="DN20" s="214"/>
      <c r="DO20" s="214"/>
      <c r="DP20" s="214"/>
      <c r="DQ20" s="214"/>
      <c r="DR20" s="214"/>
      <c r="DS20" s="214"/>
      <c r="DT20" s="214"/>
      <c r="DU20" s="214"/>
      <c r="DV20" s="214"/>
      <c r="DW20" s="214"/>
      <c r="DX20" s="214"/>
      <c r="DY20" s="214"/>
      <c r="DZ20" s="214"/>
      <c r="EA20" s="214"/>
      <c r="EB20" s="214"/>
      <c r="EC20" s="214"/>
      <c r="ED20" s="214"/>
      <c r="EE20" s="214"/>
      <c r="EF20" s="214"/>
      <c r="EG20" s="214"/>
      <c r="EH20" s="214"/>
      <c r="EI20" s="214"/>
      <c r="EJ20" s="214"/>
      <c r="EK20" s="214"/>
      <c r="EL20" s="214"/>
      <c r="EM20" s="214"/>
      <c r="EN20" s="214"/>
      <c r="EO20" s="214"/>
      <c r="EP20" s="214"/>
      <c r="EQ20" s="214"/>
      <c r="ER20" s="214"/>
      <c r="ES20" s="214"/>
      <c r="ET20" s="214"/>
      <c r="EU20" s="214"/>
      <c r="EV20" s="214"/>
      <c r="EW20" s="214"/>
      <c r="EX20" s="214"/>
      <c r="EY20" s="214"/>
      <c r="EZ20" s="214"/>
      <c r="FA20" s="214"/>
      <c r="FB20" s="214"/>
      <c r="FC20" s="214"/>
      <c r="FD20" s="214"/>
      <c r="FE20" s="214"/>
      <c r="FF20" s="214"/>
      <c r="FG20" s="214"/>
      <c r="FH20" s="214"/>
      <c r="FI20" s="214"/>
      <c r="FJ20" s="214"/>
      <c r="FK20" s="214"/>
      <c r="FL20" s="214"/>
      <c r="FM20" s="214"/>
      <c r="FN20" s="214"/>
      <c r="FO20" s="214"/>
      <c r="FP20" s="214"/>
      <c r="FQ20" s="214"/>
      <c r="FR20" s="214"/>
      <c r="FS20" s="214"/>
      <c r="FT20" s="214"/>
      <c r="FU20" s="214"/>
      <c r="FV20" s="214"/>
      <c r="FW20" s="214"/>
      <c r="FX20" s="214"/>
      <c r="FY20" s="214"/>
      <c r="FZ20" s="214"/>
      <c r="GA20" s="214"/>
      <c r="GB20" s="214"/>
      <c r="GC20" s="214"/>
      <c r="GD20" s="214"/>
      <c r="GE20" s="214"/>
      <c r="GF20" s="214"/>
      <c r="GG20" s="214"/>
      <c r="GH20" s="214"/>
      <c r="GI20" s="214"/>
      <c r="GJ20" s="214"/>
      <c r="GK20" s="214"/>
      <c r="GL20" s="214"/>
      <c r="GM20" s="214"/>
      <c r="GN20" s="214"/>
      <c r="GO20" s="214"/>
      <c r="GP20" s="214"/>
      <c r="GQ20" s="214"/>
      <c r="GR20" s="214"/>
      <c r="GS20" s="214"/>
      <c r="GT20" s="214"/>
      <c r="GU20" s="214"/>
      <c r="GV20" s="214"/>
      <c r="GW20" s="214"/>
      <c r="GX20" s="214"/>
      <c r="GY20" s="214"/>
      <c r="GZ20" s="214"/>
      <c r="HA20" s="214"/>
      <c r="HB20" s="214"/>
      <c r="HC20" s="214"/>
      <c r="HD20" s="214"/>
      <c r="HE20" s="214"/>
      <c r="HF20" s="214"/>
      <c r="HG20" s="214"/>
      <c r="HH20" s="214"/>
      <c r="HI20" s="214"/>
      <c r="HJ20" s="214"/>
      <c r="HK20" s="214"/>
      <c r="HL20" s="214"/>
      <c r="HM20" s="214"/>
      <c r="HN20" s="214"/>
      <c r="HO20" s="214"/>
      <c r="HP20" s="214"/>
      <c r="HQ20" s="214"/>
      <c r="HR20" s="214"/>
      <c r="HS20" s="214"/>
      <c r="HT20" s="214"/>
      <c r="HU20" s="214"/>
      <c r="HV20" s="214"/>
      <c r="HW20" s="214"/>
      <c r="HX20" s="214"/>
      <c r="HY20" s="214"/>
      <c r="HZ20" s="214"/>
      <c r="IA20" s="214"/>
      <c r="IB20" s="214"/>
      <c r="IC20" s="214"/>
      <c r="ID20" s="214"/>
      <c r="IE20" s="214"/>
      <c r="IF20" s="214"/>
      <c r="IG20" s="214"/>
      <c r="IH20" s="214"/>
      <c r="II20" s="214"/>
      <c r="IJ20" s="214"/>
      <c r="IK20" s="214"/>
      <c r="IL20" s="214"/>
      <c r="IM20" s="214"/>
      <c r="IN20" s="214"/>
      <c r="IO20" s="214"/>
      <c r="IP20" s="214"/>
      <c r="IQ20" s="214"/>
      <c r="IR20" s="214"/>
      <c r="IS20" s="214"/>
      <c r="IT20" s="214"/>
      <c r="IU20" s="214"/>
      <c r="IV20" s="214"/>
      <c r="IW20" s="214"/>
      <c r="IX20" s="214"/>
      <c r="IY20" s="214"/>
      <c r="IZ20" s="214"/>
      <c r="JA20" s="214"/>
      <c r="JB20" s="214"/>
      <c r="JC20" s="214"/>
      <c r="JD20" s="214"/>
      <c r="JE20" s="214"/>
      <c r="JF20" s="214"/>
      <c r="JG20" s="214"/>
      <c r="JH20" s="214"/>
      <c r="JI20" s="214"/>
      <c r="JJ20" s="214"/>
      <c r="JK20" s="214"/>
      <c r="JL20" s="214"/>
      <c r="JM20" s="214"/>
      <c r="JN20" s="214"/>
      <c r="JO20" s="214"/>
      <c r="JP20" s="214"/>
      <c r="JQ20" s="214"/>
      <c r="JR20" s="214"/>
      <c r="JS20" s="214"/>
      <c r="JT20" s="214"/>
      <c r="JU20" s="214"/>
      <c r="JV20" s="214"/>
      <c r="JW20" s="214"/>
      <c r="JX20" s="214"/>
      <c r="JY20" s="214"/>
      <c r="JZ20" s="214"/>
      <c r="KA20" s="214"/>
      <c r="KB20" s="214"/>
      <c r="KC20" s="214"/>
      <c r="KD20" s="214"/>
      <c r="KE20" s="214"/>
      <c r="KF20" s="214"/>
      <c r="KG20" s="214"/>
      <c r="KH20" s="214"/>
      <c r="KI20" s="214"/>
      <c r="KJ20" s="214"/>
      <c r="KK20" s="214"/>
      <c r="KL20" s="214"/>
      <c r="KM20" s="214"/>
      <c r="KN20" s="214"/>
      <c r="KO20" s="214"/>
      <c r="KP20" s="214"/>
      <c r="KQ20" s="214"/>
      <c r="KR20" s="214"/>
      <c r="KS20" s="214"/>
      <c r="KT20" s="214"/>
      <c r="KU20" s="214"/>
      <c r="KV20" s="214"/>
      <c r="KW20" s="214"/>
      <c r="KX20" s="214"/>
      <c r="KY20" s="214"/>
      <c r="KZ20" s="214"/>
      <c r="LA20" s="214"/>
      <c r="LB20" s="214"/>
      <c r="LC20" s="214"/>
      <c r="LD20" s="214"/>
      <c r="LE20" s="214"/>
      <c r="LF20" s="214"/>
      <c r="LG20" s="214"/>
      <c r="LH20" s="214"/>
      <c r="LI20" s="214"/>
      <c r="LJ20" s="214"/>
      <c r="LK20" s="214"/>
      <c r="LL20" s="214"/>
      <c r="LM20" s="214"/>
      <c r="LN20" s="214"/>
      <c r="LO20" s="214"/>
      <c r="LP20" s="214"/>
      <c r="LQ20" s="214"/>
      <c r="LR20" s="214"/>
      <c r="LS20" s="214"/>
      <c r="LT20" s="214"/>
      <c r="LU20" s="214"/>
      <c r="LV20" s="214"/>
      <c r="LW20" s="214"/>
      <c r="LX20" s="214"/>
      <c r="LY20" s="214"/>
      <c r="LZ20" s="214"/>
      <c r="MA20" s="214"/>
      <c r="MB20" s="214"/>
      <c r="MC20" s="214"/>
      <c r="MD20" s="214"/>
      <c r="ME20" s="214"/>
      <c r="MF20" s="214"/>
      <c r="MG20" s="214"/>
      <c r="MH20" s="214"/>
      <c r="MI20" s="214"/>
      <c r="MJ20" s="214"/>
      <c r="MK20" s="214"/>
      <c r="ML20" s="214"/>
      <c r="MM20" s="214"/>
      <c r="MN20" s="214"/>
      <c r="MO20" s="214"/>
      <c r="MP20" s="214"/>
      <c r="MQ20" s="214"/>
      <c r="MR20" s="214"/>
      <c r="MS20" s="214"/>
      <c r="MT20" s="214"/>
      <c r="MU20" s="214"/>
      <c r="MV20" s="214"/>
      <c r="MW20" s="214"/>
      <c r="MX20" s="214"/>
      <c r="MY20" s="214"/>
      <c r="MZ20" s="214"/>
      <c r="NA20" s="214"/>
      <c r="NB20" s="214"/>
      <c r="NC20" s="214"/>
      <c r="ND20" s="214"/>
      <c r="NE20" s="214"/>
      <c r="NF20" s="214"/>
      <c r="NG20" s="214"/>
      <c r="NH20" s="214"/>
      <c r="NI20" s="214"/>
      <c r="NJ20" s="214"/>
      <c r="NK20" s="214"/>
      <c r="NL20" s="214"/>
      <c r="NM20" s="214"/>
      <c r="NN20" s="214"/>
      <c r="NO20" s="214"/>
      <c r="NP20" s="214"/>
      <c r="NQ20" s="214"/>
      <c r="NR20" s="214"/>
      <c r="NS20" s="214"/>
      <c r="NT20" s="214"/>
      <c r="NU20" s="214"/>
      <c r="NV20" s="214"/>
      <c r="NW20" s="214"/>
      <c r="NX20" s="214"/>
      <c r="NY20" s="214"/>
      <c r="NZ20" s="214"/>
      <c r="OA20" s="214"/>
      <c r="OB20" s="214"/>
      <c r="OC20" s="214"/>
      <c r="OD20" s="214"/>
      <c r="OE20" s="214"/>
      <c r="OF20" s="214"/>
      <c r="OG20" s="214"/>
      <c r="OH20" s="214"/>
      <c r="OI20" s="214"/>
      <c r="OJ20" s="214"/>
      <c r="OK20" s="214"/>
      <c r="OL20" s="214"/>
      <c r="OM20" s="214"/>
      <c r="ON20" s="214"/>
      <c r="OO20" s="214"/>
      <c r="OP20" s="214"/>
      <c r="OQ20" s="214"/>
      <c r="OR20" s="214"/>
      <c r="OS20" s="214"/>
      <c r="OT20" s="214"/>
      <c r="OU20" s="214"/>
      <c r="OV20" s="214"/>
      <c r="OW20" s="214"/>
      <c r="OX20" s="214"/>
      <c r="OY20" s="214"/>
      <c r="OZ20" s="214"/>
      <c r="PA20" s="214"/>
      <c r="PB20" s="214"/>
      <c r="PC20" s="214"/>
      <c r="PD20" s="214"/>
      <c r="PE20" s="214"/>
      <c r="PF20" s="214"/>
      <c r="PG20" s="214"/>
      <c r="PH20" s="214"/>
      <c r="PI20" s="214"/>
      <c r="PJ20" s="214"/>
      <c r="PK20" s="214"/>
      <c r="PL20" s="214"/>
      <c r="PM20" s="214"/>
      <c r="PN20" s="214"/>
      <c r="PO20" s="214"/>
      <c r="PP20" s="214"/>
      <c r="PQ20" s="214"/>
      <c r="PR20" s="214"/>
      <c r="PS20" s="214"/>
      <c r="PT20" s="214"/>
      <c r="PU20" s="214"/>
      <c r="PV20" s="214"/>
      <c r="PW20" s="214"/>
      <c r="PX20" s="214"/>
      <c r="PY20" s="214"/>
      <c r="PZ20" s="214"/>
      <c r="QA20" s="214"/>
      <c r="QB20" s="214"/>
      <c r="QC20" s="214"/>
      <c r="QD20" s="214"/>
      <c r="QE20" s="214"/>
      <c r="QF20" s="214"/>
      <c r="QG20" s="214"/>
      <c r="QH20" s="214"/>
      <c r="QI20" s="214"/>
      <c r="QJ20" s="214"/>
      <c r="QK20" s="214"/>
      <c r="QL20" s="214"/>
      <c r="QM20" s="214"/>
      <c r="QN20" s="214"/>
      <c r="QO20" s="214"/>
      <c r="QP20" s="214"/>
      <c r="QQ20" s="214"/>
      <c r="QR20" s="214"/>
      <c r="QS20" s="214"/>
      <c r="QT20" s="214"/>
      <c r="QU20" s="214"/>
      <c r="QV20" s="214"/>
      <c r="QW20" s="214"/>
      <c r="QX20" s="214"/>
      <c r="QY20" s="214"/>
      <c r="QZ20" s="214"/>
      <c r="RA20" s="214"/>
      <c r="RB20" s="214"/>
      <c r="RC20" s="214"/>
      <c r="RD20" s="214"/>
      <c r="RE20" s="214"/>
      <c r="RF20" s="214"/>
      <c r="RG20" s="214"/>
      <c r="RH20" s="214"/>
      <c r="RI20" s="214"/>
      <c r="RJ20" s="214"/>
      <c r="RK20" s="214"/>
      <c r="RL20" s="214"/>
      <c r="RM20" s="214"/>
      <c r="RN20" s="214"/>
      <c r="RO20" s="214"/>
      <c r="RP20" s="214"/>
      <c r="RQ20" s="214"/>
      <c r="RR20" s="214"/>
      <c r="RS20" s="214"/>
      <c r="RT20" s="214"/>
      <c r="RU20" s="214"/>
      <c r="RV20" s="214"/>
      <c r="RW20" s="214"/>
      <c r="RX20" s="214"/>
      <c r="RY20" s="214"/>
      <c r="RZ20" s="214"/>
      <c r="SA20" s="214"/>
      <c r="SB20" s="214"/>
      <c r="SC20" s="214"/>
      <c r="SD20" s="214"/>
      <c r="SE20" s="214"/>
      <c r="SF20" s="214"/>
      <c r="SG20" s="214"/>
      <c r="SH20" s="214"/>
      <c r="SI20" s="214"/>
      <c r="SJ20" s="214"/>
      <c r="SK20" s="214"/>
      <c r="SL20" s="214"/>
      <c r="SM20" s="214"/>
      <c r="SN20" s="214"/>
      <c r="SO20" s="214"/>
      <c r="SP20" s="214"/>
      <c r="SQ20" s="214"/>
      <c r="SR20" s="214"/>
      <c r="SS20" s="214"/>
      <c r="ST20" s="214"/>
      <c r="SU20" s="214"/>
      <c r="SV20" s="214"/>
      <c r="SW20" s="214"/>
      <c r="SX20" s="214"/>
      <c r="SY20" s="214"/>
      <c r="SZ20" s="214"/>
      <c r="TA20" s="214"/>
      <c r="TB20" s="214"/>
      <c r="TC20" s="214"/>
      <c r="TD20" s="214"/>
      <c r="TE20" s="214"/>
      <c r="TF20" s="214"/>
      <c r="TG20" s="214"/>
      <c r="TH20" s="214"/>
      <c r="TI20" s="214"/>
      <c r="TJ20" s="214"/>
      <c r="TK20" s="214"/>
      <c r="TL20" s="214"/>
      <c r="TM20" s="214"/>
      <c r="TN20" s="214"/>
      <c r="TO20" s="214"/>
      <c r="TP20" s="214"/>
      <c r="TQ20" s="214"/>
      <c r="TR20" s="214"/>
      <c r="TS20" s="214"/>
      <c r="TT20" s="214"/>
      <c r="TU20" s="214"/>
      <c r="TV20" s="214"/>
      <c r="TW20" s="214"/>
      <c r="TX20" s="214"/>
      <c r="TY20" s="214"/>
      <c r="TZ20" s="214"/>
      <c r="UA20" s="214"/>
      <c r="UB20" s="214"/>
      <c r="UC20" s="214"/>
      <c r="UD20" s="214"/>
      <c r="UE20" s="214"/>
      <c r="UF20" s="214"/>
      <c r="UG20" s="214"/>
      <c r="UH20" s="214"/>
      <c r="UI20" s="214"/>
      <c r="UJ20" s="214"/>
      <c r="UK20" s="214"/>
      <c r="UL20" s="214"/>
      <c r="UM20" s="214"/>
      <c r="UN20" s="214"/>
      <c r="UO20" s="214"/>
      <c r="UP20" s="214"/>
      <c r="UQ20" s="214"/>
      <c r="UR20" s="214"/>
      <c r="US20" s="214"/>
      <c r="UT20" s="214"/>
      <c r="UU20" s="214"/>
      <c r="UV20" s="214"/>
      <c r="UW20" s="214"/>
      <c r="UX20" s="214"/>
      <c r="UY20" s="214"/>
      <c r="UZ20" s="214"/>
      <c r="VA20" s="214"/>
      <c r="VB20" s="214"/>
      <c r="VC20" s="214"/>
      <c r="VD20" s="214"/>
      <c r="VE20" s="214"/>
      <c r="VF20" s="214"/>
      <c r="VG20" s="214"/>
      <c r="VH20" s="214"/>
      <c r="VI20" s="214"/>
      <c r="VJ20" s="214"/>
      <c r="VK20" s="214"/>
      <c r="VL20" s="214"/>
      <c r="VM20" s="214"/>
      <c r="VN20" s="214"/>
      <c r="VO20" s="214"/>
      <c r="VP20" s="214"/>
      <c r="VQ20" s="214"/>
      <c r="VR20" s="214"/>
      <c r="VS20" s="214"/>
      <c r="VT20" s="214"/>
      <c r="VU20" s="214"/>
      <c r="VV20" s="214"/>
      <c r="VW20" s="214"/>
      <c r="VX20" s="214"/>
      <c r="VY20" s="214"/>
      <c r="VZ20" s="214"/>
      <c r="WA20" s="214"/>
      <c r="WB20" s="214"/>
      <c r="WC20" s="214"/>
      <c r="WD20" s="214"/>
      <c r="WE20" s="214"/>
      <c r="WF20" s="214"/>
      <c r="WG20" s="214"/>
      <c r="WH20" s="214"/>
      <c r="WI20" s="214"/>
      <c r="WJ20" s="214"/>
      <c r="WK20" s="214"/>
      <c r="WL20" s="214"/>
      <c r="WM20" s="214"/>
      <c r="WN20" s="214"/>
      <c r="WO20" s="214"/>
      <c r="WP20" s="214"/>
      <c r="WQ20" s="214"/>
      <c r="WR20" s="214"/>
      <c r="WS20" s="214"/>
      <c r="WT20" s="214"/>
      <c r="WU20" s="214"/>
      <c r="WV20" s="214"/>
      <c r="WW20" s="214"/>
      <c r="WX20" s="214"/>
      <c r="WY20" s="214"/>
      <c r="WZ20" s="214"/>
      <c r="XA20" s="214"/>
      <c r="XB20" s="214"/>
      <c r="XC20" s="214"/>
      <c r="XD20" s="214"/>
      <c r="XE20" s="214"/>
      <c r="XF20" s="214"/>
      <c r="XG20" s="214"/>
      <c r="XH20" s="214"/>
      <c r="XI20" s="214"/>
      <c r="XJ20" s="214"/>
      <c r="XK20" s="214"/>
      <c r="XL20" s="214"/>
      <c r="XM20" s="214"/>
      <c r="XN20" s="214"/>
      <c r="XO20" s="214"/>
      <c r="XP20" s="214"/>
      <c r="XQ20" s="214"/>
      <c r="XR20" s="214"/>
      <c r="XS20" s="214"/>
      <c r="XT20" s="214"/>
      <c r="XU20" s="214"/>
      <c r="XV20" s="214"/>
      <c r="XW20" s="214"/>
      <c r="XX20" s="214"/>
      <c r="XY20" s="214"/>
      <c r="XZ20" s="214"/>
      <c r="YA20" s="214"/>
      <c r="YB20" s="214"/>
      <c r="YC20" s="214"/>
      <c r="YD20" s="214"/>
      <c r="YE20" s="214"/>
      <c r="YF20" s="214"/>
      <c r="YG20" s="214"/>
      <c r="YH20" s="214"/>
      <c r="YI20" s="214"/>
      <c r="YJ20" s="214"/>
      <c r="YK20" s="214"/>
      <c r="YL20" s="214"/>
      <c r="YM20" s="214"/>
      <c r="YN20" s="214"/>
      <c r="YO20" s="214"/>
      <c r="YP20" s="214"/>
      <c r="YQ20" s="214"/>
      <c r="YR20" s="214"/>
      <c r="YS20" s="214"/>
      <c r="YT20" s="214"/>
      <c r="YU20" s="214"/>
      <c r="YV20" s="214"/>
      <c r="YW20" s="214"/>
      <c r="YX20" s="214"/>
      <c r="YY20" s="214"/>
      <c r="YZ20" s="214"/>
      <c r="ZA20" s="214"/>
      <c r="ZB20" s="214"/>
      <c r="ZC20" s="214"/>
      <c r="ZD20" s="214"/>
      <c r="ZE20" s="214"/>
      <c r="ZF20" s="214"/>
      <c r="ZG20" s="214"/>
      <c r="ZH20" s="214"/>
      <c r="ZI20" s="214"/>
      <c r="ZJ20" s="214"/>
      <c r="ZK20" s="214"/>
      <c r="ZL20" s="214"/>
      <c r="ZM20" s="214"/>
      <c r="ZN20" s="214"/>
      <c r="ZO20" s="214"/>
      <c r="ZP20" s="214"/>
      <c r="ZQ20" s="214"/>
      <c r="ZR20" s="214"/>
      <c r="ZS20" s="214"/>
      <c r="ZT20" s="214"/>
      <c r="ZU20" s="214"/>
      <c r="ZV20" s="214"/>
      <c r="ZW20" s="214"/>
      <c r="ZX20" s="214"/>
      <c r="ZY20" s="214"/>
      <c r="ZZ20" s="214"/>
      <c r="AAA20" s="214"/>
      <c r="AAB20" s="214"/>
      <c r="AAC20" s="214"/>
      <c r="AAD20" s="214"/>
      <c r="AAE20" s="214"/>
      <c r="AAF20" s="214"/>
      <c r="AAG20" s="214"/>
      <c r="AAH20" s="214"/>
      <c r="AAI20" s="214"/>
      <c r="AAJ20" s="214"/>
      <c r="AAK20" s="214"/>
      <c r="AAL20" s="214"/>
      <c r="AAM20" s="214"/>
      <c r="AAN20" s="214"/>
      <c r="AAO20" s="214"/>
      <c r="AAP20" s="214"/>
      <c r="AAQ20" s="214"/>
      <c r="AAR20" s="214"/>
      <c r="AAS20" s="214"/>
      <c r="AAT20" s="214"/>
      <c r="AAU20" s="214"/>
      <c r="AAV20" s="214"/>
      <c r="AAW20" s="214"/>
      <c r="AAX20" s="214"/>
      <c r="AAY20" s="214"/>
      <c r="AAZ20" s="214"/>
      <c r="ABA20" s="214"/>
      <c r="ABB20" s="214"/>
      <c r="ABC20" s="214"/>
      <c r="ABD20" s="214"/>
      <c r="ABE20" s="214"/>
      <c r="ABF20" s="214"/>
      <c r="ABG20" s="214"/>
      <c r="ABH20" s="214"/>
      <c r="ABI20" s="214"/>
      <c r="ABJ20" s="214"/>
      <c r="ABK20" s="214"/>
      <c r="ABL20" s="214"/>
      <c r="ABM20" s="214"/>
      <c r="ABN20" s="214"/>
      <c r="ABO20" s="214"/>
      <c r="ABP20" s="214"/>
      <c r="ABQ20" s="214"/>
      <c r="ABR20" s="214"/>
      <c r="ABS20" s="214"/>
      <c r="ABT20" s="214"/>
      <c r="ABU20" s="214"/>
      <c r="ABV20" s="214"/>
      <c r="ABW20" s="214"/>
      <c r="ABX20" s="214"/>
      <c r="ABY20" s="214"/>
      <c r="ABZ20" s="214"/>
      <c r="ACA20" s="214"/>
      <c r="ACB20" s="214"/>
      <c r="ACC20" s="214"/>
      <c r="ACD20" s="214"/>
      <c r="ACE20" s="214"/>
      <c r="ACF20" s="214"/>
      <c r="ACG20" s="214"/>
      <c r="ACH20" s="214"/>
      <c r="ACI20" s="214"/>
      <c r="ACJ20" s="214"/>
      <c r="ACK20" s="214"/>
      <c r="ACL20" s="214"/>
      <c r="ACM20" s="214"/>
      <c r="ACN20" s="214"/>
      <c r="ACO20" s="214"/>
      <c r="ACP20" s="214"/>
      <c r="ACQ20" s="214"/>
      <c r="ACR20" s="214"/>
      <c r="ACS20" s="214"/>
      <c r="ACT20" s="214"/>
      <c r="ACU20" s="214"/>
      <c r="ACV20" s="214"/>
      <c r="ACW20" s="214"/>
      <c r="ACX20" s="214"/>
      <c r="ACY20" s="214"/>
      <c r="ACZ20" s="214"/>
      <c r="ADA20" s="214"/>
      <c r="ADB20" s="214"/>
      <c r="ADC20" s="214"/>
      <c r="ADD20" s="214"/>
      <c r="ADE20" s="214"/>
      <c r="ADF20" s="214"/>
      <c r="ADG20" s="214"/>
      <c r="ADH20" s="214"/>
      <c r="ADI20" s="214"/>
      <c r="ADJ20" s="214"/>
      <c r="ADK20" s="214"/>
      <c r="ADL20" s="214"/>
      <c r="ADM20" s="214"/>
      <c r="ADN20" s="214"/>
      <c r="ADO20" s="214"/>
      <c r="ADP20" s="214"/>
      <c r="ADQ20" s="214"/>
      <c r="ADR20" s="214"/>
      <c r="ADS20" s="214"/>
      <c r="ADT20" s="214"/>
      <c r="ADU20" s="214"/>
      <c r="ADV20" s="214"/>
      <c r="ADW20" s="214"/>
      <c r="ADX20" s="214"/>
      <c r="ADY20" s="214"/>
      <c r="ADZ20" s="214"/>
      <c r="AEA20" s="214"/>
      <c r="AEB20" s="214"/>
      <c r="AEC20" s="214"/>
      <c r="AED20" s="214"/>
      <c r="AEE20" s="214"/>
      <c r="AEF20" s="214"/>
      <c r="AEG20" s="214"/>
      <c r="AEH20" s="214"/>
      <c r="AEI20" s="214"/>
      <c r="AEJ20" s="214"/>
      <c r="AEK20" s="214"/>
      <c r="AEL20" s="214"/>
      <c r="AEM20" s="214"/>
      <c r="AEN20" s="214"/>
      <c r="AEO20" s="214"/>
      <c r="AEP20" s="214"/>
      <c r="AEQ20" s="214"/>
      <c r="AER20" s="214"/>
      <c r="AES20" s="214"/>
      <c r="AET20" s="214"/>
      <c r="AEU20" s="214"/>
      <c r="AEV20" s="214"/>
      <c r="AEW20" s="214"/>
      <c r="AEX20" s="214"/>
      <c r="AEY20" s="214"/>
      <c r="AEZ20" s="214"/>
      <c r="AFA20" s="214"/>
      <c r="AFB20" s="214"/>
      <c r="AFC20" s="214"/>
      <c r="AFD20" s="214"/>
      <c r="AFE20" s="214"/>
      <c r="AFF20" s="214"/>
      <c r="AFG20" s="214"/>
      <c r="AFH20" s="214"/>
      <c r="AFI20" s="214"/>
      <c r="AFJ20" s="214"/>
      <c r="AFK20" s="214"/>
      <c r="AFL20" s="214"/>
      <c r="AFM20" s="214"/>
      <c r="AFN20" s="214"/>
      <c r="AFO20" s="214"/>
      <c r="AFP20" s="214"/>
      <c r="AFQ20" s="214"/>
      <c r="AFR20" s="214"/>
      <c r="AFS20" s="214"/>
      <c r="AFT20" s="214"/>
      <c r="AFU20" s="214"/>
      <c r="AFV20" s="214"/>
      <c r="AFW20" s="214"/>
      <c r="AFX20" s="214"/>
      <c r="AFY20" s="214"/>
      <c r="AFZ20" s="214"/>
      <c r="AGA20" s="214"/>
      <c r="AGB20" s="214"/>
      <c r="AGC20" s="214"/>
      <c r="AGD20" s="214"/>
      <c r="AGE20" s="214"/>
      <c r="AGF20" s="214"/>
      <c r="AGG20" s="214"/>
      <c r="AGH20" s="214"/>
      <c r="AGI20" s="214"/>
      <c r="AGJ20" s="214"/>
      <c r="AGK20" s="214"/>
      <c r="AGL20" s="214"/>
      <c r="AGM20" s="214"/>
      <c r="AGN20" s="214"/>
      <c r="AGO20" s="214"/>
      <c r="AGP20" s="214"/>
      <c r="AGQ20" s="214"/>
      <c r="AGR20" s="214"/>
      <c r="AGS20" s="214"/>
      <c r="AGT20" s="214"/>
      <c r="AGU20" s="214"/>
      <c r="AGV20" s="214"/>
      <c r="AGW20" s="214"/>
      <c r="AGX20" s="214"/>
      <c r="AGY20" s="214"/>
      <c r="AGZ20" s="214"/>
      <c r="AHA20" s="214"/>
      <c r="AHB20" s="214"/>
      <c r="AHC20" s="214"/>
      <c r="AHD20" s="214"/>
      <c r="AHE20" s="214"/>
      <c r="AHF20" s="214"/>
      <c r="AHG20" s="214"/>
      <c r="AHH20" s="214"/>
      <c r="AHI20" s="214"/>
      <c r="AHJ20" s="214"/>
      <c r="AHK20" s="214"/>
      <c r="AHL20" s="214"/>
      <c r="AHM20" s="214"/>
      <c r="AHN20" s="214"/>
      <c r="AHO20" s="214"/>
      <c r="AHP20" s="214"/>
      <c r="AHQ20" s="214"/>
      <c r="AHR20" s="214"/>
      <c r="AHS20" s="214"/>
      <c r="AHT20" s="214"/>
      <c r="AHU20" s="214"/>
      <c r="AHV20" s="214"/>
      <c r="AHW20" s="214"/>
      <c r="AHX20" s="214"/>
      <c r="AHY20" s="214"/>
      <c r="AHZ20" s="214"/>
      <c r="AIA20" s="214"/>
      <c r="AIB20" s="214"/>
      <c r="AIC20" s="214"/>
      <c r="AID20" s="214"/>
      <c r="AIE20" s="214"/>
      <c r="AIF20" s="214"/>
      <c r="AIG20" s="214"/>
      <c r="AIH20" s="214"/>
      <c r="AII20" s="214"/>
      <c r="AIJ20" s="214"/>
      <c r="AIK20" s="214"/>
      <c r="AIL20" s="214"/>
      <c r="AIM20" s="214"/>
      <c r="AIN20" s="214"/>
      <c r="AIO20" s="214"/>
      <c r="AIP20" s="214"/>
      <c r="AIQ20" s="214"/>
      <c r="AIR20" s="214"/>
      <c r="AIS20" s="214"/>
      <c r="AIT20" s="214"/>
      <c r="AIU20" s="214"/>
      <c r="AIV20" s="214"/>
      <c r="AIW20" s="214"/>
      <c r="AIX20" s="214"/>
      <c r="AIY20" s="214"/>
      <c r="AIZ20" s="214"/>
      <c r="AJA20" s="214"/>
      <c r="AJB20" s="214"/>
      <c r="AJC20" s="214"/>
      <c r="AJD20" s="214"/>
      <c r="AJE20" s="214"/>
      <c r="AJF20" s="214"/>
      <c r="AJG20" s="214"/>
      <c r="AJH20" s="214"/>
      <c r="AJI20" s="214"/>
      <c r="AJJ20" s="214"/>
      <c r="AJK20" s="214"/>
      <c r="AJL20" s="214"/>
      <c r="AJM20" s="214"/>
      <c r="AJN20" s="214"/>
      <c r="AJO20" s="214"/>
      <c r="AJP20" s="214"/>
      <c r="AJQ20" s="214"/>
      <c r="AJR20" s="214"/>
      <c r="AJS20" s="214"/>
      <c r="AJT20" s="214"/>
      <c r="AJU20" s="214"/>
      <c r="AJV20" s="214"/>
      <c r="AJW20" s="214"/>
      <c r="AJX20" s="214"/>
      <c r="AJY20" s="214"/>
      <c r="AJZ20" s="214"/>
      <c r="AKA20" s="214"/>
      <c r="AKB20" s="214"/>
      <c r="AKC20" s="214"/>
      <c r="AKD20" s="214"/>
      <c r="AKE20" s="214"/>
      <c r="AKF20" s="214"/>
      <c r="AKG20" s="214"/>
      <c r="AKH20" s="214"/>
      <c r="AKI20" s="214"/>
      <c r="AKJ20" s="214"/>
      <c r="AKK20" s="214"/>
      <c r="AKL20" s="214"/>
      <c r="AKM20" s="214"/>
      <c r="AKN20" s="214"/>
      <c r="AKO20" s="214"/>
      <c r="AKP20" s="214"/>
      <c r="AKQ20" s="214"/>
      <c r="AKR20" s="214"/>
      <c r="AKS20" s="214"/>
      <c r="AKT20" s="214"/>
      <c r="AKU20" s="214"/>
      <c r="AKV20" s="214"/>
      <c r="AKW20" s="214"/>
      <c r="AKX20" s="214"/>
      <c r="AKY20" s="214"/>
      <c r="AKZ20" s="214"/>
      <c r="ALA20" s="214"/>
      <c r="ALB20" s="214"/>
      <c r="ALC20" s="214"/>
      <c r="ALD20" s="214"/>
      <c r="ALE20" s="214"/>
      <c r="ALF20" s="214"/>
      <c r="ALG20" s="214"/>
      <c r="ALH20" s="214"/>
      <c r="ALI20" s="214"/>
      <c r="ALJ20" s="214"/>
      <c r="ALK20" s="214"/>
      <c r="ALL20" s="214"/>
      <c r="ALM20" s="214"/>
      <c r="ALN20" s="214"/>
      <c r="ALO20" s="214"/>
      <c r="ALP20" s="214"/>
      <c r="ALQ20" s="214"/>
      <c r="ALR20" s="214"/>
      <c r="ALS20" s="214"/>
      <c r="ALT20" s="214"/>
      <c r="ALU20" s="214"/>
      <c r="ALV20" s="214"/>
      <c r="ALW20" s="214"/>
      <c r="ALX20" s="214"/>
      <c r="ALY20" s="214"/>
      <c r="ALZ20" s="214"/>
      <c r="AMA20" s="214"/>
      <c r="AMB20" s="214"/>
      <c r="AMC20" s="214"/>
      <c r="AMD20" s="214"/>
      <c r="AME20" s="214"/>
      <c r="AMF20" s="214"/>
      <c r="AMG20" s="214"/>
      <c r="AMH20" s="214"/>
      <c r="AMI20" s="214"/>
      <c r="AMJ20" s="214"/>
      <c r="AMK20" s="214"/>
      <c r="AML20" s="214"/>
      <c r="AMM20" s="214"/>
      <c r="AMN20" s="214"/>
      <c r="AMO20" s="214"/>
      <c r="AMP20" s="214"/>
      <c r="AMQ20" s="214"/>
      <c r="AMR20" s="214"/>
      <c r="AMS20" s="214"/>
      <c r="AMT20" s="214"/>
      <c r="AMU20" s="214"/>
      <c r="AMV20" s="214"/>
      <c r="AMW20" s="214"/>
      <c r="AMX20" s="214"/>
      <c r="AMY20" s="214"/>
      <c r="AMZ20" s="214"/>
      <c r="ANA20" s="214"/>
      <c r="ANB20" s="214"/>
      <c r="ANC20" s="214"/>
      <c r="AND20" s="214"/>
      <c r="ANE20" s="214"/>
      <c r="ANF20" s="214"/>
      <c r="ANG20" s="214"/>
      <c r="ANH20" s="214"/>
      <c r="ANI20" s="214"/>
      <c r="ANJ20" s="214"/>
      <c r="ANK20" s="214"/>
      <c r="ANL20" s="214"/>
      <c r="ANM20" s="214"/>
      <c r="ANN20" s="214"/>
      <c r="ANO20" s="214"/>
      <c r="ANP20" s="214"/>
      <c r="ANQ20" s="214"/>
      <c r="ANR20" s="214"/>
      <c r="ANS20" s="214"/>
      <c r="ANT20" s="214"/>
      <c r="ANU20" s="214"/>
      <c r="ANV20" s="214"/>
      <c r="ANW20" s="214"/>
      <c r="ANX20" s="214"/>
      <c r="ANY20" s="214"/>
      <c r="ANZ20" s="214"/>
      <c r="AOA20" s="214"/>
      <c r="AOB20" s="214"/>
      <c r="AOC20" s="214"/>
      <c r="AOD20" s="214"/>
      <c r="AOE20" s="214"/>
      <c r="AOF20" s="214"/>
      <c r="AOG20" s="214"/>
      <c r="AOH20" s="214"/>
      <c r="AOI20" s="214"/>
      <c r="AOJ20" s="214"/>
      <c r="AOK20" s="214"/>
      <c r="AOL20" s="214"/>
      <c r="AOM20" s="214"/>
      <c r="AON20" s="214"/>
      <c r="AOO20" s="214"/>
      <c r="AOP20" s="214"/>
      <c r="AOQ20" s="214"/>
      <c r="AOR20" s="214"/>
      <c r="AOS20" s="214"/>
      <c r="AOT20" s="214"/>
      <c r="AOU20" s="214"/>
      <c r="AOV20" s="214"/>
      <c r="AOW20" s="214"/>
      <c r="AOX20" s="214"/>
      <c r="AOY20" s="214"/>
      <c r="AOZ20" s="214"/>
      <c r="APA20" s="214"/>
      <c r="APB20" s="214"/>
      <c r="APC20" s="214"/>
      <c r="APD20" s="214"/>
      <c r="APE20" s="214"/>
      <c r="APF20" s="214"/>
      <c r="APG20" s="214"/>
      <c r="APH20" s="214"/>
      <c r="API20" s="214"/>
      <c r="APJ20" s="214"/>
      <c r="APK20" s="214"/>
      <c r="APL20" s="214"/>
      <c r="APM20" s="214"/>
      <c r="APN20" s="214"/>
      <c r="APO20" s="214"/>
      <c r="APP20" s="214"/>
      <c r="APQ20" s="214"/>
      <c r="APR20" s="214"/>
      <c r="APS20" s="214"/>
      <c r="APT20" s="214"/>
      <c r="APU20" s="214"/>
      <c r="APV20" s="214"/>
      <c r="APW20" s="214"/>
      <c r="APX20" s="214"/>
      <c r="APY20" s="214"/>
      <c r="APZ20" s="214"/>
      <c r="AQA20" s="214"/>
      <c r="AQB20" s="214"/>
      <c r="AQC20" s="214"/>
      <c r="AQD20" s="214"/>
      <c r="AQE20" s="214"/>
      <c r="AQF20" s="214"/>
      <c r="AQG20" s="214"/>
      <c r="AQH20" s="214"/>
      <c r="AQI20" s="214"/>
      <c r="AQJ20" s="214"/>
      <c r="AQK20" s="214"/>
      <c r="AQL20" s="214"/>
      <c r="AQM20" s="214"/>
      <c r="AQN20" s="214"/>
      <c r="AQO20" s="214"/>
      <c r="AQP20" s="214"/>
      <c r="AQQ20" s="214"/>
      <c r="AQR20" s="214"/>
      <c r="AQS20" s="214"/>
      <c r="AQT20" s="214"/>
      <c r="AQU20" s="214"/>
      <c r="AQV20" s="214"/>
      <c r="AQW20" s="214"/>
      <c r="AQX20" s="214"/>
      <c r="AQY20" s="214"/>
      <c r="AQZ20" s="214"/>
      <c r="ARA20" s="214"/>
      <c r="ARB20" s="214"/>
      <c r="ARC20" s="214"/>
      <c r="ARD20" s="214"/>
      <c r="ARE20" s="214"/>
      <c r="ARF20" s="214"/>
      <c r="ARG20" s="214"/>
      <c r="ARH20" s="214"/>
      <c r="ARI20" s="214"/>
      <c r="ARJ20" s="214"/>
      <c r="ARK20" s="214"/>
      <c r="ARL20" s="214"/>
      <c r="ARM20" s="214"/>
      <c r="ARN20" s="214"/>
      <c r="ARO20" s="214"/>
      <c r="ARP20" s="214"/>
      <c r="ARQ20" s="214"/>
      <c r="ARR20" s="214"/>
      <c r="ARS20" s="214"/>
      <c r="ART20" s="214"/>
      <c r="ARU20" s="214"/>
      <c r="ARV20" s="214"/>
      <c r="ARW20" s="214"/>
      <c r="ARX20" s="214"/>
      <c r="ARY20" s="214"/>
      <c r="ARZ20" s="214"/>
      <c r="ASA20" s="214"/>
      <c r="ASB20" s="214"/>
      <c r="ASC20" s="214"/>
      <c r="ASD20" s="214"/>
      <c r="ASE20" s="214"/>
      <c r="ASF20" s="214"/>
      <c r="ASG20" s="214"/>
      <c r="ASH20" s="214"/>
      <c r="ASI20" s="214"/>
      <c r="ASJ20" s="214"/>
      <c r="ASK20" s="214"/>
      <c r="ASL20" s="214"/>
      <c r="ASM20" s="214"/>
      <c r="ASN20" s="214"/>
      <c r="ASO20" s="214"/>
      <c r="ASP20" s="214"/>
      <c r="ASQ20" s="214"/>
      <c r="ASR20" s="214"/>
      <c r="ASS20" s="214"/>
      <c r="AST20" s="214"/>
      <c r="ASU20" s="214"/>
      <c r="ASV20" s="214"/>
      <c r="ASW20" s="214"/>
      <c r="ASX20" s="214"/>
      <c r="ASY20" s="214"/>
      <c r="ASZ20" s="214"/>
      <c r="ATA20" s="214"/>
      <c r="ATB20" s="214"/>
      <c r="ATC20" s="214"/>
      <c r="ATD20" s="214"/>
      <c r="ATE20" s="214"/>
      <c r="ATF20" s="214"/>
      <c r="ATG20" s="214"/>
      <c r="ATH20" s="214"/>
      <c r="ATI20" s="214"/>
      <c r="ATJ20" s="214"/>
      <c r="ATK20" s="214"/>
      <c r="ATL20" s="214"/>
      <c r="ATM20" s="214"/>
      <c r="ATN20" s="214"/>
      <c r="ATO20" s="214"/>
      <c r="ATP20" s="214"/>
      <c r="ATQ20" s="214"/>
      <c r="ATR20" s="214"/>
      <c r="ATS20" s="214"/>
      <c r="ATT20" s="214"/>
      <c r="ATU20" s="214"/>
      <c r="ATV20" s="214"/>
      <c r="ATW20" s="214"/>
      <c r="ATX20" s="214"/>
      <c r="ATY20" s="214"/>
      <c r="ATZ20" s="214"/>
      <c r="AUA20" s="214"/>
      <c r="AUB20" s="214"/>
      <c r="AUC20" s="214"/>
      <c r="AUD20" s="214"/>
      <c r="AUE20" s="214"/>
      <c r="AUF20" s="214"/>
      <c r="AUG20" s="214"/>
      <c r="AUH20" s="214"/>
      <c r="AUI20" s="214"/>
      <c r="AUJ20" s="214"/>
      <c r="AUK20" s="214"/>
      <c r="AUL20" s="214"/>
      <c r="AUM20" s="214"/>
      <c r="AUN20" s="214"/>
      <c r="AUO20" s="214"/>
      <c r="AUP20" s="214"/>
      <c r="AUQ20" s="214"/>
      <c r="AUR20" s="214"/>
      <c r="AUS20" s="214"/>
      <c r="AUT20" s="214"/>
      <c r="AUU20" s="214"/>
      <c r="AUV20" s="214"/>
      <c r="AUW20" s="214"/>
      <c r="AUX20" s="214"/>
      <c r="AUY20" s="214"/>
      <c r="AUZ20" s="214"/>
      <c r="AVA20" s="214"/>
      <c r="AVB20" s="214"/>
      <c r="AVC20" s="214"/>
      <c r="AVD20" s="214"/>
      <c r="AVE20" s="214"/>
      <c r="AVF20" s="214"/>
      <c r="AVG20" s="214"/>
      <c r="AVH20" s="214"/>
      <c r="AVI20" s="214"/>
      <c r="AVJ20" s="214"/>
      <c r="AVK20" s="214"/>
      <c r="AVL20" s="214"/>
      <c r="AVM20" s="214"/>
      <c r="AVN20" s="214"/>
      <c r="AVO20" s="214"/>
      <c r="AVP20" s="214"/>
      <c r="AVQ20" s="214"/>
      <c r="AVR20" s="214"/>
      <c r="AVS20" s="214"/>
      <c r="AVT20" s="214"/>
      <c r="AVU20" s="214"/>
      <c r="AVV20" s="214"/>
      <c r="AVW20" s="214"/>
      <c r="AVX20" s="214"/>
      <c r="AVY20" s="214"/>
      <c r="AVZ20" s="214"/>
      <c r="AWA20" s="214"/>
      <c r="AWB20" s="214"/>
      <c r="AWC20" s="214"/>
      <c r="AWD20" s="214"/>
      <c r="AWE20" s="214"/>
      <c r="AWF20" s="214"/>
      <c r="AWG20" s="214"/>
      <c r="AWH20" s="214"/>
      <c r="AWI20" s="214"/>
      <c r="AWJ20" s="214"/>
      <c r="AWK20" s="214"/>
      <c r="AWL20" s="214"/>
      <c r="AWM20" s="214"/>
      <c r="AWN20" s="214"/>
      <c r="AWO20" s="214"/>
      <c r="AWP20" s="214"/>
      <c r="AWQ20" s="214"/>
      <c r="AWR20" s="214"/>
      <c r="AWS20" s="214"/>
      <c r="AWT20" s="214"/>
      <c r="AWU20" s="214"/>
      <c r="AWV20" s="214"/>
      <c r="AWW20" s="214"/>
      <c r="AWX20" s="214"/>
      <c r="AWY20" s="214"/>
      <c r="AWZ20" s="214"/>
      <c r="AXA20" s="214"/>
      <c r="AXB20" s="214"/>
      <c r="AXC20" s="214"/>
      <c r="AXD20" s="214"/>
      <c r="AXE20" s="214"/>
      <c r="AXF20" s="214"/>
      <c r="AXG20" s="214"/>
      <c r="AXH20" s="214"/>
      <c r="AXI20" s="214"/>
      <c r="AXJ20" s="214"/>
      <c r="AXK20" s="214"/>
      <c r="AXL20" s="214"/>
      <c r="AXM20" s="214"/>
      <c r="AXN20" s="214"/>
      <c r="AXO20" s="214"/>
      <c r="AXP20" s="214"/>
      <c r="AXQ20" s="214"/>
      <c r="AXR20" s="214"/>
      <c r="AXS20" s="214"/>
      <c r="AXT20" s="214"/>
      <c r="AXU20" s="214"/>
      <c r="AXV20" s="214"/>
      <c r="AXW20" s="214"/>
      <c r="AXX20" s="214"/>
      <c r="AXY20" s="214"/>
      <c r="AXZ20" s="214"/>
      <c r="AYA20" s="214"/>
      <c r="AYB20" s="214"/>
      <c r="AYC20" s="214"/>
      <c r="AYD20" s="214"/>
      <c r="AYE20" s="214"/>
      <c r="AYF20" s="214"/>
      <c r="AYG20" s="214"/>
      <c r="AYH20" s="214"/>
      <c r="AYI20" s="214"/>
      <c r="AYJ20" s="214"/>
      <c r="AYK20" s="214"/>
      <c r="AYL20" s="214"/>
      <c r="AYM20" s="214"/>
      <c r="AYN20" s="214"/>
      <c r="AYO20" s="214"/>
      <c r="AYP20" s="214"/>
      <c r="AYQ20" s="214"/>
      <c r="AYR20" s="214"/>
      <c r="AYS20" s="214"/>
      <c r="AYT20" s="214"/>
      <c r="AYU20" s="214"/>
      <c r="AYV20" s="214"/>
      <c r="AYW20" s="214"/>
      <c r="AYX20" s="214"/>
      <c r="AYY20" s="214"/>
      <c r="AYZ20" s="214"/>
      <c r="AZA20" s="214"/>
      <c r="AZB20" s="214"/>
      <c r="AZC20" s="214"/>
      <c r="AZD20" s="214"/>
      <c r="AZE20" s="214"/>
      <c r="AZF20" s="214"/>
      <c r="AZG20" s="214"/>
      <c r="AZH20" s="214"/>
      <c r="AZI20" s="214"/>
      <c r="AZJ20" s="214"/>
      <c r="AZK20" s="214"/>
      <c r="AZL20" s="214"/>
      <c r="AZM20" s="214"/>
      <c r="AZN20" s="214"/>
      <c r="AZO20" s="214"/>
      <c r="AZP20" s="214"/>
      <c r="AZQ20" s="214"/>
      <c r="AZR20" s="214"/>
      <c r="AZS20" s="214"/>
      <c r="AZT20" s="214"/>
      <c r="AZU20" s="214"/>
      <c r="AZV20" s="214"/>
      <c r="AZW20" s="214"/>
      <c r="AZX20" s="214"/>
      <c r="AZY20" s="214"/>
      <c r="AZZ20" s="214"/>
      <c r="BAA20" s="214"/>
      <c r="BAB20" s="214"/>
      <c r="BAC20" s="214"/>
      <c r="BAD20" s="214"/>
      <c r="BAE20" s="214"/>
      <c r="BAF20" s="214"/>
      <c r="BAG20" s="214"/>
      <c r="BAH20" s="214"/>
      <c r="BAI20" s="214"/>
      <c r="BAJ20" s="214"/>
      <c r="BAK20" s="214"/>
      <c r="BAL20" s="214"/>
      <c r="BAM20" s="214"/>
      <c r="BAN20" s="214"/>
      <c r="BAO20" s="214"/>
      <c r="BAP20" s="214"/>
      <c r="BAQ20" s="214"/>
      <c r="BAR20" s="214"/>
      <c r="BAS20" s="214"/>
      <c r="BAT20" s="214"/>
      <c r="BAU20" s="214"/>
      <c r="BAV20" s="214"/>
      <c r="BAW20" s="214"/>
      <c r="BAX20" s="214"/>
      <c r="BAY20" s="214"/>
      <c r="BAZ20" s="214"/>
      <c r="BBA20" s="214"/>
      <c r="BBB20" s="214"/>
      <c r="BBC20" s="214"/>
      <c r="BBD20" s="214"/>
      <c r="BBE20" s="214"/>
      <c r="BBF20" s="214"/>
      <c r="BBG20" s="214"/>
      <c r="BBH20" s="214"/>
      <c r="BBI20" s="214"/>
      <c r="BBJ20" s="214"/>
      <c r="BBK20" s="214"/>
      <c r="BBL20" s="214"/>
      <c r="BBM20" s="214"/>
      <c r="BBN20" s="214"/>
      <c r="BBO20" s="214"/>
      <c r="BBP20" s="214"/>
      <c r="BBQ20" s="214"/>
      <c r="BBR20" s="214"/>
      <c r="BBS20" s="214"/>
      <c r="BBT20" s="214"/>
      <c r="BBU20" s="214"/>
      <c r="BBV20" s="214"/>
      <c r="BBW20" s="214"/>
      <c r="BBX20" s="214"/>
      <c r="BBY20" s="214"/>
      <c r="BBZ20" s="214"/>
      <c r="BCA20" s="214"/>
      <c r="BCB20" s="214"/>
      <c r="BCC20" s="214"/>
      <c r="BCD20" s="214"/>
      <c r="BCE20" s="214"/>
      <c r="BCF20" s="214"/>
      <c r="BCG20" s="214"/>
      <c r="BCH20" s="214"/>
      <c r="BCI20" s="214"/>
      <c r="BCJ20" s="214"/>
      <c r="BCK20" s="214"/>
      <c r="BCL20" s="214"/>
      <c r="BCM20" s="214"/>
      <c r="BCN20" s="214"/>
      <c r="BCO20" s="214"/>
      <c r="BCP20" s="214"/>
      <c r="BCQ20" s="214"/>
      <c r="BCR20" s="214"/>
      <c r="BCS20" s="214"/>
      <c r="BCT20" s="214"/>
      <c r="BCU20" s="214"/>
      <c r="BCV20" s="214"/>
      <c r="BCW20" s="214"/>
      <c r="BCX20" s="214"/>
      <c r="BCY20" s="214"/>
      <c r="BCZ20" s="214"/>
      <c r="BDA20" s="214"/>
      <c r="BDB20" s="214"/>
      <c r="BDC20" s="214"/>
      <c r="BDD20" s="214"/>
      <c r="BDE20" s="214"/>
      <c r="BDF20" s="214"/>
      <c r="BDG20" s="214"/>
      <c r="BDH20" s="214"/>
      <c r="BDI20" s="214"/>
      <c r="BDJ20" s="214"/>
      <c r="BDK20" s="214"/>
      <c r="BDL20" s="214"/>
      <c r="BDM20" s="214"/>
      <c r="BDN20" s="214"/>
      <c r="BDO20" s="214"/>
      <c r="BDP20" s="214"/>
      <c r="BDQ20" s="214"/>
      <c r="BDR20" s="214"/>
      <c r="BDS20" s="214"/>
      <c r="BDT20" s="214"/>
      <c r="BDU20" s="214"/>
      <c r="BDV20" s="214"/>
      <c r="BDW20" s="214"/>
      <c r="BDX20" s="214"/>
      <c r="BDY20" s="214"/>
      <c r="BDZ20" s="214"/>
      <c r="BEA20" s="214"/>
      <c r="BEB20" s="214"/>
      <c r="BEC20" s="214"/>
      <c r="BED20" s="214"/>
      <c r="BEE20" s="214"/>
      <c r="BEF20" s="214"/>
      <c r="BEG20" s="214"/>
      <c r="BEH20" s="214"/>
      <c r="BEI20" s="214"/>
      <c r="BEJ20" s="214"/>
      <c r="BEK20" s="214"/>
      <c r="BEL20" s="214"/>
      <c r="BEM20" s="214"/>
      <c r="BEN20" s="214"/>
      <c r="BEO20" s="214"/>
      <c r="BEP20" s="214"/>
      <c r="BEQ20" s="214"/>
      <c r="BER20" s="214"/>
      <c r="BES20" s="214"/>
      <c r="BET20" s="214"/>
      <c r="BEU20" s="214"/>
      <c r="BEV20" s="214"/>
      <c r="BEW20" s="214"/>
      <c r="BEX20" s="214"/>
      <c r="BEY20" s="214"/>
      <c r="BEZ20" s="214"/>
      <c r="BFA20" s="214"/>
      <c r="BFB20" s="214"/>
      <c r="BFC20" s="214"/>
      <c r="BFD20" s="214"/>
      <c r="BFE20" s="214"/>
      <c r="BFF20" s="214"/>
      <c r="BFG20" s="214"/>
      <c r="BFH20" s="214"/>
      <c r="BFI20" s="214"/>
      <c r="BFJ20" s="214"/>
      <c r="BFK20" s="214"/>
      <c r="BFL20" s="214"/>
      <c r="BFM20" s="214"/>
      <c r="BFN20" s="214"/>
      <c r="BFO20" s="214"/>
      <c r="BFP20" s="214"/>
      <c r="BFQ20" s="214"/>
      <c r="BFR20" s="214"/>
      <c r="BFS20" s="214"/>
      <c r="BFT20" s="214"/>
      <c r="BFU20" s="214"/>
      <c r="BFV20" s="214"/>
      <c r="BFW20" s="214"/>
      <c r="BFX20" s="214"/>
      <c r="BFY20" s="214"/>
      <c r="BFZ20" s="214"/>
      <c r="BGA20" s="214"/>
      <c r="BGB20" s="214"/>
      <c r="BGC20" s="214"/>
      <c r="BGD20" s="214"/>
      <c r="BGE20" s="214"/>
      <c r="BGF20" s="214"/>
      <c r="BGG20" s="214"/>
      <c r="BGH20" s="214"/>
      <c r="BGI20" s="214"/>
      <c r="BGJ20" s="214"/>
      <c r="BGK20" s="214"/>
      <c r="BGL20" s="214"/>
      <c r="BGM20" s="214"/>
      <c r="BGN20" s="214"/>
      <c r="BGO20" s="214"/>
      <c r="BGP20" s="214"/>
      <c r="BGQ20" s="214"/>
      <c r="BGR20" s="214"/>
      <c r="BGS20" s="214"/>
      <c r="BGT20" s="214"/>
      <c r="BGU20" s="214"/>
      <c r="BGV20" s="214"/>
      <c r="BGW20" s="214"/>
      <c r="BGX20" s="214"/>
      <c r="BGY20" s="214"/>
      <c r="BGZ20" s="214"/>
      <c r="BHA20" s="214"/>
      <c r="BHB20" s="214"/>
      <c r="BHC20" s="214"/>
      <c r="BHD20" s="214"/>
      <c r="BHE20" s="214"/>
      <c r="BHF20" s="214"/>
      <c r="BHG20" s="214"/>
      <c r="BHH20" s="214"/>
      <c r="BHI20" s="214"/>
      <c r="BHJ20" s="214"/>
      <c r="BHK20" s="214"/>
      <c r="BHL20" s="214"/>
      <c r="BHM20" s="214"/>
      <c r="BHN20" s="214"/>
      <c r="BHO20" s="214"/>
      <c r="BHP20" s="214"/>
      <c r="BHQ20" s="214"/>
      <c r="BHR20" s="214"/>
      <c r="BHS20" s="214"/>
      <c r="BHT20" s="214"/>
      <c r="BHU20" s="214"/>
      <c r="BHV20" s="214"/>
      <c r="BHW20" s="214"/>
    </row>
    <row r="21" spans="1:1583" s="217" customFormat="1">
      <c r="A21" s="252" t="s">
        <v>33</v>
      </c>
      <c r="B21" s="180" t="s">
        <v>351</v>
      </c>
      <c r="C21" s="416" t="s">
        <v>473</v>
      </c>
      <c r="D21" s="418" t="s">
        <v>473</v>
      </c>
      <c r="E21" s="59" t="s">
        <v>9</v>
      </c>
      <c r="F21" s="132">
        <v>0</v>
      </c>
      <c r="G21" s="60" t="s">
        <v>675</v>
      </c>
      <c r="H21" s="473">
        <f t="shared" si="8"/>
        <v>149.34978774930121</v>
      </c>
      <c r="I21" s="92">
        <f>VLOOKUP($B21,'DCS Data'!$E$2:$AJ$100,MATCH('Daily Report'!I$1,'DCS Data'!$E$2:$AJ$2,0),0)</f>
        <v>5.5759268309275818</v>
      </c>
      <c r="J21" s="255"/>
      <c r="K21" s="92">
        <f>VLOOKUP($B21,'DCS Data'!$E$2:$AJ$100,MATCH('Daily Report'!K$1,'DCS Data'!$E$2:$AJ$2,0),0)</f>
        <v>4.7301030651921883</v>
      </c>
      <c r="L21" s="92">
        <f>VLOOKUP($B21,'DCS Data'!$E$2:$AJ$100,MATCH('Daily Report'!L$1,'DCS Data'!$E$2:$AJ$2,0),0)</f>
        <v>2.4825299377538288</v>
      </c>
      <c r="M21" s="92">
        <f>VLOOKUP($B21,'DCS Data'!$E$2:$AJ$100,MATCH('Daily Report'!M$1,'DCS Data'!$E$2:$AJ$2,0),0)</f>
        <v>3.0244136533873469</v>
      </c>
      <c r="N21" s="92">
        <f>VLOOKUP($B21,'DCS Data'!$E$2:$AJ$100,MATCH('Daily Report'!N$1,'DCS Data'!$E$2:$AJ$2,0),0)</f>
        <v>5.8323363794130945</v>
      </c>
      <c r="O21" s="92">
        <f>VLOOKUP($B21,'DCS Data'!$E$2:$AJ$100,MATCH('Daily Report'!O$1,'DCS Data'!$E$2:$AJ$2,0),0)</f>
        <v>4.2850125721469281</v>
      </c>
      <c r="P21" s="92">
        <f>VLOOKUP($B21,'DCS Data'!$E$2:$AJ$100,MATCH('Daily Report'!P$1,'DCS Data'!$E$2:$AJ$2,0),0)</f>
        <v>4.2414130088414828</v>
      </c>
      <c r="Q21" s="92">
        <f>VLOOKUP($B21,'DCS Data'!$E$2:$AJ$100,MATCH('Daily Report'!Q$1,'DCS Data'!$E$2:$AJ$2,0),0)</f>
        <v>2.182440151977814</v>
      </c>
      <c r="R21" s="92">
        <f>VLOOKUP($B21,'DCS Data'!$E$2:$AJ$100,MATCH('Daily Report'!R$1,'DCS Data'!$E$2:$AJ$2,0),0)</f>
        <v>2.9270616638003522</v>
      </c>
      <c r="S21" s="92">
        <f>VLOOKUP($B21,'DCS Data'!$E$2:$AJ$100,MATCH('Daily Report'!S$1,'DCS Data'!$E$2:$AJ$2,0),0)</f>
        <v>4.1774716974211827</v>
      </c>
      <c r="T21" s="92">
        <f>VLOOKUP($B21,'DCS Data'!$E$2:$AJ$100,MATCH('Daily Report'!T$1,'DCS Data'!$E$2:$AJ$2,0),0)</f>
        <v>3.2595885120908701</v>
      </c>
      <c r="U21" s="92">
        <f>VLOOKUP($B21,'DCS Data'!$E$2:$AJ$100,MATCH('Daily Report'!U$1,'DCS Data'!$E$2:$AJ$2,0),0)</f>
        <v>3.5562101879404859</v>
      </c>
      <c r="V21" s="92">
        <f>VLOOKUP($B21,'DCS Data'!$E$2:$AJ$100,MATCH('Daily Report'!V$1,'DCS Data'!$E$2:$AJ$2,0),0)</f>
        <v>1.4409001201486364</v>
      </c>
      <c r="W21" s="92">
        <f>VLOOKUP($B21,'DCS Data'!$E$2:$AJ$100,MATCH('Daily Report'!W$1,'DCS Data'!$E$2:$AJ$2,0),0)</f>
        <v>4.4529351931924204</v>
      </c>
      <c r="X21" s="92">
        <f>VLOOKUP($B21,'DCS Data'!$E$2:$AJ$100,MATCH('Daily Report'!X$1,'DCS Data'!$E$2:$AJ$2,0),0)</f>
        <v>3.8035432516025369</v>
      </c>
      <c r="Y21" s="92">
        <f>VLOOKUP($B21,'DCS Data'!$E$2:$AJ$100,MATCH('Daily Report'!Y$1,'DCS Data'!$E$2:$AJ$2,0),0)</f>
        <v>8.4709132480500013</v>
      </c>
      <c r="Z21" s="92">
        <f>VLOOKUP($B21,'DCS Data'!$E$2:$AJ$100,MATCH('Daily Report'!Z$1,'DCS Data'!$E$2:$AJ$2,0),0)</f>
        <v>10.000080452949735</v>
      </c>
      <c r="AA21" s="92">
        <f>VLOOKUP($B21,'DCS Data'!$E$2:$AJ$100,MATCH('Daily Report'!AA$1,'DCS Data'!$E$2:$AJ$2,0),0)</f>
        <v>9.9998461338992843</v>
      </c>
      <c r="AB21" s="92">
        <f>VLOOKUP($B21,'DCS Data'!$E$2:$AJ$100,MATCH('Daily Report'!AB$1,'DCS Data'!$E$2:$AJ$2,0),0)</f>
        <v>10.000028194636778</v>
      </c>
      <c r="AC21" s="92">
        <f>VLOOKUP($B21,'DCS Data'!$E$2:$AJ$100,MATCH('Daily Report'!AC$1,'DCS Data'!$E$2:$AJ$2,0),0)</f>
        <v>9.9998480042824074</v>
      </c>
      <c r="AD21" s="92">
        <f>VLOOKUP($B21,'DCS Data'!$E$2:$AJ$100,MATCH('Daily Report'!AD$1,'DCS Data'!$E$2:$AJ$2,0),0)</f>
        <v>8.21406995309313</v>
      </c>
      <c r="AE21" s="92">
        <f>VLOOKUP($B21,'DCS Data'!$E$2:$AJ$100,MATCH('Daily Report'!AE$1,'DCS Data'!$E$2:$AJ$2,0),0)</f>
        <v>4.7524919114135127</v>
      </c>
      <c r="AF21" s="92">
        <f>VLOOKUP($B21,'DCS Data'!$E$2:$AJ$100,MATCH('Daily Report'!AF$1,'DCS Data'!$E$2:$AJ$2,0),0)</f>
        <v>2.390184274678254</v>
      </c>
      <c r="AG21" s="92">
        <f>VLOOKUP($B21,'DCS Data'!$E$2:$AJ$100,MATCH('Daily Report'!AG$1,'DCS Data'!$E$2:$AJ$2,0),0)</f>
        <v>4.609623398443226</v>
      </c>
      <c r="AH21" s="92">
        <f>VLOOKUP($B21,'DCS Data'!$E$2:$AJ$100,MATCH('Daily Report'!AH$1,'DCS Data'!$E$2:$AJ$2,0),0)</f>
        <v>4.2034423597583732</v>
      </c>
      <c r="AI21" s="92">
        <f>VLOOKUP($B21,'DCS Data'!$E$2:$AJ$100,MATCH('Daily Report'!AI$1,'DCS Data'!$E$2:$AJ$2,0),0)</f>
        <v>4.8607463051324054</v>
      </c>
      <c r="AJ21" s="92">
        <f>VLOOKUP($B21,'DCS Data'!$E$2:$AJ$100,MATCH('Daily Report'!AJ$1,'DCS Data'!$E$2:$AJ$2,0),0)</f>
        <v>3.6985964955821009</v>
      </c>
      <c r="AK21" s="92">
        <f>VLOOKUP($B21,'DCS Data'!$E$2:$AJ$100,MATCH('Daily Report'!AK$1,'DCS Data'!$E$2:$AJ$2,0),0)</f>
        <v>4.3497943597839122</v>
      </c>
      <c r="AL21" s="92">
        <f>VLOOKUP($B21,'DCS Data'!$E$2:$AJ$100,MATCH('Daily Report'!AL$1,'DCS Data'!$E$2:$AJ$2,0),0)</f>
        <v>2.2328550795574471</v>
      </c>
      <c r="AM21" s="92">
        <f>VLOOKUP($B21,'DCS Data'!$E$2:$AJ$100,MATCH('Daily Report'!AM$1,'DCS Data'!$E$2:$AJ$2,0),0)</f>
        <v>2.7724449573166168</v>
      </c>
      <c r="AN21" s="92">
        <f>VLOOKUP($B21,'DCS Data'!$E$2:$AJ$100,MATCH('Daily Report'!AN$1,'DCS Data'!$E$2:$AJ$2,0),0)</f>
        <v>2.822936394887257</v>
      </c>
      <c r="AO21" s="214"/>
      <c r="AP21" s="214"/>
      <c r="AQ21" s="214"/>
      <c r="AR21" s="214"/>
      <c r="AS21" s="214"/>
      <c r="AT21" s="214"/>
      <c r="AU21" s="214"/>
      <c r="AV21" s="214"/>
      <c r="AW21" s="214"/>
      <c r="AX21" s="214"/>
      <c r="AY21" s="214"/>
      <c r="AZ21" s="214"/>
      <c r="BA21" s="214"/>
      <c r="BB21" s="214"/>
      <c r="BC21" s="214"/>
      <c r="BD21" s="214"/>
      <c r="BE21" s="214"/>
      <c r="BF21" s="214"/>
      <c r="BG21" s="214"/>
      <c r="BH21" s="214"/>
      <c r="BI21" s="214"/>
      <c r="BJ21" s="214"/>
      <c r="BK21" s="214"/>
      <c r="BL21" s="214"/>
      <c r="BM21" s="214"/>
      <c r="BN21" s="214"/>
      <c r="BO21" s="214"/>
      <c r="BP21" s="214"/>
      <c r="BQ21" s="214"/>
      <c r="BR21" s="214"/>
      <c r="BS21" s="214"/>
      <c r="BT21" s="214"/>
      <c r="BU21" s="214"/>
      <c r="BV21" s="214"/>
      <c r="BW21" s="214"/>
      <c r="BX21" s="214"/>
      <c r="BY21" s="214"/>
      <c r="BZ21" s="214"/>
      <c r="CA21" s="214"/>
      <c r="CB21" s="214"/>
      <c r="CC21" s="214"/>
      <c r="CD21" s="214"/>
      <c r="CE21" s="214"/>
      <c r="CF21" s="214"/>
      <c r="CG21" s="214"/>
      <c r="CH21" s="214"/>
      <c r="CI21" s="214"/>
      <c r="CJ21" s="214"/>
      <c r="CK21" s="214"/>
      <c r="CL21" s="214"/>
      <c r="CM21" s="214"/>
      <c r="CN21" s="214"/>
      <c r="CO21" s="214"/>
      <c r="CP21" s="214"/>
      <c r="CQ21" s="214"/>
      <c r="CR21" s="214"/>
      <c r="CS21" s="214"/>
      <c r="CT21" s="214"/>
      <c r="CU21" s="214"/>
      <c r="CV21" s="214"/>
      <c r="CW21" s="214"/>
      <c r="CX21" s="214"/>
      <c r="CY21" s="214"/>
      <c r="CZ21" s="214"/>
      <c r="DA21" s="214"/>
      <c r="DB21" s="214"/>
      <c r="DC21" s="214"/>
      <c r="DD21" s="214"/>
      <c r="DE21" s="214"/>
      <c r="DF21" s="214"/>
      <c r="DG21" s="214"/>
      <c r="DH21" s="214"/>
      <c r="DI21" s="214"/>
      <c r="DJ21" s="214"/>
      <c r="DK21" s="214"/>
      <c r="DL21" s="214"/>
      <c r="DM21" s="214"/>
      <c r="DN21" s="214"/>
      <c r="DO21" s="214"/>
      <c r="DP21" s="214"/>
      <c r="DQ21" s="214"/>
      <c r="DR21" s="214"/>
      <c r="DS21" s="214"/>
      <c r="DT21" s="214"/>
      <c r="DU21" s="214"/>
      <c r="DV21" s="214"/>
      <c r="DW21" s="214"/>
      <c r="DX21" s="214"/>
      <c r="DY21" s="214"/>
      <c r="DZ21" s="214"/>
      <c r="EA21" s="214"/>
      <c r="EB21" s="214"/>
      <c r="EC21" s="214"/>
      <c r="ED21" s="214"/>
      <c r="EE21" s="214"/>
      <c r="EF21" s="214"/>
      <c r="EG21" s="214"/>
      <c r="EH21" s="214"/>
      <c r="EI21" s="214"/>
      <c r="EJ21" s="214"/>
      <c r="EK21" s="214"/>
      <c r="EL21" s="214"/>
      <c r="EM21" s="214"/>
      <c r="EN21" s="214"/>
      <c r="EO21" s="214"/>
      <c r="EP21" s="214"/>
      <c r="EQ21" s="214"/>
      <c r="ER21" s="214"/>
      <c r="ES21" s="214"/>
      <c r="ET21" s="214"/>
      <c r="EU21" s="214"/>
      <c r="EV21" s="214"/>
      <c r="EW21" s="214"/>
      <c r="EX21" s="214"/>
      <c r="EY21" s="214"/>
      <c r="EZ21" s="214"/>
      <c r="FA21" s="214"/>
      <c r="FB21" s="214"/>
      <c r="FC21" s="214"/>
      <c r="FD21" s="214"/>
      <c r="FE21" s="214"/>
      <c r="FF21" s="214"/>
      <c r="FG21" s="214"/>
      <c r="FH21" s="214"/>
      <c r="FI21" s="214"/>
      <c r="FJ21" s="214"/>
      <c r="FK21" s="214"/>
      <c r="FL21" s="214"/>
      <c r="FM21" s="214"/>
      <c r="FN21" s="214"/>
      <c r="FO21" s="214"/>
      <c r="FP21" s="214"/>
      <c r="FQ21" s="214"/>
      <c r="FR21" s="214"/>
      <c r="FS21" s="214"/>
      <c r="FT21" s="214"/>
      <c r="FU21" s="214"/>
      <c r="FV21" s="214"/>
      <c r="FW21" s="214"/>
      <c r="FX21" s="214"/>
      <c r="FY21" s="214"/>
      <c r="FZ21" s="214"/>
      <c r="GA21" s="214"/>
      <c r="GB21" s="214"/>
      <c r="GC21" s="214"/>
      <c r="GD21" s="214"/>
      <c r="GE21" s="214"/>
      <c r="GF21" s="214"/>
      <c r="GG21" s="214"/>
      <c r="GH21" s="214"/>
      <c r="GI21" s="214"/>
      <c r="GJ21" s="214"/>
      <c r="GK21" s="214"/>
      <c r="GL21" s="214"/>
      <c r="GM21" s="214"/>
      <c r="GN21" s="214"/>
      <c r="GO21" s="214"/>
      <c r="GP21" s="214"/>
      <c r="GQ21" s="214"/>
      <c r="GR21" s="214"/>
      <c r="GS21" s="214"/>
      <c r="GT21" s="214"/>
      <c r="GU21" s="214"/>
      <c r="GV21" s="214"/>
      <c r="GW21" s="214"/>
      <c r="GX21" s="214"/>
      <c r="GY21" s="214"/>
      <c r="GZ21" s="214"/>
      <c r="HA21" s="214"/>
      <c r="HB21" s="214"/>
      <c r="HC21" s="214"/>
      <c r="HD21" s="214"/>
      <c r="HE21" s="214"/>
      <c r="HF21" s="214"/>
      <c r="HG21" s="214"/>
      <c r="HH21" s="214"/>
      <c r="HI21" s="214"/>
      <c r="HJ21" s="214"/>
      <c r="HK21" s="214"/>
      <c r="HL21" s="214"/>
      <c r="HM21" s="214"/>
      <c r="HN21" s="214"/>
      <c r="HO21" s="214"/>
      <c r="HP21" s="214"/>
      <c r="HQ21" s="214"/>
      <c r="HR21" s="214"/>
      <c r="HS21" s="214"/>
      <c r="HT21" s="214"/>
      <c r="HU21" s="214"/>
      <c r="HV21" s="214"/>
      <c r="HW21" s="214"/>
      <c r="HX21" s="214"/>
      <c r="HY21" s="214"/>
      <c r="HZ21" s="214"/>
      <c r="IA21" s="214"/>
      <c r="IB21" s="214"/>
      <c r="IC21" s="214"/>
      <c r="ID21" s="214"/>
      <c r="IE21" s="214"/>
      <c r="IF21" s="214"/>
      <c r="IG21" s="214"/>
      <c r="IH21" s="214"/>
      <c r="II21" s="214"/>
      <c r="IJ21" s="214"/>
      <c r="IK21" s="214"/>
      <c r="IL21" s="214"/>
      <c r="IM21" s="214"/>
      <c r="IN21" s="214"/>
      <c r="IO21" s="214"/>
      <c r="IP21" s="214"/>
      <c r="IQ21" s="214"/>
      <c r="IR21" s="214"/>
      <c r="IS21" s="214"/>
      <c r="IT21" s="214"/>
      <c r="IU21" s="214"/>
      <c r="IV21" s="214"/>
      <c r="IW21" s="214"/>
      <c r="IX21" s="214"/>
      <c r="IY21" s="214"/>
      <c r="IZ21" s="214"/>
      <c r="JA21" s="214"/>
      <c r="JB21" s="214"/>
      <c r="JC21" s="214"/>
      <c r="JD21" s="214"/>
      <c r="JE21" s="214"/>
      <c r="JF21" s="214"/>
      <c r="JG21" s="214"/>
      <c r="JH21" s="214"/>
      <c r="JI21" s="214"/>
      <c r="JJ21" s="214"/>
      <c r="JK21" s="214"/>
      <c r="JL21" s="214"/>
      <c r="JM21" s="214"/>
      <c r="JN21" s="214"/>
      <c r="JO21" s="214"/>
      <c r="JP21" s="214"/>
      <c r="JQ21" s="214"/>
      <c r="JR21" s="214"/>
      <c r="JS21" s="214"/>
      <c r="JT21" s="214"/>
      <c r="JU21" s="214"/>
      <c r="JV21" s="214"/>
      <c r="JW21" s="214"/>
      <c r="JX21" s="214"/>
      <c r="JY21" s="214"/>
      <c r="JZ21" s="214"/>
      <c r="KA21" s="214"/>
      <c r="KB21" s="214"/>
      <c r="KC21" s="214"/>
      <c r="KD21" s="214"/>
      <c r="KE21" s="214"/>
      <c r="KF21" s="214"/>
      <c r="KG21" s="214"/>
      <c r="KH21" s="214"/>
      <c r="KI21" s="214"/>
      <c r="KJ21" s="214"/>
      <c r="KK21" s="214"/>
      <c r="KL21" s="214"/>
      <c r="KM21" s="214"/>
      <c r="KN21" s="214"/>
      <c r="KO21" s="214"/>
      <c r="KP21" s="214"/>
      <c r="KQ21" s="214"/>
      <c r="KR21" s="214"/>
      <c r="KS21" s="214"/>
      <c r="KT21" s="214"/>
      <c r="KU21" s="214"/>
      <c r="KV21" s="214"/>
      <c r="KW21" s="214"/>
      <c r="KX21" s="214"/>
      <c r="KY21" s="214"/>
      <c r="KZ21" s="214"/>
      <c r="LA21" s="214"/>
      <c r="LB21" s="214"/>
      <c r="LC21" s="214"/>
      <c r="LD21" s="214"/>
      <c r="LE21" s="214"/>
      <c r="LF21" s="214"/>
      <c r="LG21" s="214"/>
      <c r="LH21" s="214"/>
      <c r="LI21" s="214"/>
      <c r="LJ21" s="214"/>
      <c r="LK21" s="214"/>
      <c r="LL21" s="214"/>
      <c r="LM21" s="214"/>
      <c r="LN21" s="214"/>
      <c r="LO21" s="214"/>
      <c r="LP21" s="214"/>
      <c r="LQ21" s="214"/>
      <c r="LR21" s="214"/>
      <c r="LS21" s="214"/>
      <c r="LT21" s="214"/>
      <c r="LU21" s="214"/>
      <c r="LV21" s="214"/>
      <c r="LW21" s="214"/>
      <c r="LX21" s="214"/>
      <c r="LY21" s="214"/>
      <c r="LZ21" s="214"/>
      <c r="MA21" s="214"/>
      <c r="MB21" s="214"/>
      <c r="MC21" s="214"/>
      <c r="MD21" s="214"/>
      <c r="ME21" s="214"/>
      <c r="MF21" s="214"/>
      <c r="MG21" s="214"/>
      <c r="MH21" s="214"/>
      <c r="MI21" s="214"/>
      <c r="MJ21" s="214"/>
      <c r="MK21" s="214"/>
      <c r="ML21" s="214"/>
      <c r="MM21" s="214"/>
      <c r="MN21" s="214"/>
      <c r="MO21" s="214"/>
      <c r="MP21" s="214"/>
      <c r="MQ21" s="214"/>
      <c r="MR21" s="214"/>
      <c r="MS21" s="214"/>
      <c r="MT21" s="214"/>
      <c r="MU21" s="214"/>
      <c r="MV21" s="214"/>
      <c r="MW21" s="214"/>
      <c r="MX21" s="214"/>
      <c r="MY21" s="214"/>
      <c r="MZ21" s="214"/>
      <c r="NA21" s="214"/>
      <c r="NB21" s="214"/>
      <c r="NC21" s="214"/>
      <c r="ND21" s="214"/>
      <c r="NE21" s="214"/>
      <c r="NF21" s="214"/>
      <c r="NG21" s="214"/>
      <c r="NH21" s="214"/>
      <c r="NI21" s="214"/>
      <c r="NJ21" s="214"/>
      <c r="NK21" s="214"/>
      <c r="NL21" s="214"/>
      <c r="NM21" s="214"/>
      <c r="NN21" s="214"/>
      <c r="NO21" s="214"/>
      <c r="NP21" s="214"/>
      <c r="NQ21" s="214"/>
      <c r="NR21" s="214"/>
      <c r="NS21" s="214"/>
      <c r="NT21" s="214"/>
      <c r="NU21" s="214"/>
      <c r="NV21" s="214"/>
      <c r="NW21" s="214"/>
      <c r="NX21" s="214"/>
      <c r="NY21" s="214"/>
      <c r="NZ21" s="214"/>
      <c r="OA21" s="214"/>
      <c r="OB21" s="214"/>
      <c r="OC21" s="214"/>
      <c r="OD21" s="214"/>
      <c r="OE21" s="214"/>
      <c r="OF21" s="214"/>
      <c r="OG21" s="214"/>
      <c r="OH21" s="214"/>
      <c r="OI21" s="214"/>
      <c r="OJ21" s="214"/>
      <c r="OK21" s="214"/>
      <c r="OL21" s="214"/>
      <c r="OM21" s="214"/>
      <c r="ON21" s="214"/>
      <c r="OO21" s="214"/>
      <c r="OP21" s="214"/>
      <c r="OQ21" s="214"/>
      <c r="OR21" s="214"/>
      <c r="OS21" s="214"/>
      <c r="OT21" s="214"/>
      <c r="OU21" s="214"/>
      <c r="OV21" s="214"/>
      <c r="OW21" s="214"/>
      <c r="OX21" s="214"/>
      <c r="OY21" s="214"/>
      <c r="OZ21" s="214"/>
      <c r="PA21" s="214"/>
      <c r="PB21" s="214"/>
      <c r="PC21" s="214"/>
      <c r="PD21" s="214"/>
      <c r="PE21" s="214"/>
      <c r="PF21" s="214"/>
      <c r="PG21" s="214"/>
      <c r="PH21" s="214"/>
      <c r="PI21" s="214"/>
      <c r="PJ21" s="214"/>
      <c r="PK21" s="214"/>
      <c r="PL21" s="214"/>
      <c r="PM21" s="214"/>
      <c r="PN21" s="214"/>
      <c r="PO21" s="214"/>
      <c r="PP21" s="214"/>
      <c r="PQ21" s="214"/>
      <c r="PR21" s="214"/>
      <c r="PS21" s="214"/>
      <c r="PT21" s="214"/>
      <c r="PU21" s="214"/>
      <c r="PV21" s="214"/>
      <c r="PW21" s="214"/>
      <c r="PX21" s="214"/>
      <c r="PY21" s="214"/>
      <c r="PZ21" s="214"/>
      <c r="QA21" s="214"/>
      <c r="QB21" s="214"/>
      <c r="QC21" s="214"/>
      <c r="QD21" s="214"/>
      <c r="QE21" s="214"/>
      <c r="QF21" s="214"/>
      <c r="QG21" s="214"/>
      <c r="QH21" s="214"/>
      <c r="QI21" s="214"/>
      <c r="QJ21" s="214"/>
      <c r="QK21" s="214"/>
      <c r="QL21" s="214"/>
      <c r="QM21" s="214"/>
      <c r="QN21" s="214"/>
      <c r="QO21" s="214"/>
      <c r="QP21" s="214"/>
      <c r="QQ21" s="214"/>
      <c r="QR21" s="214"/>
      <c r="QS21" s="214"/>
      <c r="QT21" s="214"/>
      <c r="QU21" s="214"/>
      <c r="QV21" s="214"/>
      <c r="QW21" s="214"/>
      <c r="QX21" s="214"/>
      <c r="QY21" s="214"/>
      <c r="QZ21" s="214"/>
      <c r="RA21" s="214"/>
      <c r="RB21" s="214"/>
      <c r="RC21" s="214"/>
      <c r="RD21" s="214"/>
      <c r="RE21" s="214"/>
      <c r="RF21" s="214"/>
      <c r="RG21" s="214"/>
      <c r="RH21" s="214"/>
      <c r="RI21" s="214"/>
      <c r="RJ21" s="214"/>
      <c r="RK21" s="214"/>
      <c r="RL21" s="214"/>
      <c r="RM21" s="214"/>
      <c r="RN21" s="214"/>
      <c r="RO21" s="214"/>
      <c r="RP21" s="214"/>
      <c r="RQ21" s="214"/>
      <c r="RR21" s="214"/>
      <c r="RS21" s="214"/>
      <c r="RT21" s="214"/>
      <c r="RU21" s="214"/>
      <c r="RV21" s="214"/>
      <c r="RW21" s="214"/>
      <c r="RX21" s="214"/>
      <c r="RY21" s="214"/>
      <c r="RZ21" s="214"/>
      <c r="SA21" s="214"/>
      <c r="SB21" s="214"/>
      <c r="SC21" s="214"/>
      <c r="SD21" s="214"/>
      <c r="SE21" s="214"/>
      <c r="SF21" s="214"/>
      <c r="SG21" s="214"/>
      <c r="SH21" s="214"/>
      <c r="SI21" s="214"/>
      <c r="SJ21" s="214"/>
      <c r="SK21" s="214"/>
      <c r="SL21" s="214"/>
      <c r="SM21" s="214"/>
      <c r="SN21" s="214"/>
      <c r="SO21" s="214"/>
      <c r="SP21" s="214"/>
      <c r="SQ21" s="214"/>
      <c r="SR21" s="214"/>
      <c r="SS21" s="214"/>
      <c r="ST21" s="214"/>
      <c r="SU21" s="214"/>
      <c r="SV21" s="214"/>
      <c r="SW21" s="214"/>
      <c r="SX21" s="214"/>
      <c r="SY21" s="214"/>
      <c r="SZ21" s="214"/>
      <c r="TA21" s="214"/>
      <c r="TB21" s="214"/>
      <c r="TC21" s="214"/>
      <c r="TD21" s="214"/>
      <c r="TE21" s="214"/>
      <c r="TF21" s="214"/>
      <c r="TG21" s="214"/>
      <c r="TH21" s="214"/>
      <c r="TI21" s="214"/>
      <c r="TJ21" s="214"/>
      <c r="TK21" s="214"/>
      <c r="TL21" s="214"/>
      <c r="TM21" s="214"/>
      <c r="TN21" s="214"/>
      <c r="TO21" s="214"/>
      <c r="TP21" s="214"/>
      <c r="TQ21" s="214"/>
      <c r="TR21" s="214"/>
      <c r="TS21" s="214"/>
      <c r="TT21" s="214"/>
      <c r="TU21" s="214"/>
      <c r="TV21" s="214"/>
      <c r="TW21" s="214"/>
      <c r="TX21" s="214"/>
      <c r="TY21" s="214"/>
      <c r="TZ21" s="214"/>
      <c r="UA21" s="214"/>
      <c r="UB21" s="214"/>
      <c r="UC21" s="214"/>
      <c r="UD21" s="214"/>
      <c r="UE21" s="214"/>
      <c r="UF21" s="214"/>
      <c r="UG21" s="214"/>
      <c r="UH21" s="214"/>
      <c r="UI21" s="214"/>
      <c r="UJ21" s="214"/>
      <c r="UK21" s="214"/>
      <c r="UL21" s="214"/>
      <c r="UM21" s="214"/>
      <c r="UN21" s="214"/>
      <c r="UO21" s="214"/>
      <c r="UP21" s="214"/>
      <c r="UQ21" s="214"/>
      <c r="UR21" s="214"/>
      <c r="US21" s="214"/>
      <c r="UT21" s="214"/>
      <c r="UU21" s="214"/>
      <c r="UV21" s="214"/>
      <c r="UW21" s="214"/>
      <c r="UX21" s="214"/>
      <c r="UY21" s="214"/>
      <c r="UZ21" s="214"/>
      <c r="VA21" s="214"/>
      <c r="VB21" s="214"/>
      <c r="VC21" s="214"/>
      <c r="VD21" s="214"/>
      <c r="VE21" s="214"/>
      <c r="VF21" s="214"/>
      <c r="VG21" s="214"/>
      <c r="VH21" s="214"/>
      <c r="VI21" s="214"/>
      <c r="VJ21" s="214"/>
      <c r="VK21" s="214"/>
      <c r="VL21" s="214"/>
      <c r="VM21" s="214"/>
      <c r="VN21" s="214"/>
      <c r="VO21" s="214"/>
      <c r="VP21" s="214"/>
      <c r="VQ21" s="214"/>
      <c r="VR21" s="214"/>
      <c r="VS21" s="214"/>
      <c r="VT21" s="214"/>
      <c r="VU21" s="214"/>
      <c r="VV21" s="214"/>
      <c r="VW21" s="214"/>
      <c r="VX21" s="214"/>
      <c r="VY21" s="214"/>
      <c r="VZ21" s="214"/>
      <c r="WA21" s="214"/>
      <c r="WB21" s="214"/>
      <c r="WC21" s="214"/>
      <c r="WD21" s="214"/>
      <c r="WE21" s="214"/>
      <c r="WF21" s="214"/>
      <c r="WG21" s="214"/>
      <c r="WH21" s="214"/>
      <c r="WI21" s="214"/>
      <c r="WJ21" s="214"/>
      <c r="WK21" s="214"/>
      <c r="WL21" s="214"/>
      <c r="WM21" s="214"/>
      <c r="WN21" s="214"/>
      <c r="WO21" s="214"/>
      <c r="WP21" s="214"/>
      <c r="WQ21" s="214"/>
      <c r="WR21" s="214"/>
      <c r="WS21" s="214"/>
      <c r="WT21" s="214"/>
      <c r="WU21" s="214"/>
      <c r="WV21" s="214"/>
      <c r="WW21" s="214"/>
      <c r="WX21" s="214"/>
      <c r="WY21" s="214"/>
      <c r="WZ21" s="214"/>
      <c r="XA21" s="214"/>
      <c r="XB21" s="214"/>
      <c r="XC21" s="214"/>
      <c r="XD21" s="214"/>
      <c r="XE21" s="214"/>
      <c r="XF21" s="214"/>
      <c r="XG21" s="214"/>
      <c r="XH21" s="214"/>
      <c r="XI21" s="214"/>
      <c r="XJ21" s="214"/>
      <c r="XK21" s="214"/>
      <c r="XL21" s="214"/>
      <c r="XM21" s="214"/>
      <c r="XN21" s="214"/>
      <c r="XO21" s="214"/>
      <c r="XP21" s="214"/>
      <c r="XQ21" s="214"/>
      <c r="XR21" s="214"/>
      <c r="XS21" s="214"/>
      <c r="XT21" s="214"/>
      <c r="XU21" s="214"/>
      <c r="XV21" s="214"/>
      <c r="XW21" s="214"/>
      <c r="XX21" s="214"/>
      <c r="XY21" s="214"/>
      <c r="XZ21" s="214"/>
      <c r="YA21" s="214"/>
      <c r="YB21" s="214"/>
      <c r="YC21" s="214"/>
      <c r="YD21" s="214"/>
      <c r="YE21" s="214"/>
      <c r="YF21" s="214"/>
      <c r="YG21" s="214"/>
      <c r="YH21" s="214"/>
      <c r="YI21" s="214"/>
      <c r="YJ21" s="214"/>
      <c r="YK21" s="214"/>
      <c r="YL21" s="214"/>
      <c r="YM21" s="214"/>
      <c r="YN21" s="214"/>
      <c r="YO21" s="214"/>
      <c r="YP21" s="214"/>
      <c r="YQ21" s="214"/>
      <c r="YR21" s="214"/>
      <c r="YS21" s="214"/>
      <c r="YT21" s="214"/>
      <c r="YU21" s="214"/>
      <c r="YV21" s="214"/>
      <c r="YW21" s="214"/>
      <c r="YX21" s="214"/>
      <c r="YY21" s="214"/>
      <c r="YZ21" s="214"/>
      <c r="ZA21" s="214"/>
      <c r="ZB21" s="214"/>
      <c r="ZC21" s="214"/>
      <c r="ZD21" s="214"/>
      <c r="ZE21" s="214"/>
      <c r="ZF21" s="214"/>
      <c r="ZG21" s="214"/>
      <c r="ZH21" s="214"/>
      <c r="ZI21" s="214"/>
      <c r="ZJ21" s="214"/>
      <c r="ZK21" s="214"/>
      <c r="ZL21" s="214"/>
      <c r="ZM21" s="214"/>
      <c r="ZN21" s="214"/>
      <c r="ZO21" s="214"/>
      <c r="ZP21" s="214"/>
      <c r="ZQ21" s="214"/>
      <c r="ZR21" s="214"/>
      <c r="ZS21" s="214"/>
      <c r="ZT21" s="214"/>
      <c r="ZU21" s="214"/>
      <c r="ZV21" s="214"/>
      <c r="ZW21" s="214"/>
      <c r="ZX21" s="214"/>
      <c r="ZY21" s="214"/>
      <c r="ZZ21" s="214"/>
      <c r="AAA21" s="214"/>
      <c r="AAB21" s="214"/>
      <c r="AAC21" s="214"/>
      <c r="AAD21" s="214"/>
      <c r="AAE21" s="214"/>
      <c r="AAF21" s="214"/>
      <c r="AAG21" s="214"/>
      <c r="AAH21" s="214"/>
      <c r="AAI21" s="214"/>
      <c r="AAJ21" s="214"/>
      <c r="AAK21" s="214"/>
      <c r="AAL21" s="214"/>
      <c r="AAM21" s="214"/>
      <c r="AAN21" s="214"/>
      <c r="AAO21" s="214"/>
      <c r="AAP21" s="214"/>
      <c r="AAQ21" s="214"/>
      <c r="AAR21" s="214"/>
      <c r="AAS21" s="214"/>
      <c r="AAT21" s="214"/>
      <c r="AAU21" s="214"/>
      <c r="AAV21" s="214"/>
      <c r="AAW21" s="214"/>
      <c r="AAX21" s="214"/>
      <c r="AAY21" s="214"/>
      <c r="AAZ21" s="214"/>
      <c r="ABA21" s="214"/>
      <c r="ABB21" s="214"/>
      <c r="ABC21" s="214"/>
      <c r="ABD21" s="214"/>
      <c r="ABE21" s="214"/>
      <c r="ABF21" s="214"/>
      <c r="ABG21" s="214"/>
      <c r="ABH21" s="214"/>
      <c r="ABI21" s="214"/>
      <c r="ABJ21" s="214"/>
      <c r="ABK21" s="214"/>
      <c r="ABL21" s="214"/>
      <c r="ABM21" s="214"/>
      <c r="ABN21" s="214"/>
      <c r="ABO21" s="214"/>
      <c r="ABP21" s="214"/>
      <c r="ABQ21" s="214"/>
      <c r="ABR21" s="214"/>
      <c r="ABS21" s="214"/>
      <c r="ABT21" s="214"/>
      <c r="ABU21" s="214"/>
      <c r="ABV21" s="214"/>
      <c r="ABW21" s="214"/>
      <c r="ABX21" s="214"/>
      <c r="ABY21" s="214"/>
      <c r="ABZ21" s="214"/>
      <c r="ACA21" s="214"/>
      <c r="ACB21" s="214"/>
      <c r="ACC21" s="214"/>
      <c r="ACD21" s="214"/>
      <c r="ACE21" s="214"/>
      <c r="ACF21" s="214"/>
      <c r="ACG21" s="214"/>
      <c r="ACH21" s="214"/>
      <c r="ACI21" s="214"/>
      <c r="ACJ21" s="214"/>
      <c r="ACK21" s="214"/>
      <c r="ACL21" s="214"/>
      <c r="ACM21" s="214"/>
      <c r="ACN21" s="214"/>
      <c r="ACO21" s="214"/>
      <c r="ACP21" s="214"/>
      <c r="ACQ21" s="214"/>
      <c r="ACR21" s="214"/>
      <c r="ACS21" s="214"/>
      <c r="ACT21" s="214"/>
      <c r="ACU21" s="214"/>
      <c r="ACV21" s="214"/>
      <c r="ACW21" s="214"/>
      <c r="ACX21" s="214"/>
      <c r="ACY21" s="214"/>
      <c r="ACZ21" s="214"/>
      <c r="ADA21" s="214"/>
      <c r="ADB21" s="214"/>
      <c r="ADC21" s="214"/>
      <c r="ADD21" s="214"/>
      <c r="ADE21" s="214"/>
      <c r="ADF21" s="214"/>
      <c r="ADG21" s="214"/>
      <c r="ADH21" s="214"/>
      <c r="ADI21" s="214"/>
      <c r="ADJ21" s="214"/>
      <c r="ADK21" s="214"/>
      <c r="ADL21" s="214"/>
      <c r="ADM21" s="214"/>
      <c r="ADN21" s="214"/>
      <c r="ADO21" s="214"/>
      <c r="ADP21" s="214"/>
      <c r="ADQ21" s="214"/>
      <c r="ADR21" s="214"/>
      <c r="ADS21" s="214"/>
      <c r="ADT21" s="214"/>
      <c r="ADU21" s="214"/>
      <c r="ADV21" s="214"/>
      <c r="ADW21" s="214"/>
      <c r="ADX21" s="214"/>
      <c r="ADY21" s="214"/>
      <c r="ADZ21" s="214"/>
      <c r="AEA21" s="214"/>
      <c r="AEB21" s="214"/>
      <c r="AEC21" s="214"/>
      <c r="AED21" s="214"/>
      <c r="AEE21" s="214"/>
      <c r="AEF21" s="214"/>
      <c r="AEG21" s="214"/>
      <c r="AEH21" s="214"/>
      <c r="AEI21" s="214"/>
      <c r="AEJ21" s="214"/>
      <c r="AEK21" s="214"/>
      <c r="AEL21" s="214"/>
      <c r="AEM21" s="214"/>
      <c r="AEN21" s="214"/>
      <c r="AEO21" s="214"/>
      <c r="AEP21" s="214"/>
      <c r="AEQ21" s="214"/>
      <c r="AER21" s="214"/>
      <c r="AES21" s="214"/>
      <c r="AET21" s="214"/>
      <c r="AEU21" s="214"/>
      <c r="AEV21" s="214"/>
      <c r="AEW21" s="214"/>
      <c r="AEX21" s="214"/>
      <c r="AEY21" s="214"/>
      <c r="AEZ21" s="214"/>
      <c r="AFA21" s="214"/>
      <c r="AFB21" s="214"/>
      <c r="AFC21" s="214"/>
      <c r="AFD21" s="214"/>
      <c r="AFE21" s="214"/>
      <c r="AFF21" s="214"/>
      <c r="AFG21" s="214"/>
      <c r="AFH21" s="214"/>
      <c r="AFI21" s="214"/>
      <c r="AFJ21" s="214"/>
      <c r="AFK21" s="214"/>
      <c r="AFL21" s="214"/>
      <c r="AFM21" s="214"/>
      <c r="AFN21" s="214"/>
      <c r="AFO21" s="214"/>
      <c r="AFP21" s="214"/>
      <c r="AFQ21" s="214"/>
      <c r="AFR21" s="214"/>
      <c r="AFS21" s="214"/>
      <c r="AFT21" s="214"/>
      <c r="AFU21" s="214"/>
      <c r="AFV21" s="214"/>
      <c r="AFW21" s="214"/>
      <c r="AFX21" s="214"/>
      <c r="AFY21" s="214"/>
      <c r="AFZ21" s="214"/>
      <c r="AGA21" s="214"/>
      <c r="AGB21" s="214"/>
      <c r="AGC21" s="214"/>
      <c r="AGD21" s="214"/>
      <c r="AGE21" s="214"/>
      <c r="AGF21" s="214"/>
      <c r="AGG21" s="214"/>
      <c r="AGH21" s="214"/>
      <c r="AGI21" s="214"/>
      <c r="AGJ21" s="214"/>
      <c r="AGK21" s="214"/>
      <c r="AGL21" s="214"/>
      <c r="AGM21" s="214"/>
      <c r="AGN21" s="214"/>
      <c r="AGO21" s="214"/>
      <c r="AGP21" s="214"/>
      <c r="AGQ21" s="214"/>
      <c r="AGR21" s="214"/>
      <c r="AGS21" s="214"/>
      <c r="AGT21" s="214"/>
      <c r="AGU21" s="214"/>
      <c r="AGV21" s="214"/>
      <c r="AGW21" s="214"/>
      <c r="AGX21" s="214"/>
      <c r="AGY21" s="214"/>
      <c r="AGZ21" s="214"/>
      <c r="AHA21" s="214"/>
      <c r="AHB21" s="214"/>
      <c r="AHC21" s="214"/>
      <c r="AHD21" s="214"/>
      <c r="AHE21" s="214"/>
      <c r="AHF21" s="214"/>
      <c r="AHG21" s="214"/>
      <c r="AHH21" s="214"/>
      <c r="AHI21" s="214"/>
      <c r="AHJ21" s="214"/>
      <c r="AHK21" s="214"/>
      <c r="AHL21" s="214"/>
      <c r="AHM21" s="214"/>
      <c r="AHN21" s="214"/>
      <c r="AHO21" s="214"/>
      <c r="AHP21" s="214"/>
      <c r="AHQ21" s="214"/>
      <c r="AHR21" s="214"/>
      <c r="AHS21" s="214"/>
      <c r="AHT21" s="214"/>
      <c r="AHU21" s="214"/>
      <c r="AHV21" s="214"/>
      <c r="AHW21" s="214"/>
      <c r="AHX21" s="214"/>
      <c r="AHY21" s="214"/>
      <c r="AHZ21" s="214"/>
      <c r="AIA21" s="214"/>
      <c r="AIB21" s="214"/>
      <c r="AIC21" s="214"/>
      <c r="AID21" s="214"/>
      <c r="AIE21" s="214"/>
      <c r="AIF21" s="214"/>
      <c r="AIG21" s="214"/>
      <c r="AIH21" s="214"/>
      <c r="AII21" s="214"/>
      <c r="AIJ21" s="214"/>
      <c r="AIK21" s="214"/>
      <c r="AIL21" s="214"/>
      <c r="AIM21" s="214"/>
      <c r="AIN21" s="214"/>
      <c r="AIO21" s="214"/>
      <c r="AIP21" s="214"/>
      <c r="AIQ21" s="214"/>
      <c r="AIR21" s="214"/>
      <c r="AIS21" s="214"/>
      <c r="AIT21" s="214"/>
      <c r="AIU21" s="214"/>
      <c r="AIV21" s="214"/>
      <c r="AIW21" s="214"/>
      <c r="AIX21" s="214"/>
      <c r="AIY21" s="214"/>
      <c r="AIZ21" s="214"/>
      <c r="AJA21" s="214"/>
      <c r="AJB21" s="214"/>
      <c r="AJC21" s="214"/>
      <c r="AJD21" s="214"/>
      <c r="AJE21" s="214"/>
      <c r="AJF21" s="214"/>
      <c r="AJG21" s="214"/>
      <c r="AJH21" s="214"/>
      <c r="AJI21" s="214"/>
      <c r="AJJ21" s="214"/>
      <c r="AJK21" s="214"/>
      <c r="AJL21" s="214"/>
      <c r="AJM21" s="214"/>
      <c r="AJN21" s="214"/>
      <c r="AJO21" s="214"/>
      <c r="AJP21" s="214"/>
      <c r="AJQ21" s="214"/>
      <c r="AJR21" s="214"/>
      <c r="AJS21" s="214"/>
      <c r="AJT21" s="214"/>
      <c r="AJU21" s="214"/>
      <c r="AJV21" s="214"/>
      <c r="AJW21" s="214"/>
      <c r="AJX21" s="214"/>
      <c r="AJY21" s="214"/>
      <c r="AJZ21" s="214"/>
      <c r="AKA21" s="214"/>
      <c r="AKB21" s="214"/>
      <c r="AKC21" s="214"/>
      <c r="AKD21" s="214"/>
      <c r="AKE21" s="214"/>
      <c r="AKF21" s="214"/>
      <c r="AKG21" s="214"/>
      <c r="AKH21" s="214"/>
      <c r="AKI21" s="214"/>
      <c r="AKJ21" s="214"/>
      <c r="AKK21" s="214"/>
      <c r="AKL21" s="214"/>
      <c r="AKM21" s="214"/>
      <c r="AKN21" s="214"/>
      <c r="AKO21" s="214"/>
      <c r="AKP21" s="214"/>
      <c r="AKQ21" s="214"/>
      <c r="AKR21" s="214"/>
      <c r="AKS21" s="214"/>
      <c r="AKT21" s="214"/>
      <c r="AKU21" s="214"/>
      <c r="AKV21" s="214"/>
      <c r="AKW21" s="214"/>
      <c r="AKX21" s="214"/>
      <c r="AKY21" s="214"/>
      <c r="AKZ21" s="214"/>
      <c r="ALA21" s="214"/>
      <c r="ALB21" s="214"/>
      <c r="ALC21" s="214"/>
      <c r="ALD21" s="214"/>
      <c r="ALE21" s="214"/>
      <c r="ALF21" s="214"/>
      <c r="ALG21" s="214"/>
      <c r="ALH21" s="214"/>
      <c r="ALI21" s="214"/>
      <c r="ALJ21" s="214"/>
      <c r="ALK21" s="214"/>
      <c r="ALL21" s="214"/>
      <c r="ALM21" s="214"/>
      <c r="ALN21" s="214"/>
      <c r="ALO21" s="214"/>
      <c r="ALP21" s="214"/>
      <c r="ALQ21" s="214"/>
      <c r="ALR21" s="214"/>
      <c r="ALS21" s="214"/>
      <c r="ALT21" s="214"/>
      <c r="ALU21" s="214"/>
      <c r="ALV21" s="214"/>
      <c r="ALW21" s="214"/>
      <c r="ALX21" s="214"/>
      <c r="ALY21" s="214"/>
      <c r="ALZ21" s="214"/>
      <c r="AMA21" s="214"/>
      <c r="AMB21" s="214"/>
      <c r="AMC21" s="214"/>
      <c r="AMD21" s="214"/>
      <c r="AME21" s="214"/>
      <c r="AMF21" s="214"/>
      <c r="AMG21" s="214"/>
      <c r="AMH21" s="214"/>
      <c r="AMI21" s="214"/>
      <c r="AMJ21" s="214"/>
      <c r="AMK21" s="214"/>
      <c r="AML21" s="214"/>
      <c r="AMM21" s="214"/>
      <c r="AMN21" s="214"/>
      <c r="AMO21" s="214"/>
      <c r="AMP21" s="214"/>
      <c r="AMQ21" s="214"/>
      <c r="AMR21" s="214"/>
      <c r="AMS21" s="214"/>
      <c r="AMT21" s="214"/>
      <c r="AMU21" s="214"/>
      <c r="AMV21" s="214"/>
      <c r="AMW21" s="214"/>
      <c r="AMX21" s="214"/>
      <c r="AMY21" s="214"/>
      <c r="AMZ21" s="214"/>
      <c r="ANA21" s="214"/>
      <c r="ANB21" s="214"/>
      <c r="ANC21" s="214"/>
      <c r="AND21" s="214"/>
      <c r="ANE21" s="214"/>
      <c r="ANF21" s="214"/>
      <c r="ANG21" s="214"/>
      <c r="ANH21" s="214"/>
      <c r="ANI21" s="214"/>
      <c r="ANJ21" s="214"/>
      <c r="ANK21" s="214"/>
      <c r="ANL21" s="214"/>
      <c r="ANM21" s="214"/>
      <c r="ANN21" s="214"/>
      <c r="ANO21" s="214"/>
      <c r="ANP21" s="214"/>
      <c r="ANQ21" s="214"/>
      <c r="ANR21" s="214"/>
      <c r="ANS21" s="214"/>
      <c r="ANT21" s="214"/>
      <c r="ANU21" s="214"/>
      <c r="ANV21" s="214"/>
      <c r="ANW21" s="214"/>
      <c r="ANX21" s="214"/>
      <c r="ANY21" s="214"/>
      <c r="ANZ21" s="214"/>
      <c r="AOA21" s="214"/>
      <c r="AOB21" s="214"/>
      <c r="AOC21" s="214"/>
      <c r="AOD21" s="214"/>
      <c r="AOE21" s="214"/>
      <c r="AOF21" s="214"/>
      <c r="AOG21" s="214"/>
      <c r="AOH21" s="214"/>
      <c r="AOI21" s="214"/>
      <c r="AOJ21" s="214"/>
      <c r="AOK21" s="214"/>
      <c r="AOL21" s="214"/>
      <c r="AOM21" s="214"/>
      <c r="AON21" s="214"/>
      <c r="AOO21" s="214"/>
      <c r="AOP21" s="214"/>
      <c r="AOQ21" s="214"/>
      <c r="AOR21" s="214"/>
      <c r="AOS21" s="214"/>
      <c r="AOT21" s="214"/>
      <c r="AOU21" s="214"/>
      <c r="AOV21" s="214"/>
      <c r="AOW21" s="214"/>
      <c r="AOX21" s="214"/>
      <c r="AOY21" s="214"/>
      <c r="AOZ21" s="214"/>
      <c r="APA21" s="214"/>
      <c r="APB21" s="214"/>
      <c r="APC21" s="214"/>
      <c r="APD21" s="214"/>
      <c r="APE21" s="214"/>
      <c r="APF21" s="214"/>
      <c r="APG21" s="214"/>
      <c r="APH21" s="214"/>
      <c r="API21" s="214"/>
      <c r="APJ21" s="214"/>
      <c r="APK21" s="214"/>
      <c r="APL21" s="214"/>
      <c r="APM21" s="214"/>
      <c r="APN21" s="214"/>
      <c r="APO21" s="214"/>
      <c r="APP21" s="214"/>
      <c r="APQ21" s="214"/>
      <c r="APR21" s="214"/>
      <c r="APS21" s="214"/>
      <c r="APT21" s="214"/>
      <c r="APU21" s="214"/>
      <c r="APV21" s="214"/>
      <c r="APW21" s="214"/>
      <c r="APX21" s="214"/>
      <c r="APY21" s="214"/>
      <c r="APZ21" s="214"/>
      <c r="AQA21" s="214"/>
      <c r="AQB21" s="214"/>
      <c r="AQC21" s="214"/>
      <c r="AQD21" s="214"/>
      <c r="AQE21" s="214"/>
      <c r="AQF21" s="214"/>
      <c r="AQG21" s="214"/>
      <c r="AQH21" s="214"/>
      <c r="AQI21" s="214"/>
      <c r="AQJ21" s="214"/>
      <c r="AQK21" s="214"/>
      <c r="AQL21" s="214"/>
      <c r="AQM21" s="214"/>
      <c r="AQN21" s="214"/>
      <c r="AQO21" s="214"/>
      <c r="AQP21" s="214"/>
      <c r="AQQ21" s="214"/>
      <c r="AQR21" s="214"/>
      <c r="AQS21" s="214"/>
      <c r="AQT21" s="214"/>
      <c r="AQU21" s="214"/>
      <c r="AQV21" s="214"/>
      <c r="AQW21" s="214"/>
      <c r="AQX21" s="214"/>
      <c r="AQY21" s="214"/>
      <c r="AQZ21" s="214"/>
      <c r="ARA21" s="214"/>
      <c r="ARB21" s="214"/>
      <c r="ARC21" s="214"/>
      <c r="ARD21" s="214"/>
      <c r="ARE21" s="214"/>
      <c r="ARF21" s="214"/>
      <c r="ARG21" s="214"/>
      <c r="ARH21" s="214"/>
      <c r="ARI21" s="214"/>
      <c r="ARJ21" s="214"/>
      <c r="ARK21" s="214"/>
      <c r="ARL21" s="214"/>
      <c r="ARM21" s="214"/>
      <c r="ARN21" s="214"/>
      <c r="ARO21" s="214"/>
      <c r="ARP21" s="214"/>
      <c r="ARQ21" s="214"/>
      <c r="ARR21" s="214"/>
      <c r="ARS21" s="214"/>
      <c r="ART21" s="214"/>
      <c r="ARU21" s="214"/>
      <c r="ARV21" s="214"/>
      <c r="ARW21" s="214"/>
      <c r="ARX21" s="214"/>
      <c r="ARY21" s="214"/>
      <c r="ARZ21" s="214"/>
      <c r="ASA21" s="214"/>
      <c r="ASB21" s="214"/>
      <c r="ASC21" s="214"/>
      <c r="ASD21" s="214"/>
      <c r="ASE21" s="214"/>
      <c r="ASF21" s="214"/>
      <c r="ASG21" s="214"/>
      <c r="ASH21" s="214"/>
      <c r="ASI21" s="214"/>
      <c r="ASJ21" s="214"/>
      <c r="ASK21" s="214"/>
      <c r="ASL21" s="214"/>
      <c r="ASM21" s="214"/>
      <c r="ASN21" s="214"/>
      <c r="ASO21" s="214"/>
      <c r="ASP21" s="214"/>
      <c r="ASQ21" s="214"/>
      <c r="ASR21" s="214"/>
      <c r="ASS21" s="214"/>
      <c r="AST21" s="214"/>
      <c r="ASU21" s="214"/>
      <c r="ASV21" s="214"/>
      <c r="ASW21" s="214"/>
      <c r="ASX21" s="214"/>
      <c r="ASY21" s="214"/>
      <c r="ASZ21" s="214"/>
      <c r="ATA21" s="214"/>
      <c r="ATB21" s="214"/>
      <c r="ATC21" s="214"/>
      <c r="ATD21" s="214"/>
      <c r="ATE21" s="214"/>
      <c r="ATF21" s="214"/>
      <c r="ATG21" s="214"/>
      <c r="ATH21" s="214"/>
      <c r="ATI21" s="214"/>
      <c r="ATJ21" s="214"/>
      <c r="ATK21" s="214"/>
      <c r="ATL21" s="214"/>
      <c r="ATM21" s="214"/>
      <c r="ATN21" s="214"/>
      <c r="ATO21" s="214"/>
      <c r="ATP21" s="214"/>
      <c r="ATQ21" s="214"/>
      <c r="ATR21" s="214"/>
      <c r="ATS21" s="214"/>
      <c r="ATT21" s="214"/>
      <c r="ATU21" s="214"/>
      <c r="ATV21" s="214"/>
      <c r="ATW21" s="214"/>
      <c r="ATX21" s="214"/>
      <c r="ATY21" s="214"/>
      <c r="ATZ21" s="214"/>
      <c r="AUA21" s="214"/>
      <c r="AUB21" s="214"/>
      <c r="AUC21" s="214"/>
      <c r="AUD21" s="214"/>
      <c r="AUE21" s="214"/>
      <c r="AUF21" s="214"/>
      <c r="AUG21" s="214"/>
      <c r="AUH21" s="214"/>
      <c r="AUI21" s="214"/>
      <c r="AUJ21" s="214"/>
      <c r="AUK21" s="214"/>
      <c r="AUL21" s="214"/>
      <c r="AUM21" s="214"/>
      <c r="AUN21" s="214"/>
      <c r="AUO21" s="214"/>
      <c r="AUP21" s="214"/>
      <c r="AUQ21" s="214"/>
      <c r="AUR21" s="214"/>
      <c r="AUS21" s="214"/>
      <c r="AUT21" s="214"/>
      <c r="AUU21" s="214"/>
      <c r="AUV21" s="214"/>
      <c r="AUW21" s="214"/>
      <c r="AUX21" s="214"/>
      <c r="AUY21" s="214"/>
      <c r="AUZ21" s="214"/>
      <c r="AVA21" s="214"/>
      <c r="AVB21" s="214"/>
      <c r="AVC21" s="214"/>
      <c r="AVD21" s="214"/>
      <c r="AVE21" s="214"/>
      <c r="AVF21" s="214"/>
      <c r="AVG21" s="214"/>
      <c r="AVH21" s="214"/>
      <c r="AVI21" s="214"/>
      <c r="AVJ21" s="214"/>
      <c r="AVK21" s="214"/>
      <c r="AVL21" s="214"/>
      <c r="AVM21" s="214"/>
      <c r="AVN21" s="214"/>
      <c r="AVO21" s="214"/>
      <c r="AVP21" s="214"/>
      <c r="AVQ21" s="214"/>
      <c r="AVR21" s="214"/>
      <c r="AVS21" s="214"/>
      <c r="AVT21" s="214"/>
      <c r="AVU21" s="214"/>
      <c r="AVV21" s="214"/>
      <c r="AVW21" s="214"/>
      <c r="AVX21" s="214"/>
      <c r="AVY21" s="214"/>
      <c r="AVZ21" s="214"/>
      <c r="AWA21" s="214"/>
      <c r="AWB21" s="214"/>
      <c r="AWC21" s="214"/>
      <c r="AWD21" s="214"/>
      <c r="AWE21" s="214"/>
      <c r="AWF21" s="214"/>
      <c r="AWG21" s="214"/>
      <c r="AWH21" s="214"/>
      <c r="AWI21" s="214"/>
      <c r="AWJ21" s="214"/>
      <c r="AWK21" s="214"/>
      <c r="AWL21" s="214"/>
      <c r="AWM21" s="214"/>
      <c r="AWN21" s="214"/>
      <c r="AWO21" s="214"/>
      <c r="AWP21" s="214"/>
      <c r="AWQ21" s="214"/>
      <c r="AWR21" s="214"/>
      <c r="AWS21" s="214"/>
      <c r="AWT21" s="214"/>
      <c r="AWU21" s="214"/>
      <c r="AWV21" s="214"/>
      <c r="AWW21" s="214"/>
      <c r="AWX21" s="214"/>
      <c r="AWY21" s="214"/>
      <c r="AWZ21" s="214"/>
      <c r="AXA21" s="214"/>
      <c r="AXB21" s="214"/>
      <c r="AXC21" s="214"/>
      <c r="AXD21" s="214"/>
      <c r="AXE21" s="214"/>
      <c r="AXF21" s="214"/>
      <c r="AXG21" s="214"/>
      <c r="AXH21" s="214"/>
      <c r="AXI21" s="214"/>
      <c r="AXJ21" s="214"/>
      <c r="AXK21" s="214"/>
      <c r="AXL21" s="214"/>
      <c r="AXM21" s="214"/>
      <c r="AXN21" s="214"/>
      <c r="AXO21" s="214"/>
      <c r="AXP21" s="214"/>
      <c r="AXQ21" s="214"/>
      <c r="AXR21" s="214"/>
      <c r="AXS21" s="214"/>
      <c r="AXT21" s="214"/>
      <c r="AXU21" s="214"/>
      <c r="AXV21" s="214"/>
      <c r="AXW21" s="214"/>
      <c r="AXX21" s="214"/>
      <c r="AXY21" s="214"/>
      <c r="AXZ21" s="214"/>
      <c r="AYA21" s="214"/>
      <c r="AYB21" s="214"/>
      <c r="AYC21" s="214"/>
      <c r="AYD21" s="214"/>
      <c r="AYE21" s="214"/>
      <c r="AYF21" s="214"/>
      <c r="AYG21" s="214"/>
      <c r="AYH21" s="214"/>
      <c r="AYI21" s="214"/>
      <c r="AYJ21" s="214"/>
      <c r="AYK21" s="214"/>
      <c r="AYL21" s="214"/>
      <c r="AYM21" s="214"/>
      <c r="AYN21" s="214"/>
      <c r="AYO21" s="214"/>
      <c r="AYP21" s="214"/>
      <c r="AYQ21" s="214"/>
      <c r="AYR21" s="214"/>
      <c r="AYS21" s="214"/>
      <c r="AYT21" s="214"/>
      <c r="AYU21" s="214"/>
      <c r="AYV21" s="214"/>
      <c r="AYW21" s="214"/>
      <c r="AYX21" s="214"/>
      <c r="AYY21" s="214"/>
      <c r="AYZ21" s="214"/>
      <c r="AZA21" s="214"/>
      <c r="AZB21" s="214"/>
      <c r="AZC21" s="214"/>
      <c r="AZD21" s="214"/>
      <c r="AZE21" s="214"/>
      <c r="AZF21" s="214"/>
      <c r="AZG21" s="214"/>
      <c r="AZH21" s="214"/>
      <c r="AZI21" s="214"/>
      <c r="AZJ21" s="214"/>
      <c r="AZK21" s="214"/>
      <c r="AZL21" s="214"/>
      <c r="AZM21" s="214"/>
      <c r="AZN21" s="214"/>
      <c r="AZO21" s="214"/>
      <c r="AZP21" s="214"/>
      <c r="AZQ21" s="214"/>
      <c r="AZR21" s="214"/>
      <c r="AZS21" s="214"/>
      <c r="AZT21" s="214"/>
      <c r="AZU21" s="214"/>
      <c r="AZV21" s="214"/>
      <c r="AZW21" s="214"/>
      <c r="AZX21" s="214"/>
      <c r="AZY21" s="214"/>
      <c r="AZZ21" s="214"/>
      <c r="BAA21" s="214"/>
      <c r="BAB21" s="214"/>
      <c r="BAC21" s="214"/>
      <c r="BAD21" s="214"/>
      <c r="BAE21" s="214"/>
      <c r="BAF21" s="214"/>
      <c r="BAG21" s="214"/>
      <c r="BAH21" s="214"/>
      <c r="BAI21" s="214"/>
      <c r="BAJ21" s="214"/>
      <c r="BAK21" s="214"/>
      <c r="BAL21" s="214"/>
      <c r="BAM21" s="214"/>
      <c r="BAN21" s="214"/>
      <c r="BAO21" s="214"/>
      <c r="BAP21" s="214"/>
      <c r="BAQ21" s="214"/>
      <c r="BAR21" s="214"/>
      <c r="BAS21" s="214"/>
      <c r="BAT21" s="214"/>
      <c r="BAU21" s="214"/>
      <c r="BAV21" s="214"/>
      <c r="BAW21" s="214"/>
      <c r="BAX21" s="214"/>
      <c r="BAY21" s="214"/>
      <c r="BAZ21" s="214"/>
      <c r="BBA21" s="214"/>
      <c r="BBB21" s="214"/>
      <c r="BBC21" s="214"/>
      <c r="BBD21" s="214"/>
      <c r="BBE21" s="214"/>
      <c r="BBF21" s="214"/>
      <c r="BBG21" s="214"/>
      <c r="BBH21" s="214"/>
      <c r="BBI21" s="214"/>
      <c r="BBJ21" s="214"/>
      <c r="BBK21" s="214"/>
      <c r="BBL21" s="214"/>
      <c r="BBM21" s="214"/>
      <c r="BBN21" s="214"/>
      <c r="BBO21" s="214"/>
      <c r="BBP21" s="214"/>
      <c r="BBQ21" s="214"/>
      <c r="BBR21" s="214"/>
      <c r="BBS21" s="214"/>
      <c r="BBT21" s="214"/>
      <c r="BBU21" s="214"/>
      <c r="BBV21" s="214"/>
      <c r="BBW21" s="214"/>
      <c r="BBX21" s="214"/>
      <c r="BBY21" s="214"/>
      <c r="BBZ21" s="214"/>
      <c r="BCA21" s="214"/>
      <c r="BCB21" s="214"/>
      <c r="BCC21" s="214"/>
      <c r="BCD21" s="214"/>
      <c r="BCE21" s="214"/>
      <c r="BCF21" s="214"/>
      <c r="BCG21" s="214"/>
      <c r="BCH21" s="214"/>
      <c r="BCI21" s="214"/>
      <c r="BCJ21" s="214"/>
      <c r="BCK21" s="214"/>
      <c r="BCL21" s="214"/>
      <c r="BCM21" s="214"/>
      <c r="BCN21" s="214"/>
      <c r="BCO21" s="214"/>
      <c r="BCP21" s="214"/>
      <c r="BCQ21" s="214"/>
      <c r="BCR21" s="214"/>
      <c r="BCS21" s="214"/>
      <c r="BCT21" s="214"/>
      <c r="BCU21" s="214"/>
      <c r="BCV21" s="214"/>
      <c r="BCW21" s="214"/>
      <c r="BCX21" s="214"/>
      <c r="BCY21" s="214"/>
      <c r="BCZ21" s="214"/>
      <c r="BDA21" s="214"/>
      <c r="BDB21" s="214"/>
      <c r="BDC21" s="214"/>
      <c r="BDD21" s="214"/>
      <c r="BDE21" s="214"/>
      <c r="BDF21" s="214"/>
      <c r="BDG21" s="214"/>
      <c r="BDH21" s="214"/>
      <c r="BDI21" s="214"/>
      <c r="BDJ21" s="214"/>
      <c r="BDK21" s="214"/>
      <c r="BDL21" s="214"/>
      <c r="BDM21" s="214"/>
      <c r="BDN21" s="214"/>
      <c r="BDO21" s="214"/>
      <c r="BDP21" s="214"/>
      <c r="BDQ21" s="214"/>
      <c r="BDR21" s="214"/>
      <c r="BDS21" s="214"/>
      <c r="BDT21" s="214"/>
      <c r="BDU21" s="214"/>
      <c r="BDV21" s="214"/>
      <c r="BDW21" s="214"/>
      <c r="BDX21" s="214"/>
      <c r="BDY21" s="214"/>
      <c r="BDZ21" s="214"/>
      <c r="BEA21" s="214"/>
      <c r="BEB21" s="214"/>
      <c r="BEC21" s="214"/>
      <c r="BED21" s="214"/>
      <c r="BEE21" s="214"/>
      <c r="BEF21" s="214"/>
      <c r="BEG21" s="214"/>
      <c r="BEH21" s="214"/>
      <c r="BEI21" s="214"/>
      <c r="BEJ21" s="214"/>
      <c r="BEK21" s="214"/>
      <c r="BEL21" s="214"/>
      <c r="BEM21" s="214"/>
      <c r="BEN21" s="214"/>
      <c r="BEO21" s="214"/>
      <c r="BEP21" s="214"/>
      <c r="BEQ21" s="214"/>
      <c r="BER21" s="214"/>
      <c r="BES21" s="214"/>
      <c r="BET21" s="214"/>
      <c r="BEU21" s="214"/>
      <c r="BEV21" s="214"/>
      <c r="BEW21" s="214"/>
      <c r="BEX21" s="214"/>
      <c r="BEY21" s="214"/>
      <c r="BEZ21" s="214"/>
      <c r="BFA21" s="214"/>
      <c r="BFB21" s="214"/>
      <c r="BFC21" s="214"/>
      <c r="BFD21" s="214"/>
      <c r="BFE21" s="214"/>
      <c r="BFF21" s="214"/>
      <c r="BFG21" s="214"/>
      <c r="BFH21" s="214"/>
      <c r="BFI21" s="214"/>
      <c r="BFJ21" s="214"/>
      <c r="BFK21" s="214"/>
      <c r="BFL21" s="214"/>
      <c r="BFM21" s="214"/>
      <c r="BFN21" s="214"/>
      <c r="BFO21" s="214"/>
      <c r="BFP21" s="214"/>
      <c r="BFQ21" s="214"/>
      <c r="BFR21" s="214"/>
      <c r="BFS21" s="214"/>
      <c r="BFT21" s="214"/>
      <c r="BFU21" s="214"/>
      <c r="BFV21" s="214"/>
      <c r="BFW21" s="214"/>
      <c r="BFX21" s="214"/>
      <c r="BFY21" s="214"/>
      <c r="BFZ21" s="214"/>
      <c r="BGA21" s="214"/>
      <c r="BGB21" s="214"/>
      <c r="BGC21" s="214"/>
      <c r="BGD21" s="214"/>
      <c r="BGE21" s="214"/>
      <c r="BGF21" s="214"/>
      <c r="BGG21" s="214"/>
      <c r="BGH21" s="214"/>
      <c r="BGI21" s="214"/>
      <c r="BGJ21" s="214"/>
      <c r="BGK21" s="214"/>
      <c r="BGL21" s="214"/>
      <c r="BGM21" s="214"/>
      <c r="BGN21" s="214"/>
      <c r="BGO21" s="214"/>
      <c r="BGP21" s="214"/>
      <c r="BGQ21" s="214"/>
      <c r="BGR21" s="214"/>
      <c r="BGS21" s="214"/>
      <c r="BGT21" s="214"/>
      <c r="BGU21" s="214"/>
      <c r="BGV21" s="214"/>
      <c r="BGW21" s="214"/>
      <c r="BGX21" s="214"/>
      <c r="BGY21" s="214"/>
      <c r="BGZ21" s="214"/>
      <c r="BHA21" s="214"/>
      <c r="BHB21" s="214"/>
      <c r="BHC21" s="214"/>
      <c r="BHD21" s="214"/>
      <c r="BHE21" s="214"/>
      <c r="BHF21" s="214"/>
      <c r="BHG21" s="214"/>
      <c r="BHH21" s="214"/>
      <c r="BHI21" s="214"/>
      <c r="BHJ21" s="214"/>
      <c r="BHK21" s="214"/>
      <c r="BHL21" s="214"/>
      <c r="BHM21" s="214"/>
      <c r="BHN21" s="214"/>
      <c r="BHO21" s="214"/>
      <c r="BHP21" s="214"/>
      <c r="BHQ21" s="214"/>
      <c r="BHR21" s="214"/>
      <c r="BHS21" s="214"/>
      <c r="BHT21" s="214"/>
      <c r="BHU21" s="214"/>
      <c r="BHV21" s="214"/>
      <c r="BHW21" s="214"/>
    </row>
    <row r="22" spans="1:1583" s="217" customFormat="1">
      <c r="A22" s="252" t="s">
        <v>34</v>
      </c>
      <c r="B22" s="180" t="s">
        <v>352</v>
      </c>
      <c r="C22" s="416" t="s">
        <v>474</v>
      </c>
      <c r="D22" s="435" t="s">
        <v>474</v>
      </c>
      <c r="E22" s="59" t="s">
        <v>9</v>
      </c>
      <c r="F22" s="132">
        <v>0</v>
      </c>
      <c r="G22" s="60" t="s">
        <v>676</v>
      </c>
      <c r="H22" s="473">
        <f t="shared" si="8"/>
        <v>0</v>
      </c>
      <c r="I22" s="92">
        <f>VLOOKUP($B22,'DCS Data'!$E$2:$AJ$100,MATCH('Daily Report'!I$1,'DCS Data'!$E$2:$AJ$2,0),0)</f>
        <v>0</v>
      </c>
      <c r="J22" s="255"/>
      <c r="K22" s="92">
        <f>VLOOKUP($B22,'DCS Data'!$E$2:$AJ$100,MATCH('Daily Report'!K$1,'DCS Data'!$E$2:$AJ$2,0),0)</f>
        <v>0</v>
      </c>
      <c r="L22" s="92">
        <f>VLOOKUP($B22,'DCS Data'!$E$2:$AJ$100,MATCH('Daily Report'!L$1,'DCS Data'!$E$2:$AJ$2,0),0)</f>
        <v>0</v>
      </c>
      <c r="M22" s="92">
        <f>VLOOKUP($B22,'DCS Data'!$E$2:$AJ$100,MATCH('Daily Report'!M$1,'DCS Data'!$E$2:$AJ$2,0),0)</f>
        <v>0</v>
      </c>
      <c r="N22" s="92">
        <f>VLOOKUP($B22,'DCS Data'!$E$2:$AJ$100,MATCH('Daily Report'!N$1,'DCS Data'!$E$2:$AJ$2,0),0)</f>
        <v>0</v>
      </c>
      <c r="O22" s="92">
        <f>VLOOKUP($B22,'DCS Data'!$E$2:$AJ$100,MATCH('Daily Report'!O$1,'DCS Data'!$E$2:$AJ$2,0),0)</f>
        <v>0</v>
      </c>
      <c r="P22" s="92">
        <f>VLOOKUP($B22,'DCS Data'!$E$2:$AJ$100,MATCH('Daily Report'!P$1,'DCS Data'!$E$2:$AJ$2,0),0)</f>
        <v>0</v>
      </c>
      <c r="Q22" s="92">
        <f>VLOOKUP($B22,'DCS Data'!$E$2:$AJ$100,MATCH('Daily Report'!Q$1,'DCS Data'!$E$2:$AJ$2,0),0)</f>
        <v>0</v>
      </c>
      <c r="R22" s="92">
        <f>VLOOKUP($B22,'DCS Data'!$E$2:$AJ$100,MATCH('Daily Report'!R$1,'DCS Data'!$E$2:$AJ$2,0),0)</f>
        <v>0</v>
      </c>
      <c r="S22" s="92">
        <f>VLOOKUP($B22,'DCS Data'!$E$2:$AJ$100,MATCH('Daily Report'!S$1,'DCS Data'!$E$2:$AJ$2,0),0)</f>
        <v>0</v>
      </c>
      <c r="T22" s="92">
        <f>VLOOKUP($B22,'DCS Data'!$E$2:$AJ$100,MATCH('Daily Report'!T$1,'DCS Data'!$E$2:$AJ$2,0),0)</f>
        <v>0</v>
      </c>
      <c r="U22" s="92">
        <f>VLOOKUP($B22,'DCS Data'!$E$2:$AJ$100,MATCH('Daily Report'!U$1,'DCS Data'!$E$2:$AJ$2,0),0)</f>
        <v>0</v>
      </c>
      <c r="V22" s="92">
        <f>VLOOKUP($B22,'DCS Data'!$E$2:$AJ$100,MATCH('Daily Report'!V$1,'DCS Data'!$E$2:$AJ$2,0),0)</f>
        <v>0</v>
      </c>
      <c r="W22" s="92">
        <f>VLOOKUP($B22,'DCS Data'!$E$2:$AJ$100,MATCH('Daily Report'!W$1,'DCS Data'!$E$2:$AJ$2,0),0)</f>
        <v>0</v>
      </c>
      <c r="X22" s="92">
        <f>VLOOKUP($B22,'DCS Data'!$E$2:$AJ$100,MATCH('Daily Report'!X$1,'DCS Data'!$E$2:$AJ$2,0),0)</f>
        <v>0</v>
      </c>
      <c r="Y22" s="92">
        <f>VLOOKUP($B22,'DCS Data'!$E$2:$AJ$100,MATCH('Daily Report'!Y$1,'DCS Data'!$E$2:$AJ$2,0),0)</f>
        <v>0</v>
      </c>
      <c r="Z22" s="92">
        <f>VLOOKUP($B22,'DCS Data'!$E$2:$AJ$100,MATCH('Daily Report'!Z$1,'DCS Data'!$E$2:$AJ$2,0),0)</f>
        <v>0</v>
      </c>
      <c r="AA22" s="92">
        <f>VLOOKUP($B22,'DCS Data'!$E$2:$AJ$100,MATCH('Daily Report'!AA$1,'DCS Data'!$E$2:$AJ$2,0),0)</f>
        <v>0</v>
      </c>
      <c r="AB22" s="92">
        <f>VLOOKUP($B22,'DCS Data'!$E$2:$AJ$100,MATCH('Daily Report'!AB$1,'DCS Data'!$E$2:$AJ$2,0),0)</f>
        <v>0</v>
      </c>
      <c r="AC22" s="92">
        <f>VLOOKUP($B22,'DCS Data'!$E$2:$AJ$100,MATCH('Daily Report'!AC$1,'DCS Data'!$E$2:$AJ$2,0),0)</f>
        <v>0</v>
      </c>
      <c r="AD22" s="92">
        <f>VLOOKUP($B22,'DCS Data'!$E$2:$AJ$100,MATCH('Daily Report'!AD$1,'DCS Data'!$E$2:$AJ$2,0),0)</f>
        <v>0</v>
      </c>
      <c r="AE22" s="92">
        <f>VLOOKUP($B22,'DCS Data'!$E$2:$AJ$100,MATCH('Daily Report'!AE$1,'DCS Data'!$E$2:$AJ$2,0),0)</f>
        <v>0</v>
      </c>
      <c r="AF22" s="92">
        <f>VLOOKUP($B22,'DCS Data'!$E$2:$AJ$100,MATCH('Daily Report'!AF$1,'DCS Data'!$E$2:$AJ$2,0),0)</f>
        <v>0</v>
      </c>
      <c r="AG22" s="92">
        <f>VLOOKUP($B22,'DCS Data'!$E$2:$AJ$100,MATCH('Daily Report'!AG$1,'DCS Data'!$E$2:$AJ$2,0),0)</f>
        <v>0</v>
      </c>
      <c r="AH22" s="92">
        <f>VLOOKUP($B22,'DCS Data'!$E$2:$AJ$100,MATCH('Daily Report'!AH$1,'DCS Data'!$E$2:$AJ$2,0),0)</f>
        <v>0</v>
      </c>
      <c r="AI22" s="92">
        <f>VLOOKUP($B22,'DCS Data'!$E$2:$AJ$100,MATCH('Daily Report'!AI$1,'DCS Data'!$E$2:$AJ$2,0),0)</f>
        <v>0</v>
      </c>
      <c r="AJ22" s="92">
        <f>VLOOKUP($B22,'DCS Data'!$E$2:$AJ$100,MATCH('Daily Report'!AJ$1,'DCS Data'!$E$2:$AJ$2,0),0)</f>
        <v>0</v>
      </c>
      <c r="AK22" s="92">
        <f>VLOOKUP($B22,'DCS Data'!$E$2:$AJ$100,MATCH('Daily Report'!AK$1,'DCS Data'!$E$2:$AJ$2,0),0)</f>
        <v>0</v>
      </c>
      <c r="AL22" s="92">
        <f>VLOOKUP($B22,'DCS Data'!$E$2:$AJ$100,MATCH('Daily Report'!AL$1,'DCS Data'!$E$2:$AJ$2,0),0)</f>
        <v>0</v>
      </c>
      <c r="AM22" s="92">
        <f>VLOOKUP($B22,'DCS Data'!$E$2:$AJ$100,MATCH('Daily Report'!AM$1,'DCS Data'!$E$2:$AJ$2,0),0)</f>
        <v>0</v>
      </c>
      <c r="AN22" s="92">
        <f>VLOOKUP($B22,'DCS Data'!$E$2:$AJ$100,MATCH('Daily Report'!AN$1,'DCS Data'!$E$2:$AJ$2,0),0)</f>
        <v>0</v>
      </c>
      <c r="AO22" s="214"/>
      <c r="AP22" s="214"/>
      <c r="AQ22" s="214"/>
      <c r="AR22" s="214"/>
      <c r="AS22" s="214"/>
      <c r="AT22" s="214"/>
      <c r="AU22" s="214"/>
      <c r="AV22" s="214"/>
      <c r="AW22" s="214"/>
      <c r="AX22" s="214"/>
      <c r="AY22" s="214"/>
      <c r="AZ22" s="214"/>
      <c r="BA22" s="214"/>
      <c r="BB22" s="214"/>
      <c r="BC22" s="214"/>
      <c r="BD22" s="214"/>
      <c r="BE22" s="214"/>
      <c r="BF22" s="214"/>
      <c r="BG22" s="214"/>
      <c r="BH22" s="214"/>
      <c r="BI22" s="214"/>
      <c r="BJ22" s="214"/>
      <c r="BK22" s="214"/>
      <c r="BL22" s="214"/>
      <c r="BM22" s="214"/>
      <c r="BN22" s="214"/>
      <c r="BO22" s="214"/>
      <c r="BP22" s="214"/>
      <c r="BQ22" s="214"/>
      <c r="BR22" s="214"/>
      <c r="BS22" s="214"/>
      <c r="BT22" s="214"/>
      <c r="BU22" s="214"/>
      <c r="BV22" s="214"/>
      <c r="BW22" s="214"/>
      <c r="BX22" s="214"/>
      <c r="BY22" s="214"/>
      <c r="BZ22" s="214"/>
      <c r="CA22" s="214"/>
      <c r="CB22" s="214"/>
      <c r="CC22" s="214"/>
      <c r="CD22" s="214"/>
      <c r="CE22" s="214"/>
      <c r="CF22" s="214"/>
      <c r="CG22" s="214"/>
      <c r="CH22" s="214"/>
      <c r="CI22" s="214"/>
      <c r="CJ22" s="214"/>
      <c r="CK22" s="214"/>
      <c r="CL22" s="214"/>
      <c r="CM22" s="214"/>
      <c r="CN22" s="214"/>
      <c r="CO22" s="214"/>
      <c r="CP22" s="214"/>
      <c r="CQ22" s="214"/>
      <c r="CR22" s="214"/>
      <c r="CS22" s="214"/>
      <c r="CT22" s="214"/>
      <c r="CU22" s="214"/>
      <c r="CV22" s="214"/>
      <c r="CW22" s="214"/>
      <c r="CX22" s="214"/>
      <c r="CY22" s="214"/>
      <c r="CZ22" s="214"/>
      <c r="DA22" s="214"/>
      <c r="DB22" s="214"/>
      <c r="DC22" s="214"/>
      <c r="DD22" s="214"/>
      <c r="DE22" s="214"/>
      <c r="DF22" s="214"/>
      <c r="DG22" s="214"/>
      <c r="DH22" s="214"/>
      <c r="DI22" s="214"/>
      <c r="DJ22" s="214"/>
      <c r="DK22" s="214"/>
      <c r="DL22" s="214"/>
      <c r="DM22" s="214"/>
      <c r="DN22" s="214"/>
      <c r="DO22" s="214"/>
      <c r="DP22" s="214"/>
      <c r="DQ22" s="214"/>
      <c r="DR22" s="214"/>
      <c r="DS22" s="214"/>
      <c r="DT22" s="214"/>
      <c r="DU22" s="214"/>
      <c r="DV22" s="214"/>
      <c r="DW22" s="214"/>
      <c r="DX22" s="214"/>
      <c r="DY22" s="214"/>
      <c r="DZ22" s="214"/>
      <c r="EA22" s="214"/>
      <c r="EB22" s="214"/>
      <c r="EC22" s="214"/>
      <c r="ED22" s="214"/>
      <c r="EE22" s="214"/>
      <c r="EF22" s="214"/>
      <c r="EG22" s="214"/>
      <c r="EH22" s="214"/>
      <c r="EI22" s="214"/>
      <c r="EJ22" s="214"/>
      <c r="EK22" s="214"/>
      <c r="EL22" s="214"/>
      <c r="EM22" s="214"/>
      <c r="EN22" s="214"/>
      <c r="EO22" s="214"/>
      <c r="EP22" s="214"/>
      <c r="EQ22" s="214"/>
      <c r="ER22" s="214"/>
      <c r="ES22" s="214"/>
      <c r="ET22" s="214"/>
      <c r="EU22" s="214"/>
      <c r="EV22" s="214"/>
      <c r="EW22" s="214"/>
      <c r="EX22" s="214"/>
      <c r="EY22" s="214"/>
      <c r="EZ22" s="214"/>
      <c r="FA22" s="214"/>
      <c r="FB22" s="214"/>
      <c r="FC22" s="214"/>
      <c r="FD22" s="214"/>
      <c r="FE22" s="214"/>
      <c r="FF22" s="214"/>
      <c r="FG22" s="214"/>
      <c r="FH22" s="214"/>
      <c r="FI22" s="214"/>
      <c r="FJ22" s="214"/>
      <c r="FK22" s="214"/>
      <c r="FL22" s="214"/>
      <c r="FM22" s="214"/>
      <c r="FN22" s="214"/>
      <c r="FO22" s="214"/>
      <c r="FP22" s="214"/>
      <c r="FQ22" s="214"/>
      <c r="FR22" s="214"/>
      <c r="FS22" s="214"/>
      <c r="FT22" s="214"/>
      <c r="FU22" s="214"/>
      <c r="FV22" s="214"/>
      <c r="FW22" s="214"/>
      <c r="FX22" s="214"/>
      <c r="FY22" s="214"/>
      <c r="FZ22" s="214"/>
      <c r="GA22" s="214"/>
      <c r="GB22" s="214"/>
      <c r="GC22" s="214"/>
      <c r="GD22" s="214"/>
      <c r="GE22" s="214"/>
      <c r="GF22" s="214"/>
      <c r="GG22" s="214"/>
      <c r="GH22" s="214"/>
      <c r="GI22" s="214"/>
      <c r="GJ22" s="214"/>
      <c r="GK22" s="214"/>
      <c r="GL22" s="214"/>
      <c r="GM22" s="214"/>
      <c r="GN22" s="214"/>
      <c r="GO22" s="214"/>
      <c r="GP22" s="214"/>
      <c r="GQ22" s="214"/>
      <c r="GR22" s="214"/>
      <c r="GS22" s="214"/>
      <c r="GT22" s="214"/>
      <c r="GU22" s="214"/>
      <c r="GV22" s="214"/>
      <c r="GW22" s="214"/>
      <c r="GX22" s="214"/>
      <c r="GY22" s="214"/>
      <c r="GZ22" s="214"/>
      <c r="HA22" s="214"/>
      <c r="HB22" s="214"/>
      <c r="HC22" s="214"/>
      <c r="HD22" s="214"/>
      <c r="HE22" s="214"/>
      <c r="HF22" s="214"/>
      <c r="HG22" s="214"/>
      <c r="HH22" s="214"/>
      <c r="HI22" s="214"/>
      <c r="HJ22" s="214"/>
      <c r="HK22" s="214"/>
      <c r="HL22" s="214"/>
      <c r="HM22" s="214"/>
      <c r="HN22" s="214"/>
      <c r="HO22" s="214"/>
      <c r="HP22" s="214"/>
      <c r="HQ22" s="214"/>
      <c r="HR22" s="214"/>
      <c r="HS22" s="214"/>
      <c r="HT22" s="214"/>
      <c r="HU22" s="214"/>
      <c r="HV22" s="214"/>
      <c r="HW22" s="214"/>
      <c r="HX22" s="214"/>
      <c r="HY22" s="214"/>
      <c r="HZ22" s="214"/>
      <c r="IA22" s="214"/>
      <c r="IB22" s="214"/>
      <c r="IC22" s="214"/>
      <c r="ID22" s="214"/>
      <c r="IE22" s="214"/>
      <c r="IF22" s="214"/>
      <c r="IG22" s="214"/>
      <c r="IH22" s="214"/>
      <c r="II22" s="214"/>
      <c r="IJ22" s="214"/>
      <c r="IK22" s="214"/>
      <c r="IL22" s="214"/>
      <c r="IM22" s="214"/>
      <c r="IN22" s="214"/>
      <c r="IO22" s="214"/>
      <c r="IP22" s="214"/>
      <c r="IQ22" s="214"/>
      <c r="IR22" s="214"/>
      <c r="IS22" s="214"/>
      <c r="IT22" s="214"/>
      <c r="IU22" s="214"/>
      <c r="IV22" s="214"/>
      <c r="IW22" s="214"/>
      <c r="IX22" s="214"/>
      <c r="IY22" s="214"/>
      <c r="IZ22" s="214"/>
      <c r="JA22" s="214"/>
      <c r="JB22" s="214"/>
      <c r="JC22" s="214"/>
      <c r="JD22" s="214"/>
      <c r="JE22" s="214"/>
      <c r="JF22" s="214"/>
      <c r="JG22" s="214"/>
      <c r="JH22" s="214"/>
      <c r="JI22" s="214"/>
      <c r="JJ22" s="214"/>
      <c r="JK22" s="214"/>
      <c r="JL22" s="214"/>
      <c r="JM22" s="214"/>
      <c r="JN22" s="214"/>
      <c r="JO22" s="214"/>
      <c r="JP22" s="214"/>
      <c r="JQ22" s="214"/>
      <c r="JR22" s="214"/>
      <c r="JS22" s="214"/>
      <c r="JT22" s="214"/>
      <c r="JU22" s="214"/>
      <c r="JV22" s="214"/>
      <c r="JW22" s="214"/>
      <c r="JX22" s="214"/>
      <c r="JY22" s="214"/>
      <c r="JZ22" s="214"/>
      <c r="KA22" s="214"/>
      <c r="KB22" s="214"/>
      <c r="KC22" s="214"/>
      <c r="KD22" s="214"/>
      <c r="KE22" s="214"/>
      <c r="KF22" s="214"/>
      <c r="KG22" s="214"/>
      <c r="KH22" s="214"/>
      <c r="KI22" s="214"/>
      <c r="KJ22" s="214"/>
      <c r="KK22" s="214"/>
      <c r="KL22" s="214"/>
      <c r="KM22" s="214"/>
      <c r="KN22" s="214"/>
      <c r="KO22" s="214"/>
      <c r="KP22" s="214"/>
      <c r="KQ22" s="214"/>
      <c r="KR22" s="214"/>
      <c r="KS22" s="214"/>
      <c r="KT22" s="214"/>
      <c r="KU22" s="214"/>
      <c r="KV22" s="214"/>
      <c r="KW22" s="214"/>
      <c r="KX22" s="214"/>
      <c r="KY22" s="214"/>
      <c r="KZ22" s="214"/>
      <c r="LA22" s="214"/>
      <c r="LB22" s="214"/>
      <c r="LC22" s="214"/>
      <c r="LD22" s="214"/>
      <c r="LE22" s="214"/>
      <c r="LF22" s="214"/>
      <c r="LG22" s="214"/>
      <c r="LH22" s="214"/>
      <c r="LI22" s="214"/>
      <c r="LJ22" s="214"/>
      <c r="LK22" s="214"/>
      <c r="LL22" s="214"/>
      <c r="LM22" s="214"/>
      <c r="LN22" s="214"/>
      <c r="LO22" s="214"/>
      <c r="LP22" s="214"/>
      <c r="LQ22" s="214"/>
      <c r="LR22" s="214"/>
      <c r="LS22" s="214"/>
      <c r="LT22" s="214"/>
      <c r="LU22" s="214"/>
      <c r="LV22" s="214"/>
      <c r="LW22" s="214"/>
      <c r="LX22" s="214"/>
      <c r="LY22" s="214"/>
      <c r="LZ22" s="214"/>
      <c r="MA22" s="214"/>
      <c r="MB22" s="214"/>
      <c r="MC22" s="214"/>
      <c r="MD22" s="214"/>
      <c r="ME22" s="214"/>
      <c r="MF22" s="214"/>
      <c r="MG22" s="214"/>
      <c r="MH22" s="214"/>
      <c r="MI22" s="214"/>
      <c r="MJ22" s="214"/>
      <c r="MK22" s="214"/>
      <c r="ML22" s="214"/>
      <c r="MM22" s="214"/>
      <c r="MN22" s="214"/>
      <c r="MO22" s="214"/>
      <c r="MP22" s="214"/>
      <c r="MQ22" s="214"/>
      <c r="MR22" s="214"/>
      <c r="MS22" s="214"/>
      <c r="MT22" s="214"/>
      <c r="MU22" s="214"/>
      <c r="MV22" s="214"/>
      <c r="MW22" s="214"/>
      <c r="MX22" s="214"/>
      <c r="MY22" s="214"/>
      <c r="MZ22" s="214"/>
      <c r="NA22" s="214"/>
      <c r="NB22" s="214"/>
      <c r="NC22" s="214"/>
      <c r="ND22" s="214"/>
      <c r="NE22" s="214"/>
      <c r="NF22" s="214"/>
      <c r="NG22" s="214"/>
      <c r="NH22" s="214"/>
      <c r="NI22" s="214"/>
      <c r="NJ22" s="214"/>
      <c r="NK22" s="214"/>
      <c r="NL22" s="214"/>
      <c r="NM22" s="214"/>
      <c r="NN22" s="214"/>
      <c r="NO22" s="214"/>
      <c r="NP22" s="214"/>
      <c r="NQ22" s="214"/>
      <c r="NR22" s="214"/>
      <c r="NS22" s="214"/>
      <c r="NT22" s="214"/>
      <c r="NU22" s="214"/>
      <c r="NV22" s="214"/>
      <c r="NW22" s="214"/>
      <c r="NX22" s="214"/>
      <c r="NY22" s="214"/>
      <c r="NZ22" s="214"/>
      <c r="OA22" s="214"/>
      <c r="OB22" s="214"/>
      <c r="OC22" s="214"/>
      <c r="OD22" s="214"/>
      <c r="OE22" s="214"/>
      <c r="OF22" s="214"/>
      <c r="OG22" s="214"/>
      <c r="OH22" s="214"/>
      <c r="OI22" s="214"/>
      <c r="OJ22" s="214"/>
      <c r="OK22" s="214"/>
      <c r="OL22" s="214"/>
      <c r="OM22" s="214"/>
      <c r="ON22" s="214"/>
      <c r="OO22" s="214"/>
      <c r="OP22" s="214"/>
      <c r="OQ22" s="214"/>
      <c r="OR22" s="214"/>
      <c r="OS22" s="214"/>
      <c r="OT22" s="214"/>
      <c r="OU22" s="214"/>
      <c r="OV22" s="214"/>
      <c r="OW22" s="214"/>
      <c r="OX22" s="214"/>
      <c r="OY22" s="214"/>
      <c r="OZ22" s="214"/>
      <c r="PA22" s="214"/>
      <c r="PB22" s="214"/>
      <c r="PC22" s="214"/>
      <c r="PD22" s="214"/>
      <c r="PE22" s="214"/>
      <c r="PF22" s="214"/>
      <c r="PG22" s="214"/>
      <c r="PH22" s="214"/>
      <c r="PI22" s="214"/>
      <c r="PJ22" s="214"/>
      <c r="PK22" s="214"/>
      <c r="PL22" s="214"/>
      <c r="PM22" s="214"/>
      <c r="PN22" s="214"/>
      <c r="PO22" s="214"/>
      <c r="PP22" s="214"/>
      <c r="PQ22" s="214"/>
      <c r="PR22" s="214"/>
      <c r="PS22" s="214"/>
      <c r="PT22" s="214"/>
      <c r="PU22" s="214"/>
      <c r="PV22" s="214"/>
      <c r="PW22" s="214"/>
      <c r="PX22" s="214"/>
      <c r="PY22" s="214"/>
      <c r="PZ22" s="214"/>
      <c r="QA22" s="214"/>
      <c r="QB22" s="214"/>
      <c r="QC22" s="214"/>
      <c r="QD22" s="214"/>
      <c r="QE22" s="214"/>
      <c r="QF22" s="214"/>
      <c r="QG22" s="214"/>
      <c r="QH22" s="214"/>
      <c r="QI22" s="214"/>
      <c r="QJ22" s="214"/>
      <c r="QK22" s="214"/>
      <c r="QL22" s="214"/>
      <c r="QM22" s="214"/>
      <c r="QN22" s="214"/>
      <c r="QO22" s="214"/>
      <c r="QP22" s="214"/>
      <c r="QQ22" s="214"/>
      <c r="QR22" s="214"/>
      <c r="QS22" s="214"/>
      <c r="QT22" s="214"/>
      <c r="QU22" s="214"/>
      <c r="QV22" s="214"/>
      <c r="QW22" s="214"/>
      <c r="QX22" s="214"/>
      <c r="QY22" s="214"/>
      <c r="QZ22" s="214"/>
      <c r="RA22" s="214"/>
      <c r="RB22" s="214"/>
      <c r="RC22" s="214"/>
      <c r="RD22" s="214"/>
      <c r="RE22" s="214"/>
      <c r="RF22" s="214"/>
      <c r="RG22" s="214"/>
      <c r="RH22" s="214"/>
      <c r="RI22" s="214"/>
      <c r="RJ22" s="214"/>
      <c r="RK22" s="214"/>
      <c r="RL22" s="214"/>
      <c r="RM22" s="214"/>
      <c r="RN22" s="214"/>
      <c r="RO22" s="214"/>
      <c r="RP22" s="214"/>
      <c r="RQ22" s="214"/>
      <c r="RR22" s="214"/>
      <c r="RS22" s="214"/>
      <c r="RT22" s="214"/>
      <c r="RU22" s="214"/>
      <c r="RV22" s="214"/>
      <c r="RW22" s="214"/>
      <c r="RX22" s="214"/>
      <c r="RY22" s="214"/>
      <c r="RZ22" s="214"/>
      <c r="SA22" s="214"/>
      <c r="SB22" s="214"/>
      <c r="SC22" s="214"/>
      <c r="SD22" s="214"/>
      <c r="SE22" s="214"/>
      <c r="SF22" s="214"/>
      <c r="SG22" s="214"/>
      <c r="SH22" s="214"/>
      <c r="SI22" s="214"/>
      <c r="SJ22" s="214"/>
      <c r="SK22" s="214"/>
      <c r="SL22" s="214"/>
      <c r="SM22" s="214"/>
      <c r="SN22" s="214"/>
      <c r="SO22" s="214"/>
      <c r="SP22" s="214"/>
      <c r="SQ22" s="214"/>
      <c r="SR22" s="214"/>
      <c r="SS22" s="214"/>
      <c r="ST22" s="214"/>
      <c r="SU22" s="214"/>
      <c r="SV22" s="214"/>
      <c r="SW22" s="214"/>
      <c r="SX22" s="214"/>
      <c r="SY22" s="214"/>
      <c r="SZ22" s="214"/>
      <c r="TA22" s="214"/>
      <c r="TB22" s="214"/>
      <c r="TC22" s="214"/>
      <c r="TD22" s="214"/>
      <c r="TE22" s="214"/>
      <c r="TF22" s="214"/>
      <c r="TG22" s="214"/>
      <c r="TH22" s="214"/>
      <c r="TI22" s="214"/>
      <c r="TJ22" s="214"/>
      <c r="TK22" s="214"/>
      <c r="TL22" s="214"/>
      <c r="TM22" s="214"/>
      <c r="TN22" s="214"/>
      <c r="TO22" s="214"/>
      <c r="TP22" s="214"/>
      <c r="TQ22" s="214"/>
      <c r="TR22" s="214"/>
      <c r="TS22" s="214"/>
      <c r="TT22" s="214"/>
      <c r="TU22" s="214"/>
      <c r="TV22" s="214"/>
      <c r="TW22" s="214"/>
      <c r="TX22" s="214"/>
      <c r="TY22" s="214"/>
      <c r="TZ22" s="214"/>
      <c r="UA22" s="214"/>
      <c r="UB22" s="214"/>
      <c r="UC22" s="214"/>
      <c r="UD22" s="214"/>
      <c r="UE22" s="214"/>
      <c r="UF22" s="214"/>
      <c r="UG22" s="214"/>
      <c r="UH22" s="214"/>
      <c r="UI22" s="214"/>
      <c r="UJ22" s="214"/>
      <c r="UK22" s="214"/>
      <c r="UL22" s="214"/>
      <c r="UM22" s="214"/>
      <c r="UN22" s="214"/>
      <c r="UO22" s="214"/>
      <c r="UP22" s="214"/>
      <c r="UQ22" s="214"/>
      <c r="UR22" s="214"/>
      <c r="US22" s="214"/>
      <c r="UT22" s="214"/>
      <c r="UU22" s="214"/>
      <c r="UV22" s="214"/>
      <c r="UW22" s="214"/>
      <c r="UX22" s="214"/>
      <c r="UY22" s="214"/>
      <c r="UZ22" s="214"/>
      <c r="VA22" s="214"/>
      <c r="VB22" s="214"/>
      <c r="VC22" s="214"/>
      <c r="VD22" s="214"/>
      <c r="VE22" s="214"/>
      <c r="VF22" s="214"/>
      <c r="VG22" s="214"/>
      <c r="VH22" s="214"/>
      <c r="VI22" s="214"/>
      <c r="VJ22" s="214"/>
      <c r="VK22" s="214"/>
      <c r="VL22" s="214"/>
      <c r="VM22" s="214"/>
      <c r="VN22" s="214"/>
      <c r="VO22" s="214"/>
      <c r="VP22" s="214"/>
      <c r="VQ22" s="214"/>
      <c r="VR22" s="214"/>
      <c r="VS22" s="214"/>
      <c r="VT22" s="214"/>
      <c r="VU22" s="214"/>
      <c r="VV22" s="214"/>
      <c r="VW22" s="214"/>
      <c r="VX22" s="214"/>
      <c r="VY22" s="214"/>
      <c r="VZ22" s="214"/>
      <c r="WA22" s="214"/>
      <c r="WB22" s="214"/>
      <c r="WC22" s="214"/>
      <c r="WD22" s="214"/>
      <c r="WE22" s="214"/>
      <c r="WF22" s="214"/>
      <c r="WG22" s="214"/>
      <c r="WH22" s="214"/>
      <c r="WI22" s="214"/>
      <c r="WJ22" s="214"/>
      <c r="WK22" s="214"/>
      <c r="WL22" s="214"/>
      <c r="WM22" s="214"/>
      <c r="WN22" s="214"/>
      <c r="WO22" s="214"/>
      <c r="WP22" s="214"/>
      <c r="WQ22" s="214"/>
      <c r="WR22" s="214"/>
      <c r="WS22" s="214"/>
      <c r="WT22" s="214"/>
      <c r="WU22" s="214"/>
      <c r="WV22" s="214"/>
      <c r="WW22" s="214"/>
      <c r="WX22" s="214"/>
      <c r="WY22" s="214"/>
      <c r="WZ22" s="214"/>
      <c r="XA22" s="214"/>
      <c r="XB22" s="214"/>
      <c r="XC22" s="214"/>
      <c r="XD22" s="214"/>
      <c r="XE22" s="214"/>
      <c r="XF22" s="214"/>
      <c r="XG22" s="214"/>
      <c r="XH22" s="214"/>
      <c r="XI22" s="214"/>
      <c r="XJ22" s="214"/>
      <c r="XK22" s="214"/>
      <c r="XL22" s="214"/>
      <c r="XM22" s="214"/>
      <c r="XN22" s="214"/>
      <c r="XO22" s="214"/>
      <c r="XP22" s="214"/>
      <c r="XQ22" s="214"/>
      <c r="XR22" s="214"/>
      <c r="XS22" s="214"/>
      <c r="XT22" s="214"/>
      <c r="XU22" s="214"/>
      <c r="XV22" s="214"/>
      <c r="XW22" s="214"/>
      <c r="XX22" s="214"/>
      <c r="XY22" s="214"/>
      <c r="XZ22" s="214"/>
      <c r="YA22" s="214"/>
      <c r="YB22" s="214"/>
      <c r="YC22" s="214"/>
      <c r="YD22" s="214"/>
      <c r="YE22" s="214"/>
      <c r="YF22" s="214"/>
      <c r="YG22" s="214"/>
      <c r="YH22" s="214"/>
      <c r="YI22" s="214"/>
      <c r="YJ22" s="214"/>
      <c r="YK22" s="214"/>
      <c r="YL22" s="214"/>
      <c r="YM22" s="214"/>
      <c r="YN22" s="214"/>
      <c r="YO22" s="214"/>
      <c r="YP22" s="214"/>
      <c r="YQ22" s="214"/>
      <c r="YR22" s="214"/>
      <c r="YS22" s="214"/>
      <c r="YT22" s="214"/>
      <c r="YU22" s="214"/>
      <c r="YV22" s="214"/>
      <c r="YW22" s="214"/>
      <c r="YX22" s="214"/>
      <c r="YY22" s="214"/>
      <c r="YZ22" s="214"/>
      <c r="ZA22" s="214"/>
      <c r="ZB22" s="214"/>
      <c r="ZC22" s="214"/>
      <c r="ZD22" s="214"/>
      <c r="ZE22" s="214"/>
      <c r="ZF22" s="214"/>
      <c r="ZG22" s="214"/>
      <c r="ZH22" s="214"/>
      <c r="ZI22" s="214"/>
      <c r="ZJ22" s="214"/>
      <c r="ZK22" s="214"/>
      <c r="ZL22" s="214"/>
      <c r="ZM22" s="214"/>
      <c r="ZN22" s="214"/>
      <c r="ZO22" s="214"/>
      <c r="ZP22" s="214"/>
      <c r="ZQ22" s="214"/>
      <c r="ZR22" s="214"/>
      <c r="ZS22" s="214"/>
      <c r="ZT22" s="214"/>
      <c r="ZU22" s="214"/>
      <c r="ZV22" s="214"/>
      <c r="ZW22" s="214"/>
      <c r="ZX22" s="214"/>
      <c r="ZY22" s="214"/>
      <c r="ZZ22" s="214"/>
      <c r="AAA22" s="214"/>
      <c r="AAB22" s="214"/>
      <c r="AAC22" s="214"/>
      <c r="AAD22" s="214"/>
      <c r="AAE22" s="214"/>
      <c r="AAF22" s="214"/>
      <c r="AAG22" s="214"/>
      <c r="AAH22" s="214"/>
      <c r="AAI22" s="214"/>
      <c r="AAJ22" s="214"/>
      <c r="AAK22" s="214"/>
      <c r="AAL22" s="214"/>
      <c r="AAM22" s="214"/>
      <c r="AAN22" s="214"/>
      <c r="AAO22" s="214"/>
      <c r="AAP22" s="214"/>
      <c r="AAQ22" s="214"/>
      <c r="AAR22" s="214"/>
      <c r="AAS22" s="214"/>
      <c r="AAT22" s="214"/>
      <c r="AAU22" s="214"/>
      <c r="AAV22" s="214"/>
      <c r="AAW22" s="214"/>
      <c r="AAX22" s="214"/>
      <c r="AAY22" s="214"/>
      <c r="AAZ22" s="214"/>
      <c r="ABA22" s="214"/>
      <c r="ABB22" s="214"/>
      <c r="ABC22" s="214"/>
      <c r="ABD22" s="214"/>
      <c r="ABE22" s="214"/>
      <c r="ABF22" s="214"/>
      <c r="ABG22" s="214"/>
      <c r="ABH22" s="214"/>
      <c r="ABI22" s="214"/>
      <c r="ABJ22" s="214"/>
      <c r="ABK22" s="214"/>
      <c r="ABL22" s="214"/>
      <c r="ABM22" s="214"/>
      <c r="ABN22" s="214"/>
      <c r="ABO22" s="214"/>
      <c r="ABP22" s="214"/>
      <c r="ABQ22" s="214"/>
      <c r="ABR22" s="214"/>
      <c r="ABS22" s="214"/>
      <c r="ABT22" s="214"/>
      <c r="ABU22" s="214"/>
      <c r="ABV22" s="214"/>
      <c r="ABW22" s="214"/>
      <c r="ABX22" s="214"/>
      <c r="ABY22" s="214"/>
      <c r="ABZ22" s="214"/>
      <c r="ACA22" s="214"/>
      <c r="ACB22" s="214"/>
      <c r="ACC22" s="214"/>
      <c r="ACD22" s="214"/>
      <c r="ACE22" s="214"/>
      <c r="ACF22" s="214"/>
      <c r="ACG22" s="214"/>
      <c r="ACH22" s="214"/>
      <c r="ACI22" s="214"/>
      <c r="ACJ22" s="214"/>
      <c r="ACK22" s="214"/>
      <c r="ACL22" s="214"/>
      <c r="ACM22" s="214"/>
      <c r="ACN22" s="214"/>
      <c r="ACO22" s="214"/>
      <c r="ACP22" s="214"/>
      <c r="ACQ22" s="214"/>
      <c r="ACR22" s="214"/>
      <c r="ACS22" s="214"/>
      <c r="ACT22" s="214"/>
      <c r="ACU22" s="214"/>
      <c r="ACV22" s="214"/>
      <c r="ACW22" s="214"/>
      <c r="ACX22" s="214"/>
      <c r="ACY22" s="214"/>
      <c r="ACZ22" s="214"/>
      <c r="ADA22" s="214"/>
      <c r="ADB22" s="214"/>
      <c r="ADC22" s="214"/>
      <c r="ADD22" s="214"/>
      <c r="ADE22" s="214"/>
      <c r="ADF22" s="214"/>
      <c r="ADG22" s="214"/>
      <c r="ADH22" s="214"/>
      <c r="ADI22" s="214"/>
      <c r="ADJ22" s="214"/>
      <c r="ADK22" s="214"/>
      <c r="ADL22" s="214"/>
      <c r="ADM22" s="214"/>
      <c r="ADN22" s="214"/>
      <c r="ADO22" s="214"/>
      <c r="ADP22" s="214"/>
      <c r="ADQ22" s="214"/>
      <c r="ADR22" s="214"/>
      <c r="ADS22" s="214"/>
      <c r="ADT22" s="214"/>
      <c r="ADU22" s="214"/>
      <c r="ADV22" s="214"/>
      <c r="ADW22" s="214"/>
      <c r="ADX22" s="214"/>
      <c r="ADY22" s="214"/>
      <c r="ADZ22" s="214"/>
      <c r="AEA22" s="214"/>
      <c r="AEB22" s="214"/>
      <c r="AEC22" s="214"/>
      <c r="AED22" s="214"/>
      <c r="AEE22" s="214"/>
      <c r="AEF22" s="214"/>
      <c r="AEG22" s="214"/>
      <c r="AEH22" s="214"/>
      <c r="AEI22" s="214"/>
      <c r="AEJ22" s="214"/>
      <c r="AEK22" s="214"/>
      <c r="AEL22" s="214"/>
      <c r="AEM22" s="214"/>
      <c r="AEN22" s="214"/>
      <c r="AEO22" s="214"/>
      <c r="AEP22" s="214"/>
      <c r="AEQ22" s="214"/>
      <c r="AER22" s="214"/>
      <c r="AES22" s="214"/>
      <c r="AET22" s="214"/>
      <c r="AEU22" s="214"/>
      <c r="AEV22" s="214"/>
      <c r="AEW22" s="214"/>
      <c r="AEX22" s="214"/>
      <c r="AEY22" s="214"/>
      <c r="AEZ22" s="214"/>
      <c r="AFA22" s="214"/>
      <c r="AFB22" s="214"/>
      <c r="AFC22" s="214"/>
      <c r="AFD22" s="214"/>
      <c r="AFE22" s="214"/>
      <c r="AFF22" s="214"/>
      <c r="AFG22" s="214"/>
      <c r="AFH22" s="214"/>
      <c r="AFI22" s="214"/>
      <c r="AFJ22" s="214"/>
      <c r="AFK22" s="214"/>
      <c r="AFL22" s="214"/>
      <c r="AFM22" s="214"/>
      <c r="AFN22" s="214"/>
      <c r="AFO22" s="214"/>
      <c r="AFP22" s="214"/>
      <c r="AFQ22" s="214"/>
      <c r="AFR22" s="214"/>
      <c r="AFS22" s="214"/>
      <c r="AFT22" s="214"/>
      <c r="AFU22" s="214"/>
      <c r="AFV22" s="214"/>
      <c r="AFW22" s="214"/>
      <c r="AFX22" s="214"/>
      <c r="AFY22" s="214"/>
      <c r="AFZ22" s="214"/>
      <c r="AGA22" s="214"/>
      <c r="AGB22" s="214"/>
      <c r="AGC22" s="214"/>
      <c r="AGD22" s="214"/>
      <c r="AGE22" s="214"/>
      <c r="AGF22" s="214"/>
      <c r="AGG22" s="214"/>
      <c r="AGH22" s="214"/>
      <c r="AGI22" s="214"/>
      <c r="AGJ22" s="214"/>
      <c r="AGK22" s="214"/>
      <c r="AGL22" s="214"/>
      <c r="AGM22" s="214"/>
      <c r="AGN22" s="214"/>
      <c r="AGO22" s="214"/>
      <c r="AGP22" s="214"/>
      <c r="AGQ22" s="214"/>
      <c r="AGR22" s="214"/>
      <c r="AGS22" s="214"/>
      <c r="AGT22" s="214"/>
      <c r="AGU22" s="214"/>
      <c r="AGV22" s="214"/>
      <c r="AGW22" s="214"/>
      <c r="AGX22" s="214"/>
      <c r="AGY22" s="214"/>
      <c r="AGZ22" s="214"/>
      <c r="AHA22" s="214"/>
      <c r="AHB22" s="214"/>
      <c r="AHC22" s="214"/>
      <c r="AHD22" s="214"/>
      <c r="AHE22" s="214"/>
      <c r="AHF22" s="214"/>
      <c r="AHG22" s="214"/>
      <c r="AHH22" s="214"/>
      <c r="AHI22" s="214"/>
      <c r="AHJ22" s="214"/>
      <c r="AHK22" s="214"/>
      <c r="AHL22" s="214"/>
      <c r="AHM22" s="214"/>
      <c r="AHN22" s="214"/>
      <c r="AHO22" s="214"/>
      <c r="AHP22" s="214"/>
      <c r="AHQ22" s="214"/>
      <c r="AHR22" s="214"/>
      <c r="AHS22" s="214"/>
      <c r="AHT22" s="214"/>
      <c r="AHU22" s="214"/>
      <c r="AHV22" s="214"/>
      <c r="AHW22" s="214"/>
      <c r="AHX22" s="214"/>
      <c r="AHY22" s="214"/>
      <c r="AHZ22" s="214"/>
      <c r="AIA22" s="214"/>
      <c r="AIB22" s="214"/>
      <c r="AIC22" s="214"/>
      <c r="AID22" s="214"/>
      <c r="AIE22" s="214"/>
      <c r="AIF22" s="214"/>
      <c r="AIG22" s="214"/>
      <c r="AIH22" s="214"/>
      <c r="AII22" s="214"/>
      <c r="AIJ22" s="214"/>
      <c r="AIK22" s="214"/>
      <c r="AIL22" s="214"/>
      <c r="AIM22" s="214"/>
      <c r="AIN22" s="214"/>
      <c r="AIO22" s="214"/>
      <c r="AIP22" s="214"/>
      <c r="AIQ22" s="214"/>
      <c r="AIR22" s="214"/>
      <c r="AIS22" s="214"/>
      <c r="AIT22" s="214"/>
      <c r="AIU22" s="214"/>
      <c r="AIV22" s="214"/>
      <c r="AIW22" s="214"/>
      <c r="AIX22" s="214"/>
      <c r="AIY22" s="214"/>
      <c r="AIZ22" s="214"/>
      <c r="AJA22" s="214"/>
      <c r="AJB22" s="214"/>
      <c r="AJC22" s="214"/>
      <c r="AJD22" s="214"/>
      <c r="AJE22" s="214"/>
      <c r="AJF22" s="214"/>
      <c r="AJG22" s="214"/>
      <c r="AJH22" s="214"/>
      <c r="AJI22" s="214"/>
      <c r="AJJ22" s="214"/>
      <c r="AJK22" s="214"/>
      <c r="AJL22" s="214"/>
      <c r="AJM22" s="214"/>
      <c r="AJN22" s="214"/>
      <c r="AJO22" s="214"/>
      <c r="AJP22" s="214"/>
      <c r="AJQ22" s="214"/>
      <c r="AJR22" s="214"/>
      <c r="AJS22" s="214"/>
      <c r="AJT22" s="214"/>
      <c r="AJU22" s="214"/>
      <c r="AJV22" s="214"/>
      <c r="AJW22" s="214"/>
      <c r="AJX22" s="214"/>
      <c r="AJY22" s="214"/>
      <c r="AJZ22" s="214"/>
      <c r="AKA22" s="214"/>
      <c r="AKB22" s="214"/>
      <c r="AKC22" s="214"/>
      <c r="AKD22" s="214"/>
      <c r="AKE22" s="214"/>
      <c r="AKF22" s="214"/>
      <c r="AKG22" s="214"/>
      <c r="AKH22" s="214"/>
      <c r="AKI22" s="214"/>
      <c r="AKJ22" s="214"/>
      <c r="AKK22" s="214"/>
      <c r="AKL22" s="214"/>
      <c r="AKM22" s="214"/>
      <c r="AKN22" s="214"/>
      <c r="AKO22" s="214"/>
      <c r="AKP22" s="214"/>
      <c r="AKQ22" s="214"/>
      <c r="AKR22" s="214"/>
      <c r="AKS22" s="214"/>
      <c r="AKT22" s="214"/>
      <c r="AKU22" s="214"/>
      <c r="AKV22" s="214"/>
      <c r="AKW22" s="214"/>
      <c r="AKX22" s="214"/>
      <c r="AKY22" s="214"/>
      <c r="AKZ22" s="214"/>
      <c r="ALA22" s="214"/>
      <c r="ALB22" s="214"/>
      <c r="ALC22" s="214"/>
      <c r="ALD22" s="214"/>
      <c r="ALE22" s="214"/>
      <c r="ALF22" s="214"/>
      <c r="ALG22" s="214"/>
      <c r="ALH22" s="214"/>
      <c r="ALI22" s="214"/>
      <c r="ALJ22" s="214"/>
      <c r="ALK22" s="214"/>
      <c r="ALL22" s="214"/>
      <c r="ALM22" s="214"/>
      <c r="ALN22" s="214"/>
      <c r="ALO22" s="214"/>
      <c r="ALP22" s="214"/>
      <c r="ALQ22" s="214"/>
      <c r="ALR22" s="214"/>
      <c r="ALS22" s="214"/>
      <c r="ALT22" s="214"/>
      <c r="ALU22" s="214"/>
      <c r="ALV22" s="214"/>
      <c r="ALW22" s="214"/>
      <c r="ALX22" s="214"/>
      <c r="ALY22" s="214"/>
      <c r="ALZ22" s="214"/>
      <c r="AMA22" s="214"/>
      <c r="AMB22" s="214"/>
      <c r="AMC22" s="214"/>
      <c r="AMD22" s="214"/>
      <c r="AME22" s="214"/>
      <c r="AMF22" s="214"/>
      <c r="AMG22" s="214"/>
      <c r="AMH22" s="214"/>
      <c r="AMI22" s="214"/>
      <c r="AMJ22" s="214"/>
      <c r="AMK22" s="214"/>
      <c r="AML22" s="214"/>
      <c r="AMM22" s="214"/>
      <c r="AMN22" s="214"/>
      <c r="AMO22" s="214"/>
      <c r="AMP22" s="214"/>
      <c r="AMQ22" s="214"/>
      <c r="AMR22" s="214"/>
      <c r="AMS22" s="214"/>
      <c r="AMT22" s="214"/>
      <c r="AMU22" s="214"/>
      <c r="AMV22" s="214"/>
      <c r="AMW22" s="214"/>
      <c r="AMX22" s="214"/>
      <c r="AMY22" s="214"/>
      <c r="AMZ22" s="214"/>
      <c r="ANA22" s="214"/>
      <c r="ANB22" s="214"/>
      <c r="ANC22" s="214"/>
      <c r="AND22" s="214"/>
      <c r="ANE22" s="214"/>
      <c r="ANF22" s="214"/>
      <c r="ANG22" s="214"/>
      <c r="ANH22" s="214"/>
      <c r="ANI22" s="214"/>
      <c r="ANJ22" s="214"/>
      <c r="ANK22" s="214"/>
      <c r="ANL22" s="214"/>
      <c r="ANM22" s="214"/>
      <c r="ANN22" s="214"/>
      <c r="ANO22" s="214"/>
      <c r="ANP22" s="214"/>
      <c r="ANQ22" s="214"/>
      <c r="ANR22" s="214"/>
      <c r="ANS22" s="214"/>
      <c r="ANT22" s="214"/>
      <c r="ANU22" s="214"/>
      <c r="ANV22" s="214"/>
      <c r="ANW22" s="214"/>
      <c r="ANX22" s="214"/>
      <c r="ANY22" s="214"/>
      <c r="ANZ22" s="214"/>
      <c r="AOA22" s="214"/>
      <c r="AOB22" s="214"/>
      <c r="AOC22" s="214"/>
      <c r="AOD22" s="214"/>
      <c r="AOE22" s="214"/>
      <c r="AOF22" s="214"/>
      <c r="AOG22" s="214"/>
      <c r="AOH22" s="214"/>
      <c r="AOI22" s="214"/>
      <c r="AOJ22" s="214"/>
      <c r="AOK22" s="214"/>
      <c r="AOL22" s="214"/>
      <c r="AOM22" s="214"/>
      <c r="AON22" s="214"/>
      <c r="AOO22" s="214"/>
      <c r="AOP22" s="214"/>
      <c r="AOQ22" s="214"/>
      <c r="AOR22" s="214"/>
      <c r="AOS22" s="214"/>
      <c r="AOT22" s="214"/>
      <c r="AOU22" s="214"/>
      <c r="AOV22" s="214"/>
      <c r="AOW22" s="214"/>
      <c r="AOX22" s="214"/>
      <c r="AOY22" s="214"/>
      <c r="AOZ22" s="214"/>
      <c r="APA22" s="214"/>
      <c r="APB22" s="214"/>
      <c r="APC22" s="214"/>
      <c r="APD22" s="214"/>
      <c r="APE22" s="214"/>
      <c r="APF22" s="214"/>
      <c r="APG22" s="214"/>
      <c r="APH22" s="214"/>
      <c r="API22" s="214"/>
      <c r="APJ22" s="214"/>
      <c r="APK22" s="214"/>
      <c r="APL22" s="214"/>
      <c r="APM22" s="214"/>
      <c r="APN22" s="214"/>
      <c r="APO22" s="214"/>
      <c r="APP22" s="214"/>
      <c r="APQ22" s="214"/>
      <c r="APR22" s="214"/>
      <c r="APS22" s="214"/>
      <c r="APT22" s="214"/>
      <c r="APU22" s="214"/>
      <c r="APV22" s="214"/>
      <c r="APW22" s="214"/>
      <c r="APX22" s="214"/>
      <c r="APY22" s="214"/>
      <c r="APZ22" s="214"/>
      <c r="AQA22" s="214"/>
      <c r="AQB22" s="214"/>
      <c r="AQC22" s="214"/>
      <c r="AQD22" s="214"/>
      <c r="AQE22" s="214"/>
      <c r="AQF22" s="214"/>
      <c r="AQG22" s="214"/>
      <c r="AQH22" s="214"/>
      <c r="AQI22" s="214"/>
      <c r="AQJ22" s="214"/>
      <c r="AQK22" s="214"/>
      <c r="AQL22" s="214"/>
      <c r="AQM22" s="214"/>
      <c r="AQN22" s="214"/>
      <c r="AQO22" s="214"/>
      <c r="AQP22" s="214"/>
      <c r="AQQ22" s="214"/>
      <c r="AQR22" s="214"/>
      <c r="AQS22" s="214"/>
      <c r="AQT22" s="214"/>
      <c r="AQU22" s="214"/>
      <c r="AQV22" s="214"/>
      <c r="AQW22" s="214"/>
      <c r="AQX22" s="214"/>
      <c r="AQY22" s="214"/>
      <c r="AQZ22" s="214"/>
      <c r="ARA22" s="214"/>
      <c r="ARB22" s="214"/>
      <c r="ARC22" s="214"/>
      <c r="ARD22" s="214"/>
      <c r="ARE22" s="214"/>
      <c r="ARF22" s="214"/>
      <c r="ARG22" s="214"/>
      <c r="ARH22" s="214"/>
      <c r="ARI22" s="214"/>
      <c r="ARJ22" s="214"/>
      <c r="ARK22" s="214"/>
      <c r="ARL22" s="214"/>
      <c r="ARM22" s="214"/>
      <c r="ARN22" s="214"/>
      <c r="ARO22" s="214"/>
      <c r="ARP22" s="214"/>
      <c r="ARQ22" s="214"/>
      <c r="ARR22" s="214"/>
      <c r="ARS22" s="214"/>
      <c r="ART22" s="214"/>
      <c r="ARU22" s="214"/>
      <c r="ARV22" s="214"/>
      <c r="ARW22" s="214"/>
      <c r="ARX22" s="214"/>
      <c r="ARY22" s="214"/>
      <c r="ARZ22" s="214"/>
      <c r="ASA22" s="214"/>
      <c r="ASB22" s="214"/>
      <c r="ASC22" s="214"/>
      <c r="ASD22" s="214"/>
      <c r="ASE22" s="214"/>
      <c r="ASF22" s="214"/>
      <c r="ASG22" s="214"/>
      <c r="ASH22" s="214"/>
      <c r="ASI22" s="214"/>
      <c r="ASJ22" s="214"/>
      <c r="ASK22" s="214"/>
      <c r="ASL22" s="214"/>
      <c r="ASM22" s="214"/>
      <c r="ASN22" s="214"/>
      <c r="ASO22" s="214"/>
      <c r="ASP22" s="214"/>
      <c r="ASQ22" s="214"/>
      <c r="ASR22" s="214"/>
      <c r="ASS22" s="214"/>
      <c r="AST22" s="214"/>
      <c r="ASU22" s="214"/>
      <c r="ASV22" s="214"/>
      <c r="ASW22" s="214"/>
      <c r="ASX22" s="214"/>
      <c r="ASY22" s="214"/>
      <c r="ASZ22" s="214"/>
      <c r="ATA22" s="214"/>
      <c r="ATB22" s="214"/>
      <c r="ATC22" s="214"/>
      <c r="ATD22" s="214"/>
      <c r="ATE22" s="214"/>
      <c r="ATF22" s="214"/>
      <c r="ATG22" s="214"/>
      <c r="ATH22" s="214"/>
      <c r="ATI22" s="214"/>
      <c r="ATJ22" s="214"/>
      <c r="ATK22" s="214"/>
      <c r="ATL22" s="214"/>
      <c r="ATM22" s="214"/>
      <c r="ATN22" s="214"/>
      <c r="ATO22" s="214"/>
      <c r="ATP22" s="214"/>
      <c r="ATQ22" s="214"/>
      <c r="ATR22" s="214"/>
      <c r="ATS22" s="214"/>
      <c r="ATT22" s="214"/>
      <c r="ATU22" s="214"/>
      <c r="ATV22" s="214"/>
      <c r="ATW22" s="214"/>
      <c r="ATX22" s="214"/>
      <c r="ATY22" s="214"/>
      <c r="ATZ22" s="214"/>
      <c r="AUA22" s="214"/>
      <c r="AUB22" s="214"/>
      <c r="AUC22" s="214"/>
      <c r="AUD22" s="214"/>
      <c r="AUE22" s="214"/>
      <c r="AUF22" s="214"/>
      <c r="AUG22" s="214"/>
      <c r="AUH22" s="214"/>
      <c r="AUI22" s="214"/>
      <c r="AUJ22" s="214"/>
      <c r="AUK22" s="214"/>
      <c r="AUL22" s="214"/>
      <c r="AUM22" s="214"/>
      <c r="AUN22" s="214"/>
      <c r="AUO22" s="214"/>
      <c r="AUP22" s="214"/>
      <c r="AUQ22" s="214"/>
      <c r="AUR22" s="214"/>
      <c r="AUS22" s="214"/>
      <c r="AUT22" s="214"/>
      <c r="AUU22" s="214"/>
      <c r="AUV22" s="214"/>
      <c r="AUW22" s="214"/>
      <c r="AUX22" s="214"/>
      <c r="AUY22" s="214"/>
      <c r="AUZ22" s="214"/>
      <c r="AVA22" s="214"/>
      <c r="AVB22" s="214"/>
      <c r="AVC22" s="214"/>
      <c r="AVD22" s="214"/>
      <c r="AVE22" s="214"/>
      <c r="AVF22" s="214"/>
      <c r="AVG22" s="214"/>
      <c r="AVH22" s="214"/>
      <c r="AVI22" s="214"/>
      <c r="AVJ22" s="214"/>
      <c r="AVK22" s="214"/>
      <c r="AVL22" s="214"/>
      <c r="AVM22" s="214"/>
      <c r="AVN22" s="214"/>
      <c r="AVO22" s="214"/>
      <c r="AVP22" s="214"/>
      <c r="AVQ22" s="214"/>
      <c r="AVR22" s="214"/>
      <c r="AVS22" s="214"/>
      <c r="AVT22" s="214"/>
      <c r="AVU22" s="214"/>
      <c r="AVV22" s="214"/>
      <c r="AVW22" s="214"/>
      <c r="AVX22" s="214"/>
      <c r="AVY22" s="214"/>
      <c r="AVZ22" s="214"/>
      <c r="AWA22" s="214"/>
      <c r="AWB22" s="214"/>
      <c r="AWC22" s="214"/>
      <c r="AWD22" s="214"/>
      <c r="AWE22" s="214"/>
      <c r="AWF22" s="214"/>
      <c r="AWG22" s="214"/>
      <c r="AWH22" s="214"/>
      <c r="AWI22" s="214"/>
      <c r="AWJ22" s="214"/>
      <c r="AWK22" s="214"/>
      <c r="AWL22" s="214"/>
      <c r="AWM22" s="214"/>
      <c r="AWN22" s="214"/>
      <c r="AWO22" s="214"/>
      <c r="AWP22" s="214"/>
      <c r="AWQ22" s="214"/>
      <c r="AWR22" s="214"/>
      <c r="AWS22" s="214"/>
      <c r="AWT22" s="214"/>
      <c r="AWU22" s="214"/>
      <c r="AWV22" s="214"/>
      <c r="AWW22" s="214"/>
      <c r="AWX22" s="214"/>
      <c r="AWY22" s="214"/>
      <c r="AWZ22" s="214"/>
      <c r="AXA22" s="214"/>
      <c r="AXB22" s="214"/>
      <c r="AXC22" s="214"/>
      <c r="AXD22" s="214"/>
      <c r="AXE22" s="214"/>
      <c r="AXF22" s="214"/>
      <c r="AXG22" s="214"/>
      <c r="AXH22" s="214"/>
      <c r="AXI22" s="214"/>
      <c r="AXJ22" s="214"/>
      <c r="AXK22" s="214"/>
      <c r="AXL22" s="214"/>
      <c r="AXM22" s="214"/>
      <c r="AXN22" s="214"/>
      <c r="AXO22" s="214"/>
      <c r="AXP22" s="214"/>
      <c r="AXQ22" s="214"/>
      <c r="AXR22" s="214"/>
      <c r="AXS22" s="214"/>
      <c r="AXT22" s="214"/>
      <c r="AXU22" s="214"/>
      <c r="AXV22" s="214"/>
      <c r="AXW22" s="214"/>
      <c r="AXX22" s="214"/>
      <c r="AXY22" s="214"/>
      <c r="AXZ22" s="214"/>
      <c r="AYA22" s="214"/>
      <c r="AYB22" s="214"/>
      <c r="AYC22" s="214"/>
      <c r="AYD22" s="214"/>
      <c r="AYE22" s="214"/>
      <c r="AYF22" s="214"/>
      <c r="AYG22" s="214"/>
      <c r="AYH22" s="214"/>
      <c r="AYI22" s="214"/>
      <c r="AYJ22" s="214"/>
      <c r="AYK22" s="214"/>
      <c r="AYL22" s="214"/>
      <c r="AYM22" s="214"/>
      <c r="AYN22" s="214"/>
      <c r="AYO22" s="214"/>
      <c r="AYP22" s="214"/>
      <c r="AYQ22" s="214"/>
      <c r="AYR22" s="214"/>
      <c r="AYS22" s="214"/>
      <c r="AYT22" s="214"/>
      <c r="AYU22" s="214"/>
      <c r="AYV22" s="214"/>
      <c r="AYW22" s="214"/>
      <c r="AYX22" s="214"/>
      <c r="AYY22" s="214"/>
      <c r="AYZ22" s="214"/>
      <c r="AZA22" s="214"/>
      <c r="AZB22" s="214"/>
      <c r="AZC22" s="214"/>
      <c r="AZD22" s="214"/>
      <c r="AZE22" s="214"/>
      <c r="AZF22" s="214"/>
      <c r="AZG22" s="214"/>
      <c r="AZH22" s="214"/>
      <c r="AZI22" s="214"/>
      <c r="AZJ22" s="214"/>
      <c r="AZK22" s="214"/>
      <c r="AZL22" s="214"/>
      <c r="AZM22" s="214"/>
      <c r="AZN22" s="214"/>
      <c r="AZO22" s="214"/>
      <c r="AZP22" s="214"/>
      <c r="AZQ22" s="214"/>
      <c r="AZR22" s="214"/>
      <c r="AZS22" s="214"/>
      <c r="AZT22" s="214"/>
      <c r="AZU22" s="214"/>
      <c r="AZV22" s="214"/>
      <c r="AZW22" s="214"/>
      <c r="AZX22" s="214"/>
      <c r="AZY22" s="214"/>
      <c r="AZZ22" s="214"/>
      <c r="BAA22" s="214"/>
      <c r="BAB22" s="214"/>
      <c r="BAC22" s="214"/>
      <c r="BAD22" s="214"/>
      <c r="BAE22" s="214"/>
      <c r="BAF22" s="214"/>
      <c r="BAG22" s="214"/>
      <c r="BAH22" s="214"/>
      <c r="BAI22" s="214"/>
      <c r="BAJ22" s="214"/>
      <c r="BAK22" s="214"/>
      <c r="BAL22" s="214"/>
      <c r="BAM22" s="214"/>
      <c r="BAN22" s="214"/>
      <c r="BAO22" s="214"/>
      <c r="BAP22" s="214"/>
      <c r="BAQ22" s="214"/>
      <c r="BAR22" s="214"/>
      <c r="BAS22" s="214"/>
      <c r="BAT22" s="214"/>
      <c r="BAU22" s="214"/>
      <c r="BAV22" s="214"/>
      <c r="BAW22" s="214"/>
      <c r="BAX22" s="214"/>
      <c r="BAY22" s="214"/>
      <c r="BAZ22" s="214"/>
      <c r="BBA22" s="214"/>
      <c r="BBB22" s="214"/>
      <c r="BBC22" s="214"/>
      <c r="BBD22" s="214"/>
      <c r="BBE22" s="214"/>
      <c r="BBF22" s="214"/>
      <c r="BBG22" s="214"/>
      <c r="BBH22" s="214"/>
      <c r="BBI22" s="214"/>
      <c r="BBJ22" s="214"/>
      <c r="BBK22" s="214"/>
      <c r="BBL22" s="214"/>
      <c r="BBM22" s="214"/>
      <c r="BBN22" s="214"/>
      <c r="BBO22" s="214"/>
      <c r="BBP22" s="214"/>
      <c r="BBQ22" s="214"/>
      <c r="BBR22" s="214"/>
      <c r="BBS22" s="214"/>
      <c r="BBT22" s="214"/>
      <c r="BBU22" s="214"/>
      <c r="BBV22" s="214"/>
      <c r="BBW22" s="214"/>
      <c r="BBX22" s="214"/>
      <c r="BBY22" s="214"/>
      <c r="BBZ22" s="214"/>
      <c r="BCA22" s="214"/>
      <c r="BCB22" s="214"/>
      <c r="BCC22" s="214"/>
      <c r="BCD22" s="214"/>
      <c r="BCE22" s="214"/>
      <c r="BCF22" s="214"/>
      <c r="BCG22" s="214"/>
      <c r="BCH22" s="214"/>
      <c r="BCI22" s="214"/>
      <c r="BCJ22" s="214"/>
      <c r="BCK22" s="214"/>
      <c r="BCL22" s="214"/>
      <c r="BCM22" s="214"/>
      <c r="BCN22" s="214"/>
      <c r="BCO22" s="214"/>
      <c r="BCP22" s="214"/>
      <c r="BCQ22" s="214"/>
      <c r="BCR22" s="214"/>
      <c r="BCS22" s="214"/>
      <c r="BCT22" s="214"/>
      <c r="BCU22" s="214"/>
      <c r="BCV22" s="214"/>
      <c r="BCW22" s="214"/>
      <c r="BCX22" s="214"/>
      <c r="BCY22" s="214"/>
      <c r="BCZ22" s="214"/>
      <c r="BDA22" s="214"/>
      <c r="BDB22" s="214"/>
      <c r="BDC22" s="214"/>
      <c r="BDD22" s="214"/>
      <c r="BDE22" s="214"/>
      <c r="BDF22" s="214"/>
      <c r="BDG22" s="214"/>
      <c r="BDH22" s="214"/>
      <c r="BDI22" s="214"/>
      <c r="BDJ22" s="214"/>
      <c r="BDK22" s="214"/>
      <c r="BDL22" s="214"/>
      <c r="BDM22" s="214"/>
      <c r="BDN22" s="214"/>
      <c r="BDO22" s="214"/>
      <c r="BDP22" s="214"/>
      <c r="BDQ22" s="214"/>
      <c r="BDR22" s="214"/>
      <c r="BDS22" s="214"/>
      <c r="BDT22" s="214"/>
      <c r="BDU22" s="214"/>
      <c r="BDV22" s="214"/>
      <c r="BDW22" s="214"/>
      <c r="BDX22" s="214"/>
      <c r="BDY22" s="214"/>
      <c r="BDZ22" s="214"/>
      <c r="BEA22" s="214"/>
      <c r="BEB22" s="214"/>
      <c r="BEC22" s="214"/>
      <c r="BED22" s="214"/>
      <c r="BEE22" s="214"/>
      <c r="BEF22" s="214"/>
      <c r="BEG22" s="214"/>
      <c r="BEH22" s="214"/>
      <c r="BEI22" s="214"/>
      <c r="BEJ22" s="214"/>
      <c r="BEK22" s="214"/>
      <c r="BEL22" s="214"/>
      <c r="BEM22" s="214"/>
      <c r="BEN22" s="214"/>
      <c r="BEO22" s="214"/>
      <c r="BEP22" s="214"/>
      <c r="BEQ22" s="214"/>
      <c r="BER22" s="214"/>
      <c r="BES22" s="214"/>
      <c r="BET22" s="214"/>
      <c r="BEU22" s="214"/>
      <c r="BEV22" s="214"/>
      <c r="BEW22" s="214"/>
      <c r="BEX22" s="214"/>
      <c r="BEY22" s="214"/>
      <c r="BEZ22" s="214"/>
      <c r="BFA22" s="214"/>
      <c r="BFB22" s="214"/>
      <c r="BFC22" s="214"/>
      <c r="BFD22" s="214"/>
      <c r="BFE22" s="214"/>
      <c r="BFF22" s="214"/>
      <c r="BFG22" s="214"/>
      <c r="BFH22" s="214"/>
      <c r="BFI22" s="214"/>
      <c r="BFJ22" s="214"/>
      <c r="BFK22" s="214"/>
      <c r="BFL22" s="214"/>
      <c r="BFM22" s="214"/>
      <c r="BFN22" s="214"/>
      <c r="BFO22" s="214"/>
      <c r="BFP22" s="214"/>
      <c r="BFQ22" s="214"/>
      <c r="BFR22" s="214"/>
      <c r="BFS22" s="214"/>
      <c r="BFT22" s="214"/>
      <c r="BFU22" s="214"/>
      <c r="BFV22" s="214"/>
      <c r="BFW22" s="214"/>
      <c r="BFX22" s="214"/>
      <c r="BFY22" s="214"/>
      <c r="BFZ22" s="214"/>
      <c r="BGA22" s="214"/>
      <c r="BGB22" s="214"/>
      <c r="BGC22" s="214"/>
      <c r="BGD22" s="214"/>
      <c r="BGE22" s="214"/>
      <c r="BGF22" s="214"/>
      <c r="BGG22" s="214"/>
      <c r="BGH22" s="214"/>
      <c r="BGI22" s="214"/>
      <c r="BGJ22" s="214"/>
      <c r="BGK22" s="214"/>
      <c r="BGL22" s="214"/>
      <c r="BGM22" s="214"/>
      <c r="BGN22" s="214"/>
      <c r="BGO22" s="214"/>
      <c r="BGP22" s="214"/>
      <c r="BGQ22" s="214"/>
      <c r="BGR22" s="214"/>
      <c r="BGS22" s="214"/>
      <c r="BGT22" s="214"/>
      <c r="BGU22" s="214"/>
      <c r="BGV22" s="214"/>
      <c r="BGW22" s="214"/>
      <c r="BGX22" s="214"/>
      <c r="BGY22" s="214"/>
      <c r="BGZ22" s="214"/>
      <c r="BHA22" s="214"/>
      <c r="BHB22" s="214"/>
      <c r="BHC22" s="214"/>
      <c r="BHD22" s="214"/>
      <c r="BHE22" s="214"/>
      <c r="BHF22" s="214"/>
      <c r="BHG22" s="214"/>
      <c r="BHH22" s="214"/>
      <c r="BHI22" s="214"/>
      <c r="BHJ22" s="214"/>
      <c r="BHK22" s="214"/>
      <c r="BHL22" s="214"/>
      <c r="BHM22" s="214"/>
      <c r="BHN22" s="214"/>
      <c r="BHO22" s="214"/>
      <c r="BHP22" s="214"/>
      <c r="BHQ22" s="214"/>
      <c r="BHR22" s="214"/>
      <c r="BHS22" s="214"/>
      <c r="BHT22" s="214"/>
      <c r="BHU22" s="214"/>
      <c r="BHV22" s="214"/>
      <c r="BHW22" s="214"/>
    </row>
    <row r="23" spans="1:1583" s="221" customFormat="1" ht="15.75" thickBot="1">
      <c r="A23" s="114" t="s">
        <v>35</v>
      </c>
      <c r="B23" s="189" t="s">
        <v>353</v>
      </c>
      <c r="C23" s="416" t="s">
        <v>475</v>
      </c>
      <c r="D23" s="418" t="s">
        <v>475</v>
      </c>
      <c r="E23" s="264" t="s">
        <v>9</v>
      </c>
      <c r="F23" s="293">
        <v>432.1</v>
      </c>
      <c r="G23" s="60" t="s">
        <v>677</v>
      </c>
      <c r="H23" s="473">
        <f t="shared" si="8"/>
        <v>645.43459108752461</v>
      </c>
      <c r="I23" s="149">
        <f>VLOOKUP($B23,'DCS Data'!$E$2:$AJ$100,MATCH('Daily Report'!I$1,'DCS Data'!$E$2:$AJ$2,0),0)</f>
        <v>4.9699328378312049E-2</v>
      </c>
      <c r="J23" s="255"/>
      <c r="K23" s="149">
        <f>VLOOKUP($B23,'DCS Data'!$E$2:$AJ$100,MATCH('Daily Report'!K$1,'DCS Data'!$E$2:$AJ$2,0),0)</f>
        <v>4.8166376208352034E-2</v>
      </c>
      <c r="L23" s="149">
        <f>VLOOKUP($B23,'DCS Data'!$E$2:$AJ$100,MATCH('Daily Report'!L$1,'DCS Data'!$E$2:$AJ$2,0),0)</f>
        <v>4.7242370402615773E-2</v>
      </c>
      <c r="M23" s="149">
        <f>VLOOKUP($B23,'DCS Data'!$E$2:$AJ$100,MATCH('Daily Report'!M$1,'DCS Data'!$E$2:$AJ$2,0),0)</f>
        <v>4.5487497986152058E-2</v>
      </c>
      <c r="N23" s="149">
        <f>VLOOKUP($B23,'DCS Data'!$E$2:$AJ$100,MATCH('Daily Report'!N$1,'DCS Data'!$E$2:$AJ$2,0),0)</f>
        <v>4.5305489027901144E-2</v>
      </c>
      <c r="O23" s="149">
        <f>VLOOKUP($B23,'DCS Data'!$E$2:$AJ$100,MATCH('Daily Report'!O$1,'DCS Data'!$E$2:$AJ$2,0),0)</f>
        <v>4.4889121660267393E-2</v>
      </c>
      <c r="P23" s="149">
        <f>VLOOKUP($B23,'DCS Data'!$E$2:$AJ$100,MATCH('Daily Report'!P$1,'DCS Data'!$E$2:$AJ$2,0),0)</f>
        <v>4.495034467286288E-2</v>
      </c>
      <c r="Q23" s="149">
        <f>VLOOKUP($B23,'DCS Data'!$E$2:$AJ$100,MATCH('Daily Report'!Q$1,'DCS Data'!$E$2:$AJ$2,0),0)</f>
        <v>4.5003778149126226E-2</v>
      </c>
      <c r="R23" s="149">
        <f>VLOOKUP($B23,'DCS Data'!$E$2:$AJ$100,MATCH('Daily Report'!R$1,'DCS Data'!$E$2:$AJ$2,0),0)</f>
        <v>4.3762651803065732E-2</v>
      </c>
      <c r="S23" s="149">
        <f>VLOOKUP($B23,'DCS Data'!$E$2:$AJ$100,MATCH('Daily Report'!S$1,'DCS Data'!$E$2:$AJ$2,0),0)</f>
        <v>4.3030375359474536E-2</v>
      </c>
      <c r="T23" s="149">
        <f>VLOOKUP($B23,'DCS Data'!$E$2:$AJ$100,MATCH('Daily Report'!T$1,'DCS Data'!$E$2:$AJ$2,0),0)</f>
        <v>4.2337000121879687E-2</v>
      </c>
      <c r="U23" s="149">
        <f>VLOOKUP($B23,'DCS Data'!$E$2:$AJ$100,MATCH('Daily Report'!U$1,'DCS Data'!$E$2:$AJ$2,0),0)</f>
        <v>4.2235413656501332E-2</v>
      </c>
      <c r="V23" s="149">
        <f>VLOOKUP($B23,'DCS Data'!$E$2:$AJ$100,MATCH('Daily Report'!V$1,'DCS Data'!$E$2:$AJ$2,0),0)</f>
        <v>4.1236071577224288E-2</v>
      </c>
      <c r="W23" s="149">
        <f>VLOOKUP($B23,'DCS Data'!$E$2:$AJ$100,MATCH('Daily Report'!W$1,'DCS Data'!$E$2:$AJ$2,0),0)</f>
        <v>4.0742222653550451E-2</v>
      </c>
      <c r="X23" s="149">
        <f>VLOOKUP($B23,'DCS Data'!$E$2:$AJ$100,MATCH('Daily Report'!X$1,'DCS Data'!$E$2:$AJ$2,0),0)</f>
        <v>40.322644041836277</v>
      </c>
      <c r="Y23" s="149">
        <f>VLOOKUP($B23,'DCS Data'!$E$2:$AJ$100,MATCH('Daily Report'!Y$1,'DCS Data'!$E$2:$AJ$2,0),0)</f>
        <v>33.615930983090692</v>
      </c>
      <c r="Z23" s="149">
        <f>VLOOKUP($B23,'DCS Data'!$E$2:$AJ$100,MATCH('Daily Report'!Z$1,'DCS Data'!$E$2:$AJ$2,0),0)</f>
        <v>26.671107696321432</v>
      </c>
      <c r="AA23" s="149">
        <f>VLOOKUP($B23,'DCS Data'!$E$2:$AJ$100,MATCH('Daily Report'!AA$1,'DCS Data'!$E$2:$AJ$2,0),0)</f>
        <v>22.057236103937552</v>
      </c>
      <c r="AB23" s="149">
        <f>VLOOKUP($B23,'DCS Data'!$E$2:$AJ$100,MATCH('Daily Report'!AB$1,'DCS Data'!$E$2:$AJ$2,0),0)</f>
        <v>21.644563070596007</v>
      </c>
      <c r="AC23" s="149">
        <f>VLOOKUP($B23,'DCS Data'!$E$2:$AJ$100,MATCH('Daily Report'!AC$1,'DCS Data'!$E$2:$AJ$2,0),0)</f>
        <v>34.510562524527273</v>
      </c>
      <c r="AD23" s="149">
        <f>VLOOKUP($B23,'DCS Data'!$E$2:$AJ$100,MATCH('Daily Report'!AD$1,'DCS Data'!$E$2:$AJ$2,0),0)</f>
        <v>44.511756601967761</v>
      </c>
      <c r="AE23" s="149">
        <f>VLOOKUP($B23,'DCS Data'!$E$2:$AJ$100,MATCH('Daily Report'!AE$1,'DCS Data'!$E$2:$AJ$2,0),0)</f>
        <v>45.701347292181232</v>
      </c>
      <c r="AF23" s="149">
        <f>VLOOKUP($B23,'DCS Data'!$E$2:$AJ$100,MATCH('Daily Report'!AF$1,'DCS Data'!$E$2:$AJ$2,0),0)</f>
        <v>45.474301992091263</v>
      </c>
      <c r="AG23" s="149">
        <f>VLOOKUP($B23,'DCS Data'!$E$2:$AJ$100,MATCH('Daily Report'!AG$1,'DCS Data'!$E$2:$AJ$2,0),0)</f>
        <v>44.04818566754507</v>
      </c>
      <c r="AH23" s="149">
        <f>VLOOKUP($B23,'DCS Data'!$E$2:$AJ$100,MATCH('Daily Report'!AH$1,'DCS Data'!$E$2:$AJ$2,0),0)</f>
        <v>43.209726283626573</v>
      </c>
      <c r="AI23" s="149">
        <f>VLOOKUP($B23,'DCS Data'!$E$2:$AJ$100,MATCH('Daily Report'!AI$1,'DCS Data'!$E$2:$AJ$2,0),0)</f>
        <v>42.851712704051067</v>
      </c>
      <c r="AJ23" s="149">
        <f>VLOOKUP($B23,'DCS Data'!$E$2:$AJ$100,MATCH('Daily Report'!AJ$1,'DCS Data'!$E$2:$AJ$2,0),0)</f>
        <v>42.074327849534129</v>
      </c>
      <c r="AK23" s="149">
        <f>VLOOKUP($B23,'DCS Data'!$E$2:$AJ$100,MATCH('Daily Report'!AK$1,'DCS Data'!$E$2:$AJ$2,0),0)</f>
        <v>40.875081224103305</v>
      </c>
      <c r="AL23" s="149">
        <f>VLOOKUP($B23,'DCS Data'!$E$2:$AJ$100,MATCH('Daily Report'!AL$1,'DCS Data'!$E$2:$AJ$2,0),0)</f>
        <v>40.156986893212171</v>
      </c>
      <c r="AM23" s="149">
        <f>VLOOKUP($B23,'DCS Data'!$E$2:$AJ$100,MATCH('Daily Report'!AM$1,'DCS Data'!$E$2:$AJ$2,0),0)</f>
        <v>38.976135899861426</v>
      </c>
      <c r="AN23" s="149">
        <f>VLOOKUP($B23,'DCS Data'!$E$2:$AJ$100,MATCH('Daily Report'!AN$1,'DCS Data'!$E$2:$AJ$2,0),0)</f>
        <v>38.108896217383979</v>
      </c>
      <c r="AO23" s="214"/>
      <c r="AP23" s="214"/>
      <c r="AQ23" s="214"/>
      <c r="AR23" s="214"/>
      <c r="AS23" s="214"/>
      <c r="AT23" s="214"/>
      <c r="AU23" s="214"/>
      <c r="AV23" s="214"/>
      <c r="AW23" s="214"/>
      <c r="AX23" s="214"/>
      <c r="AY23" s="214"/>
      <c r="AZ23" s="214"/>
      <c r="BA23" s="214"/>
      <c r="BB23" s="214"/>
      <c r="BC23" s="214"/>
      <c r="BD23" s="214"/>
      <c r="BE23" s="214"/>
      <c r="BF23" s="214"/>
      <c r="BG23" s="214"/>
      <c r="BH23" s="214"/>
      <c r="BI23" s="214"/>
      <c r="BJ23" s="214"/>
      <c r="BK23" s="214"/>
      <c r="BL23" s="214"/>
      <c r="BM23" s="214"/>
      <c r="BN23" s="214"/>
      <c r="BO23" s="214"/>
      <c r="BP23" s="214"/>
      <c r="BQ23" s="214"/>
      <c r="BR23" s="214"/>
      <c r="BS23" s="214"/>
      <c r="BT23" s="214"/>
      <c r="BU23" s="214"/>
      <c r="BV23" s="214"/>
      <c r="BW23" s="214"/>
      <c r="BX23" s="214"/>
      <c r="BY23" s="214"/>
      <c r="BZ23" s="214"/>
      <c r="CA23" s="214"/>
      <c r="CB23" s="214"/>
      <c r="CC23" s="214"/>
      <c r="CD23" s="214"/>
      <c r="CE23" s="214"/>
      <c r="CF23" s="214"/>
      <c r="CG23" s="214"/>
      <c r="CH23" s="214"/>
      <c r="CI23" s="214"/>
      <c r="CJ23" s="214"/>
      <c r="CK23" s="214"/>
      <c r="CL23" s="214"/>
      <c r="CM23" s="214"/>
      <c r="CN23" s="214"/>
      <c r="CO23" s="214"/>
      <c r="CP23" s="214"/>
      <c r="CQ23" s="214"/>
      <c r="CR23" s="214"/>
      <c r="CS23" s="214"/>
      <c r="CT23" s="214"/>
      <c r="CU23" s="214"/>
      <c r="CV23" s="214"/>
      <c r="CW23" s="214"/>
      <c r="CX23" s="214"/>
      <c r="CY23" s="214"/>
      <c r="CZ23" s="214"/>
      <c r="DA23" s="214"/>
      <c r="DB23" s="214"/>
      <c r="DC23" s="214"/>
      <c r="DD23" s="214"/>
      <c r="DE23" s="214"/>
      <c r="DF23" s="214"/>
      <c r="DG23" s="214"/>
      <c r="DH23" s="214"/>
      <c r="DI23" s="214"/>
      <c r="DJ23" s="214"/>
      <c r="DK23" s="214"/>
      <c r="DL23" s="214"/>
      <c r="DM23" s="214"/>
      <c r="DN23" s="214"/>
      <c r="DO23" s="214"/>
      <c r="DP23" s="214"/>
      <c r="DQ23" s="214"/>
      <c r="DR23" s="214"/>
      <c r="DS23" s="214"/>
      <c r="DT23" s="214"/>
      <c r="DU23" s="214"/>
      <c r="DV23" s="214"/>
      <c r="DW23" s="214"/>
      <c r="DX23" s="214"/>
      <c r="DY23" s="214"/>
      <c r="DZ23" s="214"/>
      <c r="EA23" s="214"/>
      <c r="EB23" s="214"/>
      <c r="EC23" s="214"/>
      <c r="ED23" s="214"/>
      <c r="EE23" s="214"/>
      <c r="EF23" s="214"/>
      <c r="EG23" s="214"/>
      <c r="EH23" s="214"/>
      <c r="EI23" s="214"/>
      <c r="EJ23" s="214"/>
      <c r="EK23" s="214"/>
      <c r="EL23" s="214"/>
      <c r="EM23" s="214"/>
      <c r="EN23" s="214"/>
      <c r="EO23" s="214"/>
      <c r="EP23" s="214"/>
      <c r="EQ23" s="214"/>
      <c r="ER23" s="214"/>
      <c r="ES23" s="214"/>
      <c r="ET23" s="214"/>
      <c r="EU23" s="214"/>
      <c r="EV23" s="214"/>
      <c r="EW23" s="214"/>
      <c r="EX23" s="214"/>
      <c r="EY23" s="214"/>
      <c r="EZ23" s="214"/>
      <c r="FA23" s="214"/>
      <c r="FB23" s="214"/>
      <c r="FC23" s="214"/>
      <c r="FD23" s="214"/>
      <c r="FE23" s="214"/>
      <c r="FF23" s="214"/>
      <c r="FG23" s="214"/>
      <c r="FH23" s="214"/>
      <c r="FI23" s="214"/>
      <c r="FJ23" s="214"/>
      <c r="FK23" s="214"/>
      <c r="FL23" s="214"/>
      <c r="FM23" s="214"/>
      <c r="FN23" s="214"/>
      <c r="FO23" s="214"/>
      <c r="FP23" s="214"/>
      <c r="FQ23" s="214"/>
      <c r="FR23" s="214"/>
      <c r="FS23" s="214"/>
      <c r="FT23" s="214"/>
      <c r="FU23" s="214"/>
      <c r="FV23" s="214"/>
      <c r="FW23" s="214"/>
      <c r="FX23" s="214"/>
      <c r="FY23" s="214"/>
      <c r="FZ23" s="214"/>
      <c r="GA23" s="214"/>
      <c r="GB23" s="214"/>
      <c r="GC23" s="214"/>
      <c r="GD23" s="214"/>
      <c r="GE23" s="214"/>
      <c r="GF23" s="214"/>
      <c r="GG23" s="214"/>
      <c r="GH23" s="214"/>
      <c r="GI23" s="214"/>
      <c r="GJ23" s="214"/>
      <c r="GK23" s="214"/>
      <c r="GL23" s="214"/>
      <c r="GM23" s="214"/>
      <c r="GN23" s="214"/>
      <c r="GO23" s="214"/>
      <c r="GP23" s="214"/>
      <c r="GQ23" s="214"/>
      <c r="GR23" s="214"/>
      <c r="GS23" s="214"/>
      <c r="GT23" s="214"/>
      <c r="GU23" s="214"/>
      <c r="GV23" s="214"/>
      <c r="GW23" s="214"/>
      <c r="GX23" s="214"/>
      <c r="GY23" s="214"/>
      <c r="GZ23" s="214"/>
      <c r="HA23" s="214"/>
      <c r="HB23" s="214"/>
      <c r="HC23" s="214"/>
      <c r="HD23" s="214"/>
      <c r="HE23" s="214"/>
      <c r="HF23" s="214"/>
      <c r="HG23" s="214"/>
      <c r="HH23" s="214"/>
      <c r="HI23" s="214"/>
      <c r="HJ23" s="214"/>
      <c r="HK23" s="214"/>
      <c r="HL23" s="214"/>
      <c r="HM23" s="214"/>
      <c r="HN23" s="214"/>
      <c r="HO23" s="214"/>
      <c r="HP23" s="214"/>
      <c r="HQ23" s="214"/>
      <c r="HR23" s="214"/>
      <c r="HS23" s="214"/>
      <c r="HT23" s="214"/>
      <c r="HU23" s="214"/>
      <c r="HV23" s="214"/>
      <c r="HW23" s="214"/>
      <c r="HX23" s="214"/>
      <c r="HY23" s="214"/>
      <c r="HZ23" s="214"/>
      <c r="IA23" s="214"/>
      <c r="IB23" s="214"/>
      <c r="IC23" s="214"/>
      <c r="ID23" s="214"/>
      <c r="IE23" s="214"/>
      <c r="IF23" s="214"/>
      <c r="IG23" s="214"/>
      <c r="IH23" s="214"/>
      <c r="II23" s="214"/>
      <c r="IJ23" s="214"/>
      <c r="IK23" s="214"/>
      <c r="IL23" s="214"/>
      <c r="IM23" s="214"/>
      <c r="IN23" s="214"/>
      <c r="IO23" s="214"/>
      <c r="IP23" s="214"/>
      <c r="IQ23" s="214"/>
      <c r="IR23" s="214"/>
      <c r="IS23" s="214"/>
      <c r="IT23" s="214"/>
      <c r="IU23" s="214"/>
      <c r="IV23" s="214"/>
      <c r="IW23" s="214"/>
      <c r="IX23" s="214"/>
      <c r="IY23" s="214"/>
      <c r="IZ23" s="214"/>
      <c r="JA23" s="214"/>
      <c r="JB23" s="214"/>
      <c r="JC23" s="214"/>
      <c r="JD23" s="214"/>
      <c r="JE23" s="214"/>
      <c r="JF23" s="214"/>
      <c r="JG23" s="214"/>
      <c r="JH23" s="214"/>
      <c r="JI23" s="214"/>
      <c r="JJ23" s="214"/>
      <c r="JK23" s="214"/>
      <c r="JL23" s="214"/>
      <c r="JM23" s="214"/>
      <c r="JN23" s="214"/>
      <c r="JO23" s="214"/>
      <c r="JP23" s="214"/>
      <c r="JQ23" s="214"/>
      <c r="JR23" s="214"/>
      <c r="JS23" s="214"/>
      <c r="JT23" s="214"/>
      <c r="JU23" s="214"/>
      <c r="JV23" s="214"/>
      <c r="JW23" s="214"/>
      <c r="JX23" s="214"/>
      <c r="JY23" s="214"/>
      <c r="JZ23" s="214"/>
      <c r="KA23" s="214"/>
      <c r="KB23" s="214"/>
      <c r="KC23" s="214"/>
      <c r="KD23" s="214"/>
      <c r="KE23" s="214"/>
      <c r="KF23" s="214"/>
      <c r="KG23" s="214"/>
      <c r="KH23" s="214"/>
      <c r="KI23" s="214"/>
      <c r="KJ23" s="214"/>
      <c r="KK23" s="214"/>
      <c r="KL23" s="214"/>
      <c r="KM23" s="214"/>
      <c r="KN23" s="214"/>
      <c r="KO23" s="214"/>
      <c r="KP23" s="214"/>
      <c r="KQ23" s="214"/>
      <c r="KR23" s="214"/>
      <c r="KS23" s="214"/>
      <c r="KT23" s="214"/>
      <c r="KU23" s="214"/>
      <c r="KV23" s="214"/>
      <c r="KW23" s="214"/>
      <c r="KX23" s="214"/>
      <c r="KY23" s="214"/>
      <c r="KZ23" s="214"/>
      <c r="LA23" s="214"/>
      <c r="LB23" s="214"/>
      <c r="LC23" s="214"/>
      <c r="LD23" s="214"/>
      <c r="LE23" s="214"/>
      <c r="LF23" s="214"/>
      <c r="LG23" s="214"/>
      <c r="LH23" s="214"/>
      <c r="LI23" s="214"/>
      <c r="LJ23" s="214"/>
      <c r="LK23" s="214"/>
      <c r="LL23" s="214"/>
      <c r="LM23" s="214"/>
      <c r="LN23" s="214"/>
      <c r="LO23" s="214"/>
      <c r="LP23" s="214"/>
      <c r="LQ23" s="214"/>
      <c r="LR23" s="214"/>
      <c r="LS23" s="214"/>
      <c r="LT23" s="214"/>
      <c r="LU23" s="214"/>
      <c r="LV23" s="214"/>
      <c r="LW23" s="214"/>
      <c r="LX23" s="214"/>
      <c r="LY23" s="214"/>
      <c r="LZ23" s="214"/>
      <c r="MA23" s="214"/>
      <c r="MB23" s="214"/>
      <c r="MC23" s="214"/>
      <c r="MD23" s="214"/>
      <c r="ME23" s="214"/>
      <c r="MF23" s="214"/>
      <c r="MG23" s="214"/>
      <c r="MH23" s="214"/>
      <c r="MI23" s="214"/>
      <c r="MJ23" s="214"/>
      <c r="MK23" s="214"/>
      <c r="ML23" s="214"/>
      <c r="MM23" s="214"/>
      <c r="MN23" s="214"/>
      <c r="MO23" s="214"/>
      <c r="MP23" s="214"/>
      <c r="MQ23" s="214"/>
      <c r="MR23" s="214"/>
      <c r="MS23" s="214"/>
      <c r="MT23" s="214"/>
      <c r="MU23" s="214"/>
      <c r="MV23" s="214"/>
      <c r="MW23" s="214"/>
      <c r="MX23" s="214"/>
      <c r="MY23" s="214"/>
      <c r="MZ23" s="214"/>
      <c r="NA23" s="214"/>
      <c r="NB23" s="214"/>
      <c r="NC23" s="214"/>
      <c r="ND23" s="214"/>
      <c r="NE23" s="214"/>
      <c r="NF23" s="214"/>
      <c r="NG23" s="214"/>
      <c r="NH23" s="214"/>
      <c r="NI23" s="214"/>
      <c r="NJ23" s="214"/>
      <c r="NK23" s="214"/>
      <c r="NL23" s="214"/>
      <c r="NM23" s="214"/>
      <c r="NN23" s="214"/>
      <c r="NO23" s="214"/>
      <c r="NP23" s="214"/>
      <c r="NQ23" s="214"/>
      <c r="NR23" s="214"/>
      <c r="NS23" s="214"/>
      <c r="NT23" s="214"/>
      <c r="NU23" s="214"/>
      <c r="NV23" s="214"/>
      <c r="NW23" s="214"/>
      <c r="NX23" s="214"/>
      <c r="NY23" s="214"/>
      <c r="NZ23" s="214"/>
      <c r="OA23" s="214"/>
      <c r="OB23" s="214"/>
      <c r="OC23" s="214"/>
      <c r="OD23" s="214"/>
      <c r="OE23" s="214"/>
      <c r="OF23" s="214"/>
      <c r="OG23" s="214"/>
      <c r="OH23" s="214"/>
      <c r="OI23" s="214"/>
      <c r="OJ23" s="214"/>
      <c r="OK23" s="214"/>
      <c r="OL23" s="214"/>
      <c r="OM23" s="214"/>
      <c r="ON23" s="214"/>
      <c r="OO23" s="214"/>
      <c r="OP23" s="214"/>
      <c r="OQ23" s="214"/>
      <c r="OR23" s="214"/>
      <c r="OS23" s="214"/>
      <c r="OT23" s="214"/>
      <c r="OU23" s="214"/>
      <c r="OV23" s="214"/>
      <c r="OW23" s="214"/>
      <c r="OX23" s="214"/>
      <c r="OY23" s="214"/>
      <c r="OZ23" s="214"/>
      <c r="PA23" s="214"/>
      <c r="PB23" s="214"/>
      <c r="PC23" s="214"/>
      <c r="PD23" s="214"/>
      <c r="PE23" s="214"/>
      <c r="PF23" s="214"/>
      <c r="PG23" s="214"/>
      <c r="PH23" s="214"/>
      <c r="PI23" s="214"/>
      <c r="PJ23" s="214"/>
      <c r="PK23" s="214"/>
      <c r="PL23" s="214"/>
      <c r="PM23" s="214"/>
      <c r="PN23" s="214"/>
      <c r="PO23" s="214"/>
      <c r="PP23" s="214"/>
      <c r="PQ23" s="214"/>
      <c r="PR23" s="214"/>
      <c r="PS23" s="214"/>
      <c r="PT23" s="214"/>
      <c r="PU23" s="214"/>
      <c r="PV23" s="214"/>
      <c r="PW23" s="214"/>
      <c r="PX23" s="214"/>
      <c r="PY23" s="214"/>
      <c r="PZ23" s="214"/>
      <c r="QA23" s="214"/>
      <c r="QB23" s="214"/>
      <c r="QC23" s="214"/>
      <c r="QD23" s="214"/>
      <c r="QE23" s="214"/>
      <c r="QF23" s="214"/>
      <c r="QG23" s="214"/>
      <c r="QH23" s="214"/>
      <c r="QI23" s="214"/>
      <c r="QJ23" s="214"/>
      <c r="QK23" s="214"/>
      <c r="QL23" s="214"/>
      <c r="QM23" s="214"/>
      <c r="QN23" s="214"/>
      <c r="QO23" s="214"/>
      <c r="QP23" s="214"/>
      <c r="QQ23" s="214"/>
      <c r="QR23" s="214"/>
      <c r="QS23" s="214"/>
      <c r="QT23" s="214"/>
      <c r="QU23" s="214"/>
      <c r="QV23" s="214"/>
      <c r="QW23" s="214"/>
      <c r="QX23" s="214"/>
      <c r="QY23" s="214"/>
      <c r="QZ23" s="214"/>
      <c r="RA23" s="214"/>
      <c r="RB23" s="214"/>
      <c r="RC23" s="214"/>
      <c r="RD23" s="214"/>
      <c r="RE23" s="214"/>
      <c r="RF23" s="214"/>
      <c r="RG23" s="214"/>
      <c r="RH23" s="214"/>
      <c r="RI23" s="214"/>
      <c r="RJ23" s="214"/>
      <c r="RK23" s="214"/>
      <c r="RL23" s="214"/>
      <c r="RM23" s="214"/>
      <c r="RN23" s="214"/>
      <c r="RO23" s="214"/>
      <c r="RP23" s="214"/>
      <c r="RQ23" s="214"/>
      <c r="RR23" s="214"/>
      <c r="RS23" s="214"/>
      <c r="RT23" s="214"/>
      <c r="RU23" s="214"/>
      <c r="RV23" s="214"/>
      <c r="RW23" s="214"/>
      <c r="RX23" s="214"/>
      <c r="RY23" s="214"/>
      <c r="RZ23" s="214"/>
      <c r="SA23" s="214"/>
      <c r="SB23" s="214"/>
      <c r="SC23" s="214"/>
      <c r="SD23" s="214"/>
      <c r="SE23" s="214"/>
      <c r="SF23" s="214"/>
      <c r="SG23" s="214"/>
      <c r="SH23" s="214"/>
      <c r="SI23" s="214"/>
      <c r="SJ23" s="214"/>
      <c r="SK23" s="214"/>
      <c r="SL23" s="214"/>
      <c r="SM23" s="214"/>
      <c r="SN23" s="214"/>
      <c r="SO23" s="214"/>
      <c r="SP23" s="214"/>
      <c r="SQ23" s="214"/>
      <c r="SR23" s="214"/>
      <c r="SS23" s="214"/>
      <c r="ST23" s="214"/>
      <c r="SU23" s="214"/>
      <c r="SV23" s="214"/>
      <c r="SW23" s="214"/>
      <c r="SX23" s="214"/>
      <c r="SY23" s="214"/>
      <c r="SZ23" s="214"/>
      <c r="TA23" s="214"/>
      <c r="TB23" s="214"/>
      <c r="TC23" s="214"/>
      <c r="TD23" s="214"/>
      <c r="TE23" s="214"/>
      <c r="TF23" s="214"/>
      <c r="TG23" s="214"/>
      <c r="TH23" s="214"/>
      <c r="TI23" s="214"/>
      <c r="TJ23" s="214"/>
      <c r="TK23" s="214"/>
      <c r="TL23" s="214"/>
      <c r="TM23" s="214"/>
      <c r="TN23" s="214"/>
      <c r="TO23" s="214"/>
      <c r="TP23" s="214"/>
      <c r="TQ23" s="214"/>
      <c r="TR23" s="214"/>
      <c r="TS23" s="214"/>
      <c r="TT23" s="214"/>
      <c r="TU23" s="214"/>
      <c r="TV23" s="214"/>
      <c r="TW23" s="214"/>
      <c r="TX23" s="214"/>
      <c r="TY23" s="214"/>
      <c r="TZ23" s="214"/>
      <c r="UA23" s="214"/>
      <c r="UB23" s="214"/>
      <c r="UC23" s="214"/>
      <c r="UD23" s="214"/>
      <c r="UE23" s="214"/>
      <c r="UF23" s="214"/>
      <c r="UG23" s="214"/>
      <c r="UH23" s="214"/>
      <c r="UI23" s="214"/>
      <c r="UJ23" s="214"/>
      <c r="UK23" s="214"/>
      <c r="UL23" s="214"/>
      <c r="UM23" s="214"/>
      <c r="UN23" s="214"/>
      <c r="UO23" s="214"/>
      <c r="UP23" s="214"/>
      <c r="UQ23" s="214"/>
      <c r="UR23" s="214"/>
      <c r="US23" s="214"/>
      <c r="UT23" s="214"/>
      <c r="UU23" s="214"/>
      <c r="UV23" s="214"/>
      <c r="UW23" s="214"/>
      <c r="UX23" s="214"/>
      <c r="UY23" s="214"/>
      <c r="UZ23" s="214"/>
      <c r="VA23" s="214"/>
      <c r="VB23" s="214"/>
      <c r="VC23" s="214"/>
      <c r="VD23" s="214"/>
      <c r="VE23" s="214"/>
      <c r="VF23" s="214"/>
      <c r="VG23" s="214"/>
      <c r="VH23" s="214"/>
      <c r="VI23" s="214"/>
      <c r="VJ23" s="214"/>
      <c r="VK23" s="214"/>
      <c r="VL23" s="214"/>
      <c r="VM23" s="214"/>
      <c r="VN23" s="214"/>
      <c r="VO23" s="214"/>
      <c r="VP23" s="214"/>
      <c r="VQ23" s="214"/>
      <c r="VR23" s="214"/>
      <c r="VS23" s="214"/>
      <c r="VT23" s="214"/>
      <c r="VU23" s="214"/>
      <c r="VV23" s="214"/>
      <c r="VW23" s="214"/>
      <c r="VX23" s="214"/>
      <c r="VY23" s="214"/>
      <c r="VZ23" s="214"/>
      <c r="WA23" s="214"/>
      <c r="WB23" s="214"/>
      <c r="WC23" s="214"/>
      <c r="WD23" s="214"/>
      <c r="WE23" s="214"/>
      <c r="WF23" s="214"/>
      <c r="WG23" s="214"/>
      <c r="WH23" s="214"/>
      <c r="WI23" s="214"/>
      <c r="WJ23" s="214"/>
      <c r="WK23" s="214"/>
      <c r="WL23" s="214"/>
      <c r="WM23" s="214"/>
      <c r="WN23" s="214"/>
      <c r="WO23" s="214"/>
      <c r="WP23" s="214"/>
      <c r="WQ23" s="214"/>
      <c r="WR23" s="214"/>
      <c r="WS23" s="214"/>
      <c r="WT23" s="214"/>
      <c r="WU23" s="214"/>
      <c r="WV23" s="214"/>
      <c r="WW23" s="214"/>
      <c r="WX23" s="214"/>
      <c r="WY23" s="214"/>
      <c r="WZ23" s="214"/>
      <c r="XA23" s="214"/>
      <c r="XB23" s="214"/>
      <c r="XC23" s="214"/>
      <c r="XD23" s="214"/>
      <c r="XE23" s="214"/>
      <c r="XF23" s="214"/>
      <c r="XG23" s="214"/>
      <c r="XH23" s="214"/>
      <c r="XI23" s="214"/>
      <c r="XJ23" s="214"/>
      <c r="XK23" s="214"/>
      <c r="XL23" s="214"/>
      <c r="XM23" s="214"/>
      <c r="XN23" s="214"/>
      <c r="XO23" s="214"/>
      <c r="XP23" s="214"/>
      <c r="XQ23" s="214"/>
      <c r="XR23" s="214"/>
      <c r="XS23" s="214"/>
      <c r="XT23" s="214"/>
      <c r="XU23" s="214"/>
      <c r="XV23" s="214"/>
      <c r="XW23" s="214"/>
      <c r="XX23" s="214"/>
      <c r="XY23" s="214"/>
      <c r="XZ23" s="214"/>
      <c r="YA23" s="214"/>
      <c r="YB23" s="214"/>
      <c r="YC23" s="214"/>
      <c r="YD23" s="214"/>
      <c r="YE23" s="214"/>
      <c r="YF23" s="214"/>
      <c r="YG23" s="214"/>
      <c r="YH23" s="214"/>
      <c r="YI23" s="214"/>
      <c r="YJ23" s="214"/>
      <c r="YK23" s="214"/>
      <c r="YL23" s="214"/>
      <c r="YM23" s="214"/>
      <c r="YN23" s="214"/>
      <c r="YO23" s="214"/>
      <c r="YP23" s="214"/>
      <c r="YQ23" s="214"/>
      <c r="YR23" s="214"/>
      <c r="YS23" s="214"/>
      <c r="YT23" s="214"/>
      <c r="YU23" s="214"/>
      <c r="YV23" s="214"/>
      <c r="YW23" s="214"/>
      <c r="YX23" s="214"/>
      <c r="YY23" s="214"/>
      <c r="YZ23" s="214"/>
      <c r="ZA23" s="214"/>
      <c r="ZB23" s="214"/>
      <c r="ZC23" s="214"/>
      <c r="ZD23" s="214"/>
      <c r="ZE23" s="214"/>
      <c r="ZF23" s="214"/>
      <c r="ZG23" s="214"/>
      <c r="ZH23" s="214"/>
      <c r="ZI23" s="214"/>
      <c r="ZJ23" s="214"/>
      <c r="ZK23" s="214"/>
      <c r="ZL23" s="214"/>
      <c r="ZM23" s="214"/>
      <c r="ZN23" s="214"/>
      <c r="ZO23" s="214"/>
      <c r="ZP23" s="214"/>
      <c r="ZQ23" s="214"/>
      <c r="ZR23" s="214"/>
      <c r="ZS23" s="214"/>
      <c r="ZT23" s="214"/>
      <c r="ZU23" s="214"/>
      <c r="ZV23" s="214"/>
      <c r="ZW23" s="214"/>
      <c r="ZX23" s="214"/>
      <c r="ZY23" s="214"/>
      <c r="ZZ23" s="214"/>
      <c r="AAA23" s="214"/>
      <c r="AAB23" s="214"/>
      <c r="AAC23" s="214"/>
      <c r="AAD23" s="214"/>
      <c r="AAE23" s="214"/>
      <c r="AAF23" s="214"/>
      <c r="AAG23" s="214"/>
      <c r="AAH23" s="214"/>
      <c r="AAI23" s="214"/>
      <c r="AAJ23" s="214"/>
      <c r="AAK23" s="214"/>
      <c r="AAL23" s="214"/>
      <c r="AAM23" s="214"/>
      <c r="AAN23" s="214"/>
      <c r="AAO23" s="214"/>
      <c r="AAP23" s="214"/>
      <c r="AAQ23" s="214"/>
      <c r="AAR23" s="214"/>
      <c r="AAS23" s="214"/>
      <c r="AAT23" s="214"/>
      <c r="AAU23" s="214"/>
      <c r="AAV23" s="214"/>
      <c r="AAW23" s="214"/>
      <c r="AAX23" s="214"/>
      <c r="AAY23" s="214"/>
      <c r="AAZ23" s="214"/>
      <c r="ABA23" s="214"/>
      <c r="ABB23" s="214"/>
      <c r="ABC23" s="214"/>
      <c r="ABD23" s="214"/>
      <c r="ABE23" s="214"/>
      <c r="ABF23" s="214"/>
      <c r="ABG23" s="214"/>
      <c r="ABH23" s="214"/>
      <c r="ABI23" s="214"/>
      <c r="ABJ23" s="214"/>
      <c r="ABK23" s="214"/>
      <c r="ABL23" s="214"/>
      <c r="ABM23" s="214"/>
      <c r="ABN23" s="214"/>
      <c r="ABO23" s="214"/>
      <c r="ABP23" s="214"/>
      <c r="ABQ23" s="214"/>
      <c r="ABR23" s="214"/>
      <c r="ABS23" s="214"/>
      <c r="ABT23" s="214"/>
      <c r="ABU23" s="214"/>
      <c r="ABV23" s="214"/>
      <c r="ABW23" s="214"/>
      <c r="ABX23" s="214"/>
      <c r="ABY23" s="214"/>
      <c r="ABZ23" s="214"/>
      <c r="ACA23" s="214"/>
      <c r="ACB23" s="214"/>
      <c r="ACC23" s="214"/>
      <c r="ACD23" s="214"/>
      <c r="ACE23" s="214"/>
      <c r="ACF23" s="214"/>
      <c r="ACG23" s="214"/>
      <c r="ACH23" s="214"/>
      <c r="ACI23" s="214"/>
      <c r="ACJ23" s="214"/>
      <c r="ACK23" s="214"/>
      <c r="ACL23" s="214"/>
      <c r="ACM23" s="214"/>
      <c r="ACN23" s="214"/>
      <c r="ACO23" s="214"/>
      <c r="ACP23" s="214"/>
      <c r="ACQ23" s="214"/>
      <c r="ACR23" s="214"/>
      <c r="ACS23" s="214"/>
      <c r="ACT23" s="214"/>
      <c r="ACU23" s="214"/>
      <c r="ACV23" s="214"/>
      <c r="ACW23" s="214"/>
      <c r="ACX23" s="214"/>
      <c r="ACY23" s="214"/>
      <c r="ACZ23" s="214"/>
      <c r="ADA23" s="214"/>
      <c r="ADB23" s="214"/>
      <c r="ADC23" s="214"/>
      <c r="ADD23" s="214"/>
      <c r="ADE23" s="214"/>
      <c r="ADF23" s="214"/>
      <c r="ADG23" s="214"/>
      <c r="ADH23" s="214"/>
      <c r="ADI23" s="214"/>
      <c r="ADJ23" s="214"/>
      <c r="ADK23" s="214"/>
      <c r="ADL23" s="214"/>
      <c r="ADM23" s="214"/>
      <c r="ADN23" s="214"/>
      <c r="ADO23" s="214"/>
      <c r="ADP23" s="214"/>
      <c r="ADQ23" s="214"/>
      <c r="ADR23" s="214"/>
      <c r="ADS23" s="214"/>
      <c r="ADT23" s="214"/>
      <c r="ADU23" s="214"/>
      <c r="ADV23" s="214"/>
      <c r="ADW23" s="214"/>
      <c r="ADX23" s="214"/>
      <c r="ADY23" s="214"/>
      <c r="ADZ23" s="214"/>
      <c r="AEA23" s="214"/>
      <c r="AEB23" s="214"/>
      <c r="AEC23" s="214"/>
      <c r="AED23" s="214"/>
      <c r="AEE23" s="214"/>
      <c r="AEF23" s="214"/>
      <c r="AEG23" s="214"/>
      <c r="AEH23" s="214"/>
      <c r="AEI23" s="214"/>
      <c r="AEJ23" s="214"/>
      <c r="AEK23" s="214"/>
      <c r="AEL23" s="214"/>
      <c r="AEM23" s="214"/>
      <c r="AEN23" s="214"/>
      <c r="AEO23" s="214"/>
      <c r="AEP23" s="214"/>
      <c r="AEQ23" s="214"/>
      <c r="AER23" s="214"/>
      <c r="AES23" s="214"/>
      <c r="AET23" s="214"/>
      <c r="AEU23" s="214"/>
      <c r="AEV23" s="214"/>
      <c r="AEW23" s="214"/>
      <c r="AEX23" s="214"/>
      <c r="AEY23" s="214"/>
      <c r="AEZ23" s="214"/>
      <c r="AFA23" s="214"/>
      <c r="AFB23" s="214"/>
      <c r="AFC23" s="214"/>
      <c r="AFD23" s="214"/>
      <c r="AFE23" s="214"/>
      <c r="AFF23" s="214"/>
      <c r="AFG23" s="214"/>
      <c r="AFH23" s="214"/>
      <c r="AFI23" s="214"/>
      <c r="AFJ23" s="214"/>
      <c r="AFK23" s="214"/>
      <c r="AFL23" s="214"/>
      <c r="AFM23" s="214"/>
      <c r="AFN23" s="214"/>
      <c r="AFO23" s="214"/>
      <c r="AFP23" s="214"/>
      <c r="AFQ23" s="214"/>
      <c r="AFR23" s="214"/>
      <c r="AFS23" s="214"/>
      <c r="AFT23" s="214"/>
      <c r="AFU23" s="214"/>
      <c r="AFV23" s="214"/>
      <c r="AFW23" s="214"/>
      <c r="AFX23" s="214"/>
      <c r="AFY23" s="214"/>
      <c r="AFZ23" s="214"/>
      <c r="AGA23" s="214"/>
      <c r="AGB23" s="214"/>
      <c r="AGC23" s="214"/>
      <c r="AGD23" s="214"/>
      <c r="AGE23" s="214"/>
      <c r="AGF23" s="214"/>
      <c r="AGG23" s="214"/>
      <c r="AGH23" s="214"/>
      <c r="AGI23" s="214"/>
      <c r="AGJ23" s="214"/>
      <c r="AGK23" s="214"/>
      <c r="AGL23" s="214"/>
      <c r="AGM23" s="214"/>
      <c r="AGN23" s="214"/>
      <c r="AGO23" s="214"/>
      <c r="AGP23" s="214"/>
      <c r="AGQ23" s="214"/>
      <c r="AGR23" s="214"/>
      <c r="AGS23" s="214"/>
      <c r="AGT23" s="214"/>
      <c r="AGU23" s="214"/>
      <c r="AGV23" s="214"/>
      <c r="AGW23" s="214"/>
      <c r="AGX23" s="214"/>
      <c r="AGY23" s="214"/>
      <c r="AGZ23" s="214"/>
      <c r="AHA23" s="214"/>
      <c r="AHB23" s="214"/>
      <c r="AHC23" s="214"/>
      <c r="AHD23" s="214"/>
      <c r="AHE23" s="214"/>
      <c r="AHF23" s="214"/>
      <c r="AHG23" s="214"/>
      <c r="AHH23" s="214"/>
      <c r="AHI23" s="214"/>
      <c r="AHJ23" s="214"/>
      <c r="AHK23" s="214"/>
      <c r="AHL23" s="214"/>
      <c r="AHM23" s="214"/>
      <c r="AHN23" s="214"/>
      <c r="AHO23" s="214"/>
      <c r="AHP23" s="214"/>
      <c r="AHQ23" s="214"/>
      <c r="AHR23" s="214"/>
      <c r="AHS23" s="214"/>
      <c r="AHT23" s="214"/>
      <c r="AHU23" s="214"/>
      <c r="AHV23" s="214"/>
      <c r="AHW23" s="214"/>
      <c r="AHX23" s="214"/>
      <c r="AHY23" s="214"/>
      <c r="AHZ23" s="214"/>
      <c r="AIA23" s="214"/>
      <c r="AIB23" s="214"/>
      <c r="AIC23" s="214"/>
      <c r="AID23" s="214"/>
      <c r="AIE23" s="214"/>
      <c r="AIF23" s="214"/>
      <c r="AIG23" s="214"/>
      <c r="AIH23" s="214"/>
      <c r="AII23" s="214"/>
      <c r="AIJ23" s="214"/>
      <c r="AIK23" s="214"/>
      <c r="AIL23" s="214"/>
      <c r="AIM23" s="214"/>
      <c r="AIN23" s="214"/>
      <c r="AIO23" s="214"/>
      <c r="AIP23" s="214"/>
      <c r="AIQ23" s="214"/>
      <c r="AIR23" s="214"/>
      <c r="AIS23" s="214"/>
      <c r="AIT23" s="214"/>
      <c r="AIU23" s="214"/>
      <c r="AIV23" s="214"/>
      <c r="AIW23" s="214"/>
      <c r="AIX23" s="214"/>
      <c r="AIY23" s="214"/>
      <c r="AIZ23" s="214"/>
      <c r="AJA23" s="214"/>
      <c r="AJB23" s="214"/>
      <c r="AJC23" s="214"/>
      <c r="AJD23" s="214"/>
      <c r="AJE23" s="214"/>
      <c r="AJF23" s="214"/>
      <c r="AJG23" s="214"/>
      <c r="AJH23" s="214"/>
      <c r="AJI23" s="214"/>
      <c r="AJJ23" s="214"/>
      <c r="AJK23" s="214"/>
      <c r="AJL23" s="214"/>
      <c r="AJM23" s="214"/>
      <c r="AJN23" s="214"/>
      <c r="AJO23" s="214"/>
      <c r="AJP23" s="214"/>
      <c r="AJQ23" s="214"/>
      <c r="AJR23" s="214"/>
      <c r="AJS23" s="214"/>
      <c r="AJT23" s="214"/>
      <c r="AJU23" s="214"/>
      <c r="AJV23" s="214"/>
      <c r="AJW23" s="214"/>
      <c r="AJX23" s="214"/>
      <c r="AJY23" s="214"/>
      <c r="AJZ23" s="214"/>
      <c r="AKA23" s="214"/>
      <c r="AKB23" s="214"/>
      <c r="AKC23" s="214"/>
      <c r="AKD23" s="214"/>
      <c r="AKE23" s="214"/>
      <c r="AKF23" s="214"/>
      <c r="AKG23" s="214"/>
      <c r="AKH23" s="214"/>
      <c r="AKI23" s="214"/>
      <c r="AKJ23" s="214"/>
      <c r="AKK23" s="214"/>
      <c r="AKL23" s="214"/>
      <c r="AKM23" s="214"/>
      <c r="AKN23" s="214"/>
      <c r="AKO23" s="214"/>
      <c r="AKP23" s="214"/>
      <c r="AKQ23" s="214"/>
      <c r="AKR23" s="214"/>
      <c r="AKS23" s="214"/>
      <c r="AKT23" s="214"/>
      <c r="AKU23" s="214"/>
      <c r="AKV23" s="214"/>
      <c r="AKW23" s="214"/>
      <c r="AKX23" s="214"/>
      <c r="AKY23" s="214"/>
      <c r="AKZ23" s="214"/>
      <c r="ALA23" s="214"/>
      <c r="ALB23" s="214"/>
      <c r="ALC23" s="214"/>
      <c r="ALD23" s="214"/>
      <c r="ALE23" s="214"/>
      <c r="ALF23" s="214"/>
      <c r="ALG23" s="214"/>
      <c r="ALH23" s="214"/>
      <c r="ALI23" s="214"/>
      <c r="ALJ23" s="214"/>
      <c r="ALK23" s="214"/>
      <c r="ALL23" s="214"/>
      <c r="ALM23" s="214"/>
      <c r="ALN23" s="214"/>
      <c r="ALO23" s="214"/>
      <c r="ALP23" s="214"/>
      <c r="ALQ23" s="214"/>
      <c r="ALR23" s="214"/>
      <c r="ALS23" s="214"/>
      <c r="ALT23" s="214"/>
      <c r="ALU23" s="214"/>
      <c r="ALV23" s="214"/>
      <c r="ALW23" s="214"/>
      <c r="ALX23" s="214"/>
      <c r="ALY23" s="214"/>
      <c r="ALZ23" s="214"/>
      <c r="AMA23" s="214"/>
      <c r="AMB23" s="214"/>
      <c r="AMC23" s="214"/>
      <c r="AMD23" s="214"/>
      <c r="AME23" s="214"/>
      <c r="AMF23" s="214"/>
      <c r="AMG23" s="214"/>
      <c r="AMH23" s="214"/>
      <c r="AMI23" s="214"/>
      <c r="AMJ23" s="214"/>
      <c r="AMK23" s="214"/>
      <c r="AML23" s="214"/>
      <c r="AMM23" s="214"/>
      <c r="AMN23" s="214"/>
      <c r="AMO23" s="214"/>
      <c r="AMP23" s="214"/>
      <c r="AMQ23" s="214"/>
      <c r="AMR23" s="214"/>
      <c r="AMS23" s="214"/>
      <c r="AMT23" s="214"/>
      <c r="AMU23" s="214"/>
      <c r="AMV23" s="214"/>
      <c r="AMW23" s="214"/>
      <c r="AMX23" s="214"/>
      <c r="AMY23" s="214"/>
      <c r="AMZ23" s="214"/>
      <c r="ANA23" s="214"/>
      <c r="ANB23" s="214"/>
      <c r="ANC23" s="214"/>
      <c r="AND23" s="214"/>
      <c r="ANE23" s="214"/>
      <c r="ANF23" s="214"/>
      <c r="ANG23" s="214"/>
      <c r="ANH23" s="214"/>
      <c r="ANI23" s="214"/>
      <c r="ANJ23" s="214"/>
      <c r="ANK23" s="214"/>
      <c r="ANL23" s="214"/>
      <c r="ANM23" s="214"/>
      <c r="ANN23" s="214"/>
      <c r="ANO23" s="214"/>
      <c r="ANP23" s="214"/>
      <c r="ANQ23" s="214"/>
      <c r="ANR23" s="214"/>
      <c r="ANS23" s="214"/>
      <c r="ANT23" s="214"/>
      <c r="ANU23" s="214"/>
      <c r="ANV23" s="214"/>
      <c r="ANW23" s="214"/>
      <c r="ANX23" s="214"/>
      <c r="ANY23" s="214"/>
      <c r="ANZ23" s="214"/>
      <c r="AOA23" s="214"/>
      <c r="AOB23" s="214"/>
      <c r="AOC23" s="214"/>
      <c r="AOD23" s="214"/>
      <c r="AOE23" s="214"/>
      <c r="AOF23" s="214"/>
      <c r="AOG23" s="214"/>
      <c r="AOH23" s="214"/>
      <c r="AOI23" s="214"/>
      <c r="AOJ23" s="214"/>
      <c r="AOK23" s="214"/>
      <c r="AOL23" s="214"/>
      <c r="AOM23" s="214"/>
      <c r="AON23" s="214"/>
      <c r="AOO23" s="214"/>
      <c r="AOP23" s="214"/>
      <c r="AOQ23" s="214"/>
      <c r="AOR23" s="214"/>
      <c r="AOS23" s="214"/>
      <c r="AOT23" s="214"/>
      <c r="AOU23" s="214"/>
      <c r="AOV23" s="214"/>
      <c r="AOW23" s="214"/>
      <c r="AOX23" s="214"/>
      <c r="AOY23" s="214"/>
      <c r="AOZ23" s="214"/>
      <c r="APA23" s="214"/>
      <c r="APB23" s="214"/>
      <c r="APC23" s="214"/>
      <c r="APD23" s="214"/>
      <c r="APE23" s="214"/>
      <c r="APF23" s="214"/>
      <c r="APG23" s="214"/>
      <c r="APH23" s="214"/>
      <c r="API23" s="214"/>
      <c r="APJ23" s="214"/>
      <c r="APK23" s="214"/>
      <c r="APL23" s="214"/>
      <c r="APM23" s="214"/>
      <c r="APN23" s="214"/>
      <c r="APO23" s="214"/>
      <c r="APP23" s="214"/>
      <c r="APQ23" s="214"/>
      <c r="APR23" s="214"/>
      <c r="APS23" s="214"/>
      <c r="APT23" s="214"/>
      <c r="APU23" s="214"/>
      <c r="APV23" s="214"/>
      <c r="APW23" s="214"/>
      <c r="APX23" s="214"/>
      <c r="APY23" s="214"/>
      <c r="APZ23" s="214"/>
      <c r="AQA23" s="214"/>
      <c r="AQB23" s="214"/>
      <c r="AQC23" s="214"/>
      <c r="AQD23" s="214"/>
      <c r="AQE23" s="214"/>
      <c r="AQF23" s="214"/>
      <c r="AQG23" s="214"/>
      <c r="AQH23" s="214"/>
      <c r="AQI23" s="214"/>
      <c r="AQJ23" s="214"/>
      <c r="AQK23" s="214"/>
      <c r="AQL23" s="214"/>
      <c r="AQM23" s="214"/>
      <c r="AQN23" s="214"/>
      <c r="AQO23" s="214"/>
      <c r="AQP23" s="214"/>
      <c r="AQQ23" s="214"/>
      <c r="AQR23" s="214"/>
      <c r="AQS23" s="214"/>
      <c r="AQT23" s="214"/>
      <c r="AQU23" s="214"/>
      <c r="AQV23" s="214"/>
      <c r="AQW23" s="214"/>
      <c r="AQX23" s="214"/>
      <c r="AQY23" s="214"/>
      <c r="AQZ23" s="214"/>
      <c r="ARA23" s="214"/>
      <c r="ARB23" s="214"/>
      <c r="ARC23" s="214"/>
      <c r="ARD23" s="214"/>
      <c r="ARE23" s="214"/>
      <c r="ARF23" s="214"/>
      <c r="ARG23" s="214"/>
      <c r="ARH23" s="214"/>
      <c r="ARI23" s="214"/>
      <c r="ARJ23" s="214"/>
      <c r="ARK23" s="214"/>
      <c r="ARL23" s="214"/>
      <c r="ARM23" s="214"/>
      <c r="ARN23" s="214"/>
      <c r="ARO23" s="214"/>
      <c r="ARP23" s="214"/>
      <c r="ARQ23" s="214"/>
      <c r="ARR23" s="214"/>
      <c r="ARS23" s="214"/>
      <c r="ART23" s="214"/>
      <c r="ARU23" s="214"/>
      <c r="ARV23" s="214"/>
      <c r="ARW23" s="214"/>
      <c r="ARX23" s="214"/>
      <c r="ARY23" s="214"/>
      <c r="ARZ23" s="214"/>
      <c r="ASA23" s="214"/>
      <c r="ASB23" s="214"/>
      <c r="ASC23" s="214"/>
      <c r="ASD23" s="214"/>
      <c r="ASE23" s="214"/>
      <c r="ASF23" s="214"/>
      <c r="ASG23" s="214"/>
      <c r="ASH23" s="214"/>
      <c r="ASI23" s="214"/>
      <c r="ASJ23" s="214"/>
      <c r="ASK23" s="214"/>
      <c r="ASL23" s="214"/>
      <c r="ASM23" s="214"/>
      <c r="ASN23" s="214"/>
      <c r="ASO23" s="214"/>
      <c r="ASP23" s="214"/>
      <c r="ASQ23" s="214"/>
      <c r="ASR23" s="214"/>
      <c r="ASS23" s="214"/>
      <c r="AST23" s="214"/>
      <c r="ASU23" s="214"/>
      <c r="ASV23" s="214"/>
      <c r="ASW23" s="214"/>
      <c r="ASX23" s="214"/>
      <c r="ASY23" s="214"/>
      <c r="ASZ23" s="214"/>
      <c r="ATA23" s="214"/>
      <c r="ATB23" s="214"/>
      <c r="ATC23" s="214"/>
      <c r="ATD23" s="214"/>
      <c r="ATE23" s="214"/>
      <c r="ATF23" s="214"/>
      <c r="ATG23" s="214"/>
      <c r="ATH23" s="214"/>
      <c r="ATI23" s="214"/>
      <c r="ATJ23" s="214"/>
      <c r="ATK23" s="214"/>
      <c r="ATL23" s="214"/>
      <c r="ATM23" s="214"/>
      <c r="ATN23" s="214"/>
      <c r="ATO23" s="214"/>
      <c r="ATP23" s="214"/>
      <c r="ATQ23" s="214"/>
      <c r="ATR23" s="214"/>
      <c r="ATS23" s="214"/>
      <c r="ATT23" s="214"/>
      <c r="ATU23" s="214"/>
      <c r="ATV23" s="214"/>
      <c r="ATW23" s="214"/>
      <c r="ATX23" s="214"/>
      <c r="ATY23" s="214"/>
      <c r="ATZ23" s="214"/>
      <c r="AUA23" s="214"/>
      <c r="AUB23" s="214"/>
      <c r="AUC23" s="214"/>
      <c r="AUD23" s="214"/>
      <c r="AUE23" s="214"/>
      <c r="AUF23" s="214"/>
      <c r="AUG23" s="214"/>
      <c r="AUH23" s="214"/>
      <c r="AUI23" s="214"/>
      <c r="AUJ23" s="214"/>
      <c r="AUK23" s="214"/>
      <c r="AUL23" s="214"/>
      <c r="AUM23" s="214"/>
      <c r="AUN23" s="214"/>
      <c r="AUO23" s="214"/>
      <c r="AUP23" s="214"/>
      <c r="AUQ23" s="214"/>
      <c r="AUR23" s="214"/>
      <c r="AUS23" s="214"/>
      <c r="AUT23" s="214"/>
      <c r="AUU23" s="214"/>
      <c r="AUV23" s="214"/>
      <c r="AUW23" s="214"/>
      <c r="AUX23" s="214"/>
      <c r="AUY23" s="214"/>
      <c r="AUZ23" s="214"/>
      <c r="AVA23" s="214"/>
      <c r="AVB23" s="214"/>
      <c r="AVC23" s="214"/>
      <c r="AVD23" s="214"/>
      <c r="AVE23" s="214"/>
      <c r="AVF23" s="214"/>
      <c r="AVG23" s="214"/>
      <c r="AVH23" s="214"/>
      <c r="AVI23" s="214"/>
      <c r="AVJ23" s="214"/>
      <c r="AVK23" s="214"/>
      <c r="AVL23" s="214"/>
      <c r="AVM23" s="214"/>
      <c r="AVN23" s="214"/>
      <c r="AVO23" s="214"/>
      <c r="AVP23" s="214"/>
      <c r="AVQ23" s="214"/>
      <c r="AVR23" s="214"/>
      <c r="AVS23" s="214"/>
      <c r="AVT23" s="214"/>
      <c r="AVU23" s="214"/>
      <c r="AVV23" s="214"/>
      <c r="AVW23" s="214"/>
      <c r="AVX23" s="214"/>
      <c r="AVY23" s="214"/>
      <c r="AVZ23" s="214"/>
      <c r="AWA23" s="214"/>
      <c r="AWB23" s="214"/>
      <c r="AWC23" s="214"/>
      <c r="AWD23" s="214"/>
      <c r="AWE23" s="214"/>
      <c r="AWF23" s="214"/>
      <c r="AWG23" s="214"/>
      <c r="AWH23" s="214"/>
      <c r="AWI23" s="214"/>
      <c r="AWJ23" s="214"/>
      <c r="AWK23" s="214"/>
      <c r="AWL23" s="214"/>
      <c r="AWM23" s="214"/>
      <c r="AWN23" s="214"/>
      <c r="AWO23" s="214"/>
      <c r="AWP23" s="214"/>
      <c r="AWQ23" s="214"/>
      <c r="AWR23" s="214"/>
      <c r="AWS23" s="214"/>
      <c r="AWT23" s="214"/>
      <c r="AWU23" s="214"/>
      <c r="AWV23" s="214"/>
      <c r="AWW23" s="214"/>
      <c r="AWX23" s="214"/>
      <c r="AWY23" s="214"/>
      <c r="AWZ23" s="214"/>
      <c r="AXA23" s="214"/>
      <c r="AXB23" s="214"/>
      <c r="AXC23" s="214"/>
      <c r="AXD23" s="214"/>
      <c r="AXE23" s="214"/>
      <c r="AXF23" s="214"/>
      <c r="AXG23" s="214"/>
      <c r="AXH23" s="214"/>
      <c r="AXI23" s="214"/>
      <c r="AXJ23" s="214"/>
      <c r="AXK23" s="214"/>
      <c r="AXL23" s="214"/>
      <c r="AXM23" s="214"/>
      <c r="AXN23" s="214"/>
      <c r="AXO23" s="214"/>
      <c r="AXP23" s="214"/>
      <c r="AXQ23" s="214"/>
      <c r="AXR23" s="214"/>
      <c r="AXS23" s="214"/>
      <c r="AXT23" s="214"/>
      <c r="AXU23" s="214"/>
      <c r="AXV23" s="214"/>
      <c r="AXW23" s="214"/>
      <c r="AXX23" s="214"/>
      <c r="AXY23" s="214"/>
      <c r="AXZ23" s="214"/>
      <c r="AYA23" s="214"/>
      <c r="AYB23" s="214"/>
      <c r="AYC23" s="214"/>
      <c r="AYD23" s="214"/>
      <c r="AYE23" s="214"/>
      <c r="AYF23" s="214"/>
      <c r="AYG23" s="214"/>
      <c r="AYH23" s="214"/>
      <c r="AYI23" s="214"/>
      <c r="AYJ23" s="214"/>
      <c r="AYK23" s="214"/>
      <c r="AYL23" s="214"/>
      <c r="AYM23" s="214"/>
      <c r="AYN23" s="214"/>
      <c r="AYO23" s="214"/>
      <c r="AYP23" s="214"/>
      <c r="AYQ23" s="214"/>
      <c r="AYR23" s="214"/>
      <c r="AYS23" s="214"/>
      <c r="AYT23" s="214"/>
      <c r="AYU23" s="214"/>
      <c r="AYV23" s="214"/>
      <c r="AYW23" s="214"/>
      <c r="AYX23" s="214"/>
      <c r="AYY23" s="214"/>
      <c r="AYZ23" s="214"/>
      <c r="AZA23" s="214"/>
      <c r="AZB23" s="214"/>
      <c r="AZC23" s="214"/>
      <c r="AZD23" s="214"/>
      <c r="AZE23" s="214"/>
      <c r="AZF23" s="214"/>
      <c r="AZG23" s="214"/>
      <c r="AZH23" s="214"/>
      <c r="AZI23" s="214"/>
      <c r="AZJ23" s="214"/>
      <c r="AZK23" s="214"/>
      <c r="AZL23" s="214"/>
      <c r="AZM23" s="214"/>
      <c r="AZN23" s="214"/>
      <c r="AZO23" s="214"/>
      <c r="AZP23" s="214"/>
      <c r="AZQ23" s="214"/>
      <c r="AZR23" s="214"/>
      <c r="AZS23" s="214"/>
      <c r="AZT23" s="214"/>
      <c r="AZU23" s="214"/>
      <c r="AZV23" s="214"/>
      <c r="AZW23" s="214"/>
      <c r="AZX23" s="214"/>
      <c r="AZY23" s="214"/>
      <c r="AZZ23" s="214"/>
      <c r="BAA23" s="214"/>
      <c r="BAB23" s="214"/>
      <c r="BAC23" s="214"/>
      <c r="BAD23" s="214"/>
      <c r="BAE23" s="214"/>
      <c r="BAF23" s="214"/>
      <c r="BAG23" s="214"/>
      <c r="BAH23" s="214"/>
      <c r="BAI23" s="214"/>
      <c r="BAJ23" s="214"/>
      <c r="BAK23" s="214"/>
      <c r="BAL23" s="214"/>
      <c r="BAM23" s="214"/>
      <c r="BAN23" s="214"/>
      <c r="BAO23" s="214"/>
      <c r="BAP23" s="214"/>
      <c r="BAQ23" s="214"/>
      <c r="BAR23" s="214"/>
      <c r="BAS23" s="214"/>
      <c r="BAT23" s="214"/>
      <c r="BAU23" s="214"/>
      <c r="BAV23" s="214"/>
      <c r="BAW23" s="214"/>
      <c r="BAX23" s="214"/>
      <c r="BAY23" s="214"/>
      <c r="BAZ23" s="214"/>
      <c r="BBA23" s="214"/>
      <c r="BBB23" s="214"/>
      <c r="BBC23" s="214"/>
      <c r="BBD23" s="214"/>
      <c r="BBE23" s="214"/>
      <c r="BBF23" s="214"/>
      <c r="BBG23" s="214"/>
      <c r="BBH23" s="214"/>
      <c r="BBI23" s="214"/>
      <c r="BBJ23" s="214"/>
      <c r="BBK23" s="214"/>
      <c r="BBL23" s="214"/>
      <c r="BBM23" s="214"/>
      <c r="BBN23" s="214"/>
      <c r="BBO23" s="214"/>
      <c r="BBP23" s="214"/>
      <c r="BBQ23" s="214"/>
      <c r="BBR23" s="214"/>
      <c r="BBS23" s="214"/>
      <c r="BBT23" s="214"/>
      <c r="BBU23" s="214"/>
      <c r="BBV23" s="214"/>
      <c r="BBW23" s="214"/>
      <c r="BBX23" s="214"/>
      <c r="BBY23" s="214"/>
      <c r="BBZ23" s="214"/>
      <c r="BCA23" s="214"/>
      <c r="BCB23" s="214"/>
      <c r="BCC23" s="214"/>
      <c r="BCD23" s="214"/>
      <c r="BCE23" s="214"/>
      <c r="BCF23" s="214"/>
      <c r="BCG23" s="214"/>
      <c r="BCH23" s="214"/>
      <c r="BCI23" s="214"/>
      <c r="BCJ23" s="214"/>
      <c r="BCK23" s="214"/>
      <c r="BCL23" s="214"/>
      <c r="BCM23" s="214"/>
      <c r="BCN23" s="214"/>
      <c r="BCO23" s="214"/>
      <c r="BCP23" s="214"/>
      <c r="BCQ23" s="214"/>
      <c r="BCR23" s="214"/>
      <c r="BCS23" s="214"/>
      <c r="BCT23" s="214"/>
      <c r="BCU23" s="214"/>
      <c r="BCV23" s="214"/>
      <c r="BCW23" s="214"/>
      <c r="BCX23" s="214"/>
      <c r="BCY23" s="214"/>
      <c r="BCZ23" s="214"/>
      <c r="BDA23" s="214"/>
      <c r="BDB23" s="214"/>
      <c r="BDC23" s="214"/>
      <c r="BDD23" s="214"/>
      <c r="BDE23" s="214"/>
      <c r="BDF23" s="214"/>
      <c r="BDG23" s="214"/>
      <c r="BDH23" s="214"/>
      <c r="BDI23" s="214"/>
      <c r="BDJ23" s="214"/>
      <c r="BDK23" s="214"/>
      <c r="BDL23" s="214"/>
      <c r="BDM23" s="214"/>
      <c r="BDN23" s="214"/>
      <c r="BDO23" s="214"/>
      <c r="BDP23" s="214"/>
      <c r="BDQ23" s="214"/>
      <c r="BDR23" s="214"/>
      <c r="BDS23" s="214"/>
      <c r="BDT23" s="214"/>
      <c r="BDU23" s="214"/>
      <c r="BDV23" s="214"/>
      <c r="BDW23" s="214"/>
      <c r="BDX23" s="214"/>
      <c r="BDY23" s="214"/>
      <c r="BDZ23" s="214"/>
      <c r="BEA23" s="214"/>
      <c r="BEB23" s="214"/>
      <c r="BEC23" s="214"/>
      <c r="BED23" s="214"/>
      <c r="BEE23" s="214"/>
      <c r="BEF23" s="214"/>
      <c r="BEG23" s="214"/>
      <c r="BEH23" s="214"/>
      <c r="BEI23" s="214"/>
      <c r="BEJ23" s="214"/>
      <c r="BEK23" s="214"/>
      <c r="BEL23" s="214"/>
      <c r="BEM23" s="214"/>
      <c r="BEN23" s="214"/>
      <c r="BEO23" s="214"/>
      <c r="BEP23" s="214"/>
      <c r="BEQ23" s="214"/>
      <c r="BER23" s="214"/>
      <c r="BES23" s="214"/>
      <c r="BET23" s="214"/>
      <c r="BEU23" s="214"/>
      <c r="BEV23" s="214"/>
      <c r="BEW23" s="214"/>
      <c r="BEX23" s="214"/>
      <c r="BEY23" s="214"/>
      <c r="BEZ23" s="214"/>
      <c r="BFA23" s="214"/>
      <c r="BFB23" s="214"/>
      <c r="BFC23" s="214"/>
      <c r="BFD23" s="214"/>
      <c r="BFE23" s="214"/>
      <c r="BFF23" s="214"/>
      <c r="BFG23" s="214"/>
      <c r="BFH23" s="214"/>
      <c r="BFI23" s="214"/>
      <c r="BFJ23" s="214"/>
      <c r="BFK23" s="214"/>
      <c r="BFL23" s="214"/>
      <c r="BFM23" s="214"/>
      <c r="BFN23" s="214"/>
      <c r="BFO23" s="214"/>
      <c r="BFP23" s="214"/>
      <c r="BFQ23" s="214"/>
      <c r="BFR23" s="214"/>
      <c r="BFS23" s="214"/>
      <c r="BFT23" s="214"/>
      <c r="BFU23" s="214"/>
      <c r="BFV23" s="214"/>
      <c r="BFW23" s="214"/>
      <c r="BFX23" s="214"/>
      <c r="BFY23" s="214"/>
      <c r="BFZ23" s="214"/>
      <c r="BGA23" s="214"/>
      <c r="BGB23" s="214"/>
      <c r="BGC23" s="214"/>
      <c r="BGD23" s="214"/>
      <c r="BGE23" s="214"/>
      <c r="BGF23" s="214"/>
      <c r="BGG23" s="214"/>
      <c r="BGH23" s="214"/>
      <c r="BGI23" s="214"/>
      <c r="BGJ23" s="214"/>
      <c r="BGK23" s="214"/>
      <c r="BGL23" s="214"/>
      <c r="BGM23" s="214"/>
      <c r="BGN23" s="214"/>
      <c r="BGO23" s="214"/>
      <c r="BGP23" s="214"/>
      <c r="BGQ23" s="214"/>
      <c r="BGR23" s="214"/>
      <c r="BGS23" s="214"/>
      <c r="BGT23" s="214"/>
      <c r="BGU23" s="214"/>
      <c r="BGV23" s="214"/>
      <c r="BGW23" s="214"/>
      <c r="BGX23" s="214"/>
      <c r="BGY23" s="214"/>
      <c r="BGZ23" s="214"/>
      <c r="BHA23" s="214"/>
      <c r="BHB23" s="214"/>
      <c r="BHC23" s="214"/>
      <c r="BHD23" s="214"/>
      <c r="BHE23" s="214"/>
      <c r="BHF23" s="214"/>
      <c r="BHG23" s="214"/>
      <c r="BHH23" s="214"/>
      <c r="BHI23" s="214"/>
      <c r="BHJ23" s="214"/>
      <c r="BHK23" s="214"/>
      <c r="BHL23" s="214"/>
      <c r="BHM23" s="214"/>
      <c r="BHN23" s="214"/>
      <c r="BHO23" s="214"/>
      <c r="BHP23" s="214"/>
      <c r="BHQ23" s="214"/>
      <c r="BHR23" s="214"/>
      <c r="BHS23" s="214"/>
      <c r="BHT23" s="214"/>
      <c r="BHU23" s="214"/>
      <c r="BHV23" s="214"/>
      <c r="BHW23" s="214"/>
    </row>
    <row r="24" spans="1:1583" s="216" customFormat="1">
      <c r="A24" s="260" t="s">
        <v>36</v>
      </c>
      <c r="B24" s="184" t="s">
        <v>428</v>
      </c>
      <c r="C24" s="416" t="s">
        <v>476</v>
      </c>
      <c r="D24" s="435" t="s">
        <v>476</v>
      </c>
      <c r="E24" s="63" t="s">
        <v>9</v>
      </c>
      <c r="F24" s="131"/>
      <c r="G24" s="60" t="s">
        <v>678</v>
      </c>
      <c r="H24" s="473">
        <f t="shared" si="8"/>
        <v>1988.369527150807</v>
      </c>
      <c r="I24" s="95">
        <f>VLOOKUP($B24,'DCS Data'!$E$2:$AJ$100,MATCH('Daily Report'!I$1,'DCS Data'!$E$2:$AJ$2,0),0)</f>
        <v>50.003629399120143</v>
      </c>
      <c r="J24" s="255"/>
      <c r="K24" s="95">
        <f>VLOOKUP($B24,'DCS Data'!$E$2:$AJ$100,MATCH('Daily Report'!K$1,'DCS Data'!$E$2:$AJ$2,0),0)</f>
        <v>54.568472958401316</v>
      </c>
      <c r="L24" s="95">
        <f>VLOOKUP($B24,'DCS Data'!$E$2:$AJ$100,MATCH('Daily Report'!L$1,'DCS Data'!$E$2:$AJ$2,0),0)</f>
        <v>57.751508438352523</v>
      </c>
      <c r="M24" s="95">
        <f>VLOOKUP($B24,'DCS Data'!$E$2:$AJ$100,MATCH('Daily Report'!M$1,'DCS Data'!$E$2:$AJ$2,0),0)</f>
        <v>58.535966221916929</v>
      </c>
      <c r="N24" s="95">
        <f>VLOOKUP($B24,'DCS Data'!$E$2:$AJ$100,MATCH('Daily Report'!N$1,'DCS Data'!$E$2:$AJ$2,0),0)</f>
        <v>55.454158773624435</v>
      </c>
      <c r="O24" s="95">
        <f>VLOOKUP($B24,'DCS Data'!$E$2:$AJ$100,MATCH('Daily Report'!O$1,'DCS Data'!$E$2:$AJ$2,0),0)</f>
        <v>51.834799470372317</v>
      </c>
      <c r="P24" s="95">
        <f>VLOOKUP($B24,'DCS Data'!$E$2:$AJ$100,MATCH('Daily Report'!P$1,'DCS Data'!$E$2:$AJ$2,0),0)</f>
        <v>51.096089236740859</v>
      </c>
      <c r="Q24" s="95">
        <f>VLOOKUP($B24,'DCS Data'!$E$2:$AJ$100,MATCH('Daily Report'!Q$1,'DCS Data'!$E$2:$AJ$2,0),0)</f>
        <v>51.207506273207059</v>
      </c>
      <c r="R24" s="95">
        <f>VLOOKUP($B24,'DCS Data'!$E$2:$AJ$100,MATCH('Daily Report'!R$1,'DCS Data'!$E$2:$AJ$2,0),0)</f>
        <v>50.714457833910956</v>
      </c>
      <c r="S24" s="95">
        <f>VLOOKUP($B24,'DCS Data'!$E$2:$AJ$100,MATCH('Daily Report'!S$1,'DCS Data'!$E$2:$AJ$2,0),0)</f>
        <v>50.611380936785103</v>
      </c>
      <c r="T24" s="95">
        <f>VLOOKUP($B24,'DCS Data'!$E$2:$AJ$100,MATCH('Daily Report'!T$1,'DCS Data'!$E$2:$AJ$2,0),0)</f>
        <v>50.716607913613906</v>
      </c>
      <c r="U24" s="95">
        <f>VLOOKUP($B24,'DCS Data'!$E$2:$AJ$100,MATCH('Daily Report'!U$1,'DCS Data'!$E$2:$AJ$2,0),0)</f>
        <v>50.7557565348868</v>
      </c>
      <c r="V24" s="95">
        <f>VLOOKUP($B24,'DCS Data'!$E$2:$AJ$100,MATCH('Daily Report'!V$1,'DCS Data'!$E$2:$AJ$2,0),0)</f>
        <v>51.755709872571146</v>
      </c>
      <c r="W24" s="95">
        <f>VLOOKUP($B24,'DCS Data'!$E$2:$AJ$100,MATCH('Daily Report'!W$1,'DCS Data'!$E$2:$AJ$2,0),0)</f>
        <v>50.198806751463742</v>
      </c>
      <c r="X24" s="95">
        <f>VLOOKUP($B24,'DCS Data'!$E$2:$AJ$100,MATCH('Daily Report'!X$1,'DCS Data'!$E$2:$AJ$2,0),0)</f>
        <v>72.608428151638307</v>
      </c>
      <c r="Y24" s="95">
        <f>VLOOKUP($B24,'DCS Data'!$E$2:$AJ$100,MATCH('Daily Report'!Y$1,'DCS Data'!$E$2:$AJ$2,0),0)</f>
        <v>101.36589039336189</v>
      </c>
      <c r="Z24" s="95">
        <f>VLOOKUP($B24,'DCS Data'!$E$2:$AJ$100,MATCH('Daily Report'!Z$1,'DCS Data'!$E$2:$AJ$2,0),0)</f>
        <v>128.16449747050723</v>
      </c>
      <c r="AA24" s="95">
        <f>VLOOKUP($B24,'DCS Data'!$E$2:$AJ$100,MATCH('Daily Report'!AA$1,'DCS Data'!$E$2:$AJ$2,0),0)</f>
        <v>144.64531676199201</v>
      </c>
      <c r="AB24" s="95">
        <f>VLOOKUP($B24,'DCS Data'!$E$2:$AJ$100,MATCH('Daily Report'!AB$1,'DCS Data'!$E$2:$AJ$2,0),0)</f>
        <v>142.54976511577473</v>
      </c>
      <c r="AC24" s="95">
        <f>VLOOKUP($B24,'DCS Data'!$E$2:$AJ$100,MATCH('Daily Report'!AC$1,'DCS Data'!$E$2:$AJ$2,0),0)</f>
        <v>94.192293931243341</v>
      </c>
      <c r="AD24" s="95">
        <f>VLOOKUP($B24,'DCS Data'!$E$2:$AJ$100,MATCH('Daily Report'!AD$1,'DCS Data'!$E$2:$AJ$2,0),0)</f>
        <v>56.25484790465773</v>
      </c>
      <c r="AE24" s="95">
        <f>VLOOKUP($B24,'DCS Data'!$E$2:$AJ$100,MATCH('Daily Report'!AE$1,'DCS Data'!$E$2:$AJ$2,0),0)</f>
        <v>49.780022547653729</v>
      </c>
      <c r="AF24" s="95">
        <f>VLOOKUP($B24,'DCS Data'!$E$2:$AJ$100,MATCH('Daily Report'!AF$1,'DCS Data'!$E$2:$AJ$2,0),0)</f>
        <v>49.091665064279489</v>
      </c>
      <c r="AG24" s="95">
        <f>VLOOKUP($B24,'DCS Data'!$E$2:$AJ$100,MATCH('Daily Report'!AG$1,'DCS Data'!$E$2:$AJ$2,0),0)</f>
        <v>50.69665730423003</v>
      </c>
      <c r="AH24" s="95">
        <f>VLOOKUP($B24,'DCS Data'!$E$2:$AJ$100,MATCH('Daily Report'!AH$1,'DCS Data'!$E$2:$AJ$2,0),0)</f>
        <v>52.619838186245772</v>
      </c>
      <c r="AI24" s="95">
        <f>VLOOKUP($B24,'DCS Data'!$E$2:$AJ$100,MATCH('Daily Report'!AI$1,'DCS Data'!$E$2:$AJ$2,0),0)</f>
        <v>55.571302829801766</v>
      </c>
      <c r="AJ24" s="95">
        <f>VLOOKUP($B24,'DCS Data'!$E$2:$AJ$100,MATCH('Daily Report'!AJ$1,'DCS Data'!$E$2:$AJ$2,0),0)</f>
        <v>52.678047985240546</v>
      </c>
      <c r="AK24" s="95">
        <f>VLOOKUP($B24,'DCS Data'!$E$2:$AJ$100,MATCH('Daily Report'!AK$1,'DCS Data'!$E$2:$AJ$2,0),0)</f>
        <v>51.329472072134003</v>
      </c>
      <c r="AL24" s="95">
        <f>VLOOKUP($B24,'DCS Data'!$E$2:$AJ$100,MATCH('Daily Report'!AL$1,'DCS Data'!$E$2:$AJ$2,0),0)</f>
        <v>49.792494169760992</v>
      </c>
      <c r="AM24" s="95">
        <f>VLOOKUP($B24,'DCS Data'!$E$2:$AJ$100,MATCH('Daily Report'!AM$1,'DCS Data'!$E$2:$AJ$2,0),0)</f>
        <v>51.51508199866403</v>
      </c>
      <c r="AN24" s="95">
        <f>VLOOKUP($B24,'DCS Data'!$E$2:$AJ$100,MATCH('Daily Report'!AN$1,'DCS Data'!$E$2:$AJ$2,0),0)</f>
        <v>50.309054648654033</v>
      </c>
      <c r="AO24" s="215"/>
      <c r="AP24" s="215"/>
      <c r="AQ24" s="215"/>
      <c r="AR24" s="215"/>
      <c r="AS24" s="215"/>
      <c r="AT24" s="215"/>
      <c r="AU24" s="215"/>
      <c r="AV24" s="215"/>
      <c r="AW24" s="215"/>
      <c r="AX24" s="215"/>
      <c r="AY24" s="215"/>
      <c r="AZ24" s="215"/>
      <c r="BA24" s="215"/>
      <c r="BB24" s="215"/>
      <c r="BC24" s="215"/>
      <c r="BD24" s="215"/>
      <c r="BE24" s="215"/>
      <c r="BF24" s="215"/>
      <c r="BG24" s="215"/>
      <c r="BH24" s="215"/>
      <c r="BI24" s="215"/>
      <c r="BJ24" s="215"/>
      <c r="BK24" s="215"/>
      <c r="BL24" s="215"/>
      <c r="BM24" s="215"/>
      <c r="BN24" s="215"/>
      <c r="BO24" s="215"/>
      <c r="BP24" s="215"/>
      <c r="BQ24" s="215"/>
      <c r="BR24" s="215"/>
      <c r="BS24" s="215"/>
      <c r="BT24" s="215"/>
      <c r="BU24" s="215"/>
      <c r="BV24" s="215"/>
      <c r="BW24" s="215"/>
      <c r="BX24" s="215"/>
      <c r="BY24" s="215"/>
      <c r="BZ24" s="215"/>
      <c r="CA24" s="215"/>
      <c r="CB24" s="215"/>
      <c r="CC24" s="215"/>
      <c r="CD24" s="215"/>
      <c r="CE24" s="215"/>
      <c r="CF24" s="215"/>
      <c r="CG24" s="215"/>
      <c r="CH24" s="215"/>
      <c r="CI24" s="215"/>
      <c r="CJ24" s="215"/>
      <c r="CK24" s="215"/>
      <c r="CL24" s="215"/>
      <c r="CM24" s="215"/>
      <c r="CN24" s="215"/>
      <c r="CO24" s="215"/>
      <c r="CP24" s="215"/>
      <c r="CQ24" s="215"/>
      <c r="CR24" s="215"/>
      <c r="CS24" s="215"/>
      <c r="CT24" s="215"/>
      <c r="CU24" s="215"/>
      <c r="CV24" s="215"/>
      <c r="CW24" s="215"/>
      <c r="CX24" s="215"/>
      <c r="CY24" s="215"/>
      <c r="CZ24" s="215"/>
      <c r="DA24" s="215"/>
      <c r="DB24" s="215"/>
      <c r="DC24" s="215"/>
      <c r="DD24" s="215"/>
      <c r="DE24" s="215"/>
      <c r="DF24" s="215"/>
      <c r="DG24" s="215"/>
      <c r="DH24" s="215"/>
      <c r="DI24" s="215"/>
      <c r="DJ24" s="215"/>
      <c r="DK24" s="215"/>
      <c r="DL24" s="215"/>
      <c r="DM24" s="215"/>
      <c r="DN24" s="215"/>
      <c r="DO24" s="215"/>
      <c r="DP24" s="215"/>
      <c r="DQ24" s="215"/>
      <c r="DR24" s="215"/>
      <c r="DS24" s="215"/>
      <c r="DT24" s="215"/>
      <c r="DU24" s="215"/>
      <c r="DV24" s="215"/>
      <c r="DW24" s="215"/>
      <c r="DX24" s="215"/>
      <c r="DY24" s="215"/>
      <c r="DZ24" s="215"/>
      <c r="EA24" s="215"/>
      <c r="EB24" s="215"/>
      <c r="EC24" s="215"/>
      <c r="ED24" s="215"/>
      <c r="EE24" s="215"/>
      <c r="EF24" s="215"/>
      <c r="EG24" s="215"/>
      <c r="EH24" s="215"/>
      <c r="EI24" s="215"/>
      <c r="EJ24" s="215"/>
      <c r="EK24" s="215"/>
      <c r="EL24" s="215"/>
      <c r="EM24" s="215"/>
      <c r="EN24" s="215"/>
      <c r="EO24" s="215"/>
      <c r="EP24" s="215"/>
      <c r="EQ24" s="215"/>
      <c r="ER24" s="215"/>
      <c r="ES24" s="215"/>
      <c r="ET24" s="215"/>
      <c r="EU24" s="215"/>
      <c r="EV24" s="215"/>
      <c r="EW24" s="215"/>
      <c r="EX24" s="215"/>
      <c r="EY24" s="215"/>
      <c r="EZ24" s="215"/>
      <c r="FA24" s="215"/>
      <c r="FB24" s="215"/>
      <c r="FC24" s="215"/>
      <c r="FD24" s="215"/>
      <c r="FE24" s="215"/>
      <c r="FF24" s="215"/>
      <c r="FG24" s="215"/>
      <c r="FH24" s="215"/>
      <c r="FI24" s="215"/>
      <c r="FJ24" s="215"/>
      <c r="FK24" s="215"/>
      <c r="FL24" s="215"/>
      <c r="FM24" s="215"/>
      <c r="FN24" s="215"/>
      <c r="FO24" s="215"/>
      <c r="FP24" s="215"/>
      <c r="FQ24" s="215"/>
      <c r="FR24" s="215"/>
      <c r="FS24" s="215"/>
      <c r="FT24" s="215"/>
      <c r="FU24" s="215"/>
      <c r="FV24" s="215"/>
      <c r="FW24" s="215"/>
      <c r="FX24" s="215"/>
      <c r="FY24" s="215"/>
      <c r="FZ24" s="215"/>
      <c r="GA24" s="215"/>
      <c r="GB24" s="215"/>
      <c r="GC24" s="215"/>
      <c r="GD24" s="215"/>
      <c r="GE24" s="215"/>
      <c r="GF24" s="215"/>
      <c r="GG24" s="215"/>
      <c r="GH24" s="215"/>
      <c r="GI24" s="215"/>
      <c r="GJ24" s="215"/>
      <c r="GK24" s="215"/>
      <c r="GL24" s="215"/>
      <c r="GM24" s="215"/>
      <c r="GN24" s="215"/>
      <c r="GO24" s="215"/>
      <c r="GP24" s="215"/>
      <c r="GQ24" s="215"/>
      <c r="GR24" s="215"/>
      <c r="GS24" s="215"/>
      <c r="GT24" s="215"/>
      <c r="GU24" s="215"/>
      <c r="GV24" s="215"/>
      <c r="GW24" s="215"/>
      <c r="GX24" s="215"/>
      <c r="GY24" s="215"/>
      <c r="GZ24" s="215"/>
      <c r="HA24" s="215"/>
      <c r="HB24" s="215"/>
      <c r="HC24" s="215"/>
      <c r="HD24" s="215"/>
      <c r="HE24" s="215"/>
      <c r="HF24" s="215"/>
      <c r="HG24" s="215"/>
      <c r="HH24" s="215"/>
      <c r="HI24" s="215"/>
      <c r="HJ24" s="215"/>
      <c r="HK24" s="215"/>
      <c r="HL24" s="215"/>
      <c r="HM24" s="215"/>
      <c r="HN24" s="215"/>
      <c r="HO24" s="215"/>
      <c r="HP24" s="215"/>
      <c r="HQ24" s="215"/>
      <c r="HR24" s="215"/>
      <c r="HS24" s="215"/>
      <c r="HT24" s="215"/>
      <c r="HU24" s="215"/>
      <c r="HV24" s="215"/>
      <c r="HW24" s="215"/>
      <c r="HX24" s="215"/>
      <c r="HY24" s="215"/>
      <c r="HZ24" s="215"/>
      <c r="IA24" s="215"/>
      <c r="IB24" s="215"/>
      <c r="IC24" s="215"/>
      <c r="ID24" s="215"/>
      <c r="IE24" s="215"/>
      <c r="IF24" s="215"/>
      <c r="IG24" s="215"/>
      <c r="IH24" s="215"/>
      <c r="II24" s="215"/>
      <c r="IJ24" s="215"/>
      <c r="IK24" s="215"/>
      <c r="IL24" s="215"/>
      <c r="IM24" s="215"/>
      <c r="IN24" s="215"/>
      <c r="IO24" s="215"/>
      <c r="IP24" s="215"/>
      <c r="IQ24" s="215"/>
      <c r="IR24" s="215"/>
      <c r="IS24" s="215"/>
      <c r="IT24" s="215"/>
      <c r="IU24" s="215"/>
      <c r="IV24" s="215"/>
      <c r="IW24" s="215"/>
      <c r="IX24" s="215"/>
      <c r="IY24" s="215"/>
      <c r="IZ24" s="215"/>
      <c r="JA24" s="215"/>
      <c r="JB24" s="215"/>
      <c r="JC24" s="215"/>
      <c r="JD24" s="215"/>
      <c r="JE24" s="215"/>
      <c r="JF24" s="215"/>
      <c r="JG24" s="215"/>
      <c r="JH24" s="215"/>
      <c r="JI24" s="215"/>
      <c r="JJ24" s="215"/>
      <c r="JK24" s="215"/>
      <c r="JL24" s="215"/>
      <c r="JM24" s="215"/>
      <c r="JN24" s="215"/>
      <c r="JO24" s="215"/>
      <c r="JP24" s="215"/>
      <c r="JQ24" s="215"/>
      <c r="JR24" s="215"/>
      <c r="JS24" s="215"/>
      <c r="JT24" s="215"/>
      <c r="JU24" s="215"/>
      <c r="JV24" s="215"/>
      <c r="JW24" s="215"/>
      <c r="JX24" s="215"/>
      <c r="JY24" s="215"/>
      <c r="JZ24" s="215"/>
      <c r="KA24" s="215"/>
      <c r="KB24" s="215"/>
      <c r="KC24" s="215"/>
      <c r="KD24" s="215"/>
      <c r="KE24" s="215"/>
      <c r="KF24" s="215"/>
      <c r="KG24" s="215"/>
      <c r="KH24" s="215"/>
      <c r="KI24" s="215"/>
      <c r="KJ24" s="215"/>
      <c r="KK24" s="215"/>
      <c r="KL24" s="215"/>
      <c r="KM24" s="215"/>
      <c r="KN24" s="215"/>
      <c r="KO24" s="215"/>
      <c r="KP24" s="215"/>
      <c r="KQ24" s="215"/>
      <c r="KR24" s="215"/>
      <c r="KS24" s="215"/>
      <c r="KT24" s="215"/>
      <c r="KU24" s="215"/>
      <c r="KV24" s="215"/>
      <c r="KW24" s="215"/>
      <c r="KX24" s="215"/>
      <c r="KY24" s="215"/>
      <c r="KZ24" s="215"/>
      <c r="LA24" s="215"/>
      <c r="LB24" s="215"/>
      <c r="LC24" s="215"/>
      <c r="LD24" s="215"/>
      <c r="LE24" s="215"/>
      <c r="LF24" s="215"/>
      <c r="LG24" s="215"/>
      <c r="LH24" s="215"/>
      <c r="LI24" s="215"/>
      <c r="LJ24" s="215"/>
      <c r="LK24" s="215"/>
      <c r="LL24" s="215"/>
      <c r="LM24" s="215"/>
      <c r="LN24" s="215"/>
      <c r="LO24" s="215"/>
      <c r="LP24" s="215"/>
      <c r="LQ24" s="215"/>
      <c r="LR24" s="215"/>
      <c r="LS24" s="215"/>
      <c r="LT24" s="215"/>
      <c r="LU24" s="215"/>
      <c r="LV24" s="215"/>
      <c r="LW24" s="215"/>
      <c r="LX24" s="215"/>
      <c r="LY24" s="215"/>
      <c r="LZ24" s="215"/>
      <c r="MA24" s="215"/>
      <c r="MB24" s="215"/>
      <c r="MC24" s="215"/>
      <c r="MD24" s="215"/>
      <c r="ME24" s="215"/>
      <c r="MF24" s="215"/>
      <c r="MG24" s="215"/>
      <c r="MH24" s="215"/>
      <c r="MI24" s="215"/>
      <c r="MJ24" s="215"/>
      <c r="MK24" s="215"/>
      <c r="ML24" s="215"/>
      <c r="MM24" s="215"/>
      <c r="MN24" s="215"/>
      <c r="MO24" s="215"/>
      <c r="MP24" s="215"/>
      <c r="MQ24" s="215"/>
      <c r="MR24" s="215"/>
      <c r="MS24" s="215"/>
      <c r="MT24" s="215"/>
      <c r="MU24" s="215"/>
      <c r="MV24" s="215"/>
      <c r="MW24" s="215"/>
      <c r="MX24" s="215"/>
      <c r="MY24" s="215"/>
      <c r="MZ24" s="215"/>
      <c r="NA24" s="215"/>
      <c r="NB24" s="215"/>
      <c r="NC24" s="215"/>
      <c r="ND24" s="215"/>
      <c r="NE24" s="215"/>
      <c r="NF24" s="215"/>
      <c r="NG24" s="215"/>
      <c r="NH24" s="215"/>
      <c r="NI24" s="215"/>
      <c r="NJ24" s="215"/>
      <c r="NK24" s="215"/>
      <c r="NL24" s="215"/>
      <c r="NM24" s="215"/>
      <c r="NN24" s="215"/>
      <c r="NO24" s="215"/>
      <c r="NP24" s="215"/>
      <c r="NQ24" s="215"/>
      <c r="NR24" s="215"/>
      <c r="NS24" s="215"/>
      <c r="NT24" s="215"/>
      <c r="NU24" s="215"/>
      <c r="NV24" s="215"/>
      <c r="NW24" s="215"/>
      <c r="NX24" s="215"/>
      <c r="NY24" s="215"/>
      <c r="NZ24" s="215"/>
      <c r="OA24" s="215"/>
      <c r="OB24" s="215"/>
      <c r="OC24" s="215"/>
      <c r="OD24" s="215"/>
      <c r="OE24" s="215"/>
      <c r="OF24" s="215"/>
      <c r="OG24" s="215"/>
      <c r="OH24" s="215"/>
      <c r="OI24" s="215"/>
      <c r="OJ24" s="215"/>
      <c r="OK24" s="215"/>
      <c r="OL24" s="215"/>
      <c r="OM24" s="215"/>
      <c r="ON24" s="215"/>
      <c r="OO24" s="215"/>
      <c r="OP24" s="215"/>
      <c r="OQ24" s="215"/>
      <c r="OR24" s="215"/>
      <c r="OS24" s="215"/>
      <c r="OT24" s="215"/>
      <c r="OU24" s="215"/>
      <c r="OV24" s="215"/>
      <c r="OW24" s="215"/>
      <c r="OX24" s="215"/>
      <c r="OY24" s="215"/>
      <c r="OZ24" s="215"/>
      <c r="PA24" s="215"/>
      <c r="PB24" s="215"/>
      <c r="PC24" s="215"/>
      <c r="PD24" s="215"/>
      <c r="PE24" s="215"/>
      <c r="PF24" s="215"/>
      <c r="PG24" s="215"/>
      <c r="PH24" s="215"/>
      <c r="PI24" s="215"/>
      <c r="PJ24" s="215"/>
      <c r="PK24" s="215"/>
      <c r="PL24" s="215"/>
      <c r="PM24" s="215"/>
      <c r="PN24" s="215"/>
      <c r="PO24" s="215"/>
      <c r="PP24" s="215"/>
      <c r="PQ24" s="215"/>
      <c r="PR24" s="215"/>
      <c r="PS24" s="215"/>
      <c r="PT24" s="215"/>
      <c r="PU24" s="215"/>
      <c r="PV24" s="215"/>
      <c r="PW24" s="215"/>
      <c r="PX24" s="215"/>
      <c r="PY24" s="215"/>
      <c r="PZ24" s="215"/>
      <c r="QA24" s="215"/>
      <c r="QB24" s="215"/>
      <c r="QC24" s="215"/>
      <c r="QD24" s="215"/>
      <c r="QE24" s="215"/>
      <c r="QF24" s="215"/>
      <c r="QG24" s="215"/>
      <c r="QH24" s="215"/>
      <c r="QI24" s="215"/>
      <c r="QJ24" s="215"/>
      <c r="QK24" s="215"/>
      <c r="QL24" s="215"/>
      <c r="QM24" s="215"/>
      <c r="QN24" s="215"/>
      <c r="QO24" s="215"/>
      <c r="QP24" s="215"/>
      <c r="QQ24" s="215"/>
      <c r="QR24" s="215"/>
      <c r="QS24" s="215"/>
      <c r="QT24" s="215"/>
      <c r="QU24" s="215"/>
      <c r="QV24" s="215"/>
      <c r="QW24" s="215"/>
      <c r="QX24" s="215"/>
      <c r="QY24" s="215"/>
      <c r="QZ24" s="215"/>
      <c r="RA24" s="215"/>
      <c r="RB24" s="215"/>
      <c r="RC24" s="215"/>
      <c r="RD24" s="215"/>
      <c r="RE24" s="215"/>
      <c r="RF24" s="215"/>
      <c r="RG24" s="215"/>
      <c r="RH24" s="215"/>
      <c r="RI24" s="215"/>
      <c r="RJ24" s="215"/>
      <c r="RK24" s="215"/>
      <c r="RL24" s="215"/>
      <c r="RM24" s="215"/>
      <c r="RN24" s="215"/>
      <c r="RO24" s="215"/>
      <c r="RP24" s="215"/>
      <c r="RQ24" s="215"/>
      <c r="RR24" s="215"/>
      <c r="RS24" s="215"/>
      <c r="RT24" s="215"/>
      <c r="RU24" s="215"/>
      <c r="RV24" s="215"/>
      <c r="RW24" s="215"/>
      <c r="RX24" s="215"/>
      <c r="RY24" s="215"/>
      <c r="RZ24" s="215"/>
      <c r="SA24" s="215"/>
      <c r="SB24" s="215"/>
      <c r="SC24" s="215"/>
      <c r="SD24" s="215"/>
      <c r="SE24" s="215"/>
      <c r="SF24" s="215"/>
      <c r="SG24" s="215"/>
      <c r="SH24" s="215"/>
      <c r="SI24" s="215"/>
      <c r="SJ24" s="215"/>
      <c r="SK24" s="215"/>
      <c r="SL24" s="215"/>
      <c r="SM24" s="215"/>
      <c r="SN24" s="215"/>
      <c r="SO24" s="215"/>
      <c r="SP24" s="215"/>
      <c r="SQ24" s="215"/>
      <c r="SR24" s="215"/>
      <c r="SS24" s="215"/>
      <c r="ST24" s="215"/>
      <c r="SU24" s="215"/>
      <c r="SV24" s="215"/>
      <c r="SW24" s="215"/>
      <c r="SX24" s="215"/>
      <c r="SY24" s="215"/>
      <c r="SZ24" s="215"/>
      <c r="TA24" s="215"/>
      <c r="TB24" s="215"/>
      <c r="TC24" s="215"/>
      <c r="TD24" s="215"/>
      <c r="TE24" s="215"/>
      <c r="TF24" s="215"/>
      <c r="TG24" s="215"/>
      <c r="TH24" s="215"/>
      <c r="TI24" s="215"/>
      <c r="TJ24" s="215"/>
      <c r="TK24" s="215"/>
      <c r="TL24" s="215"/>
      <c r="TM24" s="215"/>
      <c r="TN24" s="215"/>
      <c r="TO24" s="215"/>
      <c r="TP24" s="215"/>
      <c r="TQ24" s="215"/>
      <c r="TR24" s="215"/>
      <c r="TS24" s="215"/>
      <c r="TT24" s="215"/>
      <c r="TU24" s="215"/>
      <c r="TV24" s="215"/>
      <c r="TW24" s="215"/>
      <c r="TX24" s="215"/>
      <c r="TY24" s="215"/>
      <c r="TZ24" s="215"/>
      <c r="UA24" s="215"/>
      <c r="UB24" s="215"/>
      <c r="UC24" s="215"/>
      <c r="UD24" s="215"/>
      <c r="UE24" s="215"/>
      <c r="UF24" s="215"/>
      <c r="UG24" s="215"/>
      <c r="UH24" s="215"/>
      <c r="UI24" s="215"/>
      <c r="UJ24" s="215"/>
      <c r="UK24" s="215"/>
      <c r="UL24" s="215"/>
      <c r="UM24" s="215"/>
      <c r="UN24" s="215"/>
      <c r="UO24" s="215"/>
      <c r="UP24" s="215"/>
      <c r="UQ24" s="215"/>
      <c r="UR24" s="215"/>
      <c r="US24" s="215"/>
      <c r="UT24" s="215"/>
      <c r="UU24" s="215"/>
      <c r="UV24" s="215"/>
      <c r="UW24" s="215"/>
      <c r="UX24" s="215"/>
      <c r="UY24" s="215"/>
      <c r="UZ24" s="215"/>
      <c r="VA24" s="215"/>
      <c r="VB24" s="215"/>
      <c r="VC24" s="215"/>
      <c r="VD24" s="215"/>
      <c r="VE24" s="215"/>
      <c r="VF24" s="215"/>
      <c r="VG24" s="215"/>
      <c r="VH24" s="215"/>
      <c r="VI24" s="215"/>
      <c r="VJ24" s="215"/>
      <c r="VK24" s="215"/>
      <c r="VL24" s="215"/>
      <c r="VM24" s="215"/>
      <c r="VN24" s="215"/>
      <c r="VO24" s="215"/>
      <c r="VP24" s="215"/>
      <c r="VQ24" s="215"/>
      <c r="VR24" s="215"/>
      <c r="VS24" s="215"/>
      <c r="VT24" s="215"/>
      <c r="VU24" s="215"/>
      <c r="VV24" s="215"/>
      <c r="VW24" s="215"/>
      <c r="VX24" s="215"/>
      <c r="VY24" s="215"/>
      <c r="VZ24" s="215"/>
      <c r="WA24" s="215"/>
      <c r="WB24" s="215"/>
      <c r="WC24" s="215"/>
      <c r="WD24" s="215"/>
      <c r="WE24" s="215"/>
      <c r="WF24" s="215"/>
      <c r="WG24" s="215"/>
      <c r="WH24" s="215"/>
      <c r="WI24" s="215"/>
      <c r="WJ24" s="215"/>
      <c r="WK24" s="215"/>
      <c r="WL24" s="215"/>
      <c r="WM24" s="215"/>
      <c r="WN24" s="215"/>
      <c r="WO24" s="215"/>
      <c r="WP24" s="215"/>
      <c r="WQ24" s="215"/>
      <c r="WR24" s="215"/>
      <c r="WS24" s="215"/>
      <c r="WT24" s="215"/>
      <c r="WU24" s="215"/>
      <c r="WV24" s="215"/>
      <c r="WW24" s="215"/>
      <c r="WX24" s="215"/>
      <c r="WY24" s="215"/>
      <c r="WZ24" s="215"/>
      <c r="XA24" s="215"/>
      <c r="XB24" s="215"/>
      <c r="XC24" s="215"/>
      <c r="XD24" s="215"/>
      <c r="XE24" s="215"/>
      <c r="XF24" s="215"/>
      <c r="XG24" s="215"/>
      <c r="XH24" s="215"/>
      <c r="XI24" s="215"/>
      <c r="XJ24" s="215"/>
      <c r="XK24" s="215"/>
      <c r="XL24" s="215"/>
      <c r="XM24" s="215"/>
      <c r="XN24" s="215"/>
      <c r="XO24" s="215"/>
      <c r="XP24" s="215"/>
      <c r="XQ24" s="215"/>
      <c r="XR24" s="215"/>
      <c r="XS24" s="215"/>
      <c r="XT24" s="215"/>
      <c r="XU24" s="215"/>
      <c r="XV24" s="215"/>
      <c r="XW24" s="215"/>
      <c r="XX24" s="215"/>
      <c r="XY24" s="215"/>
      <c r="XZ24" s="215"/>
      <c r="YA24" s="215"/>
      <c r="YB24" s="215"/>
      <c r="YC24" s="215"/>
      <c r="YD24" s="215"/>
      <c r="YE24" s="215"/>
      <c r="YF24" s="215"/>
      <c r="YG24" s="215"/>
      <c r="YH24" s="215"/>
      <c r="YI24" s="215"/>
      <c r="YJ24" s="215"/>
      <c r="YK24" s="215"/>
      <c r="YL24" s="215"/>
      <c r="YM24" s="215"/>
      <c r="YN24" s="215"/>
      <c r="YO24" s="215"/>
      <c r="YP24" s="215"/>
      <c r="YQ24" s="215"/>
      <c r="YR24" s="215"/>
      <c r="YS24" s="215"/>
      <c r="YT24" s="215"/>
      <c r="YU24" s="215"/>
      <c r="YV24" s="215"/>
      <c r="YW24" s="215"/>
      <c r="YX24" s="215"/>
      <c r="YY24" s="215"/>
      <c r="YZ24" s="215"/>
      <c r="ZA24" s="215"/>
      <c r="ZB24" s="215"/>
      <c r="ZC24" s="215"/>
      <c r="ZD24" s="215"/>
      <c r="ZE24" s="215"/>
      <c r="ZF24" s="215"/>
      <c r="ZG24" s="215"/>
      <c r="ZH24" s="215"/>
      <c r="ZI24" s="215"/>
      <c r="ZJ24" s="215"/>
      <c r="ZK24" s="215"/>
      <c r="ZL24" s="215"/>
      <c r="ZM24" s="215"/>
      <c r="ZN24" s="215"/>
      <c r="ZO24" s="215"/>
      <c r="ZP24" s="215"/>
      <c r="ZQ24" s="215"/>
      <c r="ZR24" s="215"/>
      <c r="ZS24" s="215"/>
      <c r="ZT24" s="215"/>
      <c r="ZU24" s="215"/>
      <c r="ZV24" s="215"/>
      <c r="ZW24" s="215"/>
      <c r="ZX24" s="215"/>
      <c r="ZY24" s="215"/>
      <c r="ZZ24" s="215"/>
      <c r="AAA24" s="215"/>
      <c r="AAB24" s="215"/>
      <c r="AAC24" s="215"/>
      <c r="AAD24" s="215"/>
      <c r="AAE24" s="215"/>
      <c r="AAF24" s="215"/>
      <c r="AAG24" s="215"/>
      <c r="AAH24" s="215"/>
      <c r="AAI24" s="215"/>
      <c r="AAJ24" s="215"/>
      <c r="AAK24" s="215"/>
      <c r="AAL24" s="215"/>
      <c r="AAM24" s="215"/>
      <c r="AAN24" s="215"/>
      <c r="AAO24" s="215"/>
      <c r="AAP24" s="215"/>
      <c r="AAQ24" s="215"/>
      <c r="AAR24" s="215"/>
      <c r="AAS24" s="215"/>
      <c r="AAT24" s="215"/>
      <c r="AAU24" s="215"/>
      <c r="AAV24" s="215"/>
      <c r="AAW24" s="215"/>
      <c r="AAX24" s="215"/>
      <c r="AAY24" s="215"/>
      <c r="AAZ24" s="215"/>
      <c r="ABA24" s="215"/>
      <c r="ABB24" s="215"/>
      <c r="ABC24" s="215"/>
      <c r="ABD24" s="215"/>
      <c r="ABE24" s="215"/>
      <c r="ABF24" s="215"/>
      <c r="ABG24" s="215"/>
      <c r="ABH24" s="215"/>
      <c r="ABI24" s="215"/>
      <c r="ABJ24" s="215"/>
      <c r="ABK24" s="215"/>
      <c r="ABL24" s="215"/>
      <c r="ABM24" s="215"/>
      <c r="ABN24" s="215"/>
      <c r="ABO24" s="215"/>
      <c r="ABP24" s="215"/>
      <c r="ABQ24" s="215"/>
      <c r="ABR24" s="215"/>
      <c r="ABS24" s="215"/>
      <c r="ABT24" s="215"/>
      <c r="ABU24" s="215"/>
      <c r="ABV24" s="215"/>
      <c r="ABW24" s="215"/>
      <c r="ABX24" s="215"/>
      <c r="ABY24" s="215"/>
      <c r="ABZ24" s="215"/>
      <c r="ACA24" s="215"/>
      <c r="ACB24" s="215"/>
      <c r="ACC24" s="215"/>
      <c r="ACD24" s="215"/>
      <c r="ACE24" s="215"/>
      <c r="ACF24" s="215"/>
      <c r="ACG24" s="215"/>
      <c r="ACH24" s="215"/>
      <c r="ACI24" s="215"/>
      <c r="ACJ24" s="215"/>
      <c r="ACK24" s="215"/>
      <c r="ACL24" s="215"/>
      <c r="ACM24" s="215"/>
      <c r="ACN24" s="215"/>
      <c r="ACO24" s="215"/>
      <c r="ACP24" s="215"/>
      <c r="ACQ24" s="215"/>
      <c r="ACR24" s="215"/>
      <c r="ACS24" s="215"/>
      <c r="ACT24" s="215"/>
      <c r="ACU24" s="215"/>
      <c r="ACV24" s="215"/>
      <c r="ACW24" s="215"/>
      <c r="ACX24" s="215"/>
      <c r="ACY24" s="215"/>
      <c r="ACZ24" s="215"/>
      <c r="ADA24" s="215"/>
      <c r="ADB24" s="215"/>
      <c r="ADC24" s="215"/>
      <c r="ADD24" s="215"/>
      <c r="ADE24" s="215"/>
      <c r="ADF24" s="215"/>
      <c r="ADG24" s="215"/>
      <c r="ADH24" s="215"/>
      <c r="ADI24" s="215"/>
      <c r="ADJ24" s="215"/>
      <c r="ADK24" s="215"/>
      <c r="ADL24" s="215"/>
      <c r="ADM24" s="215"/>
      <c r="ADN24" s="215"/>
      <c r="ADO24" s="215"/>
      <c r="ADP24" s="215"/>
      <c r="ADQ24" s="215"/>
      <c r="ADR24" s="215"/>
      <c r="ADS24" s="215"/>
      <c r="ADT24" s="215"/>
      <c r="ADU24" s="215"/>
      <c r="ADV24" s="215"/>
      <c r="ADW24" s="215"/>
      <c r="ADX24" s="215"/>
      <c r="ADY24" s="215"/>
      <c r="ADZ24" s="215"/>
      <c r="AEA24" s="215"/>
      <c r="AEB24" s="215"/>
      <c r="AEC24" s="215"/>
      <c r="AED24" s="215"/>
      <c r="AEE24" s="215"/>
      <c r="AEF24" s="215"/>
      <c r="AEG24" s="215"/>
      <c r="AEH24" s="215"/>
      <c r="AEI24" s="215"/>
      <c r="AEJ24" s="215"/>
      <c r="AEK24" s="215"/>
      <c r="AEL24" s="215"/>
      <c r="AEM24" s="215"/>
      <c r="AEN24" s="215"/>
      <c r="AEO24" s="215"/>
      <c r="AEP24" s="215"/>
      <c r="AEQ24" s="215"/>
      <c r="AER24" s="215"/>
      <c r="AES24" s="215"/>
      <c r="AET24" s="215"/>
      <c r="AEU24" s="215"/>
      <c r="AEV24" s="215"/>
      <c r="AEW24" s="215"/>
      <c r="AEX24" s="215"/>
      <c r="AEY24" s="215"/>
      <c r="AEZ24" s="215"/>
      <c r="AFA24" s="215"/>
      <c r="AFB24" s="215"/>
      <c r="AFC24" s="215"/>
      <c r="AFD24" s="215"/>
      <c r="AFE24" s="215"/>
      <c r="AFF24" s="215"/>
      <c r="AFG24" s="215"/>
      <c r="AFH24" s="215"/>
      <c r="AFI24" s="215"/>
      <c r="AFJ24" s="215"/>
      <c r="AFK24" s="215"/>
      <c r="AFL24" s="215"/>
      <c r="AFM24" s="215"/>
      <c r="AFN24" s="215"/>
      <c r="AFO24" s="215"/>
      <c r="AFP24" s="215"/>
      <c r="AFQ24" s="215"/>
      <c r="AFR24" s="215"/>
      <c r="AFS24" s="215"/>
      <c r="AFT24" s="215"/>
      <c r="AFU24" s="215"/>
      <c r="AFV24" s="215"/>
      <c r="AFW24" s="215"/>
      <c r="AFX24" s="215"/>
      <c r="AFY24" s="215"/>
      <c r="AFZ24" s="215"/>
      <c r="AGA24" s="215"/>
      <c r="AGB24" s="215"/>
      <c r="AGC24" s="215"/>
      <c r="AGD24" s="215"/>
      <c r="AGE24" s="215"/>
      <c r="AGF24" s="215"/>
      <c r="AGG24" s="215"/>
      <c r="AGH24" s="215"/>
      <c r="AGI24" s="215"/>
      <c r="AGJ24" s="215"/>
      <c r="AGK24" s="215"/>
      <c r="AGL24" s="215"/>
      <c r="AGM24" s="215"/>
      <c r="AGN24" s="215"/>
      <c r="AGO24" s="215"/>
      <c r="AGP24" s="215"/>
      <c r="AGQ24" s="215"/>
      <c r="AGR24" s="215"/>
      <c r="AGS24" s="215"/>
      <c r="AGT24" s="215"/>
      <c r="AGU24" s="215"/>
      <c r="AGV24" s="215"/>
      <c r="AGW24" s="215"/>
      <c r="AGX24" s="215"/>
      <c r="AGY24" s="215"/>
      <c r="AGZ24" s="215"/>
      <c r="AHA24" s="215"/>
      <c r="AHB24" s="215"/>
      <c r="AHC24" s="215"/>
      <c r="AHD24" s="215"/>
      <c r="AHE24" s="215"/>
      <c r="AHF24" s="215"/>
      <c r="AHG24" s="215"/>
      <c r="AHH24" s="215"/>
      <c r="AHI24" s="215"/>
      <c r="AHJ24" s="215"/>
      <c r="AHK24" s="215"/>
      <c r="AHL24" s="215"/>
      <c r="AHM24" s="215"/>
      <c r="AHN24" s="215"/>
      <c r="AHO24" s="215"/>
      <c r="AHP24" s="215"/>
      <c r="AHQ24" s="215"/>
      <c r="AHR24" s="215"/>
      <c r="AHS24" s="215"/>
      <c r="AHT24" s="215"/>
      <c r="AHU24" s="215"/>
      <c r="AHV24" s="215"/>
      <c r="AHW24" s="215"/>
      <c r="AHX24" s="215"/>
      <c r="AHY24" s="215"/>
      <c r="AHZ24" s="215"/>
      <c r="AIA24" s="215"/>
      <c r="AIB24" s="215"/>
      <c r="AIC24" s="215"/>
      <c r="AID24" s="215"/>
      <c r="AIE24" s="215"/>
      <c r="AIF24" s="215"/>
      <c r="AIG24" s="215"/>
      <c r="AIH24" s="215"/>
      <c r="AII24" s="215"/>
      <c r="AIJ24" s="215"/>
      <c r="AIK24" s="215"/>
      <c r="AIL24" s="215"/>
      <c r="AIM24" s="215"/>
      <c r="AIN24" s="215"/>
      <c r="AIO24" s="215"/>
      <c r="AIP24" s="215"/>
      <c r="AIQ24" s="215"/>
      <c r="AIR24" s="215"/>
      <c r="AIS24" s="215"/>
      <c r="AIT24" s="215"/>
      <c r="AIU24" s="215"/>
      <c r="AIV24" s="215"/>
      <c r="AIW24" s="215"/>
      <c r="AIX24" s="215"/>
      <c r="AIY24" s="215"/>
      <c r="AIZ24" s="215"/>
      <c r="AJA24" s="215"/>
      <c r="AJB24" s="215"/>
      <c r="AJC24" s="215"/>
      <c r="AJD24" s="215"/>
      <c r="AJE24" s="215"/>
      <c r="AJF24" s="215"/>
      <c r="AJG24" s="215"/>
      <c r="AJH24" s="215"/>
      <c r="AJI24" s="215"/>
      <c r="AJJ24" s="215"/>
      <c r="AJK24" s="215"/>
      <c r="AJL24" s="215"/>
      <c r="AJM24" s="215"/>
      <c r="AJN24" s="215"/>
      <c r="AJO24" s="215"/>
      <c r="AJP24" s="215"/>
      <c r="AJQ24" s="215"/>
      <c r="AJR24" s="215"/>
      <c r="AJS24" s="215"/>
      <c r="AJT24" s="215"/>
      <c r="AJU24" s="215"/>
      <c r="AJV24" s="215"/>
      <c r="AJW24" s="215"/>
      <c r="AJX24" s="215"/>
      <c r="AJY24" s="215"/>
      <c r="AJZ24" s="215"/>
      <c r="AKA24" s="215"/>
      <c r="AKB24" s="215"/>
      <c r="AKC24" s="215"/>
      <c r="AKD24" s="215"/>
      <c r="AKE24" s="215"/>
      <c r="AKF24" s="215"/>
      <c r="AKG24" s="215"/>
      <c r="AKH24" s="215"/>
      <c r="AKI24" s="215"/>
      <c r="AKJ24" s="215"/>
      <c r="AKK24" s="215"/>
      <c r="AKL24" s="215"/>
      <c r="AKM24" s="215"/>
      <c r="AKN24" s="215"/>
      <c r="AKO24" s="215"/>
      <c r="AKP24" s="215"/>
      <c r="AKQ24" s="215"/>
      <c r="AKR24" s="215"/>
      <c r="AKS24" s="215"/>
      <c r="AKT24" s="215"/>
      <c r="AKU24" s="215"/>
      <c r="AKV24" s="215"/>
      <c r="AKW24" s="215"/>
      <c r="AKX24" s="215"/>
      <c r="AKY24" s="215"/>
      <c r="AKZ24" s="215"/>
      <c r="ALA24" s="215"/>
      <c r="ALB24" s="215"/>
      <c r="ALC24" s="215"/>
      <c r="ALD24" s="215"/>
      <c r="ALE24" s="215"/>
      <c r="ALF24" s="215"/>
      <c r="ALG24" s="215"/>
      <c r="ALH24" s="215"/>
      <c r="ALI24" s="215"/>
      <c r="ALJ24" s="215"/>
      <c r="ALK24" s="215"/>
      <c r="ALL24" s="215"/>
      <c r="ALM24" s="215"/>
      <c r="ALN24" s="215"/>
      <c r="ALO24" s="215"/>
      <c r="ALP24" s="215"/>
      <c r="ALQ24" s="215"/>
      <c r="ALR24" s="215"/>
      <c r="ALS24" s="215"/>
      <c r="ALT24" s="215"/>
      <c r="ALU24" s="215"/>
      <c r="ALV24" s="215"/>
      <c r="ALW24" s="215"/>
      <c r="ALX24" s="215"/>
      <c r="ALY24" s="215"/>
      <c r="ALZ24" s="215"/>
      <c r="AMA24" s="215"/>
      <c r="AMB24" s="215"/>
      <c r="AMC24" s="215"/>
      <c r="AMD24" s="215"/>
      <c r="AME24" s="215"/>
      <c r="AMF24" s="215"/>
      <c r="AMG24" s="215"/>
      <c r="AMH24" s="215"/>
      <c r="AMI24" s="215"/>
      <c r="AMJ24" s="215"/>
      <c r="AMK24" s="215"/>
      <c r="AML24" s="215"/>
      <c r="AMM24" s="215"/>
      <c r="AMN24" s="215"/>
      <c r="AMO24" s="215"/>
      <c r="AMP24" s="215"/>
      <c r="AMQ24" s="215"/>
      <c r="AMR24" s="215"/>
      <c r="AMS24" s="215"/>
      <c r="AMT24" s="215"/>
      <c r="AMU24" s="215"/>
      <c r="AMV24" s="215"/>
      <c r="AMW24" s="215"/>
      <c r="AMX24" s="215"/>
      <c r="AMY24" s="215"/>
      <c r="AMZ24" s="215"/>
      <c r="ANA24" s="215"/>
      <c r="ANB24" s="215"/>
      <c r="ANC24" s="215"/>
      <c r="AND24" s="215"/>
      <c r="ANE24" s="215"/>
      <c r="ANF24" s="215"/>
      <c r="ANG24" s="215"/>
      <c r="ANH24" s="215"/>
      <c r="ANI24" s="215"/>
      <c r="ANJ24" s="215"/>
      <c r="ANK24" s="215"/>
      <c r="ANL24" s="215"/>
      <c r="ANM24" s="215"/>
      <c r="ANN24" s="215"/>
      <c r="ANO24" s="215"/>
      <c r="ANP24" s="215"/>
      <c r="ANQ24" s="215"/>
      <c r="ANR24" s="215"/>
      <c r="ANS24" s="215"/>
      <c r="ANT24" s="215"/>
      <c r="ANU24" s="215"/>
      <c r="ANV24" s="215"/>
      <c r="ANW24" s="215"/>
      <c r="ANX24" s="215"/>
      <c r="ANY24" s="215"/>
      <c r="ANZ24" s="215"/>
      <c r="AOA24" s="215"/>
      <c r="AOB24" s="215"/>
      <c r="AOC24" s="215"/>
      <c r="AOD24" s="215"/>
      <c r="AOE24" s="215"/>
      <c r="AOF24" s="215"/>
      <c r="AOG24" s="215"/>
      <c r="AOH24" s="215"/>
      <c r="AOI24" s="215"/>
      <c r="AOJ24" s="215"/>
      <c r="AOK24" s="215"/>
      <c r="AOL24" s="215"/>
      <c r="AOM24" s="215"/>
      <c r="AON24" s="215"/>
      <c r="AOO24" s="215"/>
      <c r="AOP24" s="215"/>
      <c r="AOQ24" s="215"/>
      <c r="AOR24" s="215"/>
      <c r="AOS24" s="215"/>
      <c r="AOT24" s="215"/>
      <c r="AOU24" s="215"/>
      <c r="AOV24" s="215"/>
      <c r="AOW24" s="215"/>
      <c r="AOX24" s="215"/>
      <c r="AOY24" s="215"/>
      <c r="AOZ24" s="215"/>
      <c r="APA24" s="215"/>
      <c r="APB24" s="215"/>
      <c r="APC24" s="215"/>
      <c r="APD24" s="215"/>
      <c r="APE24" s="215"/>
      <c r="APF24" s="215"/>
      <c r="APG24" s="215"/>
      <c r="APH24" s="215"/>
      <c r="API24" s="215"/>
      <c r="APJ24" s="215"/>
      <c r="APK24" s="215"/>
      <c r="APL24" s="215"/>
      <c r="APM24" s="215"/>
      <c r="APN24" s="215"/>
      <c r="APO24" s="215"/>
      <c r="APP24" s="215"/>
      <c r="APQ24" s="215"/>
      <c r="APR24" s="215"/>
      <c r="APS24" s="215"/>
      <c r="APT24" s="215"/>
      <c r="APU24" s="215"/>
      <c r="APV24" s="215"/>
      <c r="APW24" s="215"/>
      <c r="APX24" s="215"/>
      <c r="APY24" s="215"/>
      <c r="APZ24" s="215"/>
      <c r="AQA24" s="215"/>
      <c r="AQB24" s="215"/>
      <c r="AQC24" s="215"/>
      <c r="AQD24" s="215"/>
      <c r="AQE24" s="215"/>
      <c r="AQF24" s="215"/>
      <c r="AQG24" s="215"/>
      <c r="AQH24" s="215"/>
      <c r="AQI24" s="215"/>
      <c r="AQJ24" s="215"/>
      <c r="AQK24" s="215"/>
      <c r="AQL24" s="215"/>
      <c r="AQM24" s="215"/>
      <c r="AQN24" s="215"/>
      <c r="AQO24" s="215"/>
      <c r="AQP24" s="215"/>
      <c r="AQQ24" s="215"/>
      <c r="AQR24" s="215"/>
      <c r="AQS24" s="215"/>
      <c r="AQT24" s="215"/>
      <c r="AQU24" s="215"/>
      <c r="AQV24" s="215"/>
      <c r="AQW24" s="215"/>
      <c r="AQX24" s="215"/>
      <c r="AQY24" s="215"/>
      <c r="AQZ24" s="215"/>
      <c r="ARA24" s="215"/>
      <c r="ARB24" s="215"/>
      <c r="ARC24" s="215"/>
      <c r="ARD24" s="215"/>
      <c r="ARE24" s="215"/>
      <c r="ARF24" s="215"/>
      <c r="ARG24" s="215"/>
      <c r="ARH24" s="215"/>
      <c r="ARI24" s="215"/>
      <c r="ARJ24" s="215"/>
      <c r="ARK24" s="215"/>
      <c r="ARL24" s="215"/>
      <c r="ARM24" s="215"/>
      <c r="ARN24" s="215"/>
      <c r="ARO24" s="215"/>
      <c r="ARP24" s="215"/>
      <c r="ARQ24" s="215"/>
      <c r="ARR24" s="215"/>
      <c r="ARS24" s="215"/>
      <c r="ART24" s="215"/>
      <c r="ARU24" s="215"/>
      <c r="ARV24" s="215"/>
      <c r="ARW24" s="215"/>
      <c r="ARX24" s="215"/>
      <c r="ARY24" s="215"/>
      <c r="ARZ24" s="215"/>
      <c r="ASA24" s="215"/>
      <c r="ASB24" s="215"/>
      <c r="ASC24" s="215"/>
      <c r="ASD24" s="215"/>
      <c r="ASE24" s="215"/>
      <c r="ASF24" s="215"/>
      <c r="ASG24" s="215"/>
      <c r="ASH24" s="215"/>
      <c r="ASI24" s="215"/>
      <c r="ASJ24" s="215"/>
      <c r="ASK24" s="215"/>
      <c r="ASL24" s="215"/>
      <c r="ASM24" s="215"/>
      <c r="ASN24" s="215"/>
      <c r="ASO24" s="215"/>
      <c r="ASP24" s="215"/>
      <c r="ASQ24" s="215"/>
      <c r="ASR24" s="215"/>
      <c r="ASS24" s="215"/>
      <c r="AST24" s="215"/>
      <c r="ASU24" s="215"/>
      <c r="ASV24" s="215"/>
      <c r="ASW24" s="215"/>
      <c r="ASX24" s="215"/>
      <c r="ASY24" s="215"/>
      <c r="ASZ24" s="215"/>
      <c r="ATA24" s="215"/>
      <c r="ATB24" s="215"/>
      <c r="ATC24" s="215"/>
      <c r="ATD24" s="215"/>
      <c r="ATE24" s="215"/>
      <c r="ATF24" s="215"/>
      <c r="ATG24" s="215"/>
      <c r="ATH24" s="215"/>
      <c r="ATI24" s="215"/>
      <c r="ATJ24" s="215"/>
      <c r="ATK24" s="215"/>
      <c r="ATL24" s="215"/>
      <c r="ATM24" s="215"/>
      <c r="ATN24" s="215"/>
      <c r="ATO24" s="215"/>
      <c r="ATP24" s="215"/>
      <c r="ATQ24" s="215"/>
      <c r="ATR24" s="215"/>
      <c r="ATS24" s="215"/>
      <c r="ATT24" s="215"/>
      <c r="ATU24" s="215"/>
      <c r="ATV24" s="215"/>
      <c r="ATW24" s="215"/>
      <c r="ATX24" s="215"/>
      <c r="ATY24" s="215"/>
      <c r="ATZ24" s="215"/>
      <c r="AUA24" s="215"/>
      <c r="AUB24" s="215"/>
      <c r="AUC24" s="215"/>
      <c r="AUD24" s="215"/>
      <c r="AUE24" s="215"/>
      <c r="AUF24" s="215"/>
      <c r="AUG24" s="215"/>
      <c r="AUH24" s="215"/>
      <c r="AUI24" s="215"/>
      <c r="AUJ24" s="215"/>
      <c r="AUK24" s="215"/>
      <c r="AUL24" s="215"/>
      <c r="AUM24" s="215"/>
      <c r="AUN24" s="215"/>
      <c r="AUO24" s="215"/>
      <c r="AUP24" s="215"/>
      <c r="AUQ24" s="215"/>
      <c r="AUR24" s="215"/>
      <c r="AUS24" s="215"/>
      <c r="AUT24" s="215"/>
      <c r="AUU24" s="215"/>
      <c r="AUV24" s="215"/>
      <c r="AUW24" s="215"/>
      <c r="AUX24" s="215"/>
      <c r="AUY24" s="215"/>
      <c r="AUZ24" s="215"/>
      <c r="AVA24" s="215"/>
      <c r="AVB24" s="215"/>
      <c r="AVC24" s="215"/>
      <c r="AVD24" s="215"/>
      <c r="AVE24" s="215"/>
      <c r="AVF24" s="215"/>
      <c r="AVG24" s="215"/>
      <c r="AVH24" s="215"/>
      <c r="AVI24" s="215"/>
      <c r="AVJ24" s="215"/>
      <c r="AVK24" s="215"/>
      <c r="AVL24" s="215"/>
      <c r="AVM24" s="215"/>
      <c r="AVN24" s="215"/>
      <c r="AVO24" s="215"/>
      <c r="AVP24" s="215"/>
      <c r="AVQ24" s="215"/>
      <c r="AVR24" s="215"/>
      <c r="AVS24" s="215"/>
      <c r="AVT24" s="215"/>
      <c r="AVU24" s="215"/>
      <c r="AVV24" s="215"/>
      <c r="AVW24" s="215"/>
      <c r="AVX24" s="215"/>
      <c r="AVY24" s="215"/>
      <c r="AVZ24" s="215"/>
      <c r="AWA24" s="215"/>
      <c r="AWB24" s="215"/>
      <c r="AWC24" s="215"/>
      <c r="AWD24" s="215"/>
      <c r="AWE24" s="215"/>
      <c r="AWF24" s="215"/>
      <c r="AWG24" s="215"/>
      <c r="AWH24" s="215"/>
      <c r="AWI24" s="215"/>
      <c r="AWJ24" s="215"/>
      <c r="AWK24" s="215"/>
      <c r="AWL24" s="215"/>
      <c r="AWM24" s="215"/>
      <c r="AWN24" s="215"/>
      <c r="AWO24" s="215"/>
      <c r="AWP24" s="215"/>
      <c r="AWQ24" s="215"/>
      <c r="AWR24" s="215"/>
      <c r="AWS24" s="215"/>
      <c r="AWT24" s="215"/>
      <c r="AWU24" s="215"/>
      <c r="AWV24" s="215"/>
      <c r="AWW24" s="215"/>
      <c r="AWX24" s="215"/>
      <c r="AWY24" s="215"/>
      <c r="AWZ24" s="215"/>
      <c r="AXA24" s="215"/>
      <c r="AXB24" s="215"/>
      <c r="AXC24" s="215"/>
      <c r="AXD24" s="215"/>
      <c r="AXE24" s="215"/>
      <c r="AXF24" s="215"/>
      <c r="AXG24" s="215"/>
      <c r="AXH24" s="215"/>
      <c r="AXI24" s="215"/>
      <c r="AXJ24" s="215"/>
      <c r="AXK24" s="215"/>
      <c r="AXL24" s="215"/>
      <c r="AXM24" s="215"/>
      <c r="AXN24" s="215"/>
      <c r="AXO24" s="215"/>
      <c r="AXP24" s="215"/>
      <c r="AXQ24" s="215"/>
      <c r="AXR24" s="215"/>
      <c r="AXS24" s="215"/>
      <c r="AXT24" s="215"/>
      <c r="AXU24" s="215"/>
      <c r="AXV24" s="215"/>
      <c r="AXW24" s="215"/>
      <c r="AXX24" s="215"/>
      <c r="AXY24" s="215"/>
      <c r="AXZ24" s="215"/>
      <c r="AYA24" s="215"/>
      <c r="AYB24" s="215"/>
      <c r="AYC24" s="215"/>
      <c r="AYD24" s="215"/>
      <c r="AYE24" s="215"/>
      <c r="AYF24" s="215"/>
      <c r="AYG24" s="215"/>
      <c r="AYH24" s="215"/>
      <c r="AYI24" s="215"/>
      <c r="AYJ24" s="215"/>
      <c r="AYK24" s="215"/>
      <c r="AYL24" s="215"/>
      <c r="AYM24" s="215"/>
      <c r="AYN24" s="215"/>
      <c r="AYO24" s="215"/>
      <c r="AYP24" s="215"/>
      <c r="AYQ24" s="215"/>
      <c r="AYR24" s="215"/>
      <c r="AYS24" s="215"/>
      <c r="AYT24" s="215"/>
      <c r="AYU24" s="215"/>
      <c r="AYV24" s="215"/>
      <c r="AYW24" s="215"/>
      <c r="AYX24" s="215"/>
      <c r="AYY24" s="215"/>
      <c r="AYZ24" s="215"/>
      <c r="AZA24" s="215"/>
      <c r="AZB24" s="215"/>
      <c r="AZC24" s="215"/>
      <c r="AZD24" s="215"/>
      <c r="AZE24" s="215"/>
      <c r="AZF24" s="215"/>
      <c r="AZG24" s="215"/>
      <c r="AZH24" s="215"/>
      <c r="AZI24" s="215"/>
      <c r="AZJ24" s="215"/>
      <c r="AZK24" s="215"/>
      <c r="AZL24" s="215"/>
      <c r="AZM24" s="215"/>
      <c r="AZN24" s="215"/>
      <c r="AZO24" s="215"/>
      <c r="AZP24" s="215"/>
      <c r="AZQ24" s="215"/>
      <c r="AZR24" s="215"/>
      <c r="AZS24" s="215"/>
      <c r="AZT24" s="215"/>
      <c r="AZU24" s="215"/>
      <c r="AZV24" s="215"/>
      <c r="AZW24" s="215"/>
      <c r="AZX24" s="215"/>
      <c r="AZY24" s="215"/>
      <c r="AZZ24" s="215"/>
      <c r="BAA24" s="215"/>
      <c r="BAB24" s="215"/>
      <c r="BAC24" s="215"/>
      <c r="BAD24" s="215"/>
      <c r="BAE24" s="215"/>
      <c r="BAF24" s="215"/>
      <c r="BAG24" s="215"/>
      <c r="BAH24" s="215"/>
      <c r="BAI24" s="215"/>
      <c r="BAJ24" s="215"/>
      <c r="BAK24" s="215"/>
      <c r="BAL24" s="215"/>
      <c r="BAM24" s="215"/>
      <c r="BAN24" s="215"/>
      <c r="BAO24" s="215"/>
      <c r="BAP24" s="215"/>
      <c r="BAQ24" s="215"/>
      <c r="BAR24" s="215"/>
      <c r="BAS24" s="215"/>
      <c r="BAT24" s="215"/>
      <c r="BAU24" s="215"/>
      <c r="BAV24" s="215"/>
      <c r="BAW24" s="215"/>
      <c r="BAX24" s="215"/>
      <c r="BAY24" s="215"/>
      <c r="BAZ24" s="215"/>
      <c r="BBA24" s="215"/>
      <c r="BBB24" s="215"/>
      <c r="BBC24" s="215"/>
      <c r="BBD24" s="215"/>
      <c r="BBE24" s="215"/>
      <c r="BBF24" s="215"/>
      <c r="BBG24" s="215"/>
      <c r="BBH24" s="215"/>
      <c r="BBI24" s="215"/>
      <c r="BBJ24" s="215"/>
      <c r="BBK24" s="215"/>
      <c r="BBL24" s="215"/>
      <c r="BBM24" s="215"/>
      <c r="BBN24" s="215"/>
      <c r="BBO24" s="215"/>
      <c r="BBP24" s="215"/>
      <c r="BBQ24" s="215"/>
      <c r="BBR24" s="215"/>
      <c r="BBS24" s="215"/>
      <c r="BBT24" s="215"/>
      <c r="BBU24" s="215"/>
      <c r="BBV24" s="215"/>
      <c r="BBW24" s="215"/>
      <c r="BBX24" s="215"/>
      <c r="BBY24" s="215"/>
      <c r="BBZ24" s="215"/>
      <c r="BCA24" s="215"/>
      <c r="BCB24" s="215"/>
      <c r="BCC24" s="215"/>
      <c r="BCD24" s="215"/>
      <c r="BCE24" s="215"/>
      <c r="BCF24" s="215"/>
      <c r="BCG24" s="215"/>
      <c r="BCH24" s="215"/>
      <c r="BCI24" s="215"/>
      <c r="BCJ24" s="215"/>
      <c r="BCK24" s="215"/>
      <c r="BCL24" s="215"/>
      <c r="BCM24" s="215"/>
      <c r="BCN24" s="215"/>
      <c r="BCO24" s="215"/>
      <c r="BCP24" s="215"/>
      <c r="BCQ24" s="215"/>
      <c r="BCR24" s="215"/>
      <c r="BCS24" s="215"/>
      <c r="BCT24" s="215"/>
      <c r="BCU24" s="215"/>
      <c r="BCV24" s="215"/>
      <c r="BCW24" s="215"/>
      <c r="BCX24" s="215"/>
      <c r="BCY24" s="215"/>
      <c r="BCZ24" s="215"/>
      <c r="BDA24" s="215"/>
      <c r="BDB24" s="215"/>
      <c r="BDC24" s="215"/>
      <c r="BDD24" s="215"/>
      <c r="BDE24" s="215"/>
      <c r="BDF24" s="215"/>
      <c r="BDG24" s="215"/>
      <c r="BDH24" s="215"/>
      <c r="BDI24" s="215"/>
      <c r="BDJ24" s="215"/>
      <c r="BDK24" s="215"/>
      <c r="BDL24" s="215"/>
      <c r="BDM24" s="215"/>
      <c r="BDN24" s="215"/>
      <c r="BDO24" s="215"/>
      <c r="BDP24" s="215"/>
      <c r="BDQ24" s="215"/>
      <c r="BDR24" s="215"/>
      <c r="BDS24" s="215"/>
      <c r="BDT24" s="215"/>
      <c r="BDU24" s="215"/>
      <c r="BDV24" s="215"/>
      <c r="BDW24" s="215"/>
      <c r="BDX24" s="215"/>
      <c r="BDY24" s="215"/>
      <c r="BDZ24" s="215"/>
      <c r="BEA24" s="215"/>
      <c r="BEB24" s="215"/>
      <c r="BEC24" s="215"/>
      <c r="BED24" s="215"/>
      <c r="BEE24" s="215"/>
      <c r="BEF24" s="215"/>
      <c r="BEG24" s="215"/>
      <c r="BEH24" s="215"/>
      <c r="BEI24" s="215"/>
      <c r="BEJ24" s="215"/>
      <c r="BEK24" s="215"/>
      <c r="BEL24" s="215"/>
      <c r="BEM24" s="215"/>
      <c r="BEN24" s="215"/>
      <c r="BEO24" s="215"/>
      <c r="BEP24" s="215"/>
      <c r="BEQ24" s="215"/>
      <c r="BER24" s="215"/>
      <c r="BES24" s="215"/>
      <c r="BET24" s="215"/>
      <c r="BEU24" s="215"/>
      <c r="BEV24" s="215"/>
      <c r="BEW24" s="215"/>
      <c r="BEX24" s="215"/>
      <c r="BEY24" s="215"/>
      <c r="BEZ24" s="215"/>
      <c r="BFA24" s="215"/>
      <c r="BFB24" s="215"/>
      <c r="BFC24" s="215"/>
      <c r="BFD24" s="215"/>
      <c r="BFE24" s="215"/>
      <c r="BFF24" s="215"/>
      <c r="BFG24" s="215"/>
      <c r="BFH24" s="215"/>
      <c r="BFI24" s="215"/>
      <c r="BFJ24" s="215"/>
      <c r="BFK24" s="215"/>
      <c r="BFL24" s="215"/>
      <c r="BFM24" s="215"/>
      <c r="BFN24" s="215"/>
      <c r="BFO24" s="215"/>
      <c r="BFP24" s="215"/>
      <c r="BFQ24" s="215"/>
      <c r="BFR24" s="215"/>
      <c r="BFS24" s="215"/>
      <c r="BFT24" s="215"/>
      <c r="BFU24" s="215"/>
      <c r="BFV24" s="215"/>
      <c r="BFW24" s="215"/>
      <c r="BFX24" s="215"/>
      <c r="BFY24" s="215"/>
      <c r="BFZ24" s="215"/>
      <c r="BGA24" s="215"/>
      <c r="BGB24" s="215"/>
      <c r="BGC24" s="215"/>
      <c r="BGD24" s="215"/>
      <c r="BGE24" s="215"/>
      <c r="BGF24" s="215"/>
      <c r="BGG24" s="215"/>
      <c r="BGH24" s="215"/>
      <c r="BGI24" s="215"/>
      <c r="BGJ24" s="215"/>
      <c r="BGK24" s="215"/>
      <c r="BGL24" s="215"/>
      <c r="BGM24" s="215"/>
      <c r="BGN24" s="215"/>
      <c r="BGO24" s="215"/>
      <c r="BGP24" s="215"/>
      <c r="BGQ24" s="215"/>
      <c r="BGR24" s="215"/>
      <c r="BGS24" s="215"/>
      <c r="BGT24" s="215"/>
      <c r="BGU24" s="215"/>
      <c r="BGV24" s="215"/>
      <c r="BGW24" s="215"/>
      <c r="BGX24" s="215"/>
      <c r="BGY24" s="215"/>
      <c r="BGZ24" s="215"/>
      <c r="BHA24" s="215"/>
      <c r="BHB24" s="215"/>
      <c r="BHC24" s="215"/>
      <c r="BHD24" s="215"/>
      <c r="BHE24" s="215"/>
      <c r="BHF24" s="215"/>
      <c r="BHG24" s="215"/>
      <c r="BHH24" s="215"/>
      <c r="BHI24" s="215"/>
      <c r="BHJ24" s="215"/>
      <c r="BHK24" s="215"/>
      <c r="BHL24" s="215"/>
      <c r="BHM24" s="215"/>
      <c r="BHN24" s="215"/>
      <c r="BHO24" s="215"/>
      <c r="BHP24" s="215"/>
      <c r="BHQ24" s="215"/>
      <c r="BHR24" s="215"/>
      <c r="BHS24" s="215"/>
      <c r="BHT24" s="215"/>
      <c r="BHU24" s="215"/>
      <c r="BHV24" s="215"/>
      <c r="BHW24" s="215"/>
    </row>
    <row r="25" spans="1:1583" s="217" customFormat="1">
      <c r="A25" s="261"/>
      <c r="B25" s="180" t="s">
        <v>427</v>
      </c>
      <c r="C25" s="416" t="s">
        <v>477</v>
      </c>
      <c r="D25" s="435" t="s">
        <v>477</v>
      </c>
      <c r="E25" s="59" t="s">
        <v>9</v>
      </c>
      <c r="F25" s="132"/>
      <c r="G25" s="60" t="s">
        <v>679</v>
      </c>
      <c r="H25" s="473">
        <f t="shared" si="8"/>
        <v>1005.4726362065334</v>
      </c>
      <c r="I25" s="92">
        <f>VLOOKUP($B25,'DCS Data'!$E$2:$AJ$100,MATCH('Daily Report'!I$1,'DCS Data'!$E$2:$AJ$2,0),0)</f>
        <v>42.514937282128912</v>
      </c>
      <c r="J25" s="255"/>
      <c r="K25" s="92">
        <f>VLOOKUP($B25,'DCS Data'!$E$2:$AJ$100,MATCH('Daily Report'!K$1,'DCS Data'!$E$2:$AJ$2,0),0)</f>
        <v>41.895090982461831</v>
      </c>
      <c r="L25" s="92">
        <f>VLOOKUP($B25,'DCS Data'!$E$2:$AJ$100,MATCH('Daily Report'!L$1,'DCS Data'!$E$2:$AJ$2,0),0)</f>
        <v>39.920453341656071</v>
      </c>
      <c r="M25" s="92">
        <f>VLOOKUP($B25,'DCS Data'!$E$2:$AJ$100,MATCH('Daily Report'!M$1,'DCS Data'!$E$2:$AJ$2,0),0)</f>
        <v>39.451487619723821</v>
      </c>
      <c r="N25" s="92">
        <f>VLOOKUP($B25,'DCS Data'!$E$2:$AJ$100,MATCH('Daily Report'!N$1,'DCS Data'!$E$2:$AJ$2,0),0)</f>
        <v>38.589994246184816</v>
      </c>
      <c r="O25" s="92">
        <f>VLOOKUP($B25,'DCS Data'!$E$2:$AJ$100,MATCH('Daily Report'!O$1,'DCS Data'!$E$2:$AJ$2,0),0)</f>
        <v>37.028850291046588</v>
      </c>
      <c r="P25" s="92">
        <f>VLOOKUP($B25,'DCS Data'!$E$2:$AJ$100,MATCH('Daily Report'!P$1,'DCS Data'!$E$2:$AJ$2,0),0)</f>
        <v>37.033203585685165</v>
      </c>
      <c r="Q25" s="92">
        <f>VLOOKUP($B25,'DCS Data'!$E$2:$AJ$100,MATCH('Daily Report'!Q$1,'DCS Data'!$E$2:$AJ$2,0),0)</f>
        <v>36.924791683563676</v>
      </c>
      <c r="R25" s="92">
        <f>VLOOKUP($B25,'DCS Data'!$E$2:$AJ$100,MATCH('Daily Report'!R$1,'DCS Data'!$E$2:$AJ$2,0),0)</f>
        <v>37.57320845426797</v>
      </c>
      <c r="S25" s="92">
        <f>VLOOKUP($B25,'DCS Data'!$E$2:$AJ$100,MATCH('Daily Report'!S$1,'DCS Data'!$E$2:$AJ$2,0),0)</f>
        <v>37.692364165724946</v>
      </c>
      <c r="T25" s="92">
        <f>VLOOKUP($B25,'DCS Data'!$E$2:$AJ$100,MATCH('Daily Report'!T$1,'DCS Data'!$E$2:$AJ$2,0),0)</f>
        <v>37.571162686593418</v>
      </c>
      <c r="U25" s="92">
        <f>VLOOKUP($B25,'DCS Data'!$E$2:$AJ$100,MATCH('Daily Report'!U$1,'DCS Data'!$E$2:$AJ$2,0),0)</f>
        <v>37.104439028954587</v>
      </c>
      <c r="V25" s="92">
        <f>VLOOKUP($B25,'DCS Data'!$E$2:$AJ$100,MATCH('Daily Report'!V$1,'DCS Data'!$E$2:$AJ$2,0),0)</f>
        <v>39.578595212489802</v>
      </c>
      <c r="W25" s="92">
        <f>VLOOKUP($B25,'DCS Data'!$E$2:$AJ$100,MATCH('Daily Report'!W$1,'DCS Data'!$E$2:$AJ$2,0),0)</f>
        <v>37.158480828857364</v>
      </c>
      <c r="X25" s="92">
        <f>VLOOKUP($B25,'DCS Data'!$E$2:$AJ$100,MATCH('Daily Report'!X$1,'DCS Data'!$E$2:$AJ$2,0),0)</f>
        <v>36.654369372466569</v>
      </c>
      <c r="Y25" s="92">
        <f>VLOOKUP($B25,'DCS Data'!$E$2:$AJ$100,MATCH('Daily Report'!Y$1,'DCS Data'!$E$2:$AJ$2,0),0)</f>
        <v>30.999881169556282</v>
      </c>
      <c r="Z25" s="92">
        <f>VLOOKUP($B25,'DCS Data'!$E$2:$AJ$100,MATCH('Daily Report'!Z$1,'DCS Data'!$E$2:$AJ$2,0),0)</f>
        <v>10.444701157111078</v>
      </c>
      <c r="AA25" s="92">
        <f>VLOOKUP($B25,'DCS Data'!$E$2:$AJ$100,MATCH('Daily Report'!AA$1,'DCS Data'!$E$2:$AJ$2,0),0)</f>
        <v>7.7706707770208379</v>
      </c>
      <c r="AB25" s="92">
        <f>VLOOKUP($B25,'DCS Data'!$E$2:$AJ$100,MATCH('Daily Report'!AB$1,'DCS Data'!$E$2:$AJ$2,0),0)</f>
        <v>2.7240040782721047</v>
      </c>
      <c r="AC25" s="92">
        <f>VLOOKUP($B25,'DCS Data'!$E$2:$AJ$100,MATCH('Daily Report'!AC$1,'DCS Data'!$E$2:$AJ$2,0),0)</f>
        <v>18.137499843787094</v>
      </c>
      <c r="AD25" s="92">
        <f>VLOOKUP($B25,'DCS Data'!$E$2:$AJ$100,MATCH('Daily Report'!AD$1,'DCS Data'!$E$2:$AJ$2,0),0)</f>
        <v>24.120857706521647</v>
      </c>
      <c r="AE25" s="92">
        <f>VLOOKUP($B25,'DCS Data'!$E$2:$AJ$100,MATCH('Daily Report'!AE$1,'DCS Data'!$E$2:$AJ$2,0),0)</f>
        <v>24.665634266201842</v>
      </c>
      <c r="AF25" s="92">
        <f>VLOOKUP($B25,'DCS Data'!$E$2:$AJ$100,MATCH('Daily Report'!AF$1,'DCS Data'!$E$2:$AJ$2,0),0)</f>
        <v>26.442972361356794</v>
      </c>
      <c r="AG25" s="92">
        <f>VLOOKUP($B25,'DCS Data'!$E$2:$AJ$100,MATCH('Daily Report'!AG$1,'DCS Data'!$E$2:$AJ$2,0),0)</f>
        <v>27.777391459789623</v>
      </c>
      <c r="AH25" s="92">
        <f>VLOOKUP($B25,'DCS Data'!$E$2:$AJ$100,MATCH('Daily Report'!AH$1,'DCS Data'!$E$2:$AJ$2,0),0)</f>
        <v>29.457533049188172</v>
      </c>
      <c r="AI25" s="92">
        <f>VLOOKUP($B25,'DCS Data'!$E$2:$AJ$100,MATCH('Daily Report'!AI$1,'DCS Data'!$E$2:$AJ$2,0),0)</f>
        <v>36.201672456010158</v>
      </c>
      <c r="AJ25" s="92">
        <f>VLOOKUP($B25,'DCS Data'!$E$2:$AJ$100,MATCH('Daily Report'!AJ$1,'DCS Data'!$E$2:$AJ$2,0),0)</f>
        <v>39.53563244026909</v>
      </c>
      <c r="AK25" s="92">
        <f>VLOOKUP($B25,'DCS Data'!$E$2:$AJ$100,MATCH('Daily Report'!AK$1,'DCS Data'!$E$2:$AJ$2,0),0)</f>
        <v>38.241806337327709</v>
      </c>
      <c r="AL25" s="92">
        <f>VLOOKUP($B25,'DCS Data'!$E$2:$AJ$100,MATCH('Daily Report'!AL$1,'DCS Data'!$E$2:$AJ$2,0),0)</f>
        <v>36.845224596671891</v>
      </c>
      <c r="AM25" s="92">
        <f>VLOOKUP($B25,'DCS Data'!$E$2:$AJ$100,MATCH('Daily Report'!AM$1,'DCS Data'!$E$2:$AJ$2,0),0)</f>
        <v>38.170471046524618</v>
      </c>
      <c r="AN25" s="92">
        <f>VLOOKUP($B25,'DCS Data'!$E$2:$AJ$100,MATCH('Daily Report'!AN$1,'DCS Data'!$E$2:$AJ$2,0),0)</f>
        <v>37.245254679118695</v>
      </c>
      <c r="AO25" s="214"/>
      <c r="AP25" s="214"/>
      <c r="AQ25" s="214"/>
      <c r="AR25" s="214"/>
      <c r="AS25" s="214"/>
      <c r="AT25" s="214"/>
      <c r="AU25" s="214"/>
      <c r="AV25" s="214"/>
      <c r="AW25" s="214"/>
      <c r="AX25" s="214"/>
      <c r="AY25" s="214"/>
      <c r="AZ25" s="214"/>
      <c r="BA25" s="214"/>
      <c r="BB25" s="214"/>
      <c r="BC25" s="214"/>
      <c r="BD25" s="214"/>
      <c r="BE25" s="214"/>
      <c r="BF25" s="214"/>
      <c r="BG25" s="214"/>
      <c r="BH25" s="214"/>
      <c r="BI25" s="214"/>
      <c r="BJ25" s="214"/>
      <c r="BK25" s="214"/>
      <c r="BL25" s="214"/>
      <c r="BM25" s="214"/>
      <c r="BN25" s="214"/>
      <c r="BO25" s="214"/>
      <c r="BP25" s="214"/>
      <c r="BQ25" s="214"/>
      <c r="BR25" s="214"/>
      <c r="BS25" s="214"/>
      <c r="BT25" s="214"/>
      <c r="BU25" s="214"/>
      <c r="BV25" s="214"/>
      <c r="BW25" s="214"/>
      <c r="BX25" s="214"/>
      <c r="BY25" s="214"/>
      <c r="BZ25" s="214"/>
      <c r="CA25" s="214"/>
      <c r="CB25" s="214"/>
      <c r="CC25" s="214"/>
      <c r="CD25" s="214"/>
      <c r="CE25" s="214"/>
      <c r="CF25" s="214"/>
      <c r="CG25" s="214"/>
      <c r="CH25" s="214"/>
      <c r="CI25" s="214"/>
      <c r="CJ25" s="214"/>
      <c r="CK25" s="214"/>
      <c r="CL25" s="214"/>
      <c r="CM25" s="214"/>
      <c r="CN25" s="214"/>
      <c r="CO25" s="214"/>
      <c r="CP25" s="214"/>
      <c r="CQ25" s="214"/>
      <c r="CR25" s="214"/>
      <c r="CS25" s="214"/>
      <c r="CT25" s="214"/>
      <c r="CU25" s="214"/>
      <c r="CV25" s="214"/>
      <c r="CW25" s="214"/>
      <c r="CX25" s="214"/>
      <c r="CY25" s="214"/>
      <c r="CZ25" s="214"/>
      <c r="DA25" s="214"/>
      <c r="DB25" s="214"/>
      <c r="DC25" s="214"/>
      <c r="DD25" s="214"/>
      <c r="DE25" s="214"/>
      <c r="DF25" s="214"/>
      <c r="DG25" s="214"/>
      <c r="DH25" s="214"/>
      <c r="DI25" s="214"/>
      <c r="DJ25" s="214"/>
      <c r="DK25" s="214"/>
      <c r="DL25" s="214"/>
      <c r="DM25" s="214"/>
      <c r="DN25" s="214"/>
      <c r="DO25" s="214"/>
      <c r="DP25" s="214"/>
      <c r="DQ25" s="214"/>
      <c r="DR25" s="214"/>
      <c r="DS25" s="214"/>
      <c r="DT25" s="214"/>
      <c r="DU25" s="214"/>
      <c r="DV25" s="214"/>
      <c r="DW25" s="214"/>
      <c r="DX25" s="214"/>
      <c r="DY25" s="214"/>
      <c r="DZ25" s="214"/>
      <c r="EA25" s="214"/>
      <c r="EB25" s="214"/>
      <c r="EC25" s="214"/>
      <c r="ED25" s="214"/>
      <c r="EE25" s="214"/>
      <c r="EF25" s="214"/>
      <c r="EG25" s="214"/>
      <c r="EH25" s="214"/>
      <c r="EI25" s="214"/>
      <c r="EJ25" s="214"/>
      <c r="EK25" s="214"/>
      <c r="EL25" s="214"/>
      <c r="EM25" s="214"/>
      <c r="EN25" s="214"/>
      <c r="EO25" s="214"/>
      <c r="EP25" s="214"/>
      <c r="EQ25" s="214"/>
      <c r="ER25" s="214"/>
      <c r="ES25" s="214"/>
      <c r="ET25" s="214"/>
      <c r="EU25" s="214"/>
      <c r="EV25" s="214"/>
      <c r="EW25" s="214"/>
      <c r="EX25" s="214"/>
      <c r="EY25" s="214"/>
      <c r="EZ25" s="214"/>
      <c r="FA25" s="214"/>
      <c r="FB25" s="214"/>
      <c r="FC25" s="214"/>
      <c r="FD25" s="214"/>
      <c r="FE25" s="214"/>
      <c r="FF25" s="214"/>
      <c r="FG25" s="214"/>
      <c r="FH25" s="214"/>
      <c r="FI25" s="214"/>
      <c r="FJ25" s="214"/>
      <c r="FK25" s="214"/>
      <c r="FL25" s="214"/>
      <c r="FM25" s="214"/>
      <c r="FN25" s="214"/>
      <c r="FO25" s="214"/>
      <c r="FP25" s="214"/>
      <c r="FQ25" s="214"/>
      <c r="FR25" s="214"/>
      <c r="FS25" s="214"/>
      <c r="FT25" s="214"/>
      <c r="FU25" s="214"/>
      <c r="FV25" s="214"/>
      <c r="FW25" s="214"/>
      <c r="FX25" s="214"/>
      <c r="FY25" s="214"/>
      <c r="FZ25" s="214"/>
      <c r="GA25" s="214"/>
      <c r="GB25" s="214"/>
      <c r="GC25" s="214"/>
      <c r="GD25" s="214"/>
      <c r="GE25" s="214"/>
      <c r="GF25" s="214"/>
      <c r="GG25" s="214"/>
      <c r="GH25" s="214"/>
      <c r="GI25" s="214"/>
      <c r="GJ25" s="214"/>
      <c r="GK25" s="214"/>
      <c r="GL25" s="214"/>
      <c r="GM25" s="214"/>
      <c r="GN25" s="214"/>
      <c r="GO25" s="214"/>
      <c r="GP25" s="214"/>
      <c r="GQ25" s="214"/>
      <c r="GR25" s="214"/>
      <c r="GS25" s="214"/>
      <c r="GT25" s="214"/>
      <c r="GU25" s="214"/>
      <c r="GV25" s="214"/>
      <c r="GW25" s="214"/>
      <c r="GX25" s="214"/>
      <c r="GY25" s="214"/>
      <c r="GZ25" s="214"/>
      <c r="HA25" s="214"/>
      <c r="HB25" s="214"/>
      <c r="HC25" s="214"/>
      <c r="HD25" s="214"/>
      <c r="HE25" s="214"/>
      <c r="HF25" s="214"/>
      <c r="HG25" s="214"/>
      <c r="HH25" s="214"/>
      <c r="HI25" s="214"/>
      <c r="HJ25" s="214"/>
      <c r="HK25" s="214"/>
      <c r="HL25" s="214"/>
      <c r="HM25" s="214"/>
      <c r="HN25" s="214"/>
      <c r="HO25" s="214"/>
      <c r="HP25" s="214"/>
      <c r="HQ25" s="214"/>
      <c r="HR25" s="214"/>
      <c r="HS25" s="214"/>
      <c r="HT25" s="214"/>
      <c r="HU25" s="214"/>
      <c r="HV25" s="214"/>
      <c r="HW25" s="214"/>
      <c r="HX25" s="214"/>
      <c r="HY25" s="214"/>
      <c r="HZ25" s="214"/>
      <c r="IA25" s="214"/>
      <c r="IB25" s="214"/>
      <c r="IC25" s="214"/>
      <c r="ID25" s="214"/>
      <c r="IE25" s="214"/>
      <c r="IF25" s="214"/>
      <c r="IG25" s="214"/>
      <c r="IH25" s="214"/>
      <c r="II25" s="214"/>
      <c r="IJ25" s="214"/>
      <c r="IK25" s="214"/>
      <c r="IL25" s="214"/>
      <c r="IM25" s="214"/>
      <c r="IN25" s="214"/>
      <c r="IO25" s="214"/>
      <c r="IP25" s="214"/>
      <c r="IQ25" s="214"/>
      <c r="IR25" s="214"/>
      <c r="IS25" s="214"/>
      <c r="IT25" s="214"/>
      <c r="IU25" s="214"/>
      <c r="IV25" s="214"/>
      <c r="IW25" s="214"/>
      <c r="IX25" s="214"/>
      <c r="IY25" s="214"/>
      <c r="IZ25" s="214"/>
      <c r="JA25" s="214"/>
      <c r="JB25" s="214"/>
      <c r="JC25" s="214"/>
      <c r="JD25" s="214"/>
      <c r="JE25" s="214"/>
      <c r="JF25" s="214"/>
      <c r="JG25" s="214"/>
      <c r="JH25" s="214"/>
      <c r="JI25" s="214"/>
      <c r="JJ25" s="214"/>
      <c r="JK25" s="214"/>
      <c r="JL25" s="214"/>
      <c r="JM25" s="214"/>
      <c r="JN25" s="214"/>
      <c r="JO25" s="214"/>
      <c r="JP25" s="214"/>
      <c r="JQ25" s="214"/>
      <c r="JR25" s="214"/>
      <c r="JS25" s="214"/>
      <c r="JT25" s="214"/>
      <c r="JU25" s="214"/>
      <c r="JV25" s="214"/>
      <c r="JW25" s="214"/>
      <c r="JX25" s="214"/>
      <c r="JY25" s="214"/>
      <c r="JZ25" s="214"/>
      <c r="KA25" s="214"/>
      <c r="KB25" s="214"/>
      <c r="KC25" s="214"/>
      <c r="KD25" s="214"/>
      <c r="KE25" s="214"/>
      <c r="KF25" s="214"/>
      <c r="KG25" s="214"/>
      <c r="KH25" s="214"/>
      <c r="KI25" s="214"/>
      <c r="KJ25" s="214"/>
      <c r="KK25" s="214"/>
      <c r="KL25" s="214"/>
      <c r="KM25" s="214"/>
      <c r="KN25" s="214"/>
      <c r="KO25" s="214"/>
      <c r="KP25" s="214"/>
      <c r="KQ25" s="214"/>
      <c r="KR25" s="214"/>
      <c r="KS25" s="214"/>
      <c r="KT25" s="214"/>
      <c r="KU25" s="214"/>
      <c r="KV25" s="214"/>
      <c r="KW25" s="214"/>
      <c r="KX25" s="214"/>
      <c r="KY25" s="214"/>
      <c r="KZ25" s="214"/>
      <c r="LA25" s="214"/>
      <c r="LB25" s="214"/>
      <c r="LC25" s="214"/>
      <c r="LD25" s="214"/>
      <c r="LE25" s="214"/>
      <c r="LF25" s="214"/>
      <c r="LG25" s="214"/>
      <c r="LH25" s="214"/>
      <c r="LI25" s="214"/>
      <c r="LJ25" s="214"/>
      <c r="LK25" s="214"/>
      <c r="LL25" s="214"/>
      <c r="LM25" s="214"/>
      <c r="LN25" s="214"/>
      <c r="LO25" s="214"/>
      <c r="LP25" s="214"/>
      <c r="LQ25" s="214"/>
      <c r="LR25" s="214"/>
      <c r="LS25" s="214"/>
      <c r="LT25" s="214"/>
      <c r="LU25" s="214"/>
      <c r="LV25" s="214"/>
      <c r="LW25" s="214"/>
      <c r="LX25" s="214"/>
      <c r="LY25" s="214"/>
      <c r="LZ25" s="214"/>
      <c r="MA25" s="214"/>
      <c r="MB25" s="214"/>
      <c r="MC25" s="214"/>
      <c r="MD25" s="214"/>
      <c r="ME25" s="214"/>
      <c r="MF25" s="214"/>
      <c r="MG25" s="214"/>
      <c r="MH25" s="214"/>
      <c r="MI25" s="214"/>
      <c r="MJ25" s="214"/>
      <c r="MK25" s="214"/>
      <c r="ML25" s="214"/>
      <c r="MM25" s="214"/>
      <c r="MN25" s="214"/>
      <c r="MO25" s="214"/>
      <c r="MP25" s="214"/>
      <c r="MQ25" s="214"/>
      <c r="MR25" s="214"/>
      <c r="MS25" s="214"/>
      <c r="MT25" s="214"/>
      <c r="MU25" s="214"/>
      <c r="MV25" s="214"/>
      <c r="MW25" s="214"/>
      <c r="MX25" s="214"/>
      <c r="MY25" s="214"/>
      <c r="MZ25" s="214"/>
      <c r="NA25" s="214"/>
      <c r="NB25" s="214"/>
      <c r="NC25" s="214"/>
      <c r="ND25" s="214"/>
      <c r="NE25" s="214"/>
      <c r="NF25" s="214"/>
      <c r="NG25" s="214"/>
      <c r="NH25" s="214"/>
      <c r="NI25" s="214"/>
      <c r="NJ25" s="214"/>
      <c r="NK25" s="214"/>
      <c r="NL25" s="214"/>
      <c r="NM25" s="214"/>
      <c r="NN25" s="214"/>
      <c r="NO25" s="214"/>
      <c r="NP25" s="214"/>
      <c r="NQ25" s="214"/>
      <c r="NR25" s="214"/>
      <c r="NS25" s="214"/>
      <c r="NT25" s="214"/>
      <c r="NU25" s="214"/>
      <c r="NV25" s="214"/>
      <c r="NW25" s="214"/>
      <c r="NX25" s="214"/>
      <c r="NY25" s="214"/>
      <c r="NZ25" s="214"/>
      <c r="OA25" s="214"/>
      <c r="OB25" s="214"/>
      <c r="OC25" s="214"/>
      <c r="OD25" s="214"/>
      <c r="OE25" s="214"/>
      <c r="OF25" s="214"/>
      <c r="OG25" s="214"/>
      <c r="OH25" s="214"/>
      <c r="OI25" s="214"/>
      <c r="OJ25" s="214"/>
      <c r="OK25" s="214"/>
      <c r="OL25" s="214"/>
      <c r="OM25" s="214"/>
      <c r="ON25" s="214"/>
      <c r="OO25" s="214"/>
      <c r="OP25" s="214"/>
      <c r="OQ25" s="214"/>
      <c r="OR25" s="214"/>
      <c r="OS25" s="214"/>
      <c r="OT25" s="214"/>
      <c r="OU25" s="214"/>
      <c r="OV25" s="214"/>
      <c r="OW25" s="214"/>
      <c r="OX25" s="214"/>
      <c r="OY25" s="214"/>
      <c r="OZ25" s="214"/>
      <c r="PA25" s="214"/>
      <c r="PB25" s="214"/>
      <c r="PC25" s="214"/>
      <c r="PD25" s="214"/>
      <c r="PE25" s="214"/>
      <c r="PF25" s="214"/>
      <c r="PG25" s="214"/>
      <c r="PH25" s="214"/>
      <c r="PI25" s="214"/>
      <c r="PJ25" s="214"/>
      <c r="PK25" s="214"/>
      <c r="PL25" s="214"/>
      <c r="PM25" s="214"/>
      <c r="PN25" s="214"/>
      <c r="PO25" s="214"/>
      <c r="PP25" s="214"/>
      <c r="PQ25" s="214"/>
      <c r="PR25" s="214"/>
      <c r="PS25" s="214"/>
      <c r="PT25" s="214"/>
      <c r="PU25" s="214"/>
      <c r="PV25" s="214"/>
      <c r="PW25" s="214"/>
      <c r="PX25" s="214"/>
      <c r="PY25" s="214"/>
      <c r="PZ25" s="214"/>
      <c r="QA25" s="214"/>
      <c r="QB25" s="214"/>
      <c r="QC25" s="214"/>
      <c r="QD25" s="214"/>
      <c r="QE25" s="214"/>
      <c r="QF25" s="214"/>
      <c r="QG25" s="214"/>
      <c r="QH25" s="214"/>
      <c r="QI25" s="214"/>
      <c r="QJ25" s="214"/>
      <c r="QK25" s="214"/>
      <c r="QL25" s="214"/>
      <c r="QM25" s="214"/>
      <c r="QN25" s="214"/>
      <c r="QO25" s="214"/>
      <c r="QP25" s="214"/>
      <c r="QQ25" s="214"/>
      <c r="QR25" s="214"/>
      <c r="QS25" s="214"/>
      <c r="QT25" s="214"/>
      <c r="QU25" s="214"/>
      <c r="QV25" s="214"/>
      <c r="QW25" s="214"/>
      <c r="QX25" s="214"/>
      <c r="QY25" s="214"/>
      <c r="QZ25" s="214"/>
      <c r="RA25" s="214"/>
      <c r="RB25" s="214"/>
      <c r="RC25" s="214"/>
      <c r="RD25" s="214"/>
      <c r="RE25" s="214"/>
      <c r="RF25" s="214"/>
      <c r="RG25" s="214"/>
      <c r="RH25" s="214"/>
      <c r="RI25" s="214"/>
      <c r="RJ25" s="214"/>
      <c r="RK25" s="214"/>
      <c r="RL25" s="214"/>
      <c r="RM25" s="214"/>
      <c r="RN25" s="214"/>
      <c r="RO25" s="214"/>
      <c r="RP25" s="214"/>
      <c r="RQ25" s="214"/>
      <c r="RR25" s="214"/>
      <c r="RS25" s="214"/>
      <c r="RT25" s="214"/>
      <c r="RU25" s="214"/>
      <c r="RV25" s="214"/>
      <c r="RW25" s="214"/>
      <c r="RX25" s="214"/>
      <c r="RY25" s="214"/>
      <c r="RZ25" s="214"/>
      <c r="SA25" s="214"/>
      <c r="SB25" s="214"/>
      <c r="SC25" s="214"/>
      <c r="SD25" s="214"/>
      <c r="SE25" s="214"/>
      <c r="SF25" s="214"/>
      <c r="SG25" s="214"/>
      <c r="SH25" s="214"/>
      <c r="SI25" s="214"/>
      <c r="SJ25" s="214"/>
      <c r="SK25" s="214"/>
      <c r="SL25" s="214"/>
      <c r="SM25" s="214"/>
      <c r="SN25" s="214"/>
      <c r="SO25" s="214"/>
      <c r="SP25" s="214"/>
      <c r="SQ25" s="214"/>
      <c r="SR25" s="214"/>
      <c r="SS25" s="214"/>
      <c r="ST25" s="214"/>
      <c r="SU25" s="214"/>
      <c r="SV25" s="214"/>
      <c r="SW25" s="214"/>
      <c r="SX25" s="214"/>
      <c r="SY25" s="214"/>
      <c r="SZ25" s="214"/>
      <c r="TA25" s="214"/>
      <c r="TB25" s="214"/>
      <c r="TC25" s="214"/>
      <c r="TD25" s="214"/>
      <c r="TE25" s="214"/>
      <c r="TF25" s="214"/>
      <c r="TG25" s="214"/>
      <c r="TH25" s="214"/>
      <c r="TI25" s="214"/>
      <c r="TJ25" s="214"/>
      <c r="TK25" s="214"/>
      <c r="TL25" s="214"/>
      <c r="TM25" s="214"/>
      <c r="TN25" s="214"/>
      <c r="TO25" s="214"/>
      <c r="TP25" s="214"/>
      <c r="TQ25" s="214"/>
      <c r="TR25" s="214"/>
      <c r="TS25" s="214"/>
      <c r="TT25" s="214"/>
      <c r="TU25" s="214"/>
      <c r="TV25" s="214"/>
      <c r="TW25" s="214"/>
      <c r="TX25" s="214"/>
      <c r="TY25" s="214"/>
      <c r="TZ25" s="214"/>
      <c r="UA25" s="214"/>
      <c r="UB25" s="214"/>
      <c r="UC25" s="214"/>
      <c r="UD25" s="214"/>
      <c r="UE25" s="214"/>
      <c r="UF25" s="214"/>
      <c r="UG25" s="214"/>
      <c r="UH25" s="214"/>
      <c r="UI25" s="214"/>
      <c r="UJ25" s="214"/>
      <c r="UK25" s="214"/>
      <c r="UL25" s="214"/>
      <c r="UM25" s="214"/>
      <c r="UN25" s="214"/>
      <c r="UO25" s="214"/>
      <c r="UP25" s="214"/>
      <c r="UQ25" s="214"/>
      <c r="UR25" s="214"/>
      <c r="US25" s="214"/>
      <c r="UT25" s="214"/>
      <c r="UU25" s="214"/>
      <c r="UV25" s="214"/>
      <c r="UW25" s="214"/>
      <c r="UX25" s="214"/>
      <c r="UY25" s="214"/>
      <c r="UZ25" s="214"/>
      <c r="VA25" s="214"/>
      <c r="VB25" s="214"/>
      <c r="VC25" s="214"/>
      <c r="VD25" s="214"/>
      <c r="VE25" s="214"/>
      <c r="VF25" s="214"/>
      <c r="VG25" s="214"/>
      <c r="VH25" s="214"/>
      <c r="VI25" s="214"/>
      <c r="VJ25" s="214"/>
      <c r="VK25" s="214"/>
      <c r="VL25" s="214"/>
      <c r="VM25" s="214"/>
      <c r="VN25" s="214"/>
      <c r="VO25" s="214"/>
      <c r="VP25" s="214"/>
      <c r="VQ25" s="214"/>
      <c r="VR25" s="214"/>
      <c r="VS25" s="214"/>
      <c r="VT25" s="214"/>
      <c r="VU25" s="214"/>
      <c r="VV25" s="214"/>
      <c r="VW25" s="214"/>
      <c r="VX25" s="214"/>
      <c r="VY25" s="214"/>
      <c r="VZ25" s="214"/>
      <c r="WA25" s="214"/>
      <c r="WB25" s="214"/>
      <c r="WC25" s="214"/>
      <c r="WD25" s="214"/>
      <c r="WE25" s="214"/>
      <c r="WF25" s="214"/>
      <c r="WG25" s="214"/>
      <c r="WH25" s="214"/>
      <c r="WI25" s="214"/>
      <c r="WJ25" s="214"/>
      <c r="WK25" s="214"/>
      <c r="WL25" s="214"/>
      <c r="WM25" s="214"/>
      <c r="WN25" s="214"/>
      <c r="WO25" s="214"/>
      <c r="WP25" s="214"/>
      <c r="WQ25" s="214"/>
      <c r="WR25" s="214"/>
      <c r="WS25" s="214"/>
      <c r="WT25" s="214"/>
      <c r="WU25" s="214"/>
      <c r="WV25" s="214"/>
      <c r="WW25" s="214"/>
      <c r="WX25" s="214"/>
      <c r="WY25" s="214"/>
      <c r="WZ25" s="214"/>
      <c r="XA25" s="214"/>
      <c r="XB25" s="214"/>
      <c r="XC25" s="214"/>
      <c r="XD25" s="214"/>
      <c r="XE25" s="214"/>
      <c r="XF25" s="214"/>
      <c r="XG25" s="214"/>
      <c r="XH25" s="214"/>
      <c r="XI25" s="214"/>
      <c r="XJ25" s="214"/>
      <c r="XK25" s="214"/>
      <c r="XL25" s="214"/>
      <c r="XM25" s="214"/>
      <c r="XN25" s="214"/>
      <c r="XO25" s="214"/>
      <c r="XP25" s="214"/>
      <c r="XQ25" s="214"/>
      <c r="XR25" s="214"/>
      <c r="XS25" s="214"/>
      <c r="XT25" s="214"/>
      <c r="XU25" s="214"/>
      <c r="XV25" s="214"/>
      <c r="XW25" s="214"/>
      <c r="XX25" s="214"/>
      <c r="XY25" s="214"/>
      <c r="XZ25" s="214"/>
      <c r="YA25" s="214"/>
      <c r="YB25" s="214"/>
      <c r="YC25" s="214"/>
      <c r="YD25" s="214"/>
      <c r="YE25" s="214"/>
      <c r="YF25" s="214"/>
      <c r="YG25" s="214"/>
      <c r="YH25" s="214"/>
      <c r="YI25" s="214"/>
      <c r="YJ25" s="214"/>
      <c r="YK25" s="214"/>
      <c r="YL25" s="214"/>
      <c r="YM25" s="214"/>
      <c r="YN25" s="214"/>
      <c r="YO25" s="214"/>
      <c r="YP25" s="214"/>
      <c r="YQ25" s="214"/>
      <c r="YR25" s="214"/>
      <c r="YS25" s="214"/>
      <c r="YT25" s="214"/>
      <c r="YU25" s="214"/>
      <c r="YV25" s="214"/>
      <c r="YW25" s="214"/>
      <c r="YX25" s="214"/>
      <c r="YY25" s="214"/>
      <c r="YZ25" s="214"/>
      <c r="ZA25" s="214"/>
      <c r="ZB25" s="214"/>
      <c r="ZC25" s="214"/>
      <c r="ZD25" s="214"/>
      <c r="ZE25" s="214"/>
      <c r="ZF25" s="214"/>
      <c r="ZG25" s="214"/>
      <c r="ZH25" s="214"/>
      <c r="ZI25" s="214"/>
      <c r="ZJ25" s="214"/>
      <c r="ZK25" s="214"/>
      <c r="ZL25" s="214"/>
      <c r="ZM25" s="214"/>
      <c r="ZN25" s="214"/>
      <c r="ZO25" s="214"/>
      <c r="ZP25" s="214"/>
      <c r="ZQ25" s="214"/>
      <c r="ZR25" s="214"/>
      <c r="ZS25" s="214"/>
      <c r="ZT25" s="214"/>
      <c r="ZU25" s="214"/>
      <c r="ZV25" s="214"/>
      <c r="ZW25" s="214"/>
      <c r="ZX25" s="214"/>
      <c r="ZY25" s="214"/>
      <c r="ZZ25" s="214"/>
      <c r="AAA25" s="214"/>
      <c r="AAB25" s="214"/>
      <c r="AAC25" s="214"/>
      <c r="AAD25" s="214"/>
      <c r="AAE25" s="214"/>
      <c r="AAF25" s="214"/>
      <c r="AAG25" s="214"/>
      <c r="AAH25" s="214"/>
      <c r="AAI25" s="214"/>
      <c r="AAJ25" s="214"/>
      <c r="AAK25" s="214"/>
      <c r="AAL25" s="214"/>
      <c r="AAM25" s="214"/>
      <c r="AAN25" s="214"/>
      <c r="AAO25" s="214"/>
      <c r="AAP25" s="214"/>
      <c r="AAQ25" s="214"/>
      <c r="AAR25" s="214"/>
      <c r="AAS25" s="214"/>
      <c r="AAT25" s="214"/>
      <c r="AAU25" s="214"/>
      <c r="AAV25" s="214"/>
      <c r="AAW25" s="214"/>
      <c r="AAX25" s="214"/>
      <c r="AAY25" s="214"/>
      <c r="AAZ25" s="214"/>
      <c r="ABA25" s="214"/>
      <c r="ABB25" s="214"/>
      <c r="ABC25" s="214"/>
      <c r="ABD25" s="214"/>
      <c r="ABE25" s="214"/>
      <c r="ABF25" s="214"/>
      <c r="ABG25" s="214"/>
      <c r="ABH25" s="214"/>
      <c r="ABI25" s="214"/>
      <c r="ABJ25" s="214"/>
      <c r="ABK25" s="214"/>
      <c r="ABL25" s="214"/>
      <c r="ABM25" s="214"/>
      <c r="ABN25" s="214"/>
      <c r="ABO25" s="214"/>
      <c r="ABP25" s="214"/>
      <c r="ABQ25" s="214"/>
      <c r="ABR25" s="214"/>
      <c r="ABS25" s="214"/>
      <c r="ABT25" s="214"/>
      <c r="ABU25" s="214"/>
      <c r="ABV25" s="214"/>
      <c r="ABW25" s="214"/>
      <c r="ABX25" s="214"/>
      <c r="ABY25" s="214"/>
      <c r="ABZ25" s="214"/>
      <c r="ACA25" s="214"/>
      <c r="ACB25" s="214"/>
      <c r="ACC25" s="214"/>
      <c r="ACD25" s="214"/>
      <c r="ACE25" s="214"/>
      <c r="ACF25" s="214"/>
      <c r="ACG25" s="214"/>
      <c r="ACH25" s="214"/>
      <c r="ACI25" s="214"/>
      <c r="ACJ25" s="214"/>
      <c r="ACK25" s="214"/>
      <c r="ACL25" s="214"/>
      <c r="ACM25" s="214"/>
      <c r="ACN25" s="214"/>
      <c r="ACO25" s="214"/>
      <c r="ACP25" s="214"/>
      <c r="ACQ25" s="214"/>
      <c r="ACR25" s="214"/>
      <c r="ACS25" s="214"/>
      <c r="ACT25" s="214"/>
      <c r="ACU25" s="214"/>
      <c r="ACV25" s="214"/>
      <c r="ACW25" s="214"/>
      <c r="ACX25" s="214"/>
      <c r="ACY25" s="214"/>
      <c r="ACZ25" s="214"/>
      <c r="ADA25" s="214"/>
      <c r="ADB25" s="214"/>
      <c r="ADC25" s="214"/>
      <c r="ADD25" s="214"/>
      <c r="ADE25" s="214"/>
      <c r="ADF25" s="214"/>
      <c r="ADG25" s="214"/>
      <c r="ADH25" s="214"/>
      <c r="ADI25" s="214"/>
      <c r="ADJ25" s="214"/>
      <c r="ADK25" s="214"/>
      <c r="ADL25" s="214"/>
      <c r="ADM25" s="214"/>
      <c r="ADN25" s="214"/>
      <c r="ADO25" s="214"/>
      <c r="ADP25" s="214"/>
      <c r="ADQ25" s="214"/>
      <c r="ADR25" s="214"/>
      <c r="ADS25" s="214"/>
      <c r="ADT25" s="214"/>
      <c r="ADU25" s="214"/>
      <c r="ADV25" s="214"/>
      <c r="ADW25" s="214"/>
      <c r="ADX25" s="214"/>
      <c r="ADY25" s="214"/>
      <c r="ADZ25" s="214"/>
      <c r="AEA25" s="214"/>
      <c r="AEB25" s="214"/>
      <c r="AEC25" s="214"/>
      <c r="AED25" s="214"/>
      <c r="AEE25" s="214"/>
      <c r="AEF25" s="214"/>
      <c r="AEG25" s="214"/>
      <c r="AEH25" s="214"/>
      <c r="AEI25" s="214"/>
      <c r="AEJ25" s="214"/>
      <c r="AEK25" s="214"/>
      <c r="AEL25" s="214"/>
      <c r="AEM25" s="214"/>
      <c r="AEN25" s="214"/>
      <c r="AEO25" s="214"/>
      <c r="AEP25" s="214"/>
      <c r="AEQ25" s="214"/>
      <c r="AER25" s="214"/>
      <c r="AES25" s="214"/>
      <c r="AET25" s="214"/>
      <c r="AEU25" s="214"/>
      <c r="AEV25" s="214"/>
      <c r="AEW25" s="214"/>
      <c r="AEX25" s="214"/>
      <c r="AEY25" s="214"/>
      <c r="AEZ25" s="214"/>
      <c r="AFA25" s="214"/>
      <c r="AFB25" s="214"/>
      <c r="AFC25" s="214"/>
      <c r="AFD25" s="214"/>
      <c r="AFE25" s="214"/>
      <c r="AFF25" s="214"/>
      <c r="AFG25" s="214"/>
      <c r="AFH25" s="214"/>
      <c r="AFI25" s="214"/>
      <c r="AFJ25" s="214"/>
      <c r="AFK25" s="214"/>
      <c r="AFL25" s="214"/>
      <c r="AFM25" s="214"/>
      <c r="AFN25" s="214"/>
      <c r="AFO25" s="214"/>
      <c r="AFP25" s="214"/>
      <c r="AFQ25" s="214"/>
      <c r="AFR25" s="214"/>
      <c r="AFS25" s="214"/>
      <c r="AFT25" s="214"/>
      <c r="AFU25" s="214"/>
      <c r="AFV25" s="214"/>
      <c r="AFW25" s="214"/>
      <c r="AFX25" s="214"/>
      <c r="AFY25" s="214"/>
      <c r="AFZ25" s="214"/>
      <c r="AGA25" s="214"/>
      <c r="AGB25" s="214"/>
      <c r="AGC25" s="214"/>
      <c r="AGD25" s="214"/>
      <c r="AGE25" s="214"/>
      <c r="AGF25" s="214"/>
      <c r="AGG25" s="214"/>
      <c r="AGH25" s="214"/>
      <c r="AGI25" s="214"/>
      <c r="AGJ25" s="214"/>
      <c r="AGK25" s="214"/>
      <c r="AGL25" s="214"/>
      <c r="AGM25" s="214"/>
      <c r="AGN25" s="214"/>
      <c r="AGO25" s="214"/>
      <c r="AGP25" s="214"/>
      <c r="AGQ25" s="214"/>
      <c r="AGR25" s="214"/>
      <c r="AGS25" s="214"/>
      <c r="AGT25" s="214"/>
      <c r="AGU25" s="214"/>
      <c r="AGV25" s="214"/>
      <c r="AGW25" s="214"/>
      <c r="AGX25" s="214"/>
      <c r="AGY25" s="214"/>
      <c r="AGZ25" s="214"/>
      <c r="AHA25" s="214"/>
      <c r="AHB25" s="214"/>
      <c r="AHC25" s="214"/>
      <c r="AHD25" s="214"/>
      <c r="AHE25" s="214"/>
      <c r="AHF25" s="214"/>
      <c r="AHG25" s="214"/>
      <c r="AHH25" s="214"/>
      <c r="AHI25" s="214"/>
      <c r="AHJ25" s="214"/>
      <c r="AHK25" s="214"/>
      <c r="AHL25" s="214"/>
      <c r="AHM25" s="214"/>
      <c r="AHN25" s="214"/>
      <c r="AHO25" s="214"/>
      <c r="AHP25" s="214"/>
      <c r="AHQ25" s="214"/>
      <c r="AHR25" s="214"/>
      <c r="AHS25" s="214"/>
      <c r="AHT25" s="214"/>
      <c r="AHU25" s="214"/>
      <c r="AHV25" s="214"/>
      <c r="AHW25" s="214"/>
      <c r="AHX25" s="214"/>
      <c r="AHY25" s="214"/>
      <c r="AHZ25" s="214"/>
      <c r="AIA25" s="214"/>
      <c r="AIB25" s="214"/>
      <c r="AIC25" s="214"/>
      <c r="AID25" s="214"/>
      <c r="AIE25" s="214"/>
      <c r="AIF25" s="214"/>
      <c r="AIG25" s="214"/>
      <c r="AIH25" s="214"/>
      <c r="AII25" s="214"/>
      <c r="AIJ25" s="214"/>
      <c r="AIK25" s="214"/>
      <c r="AIL25" s="214"/>
      <c r="AIM25" s="214"/>
      <c r="AIN25" s="214"/>
      <c r="AIO25" s="214"/>
      <c r="AIP25" s="214"/>
      <c r="AIQ25" s="214"/>
      <c r="AIR25" s="214"/>
      <c r="AIS25" s="214"/>
      <c r="AIT25" s="214"/>
      <c r="AIU25" s="214"/>
      <c r="AIV25" s="214"/>
      <c r="AIW25" s="214"/>
      <c r="AIX25" s="214"/>
      <c r="AIY25" s="214"/>
      <c r="AIZ25" s="214"/>
      <c r="AJA25" s="214"/>
      <c r="AJB25" s="214"/>
      <c r="AJC25" s="214"/>
      <c r="AJD25" s="214"/>
      <c r="AJE25" s="214"/>
      <c r="AJF25" s="214"/>
      <c r="AJG25" s="214"/>
      <c r="AJH25" s="214"/>
      <c r="AJI25" s="214"/>
      <c r="AJJ25" s="214"/>
      <c r="AJK25" s="214"/>
      <c r="AJL25" s="214"/>
      <c r="AJM25" s="214"/>
      <c r="AJN25" s="214"/>
      <c r="AJO25" s="214"/>
      <c r="AJP25" s="214"/>
      <c r="AJQ25" s="214"/>
      <c r="AJR25" s="214"/>
      <c r="AJS25" s="214"/>
      <c r="AJT25" s="214"/>
      <c r="AJU25" s="214"/>
      <c r="AJV25" s="214"/>
      <c r="AJW25" s="214"/>
      <c r="AJX25" s="214"/>
      <c r="AJY25" s="214"/>
      <c r="AJZ25" s="214"/>
      <c r="AKA25" s="214"/>
      <c r="AKB25" s="214"/>
      <c r="AKC25" s="214"/>
      <c r="AKD25" s="214"/>
      <c r="AKE25" s="214"/>
      <c r="AKF25" s="214"/>
      <c r="AKG25" s="214"/>
      <c r="AKH25" s="214"/>
      <c r="AKI25" s="214"/>
      <c r="AKJ25" s="214"/>
      <c r="AKK25" s="214"/>
      <c r="AKL25" s="214"/>
      <c r="AKM25" s="214"/>
      <c r="AKN25" s="214"/>
      <c r="AKO25" s="214"/>
      <c r="AKP25" s="214"/>
      <c r="AKQ25" s="214"/>
      <c r="AKR25" s="214"/>
      <c r="AKS25" s="214"/>
      <c r="AKT25" s="214"/>
      <c r="AKU25" s="214"/>
      <c r="AKV25" s="214"/>
      <c r="AKW25" s="214"/>
      <c r="AKX25" s="214"/>
      <c r="AKY25" s="214"/>
      <c r="AKZ25" s="214"/>
      <c r="ALA25" s="214"/>
      <c r="ALB25" s="214"/>
      <c r="ALC25" s="214"/>
      <c r="ALD25" s="214"/>
      <c r="ALE25" s="214"/>
      <c r="ALF25" s="214"/>
      <c r="ALG25" s="214"/>
      <c r="ALH25" s="214"/>
      <c r="ALI25" s="214"/>
      <c r="ALJ25" s="214"/>
      <c r="ALK25" s="214"/>
      <c r="ALL25" s="214"/>
      <c r="ALM25" s="214"/>
      <c r="ALN25" s="214"/>
      <c r="ALO25" s="214"/>
      <c r="ALP25" s="214"/>
      <c r="ALQ25" s="214"/>
      <c r="ALR25" s="214"/>
      <c r="ALS25" s="214"/>
      <c r="ALT25" s="214"/>
      <c r="ALU25" s="214"/>
      <c r="ALV25" s="214"/>
      <c r="ALW25" s="214"/>
      <c r="ALX25" s="214"/>
      <c r="ALY25" s="214"/>
      <c r="ALZ25" s="214"/>
      <c r="AMA25" s="214"/>
      <c r="AMB25" s="214"/>
      <c r="AMC25" s="214"/>
      <c r="AMD25" s="214"/>
      <c r="AME25" s="214"/>
      <c r="AMF25" s="214"/>
      <c r="AMG25" s="214"/>
      <c r="AMH25" s="214"/>
      <c r="AMI25" s="214"/>
      <c r="AMJ25" s="214"/>
      <c r="AMK25" s="214"/>
      <c r="AML25" s="214"/>
      <c r="AMM25" s="214"/>
      <c r="AMN25" s="214"/>
      <c r="AMO25" s="214"/>
      <c r="AMP25" s="214"/>
      <c r="AMQ25" s="214"/>
      <c r="AMR25" s="214"/>
      <c r="AMS25" s="214"/>
      <c r="AMT25" s="214"/>
      <c r="AMU25" s="214"/>
      <c r="AMV25" s="214"/>
      <c r="AMW25" s="214"/>
      <c r="AMX25" s="214"/>
      <c r="AMY25" s="214"/>
      <c r="AMZ25" s="214"/>
      <c r="ANA25" s="214"/>
      <c r="ANB25" s="214"/>
      <c r="ANC25" s="214"/>
      <c r="AND25" s="214"/>
      <c r="ANE25" s="214"/>
      <c r="ANF25" s="214"/>
      <c r="ANG25" s="214"/>
      <c r="ANH25" s="214"/>
      <c r="ANI25" s="214"/>
      <c r="ANJ25" s="214"/>
      <c r="ANK25" s="214"/>
      <c r="ANL25" s="214"/>
      <c r="ANM25" s="214"/>
      <c r="ANN25" s="214"/>
      <c r="ANO25" s="214"/>
      <c r="ANP25" s="214"/>
      <c r="ANQ25" s="214"/>
      <c r="ANR25" s="214"/>
      <c r="ANS25" s="214"/>
      <c r="ANT25" s="214"/>
      <c r="ANU25" s="214"/>
      <c r="ANV25" s="214"/>
      <c r="ANW25" s="214"/>
      <c r="ANX25" s="214"/>
      <c r="ANY25" s="214"/>
      <c r="ANZ25" s="214"/>
      <c r="AOA25" s="214"/>
      <c r="AOB25" s="214"/>
      <c r="AOC25" s="214"/>
      <c r="AOD25" s="214"/>
      <c r="AOE25" s="214"/>
      <c r="AOF25" s="214"/>
      <c r="AOG25" s="214"/>
      <c r="AOH25" s="214"/>
      <c r="AOI25" s="214"/>
      <c r="AOJ25" s="214"/>
      <c r="AOK25" s="214"/>
      <c r="AOL25" s="214"/>
      <c r="AOM25" s="214"/>
      <c r="AON25" s="214"/>
      <c r="AOO25" s="214"/>
      <c r="AOP25" s="214"/>
      <c r="AOQ25" s="214"/>
      <c r="AOR25" s="214"/>
      <c r="AOS25" s="214"/>
      <c r="AOT25" s="214"/>
      <c r="AOU25" s="214"/>
      <c r="AOV25" s="214"/>
      <c r="AOW25" s="214"/>
      <c r="AOX25" s="214"/>
      <c r="AOY25" s="214"/>
      <c r="AOZ25" s="214"/>
      <c r="APA25" s="214"/>
      <c r="APB25" s="214"/>
      <c r="APC25" s="214"/>
      <c r="APD25" s="214"/>
      <c r="APE25" s="214"/>
      <c r="APF25" s="214"/>
      <c r="APG25" s="214"/>
      <c r="APH25" s="214"/>
      <c r="API25" s="214"/>
      <c r="APJ25" s="214"/>
      <c r="APK25" s="214"/>
      <c r="APL25" s="214"/>
      <c r="APM25" s="214"/>
      <c r="APN25" s="214"/>
      <c r="APO25" s="214"/>
      <c r="APP25" s="214"/>
      <c r="APQ25" s="214"/>
      <c r="APR25" s="214"/>
      <c r="APS25" s="214"/>
      <c r="APT25" s="214"/>
      <c r="APU25" s="214"/>
      <c r="APV25" s="214"/>
      <c r="APW25" s="214"/>
      <c r="APX25" s="214"/>
      <c r="APY25" s="214"/>
      <c r="APZ25" s="214"/>
      <c r="AQA25" s="214"/>
      <c r="AQB25" s="214"/>
      <c r="AQC25" s="214"/>
      <c r="AQD25" s="214"/>
      <c r="AQE25" s="214"/>
      <c r="AQF25" s="214"/>
      <c r="AQG25" s="214"/>
      <c r="AQH25" s="214"/>
      <c r="AQI25" s="214"/>
      <c r="AQJ25" s="214"/>
      <c r="AQK25" s="214"/>
      <c r="AQL25" s="214"/>
      <c r="AQM25" s="214"/>
      <c r="AQN25" s="214"/>
      <c r="AQO25" s="214"/>
      <c r="AQP25" s="214"/>
      <c r="AQQ25" s="214"/>
      <c r="AQR25" s="214"/>
      <c r="AQS25" s="214"/>
      <c r="AQT25" s="214"/>
      <c r="AQU25" s="214"/>
      <c r="AQV25" s="214"/>
      <c r="AQW25" s="214"/>
      <c r="AQX25" s="214"/>
      <c r="AQY25" s="214"/>
      <c r="AQZ25" s="214"/>
      <c r="ARA25" s="214"/>
      <c r="ARB25" s="214"/>
      <c r="ARC25" s="214"/>
      <c r="ARD25" s="214"/>
      <c r="ARE25" s="214"/>
      <c r="ARF25" s="214"/>
      <c r="ARG25" s="214"/>
      <c r="ARH25" s="214"/>
      <c r="ARI25" s="214"/>
      <c r="ARJ25" s="214"/>
      <c r="ARK25" s="214"/>
      <c r="ARL25" s="214"/>
      <c r="ARM25" s="214"/>
      <c r="ARN25" s="214"/>
      <c r="ARO25" s="214"/>
      <c r="ARP25" s="214"/>
      <c r="ARQ25" s="214"/>
      <c r="ARR25" s="214"/>
      <c r="ARS25" s="214"/>
      <c r="ART25" s="214"/>
      <c r="ARU25" s="214"/>
      <c r="ARV25" s="214"/>
      <c r="ARW25" s="214"/>
      <c r="ARX25" s="214"/>
      <c r="ARY25" s="214"/>
      <c r="ARZ25" s="214"/>
      <c r="ASA25" s="214"/>
      <c r="ASB25" s="214"/>
      <c r="ASC25" s="214"/>
      <c r="ASD25" s="214"/>
      <c r="ASE25" s="214"/>
      <c r="ASF25" s="214"/>
      <c r="ASG25" s="214"/>
      <c r="ASH25" s="214"/>
      <c r="ASI25" s="214"/>
      <c r="ASJ25" s="214"/>
      <c r="ASK25" s="214"/>
      <c r="ASL25" s="214"/>
      <c r="ASM25" s="214"/>
      <c r="ASN25" s="214"/>
      <c r="ASO25" s="214"/>
      <c r="ASP25" s="214"/>
      <c r="ASQ25" s="214"/>
      <c r="ASR25" s="214"/>
      <c r="ASS25" s="214"/>
      <c r="AST25" s="214"/>
      <c r="ASU25" s="214"/>
      <c r="ASV25" s="214"/>
      <c r="ASW25" s="214"/>
      <c r="ASX25" s="214"/>
      <c r="ASY25" s="214"/>
      <c r="ASZ25" s="214"/>
      <c r="ATA25" s="214"/>
      <c r="ATB25" s="214"/>
      <c r="ATC25" s="214"/>
      <c r="ATD25" s="214"/>
      <c r="ATE25" s="214"/>
      <c r="ATF25" s="214"/>
      <c r="ATG25" s="214"/>
      <c r="ATH25" s="214"/>
      <c r="ATI25" s="214"/>
      <c r="ATJ25" s="214"/>
      <c r="ATK25" s="214"/>
      <c r="ATL25" s="214"/>
      <c r="ATM25" s="214"/>
      <c r="ATN25" s="214"/>
      <c r="ATO25" s="214"/>
      <c r="ATP25" s="214"/>
      <c r="ATQ25" s="214"/>
      <c r="ATR25" s="214"/>
      <c r="ATS25" s="214"/>
      <c r="ATT25" s="214"/>
      <c r="ATU25" s="214"/>
      <c r="ATV25" s="214"/>
      <c r="ATW25" s="214"/>
      <c r="ATX25" s="214"/>
      <c r="ATY25" s="214"/>
      <c r="ATZ25" s="214"/>
      <c r="AUA25" s="214"/>
      <c r="AUB25" s="214"/>
      <c r="AUC25" s="214"/>
      <c r="AUD25" s="214"/>
      <c r="AUE25" s="214"/>
      <c r="AUF25" s="214"/>
      <c r="AUG25" s="214"/>
      <c r="AUH25" s="214"/>
      <c r="AUI25" s="214"/>
      <c r="AUJ25" s="214"/>
      <c r="AUK25" s="214"/>
      <c r="AUL25" s="214"/>
      <c r="AUM25" s="214"/>
      <c r="AUN25" s="214"/>
      <c r="AUO25" s="214"/>
      <c r="AUP25" s="214"/>
      <c r="AUQ25" s="214"/>
      <c r="AUR25" s="214"/>
      <c r="AUS25" s="214"/>
      <c r="AUT25" s="214"/>
      <c r="AUU25" s="214"/>
      <c r="AUV25" s="214"/>
      <c r="AUW25" s="214"/>
      <c r="AUX25" s="214"/>
      <c r="AUY25" s="214"/>
      <c r="AUZ25" s="214"/>
      <c r="AVA25" s="214"/>
      <c r="AVB25" s="214"/>
      <c r="AVC25" s="214"/>
      <c r="AVD25" s="214"/>
      <c r="AVE25" s="214"/>
      <c r="AVF25" s="214"/>
      <c r="AVG25" s="214"/>
      <c r="AVH25" s="214"/>
      <c r="AVI25" s="214"/>
      <c r="AVJ25" s="214"/>
      <c r="AVK25" s="214"/>
      <c r="AVL25" s="214"/>
      <c r="AVM25" s="214"/>
      <c r="AVN25" s="214"/>
      <c r="AVO25" s="214"/>
      <c r="AVP25" s="214"/>
      <c r="AVQ25" s="214"/>
      <c r="AVR25" s="214"/>
      <c r="AVS25" s="214"/>
      <c r="AVT25" s="214"/>
      <c r="AVU25" s="214"/>
      <c r="AVV25" s="214"/>
      <c r="AVW25" s="214"/>
      <c r="AVX25" s="214"/>
      <c r="AVY25" s="214"/>
      <c r="AVZ25" s="214"/>
      <c r="AWA25" s="214"/>
      <c r="AWB25" s="214"/>
      <c r="AWC25" s="214"/>
      <c r="AWD25" s="214"/>
      <c r="AWE25" s="214"/>
      <c r="AWF25" s="214"/>
      <c r="AWG25" s="214"/>
      <c r="AWH25" s="214"/>
      <c r="AWI25" s="214"/>
      <c r="AWJ25" s="214"/>
      <c r="AWK25" s="214"/>
      <c r="AWL25" s="214"/>
      <c r="AWM25" s="214"/>
      <c r="AWN25" s="214"/>
      <c r="AWO25" s="214"/>
      <c r="AWP25" s="214"/>
      <c r="AWQ25" s="214"/>
      <c r="AWR25" s="214"/>
      <c r="AWS25" s="214"/>
      <c r="AWT25" s="214"/>
      <c r="AWU25" s="214"/>
      <c r="AWV25" s="214"/>
      <c r="AWW25" s="214"/>
      <c r="AWX25" s="214"/>
      <c r="AWY25" s="214"/>
      <c r="AWZ25" s="214"/>
      <c r="AXA25" s="214"/>
      <c r="AXB25" s="214"/>
      <c r="AXC25" s="214"/>
      <c r="AXD25" s="214"/>
      <c r="AXE25" s="214"/>
      <c r="AXF25" s="214"/>
      <c r="AXG25" s="214"/>
      <c r="AXH25" s="214"/>
      <c r="AXI25" s="214"/>
      <c r="AXJ25" s="214"/>
      <c r="AXK25" s="214"/>
      <c r="AXL25" s="214"/>
      <c r="AXM25" s="214"/>
      <c r="AXN25" s="214"/>
      <c r="AXO25" s="214"/>
      <c r="AXP25" s="214"/>
      <c r="AXQ25" s="214"/>
      <c r="AXR25" s="214"/>
      <c r="AXS25" s="214"/>
      <c r="AXT25" s="214"/>
      <c r="AXU25" s="214"/>
      <c r="AXV25" s="214"/>
      <c r="AXW25" s="214"/>
      <c r="AXX25" s="214"/>
      <c r="AXY25" s="214"/>
      <c r="AXZ25" s="214"/>
      <c r="AYA25" s="214"/>
      <c r="AYB25" s="214"/>
      <c r="AYC25" s="214"/>
      <c r="AYD25" s="214"/>
      <c r="AYE25" s="214"/>
      <c r="AYF25" s="214"/>
      <c r="AYG25" s="214"/>
      <c r="AYH25" s="214"/>
      <c r="AYI25" s="214"/>
      <c r="AYJ25" s="214"/>
      <c r="AYK25" s="214"/>
      <c r="AYL25" s="214"/>
      <c r="AYM25" s="214"/>
      <c r="AYN25" s="214"/>
      <c r="AYO25" s="214"/>
      <c r="AYP25" s="214"/>
      <c r="AYQ25" s="214"/>
      <c r="AYR25" s="214"/>
      <c r="AYS25" s="214"/>
      <c r="AYT25" s="214"/>
      <c r="AYU25" s="214"/>
      <c r="AYV25" s="214"/>
      <c r="AYW25" s="214"/>
      <c r="AYX25" s="214"/>
      <c r="AYY25" s="214"/>
      <c r="AYZ25" s="214"/>
      <c r="AZA25" s="214"/>
      <c r="AZB25" s="214"/>
      <c r="AZC25" s="214"/>
      <c r="AZD25" s="214"/>
      <c r="AZE25" s="214"/>
      <c r="AZF25" s="214"/>
      <c r="AZG25" s="214"/>
      <c r="AZH25" s="214"/>
      <c r="AZI25" s="214"/>
      <c r="AZJ25" s="214"/>
      <c r="AZK25" s="214"/>
      <c r="AZL25" s="214"/>
      <c r="AZM25" s="214"/>
      <c r="AZN25" s="214"/>
      <c r="AZO25" s="214"/>
      <c r="AZP25" s="214"/>
      <c r="AZQ25" s="214"/>
      <c r="AZR25" s="214"/>
      <c r="AZS25" s="214"/>
      <c r="AZT25" s="214"/>
      <c r="AZU25" s="214"/>
      <c r="AZV25" s="214"/>
      <c r="AZW25" s="214"/>
      <c r="AZX25" s="214"/>
      <c r="AZY25" s="214"/>
      <c r="AZZ25" s="214"/>
      <c r="BAA25" s="214"/>
      <c r="BAB25" s="214"/>
      <c r="BAC25" s="214"/>
      <c r="BAD25" s="214"/>
      <c r="BAE25" s="214"/>
      <c r="BAF25" s="214"/>
      <c r="BAG25" s="214"/>
      <c r="BAH25" s="214"/>
      <c r="BAI25" s="214"/>
      <c r="BAJ25" s="214"/>
      <c r="BAK25" s="214"/>
      <c r="BAL25" s="214"/>
      <c r="BAM25" s="214"/>
      <c r="BAN25" s="214"/>
      <c r="BAO25" s="214"/>
      <c r="BAP25" s="214"/>
      <c r="BAQ25" s="214"/>
      <c r="BAR25" s="214"/>
      <c r="BAS25" s="214"/>
      <c r="BAT25" s="214"/>
      <c r="BAU25" s="214"/>
      <c r="BAV25" s="214"/>
      <c r="BAW25" s="214"/>
      <c r="BAX25" s="214"/>
      <c r="BAY25" s="214"/>
      <c r="BAZ25" s="214"/>
      <c r="BBA25" s="214"/>
      <c r="BBB25" s="214"/>
      <c r="BBC25" s="214"/>
      <c r="BBD25" s="214"/>
      <c r="BBE25" s="214"/>
      <c r="BBF25" s="214"/>
      <c r="BBG25" s="214"/>
      <c r="BBH25" s="214"/>
      <c r="BBI25" s="214"/>
      <c r="BBJ25" s="214"/>
      <c r="BBK25" s="214"/>
      <c r="BBL25" s="214"/>
      <c r="BBM25" s="214"/>
      <c r="BBN25" s="214"/>
      <c r="BBO25" s="214"/>
      <c r="BBP25" s="214"/>
      <c r="BBQ25" s="214"/>
      <c r="BBR25" s="214"/>
      <c r="BBS25" s="214"/>
      <c r="BBT25" s="214"/>
      <c r="BBU25" s="214"/>
      <c r="BBV25" s="214"/>
      <c r="BBW25" s="214"/>
      <c r="BBX25" s="214"/>
      <c r="BBY25" s="214"/>
      <c r="BBZ25" s="214"/>
      <c r="BCA25" s="214"/>
      <c r="BCB25" s="214"/>
      <c r="BCC25" s="214"/>
      <c r="BCD25" s="214"/>
      <c r="BCE25" s="214"/>
      <c r="BCF25" s="214"/>
      <c r="BCG25" s="214"/>
      <c r="BCH25" s="214"/>
      <c r="BCI25" s="214"/>
      <c r="BCJ25" s="214"/>
      <c r="BCK25" s="214"/>
      <c r="BCL25" s="214"/>
      <c r="BCM25" s="214"/>
      <c r="BCN25" s="214"/>
      <c r="BCO25" s="214"/>
      <c r="BCP25" s="214"/>
      <c r="BCQ25" s="214"/>
      <c r="BCR25" s="214"/>
      <c r="BCS25" s="214"/>
      <c r="BCT25" s="214"/>
      <c r="BCU25" s="214"/>
      <c r="BCV25" s="214"/>
      <c r="BCW25" s="214"/>
      <c r="BCX25" s="214"/>
      <c r="BCY25" s="214"/>
      <c r="BCZ25" s="214"/>
      <c r="BDA25" s="214"/>
      <c r="BDB25" s="214"/>
      <c r="BDC25" s="214"/>
      <c r="BDD25" s="214"/>
      <c r="BDE25" s="214"/>
      <c r="BDF25" s="214"/>
      <c r="BDG25" s="214"/>
      <c r="BDH25" s="214"/>
      <c r="BDI25" s="214"/>
      <c r="BDJ25" s="214"/>
      <c r="BDK25" s="214"/>
      <c r="BDL25" s="214"/>
      <c r="BDM25" s="214"/>
      <c r="BDN25" s="214"/>
      <c r="BDO25" s="214"/>
      <c r="BDP25" s="214"/>
      <c r="BDQ25" s="214"/>
      <c r="BDR25" s="214"/>
      <c r="BDS25" s="214"/>
      <c r="BDT25" s="214"/>
      <c r="BDU25" s="214"/>
      <c r="BDV25" s="214"/>
      <c r="BDW25" s="214"/>
      <c r="BDX25" s="214"/>
      <c r="BDY25" s="214"/>
      <c r="BDZ25" s="214"/>
      <c r="BEA25" s="214"/>
      <c r="BEB25" s="214"/>
      <c r="BEC25" s="214"/>
      <c r="BED25" s="214"/>
      <c r="BEE25" s="214"/>
      <c r="BEF25" s="214"/>
      <c r="BEG25" s="214"/>
      <c r="BEH25" s="214"/>
      <c r="BEI25" s="214"/>
      <c r="BEJ25" s="214"/>
      <c r="BEK25" s="214"/>
      <c r="BEL25" s="214"/>
      <c r="BEM25" s="214"/>
      <c r="BEN25" s="214"/>
      <c r="BEO25" s="214"/>
      <c r="BEP25" s="214"/>
      <c r="BEQ25" s="214"/>
      <c r="BER25" s="214"/>
      <c r="BES25" s="214"/>
      <c r="BET25" s="214"/>
      <c r="BEU25" s="214"/>
      <c r="BEV25" s="214"/>
      <c r="BEW25" s="214"/>
      <c r="BEX25" s="214"/>
      <c r="BEY25" s="214"/>
      <c r="BEZ25" s="214"/>
      <c r="BFA25" s="214"/>
      <c r="BFB25" s="214"/>
      <c r="BFC25" s="214"/>
      <c r="BFD25" s="214"/>
      <c r="BFE25" s="214"/>
      <c r="BFF25" s="214"/>
      <c r="BFG25" s="214"/>
      <c r="BFH25" s="214"/>
      <c r="BFI25" s="214"/>
      <c r="BFJ25" s="214"/>
      <c r="BFK25" s="214"/>
      <c r="BFL25" s="214"/>
      <c r="BFM25" s="214"/>
      <c r="BFN25" s="214"/>
      <c r="BFO25" s="214"/>
      <c r="BFP25" s="214"/>
      <c r="BFQ25" s="214"/>
      <c r="BFR25" s="214"/>
      <c r="BFS25" s="214"/>
      <c r="BFT25" s="214"/>
      <c r="BFU25" s="214"/>
      <c r="BFV25" s="214"/>
      <c r="BFW25" s="214"/>
      <c r="BFX25" s="214"/>
      <c r="BFY25" s="214"/>
      <c r="BFZ25" s="214"/>
      <c r="BGA25" s="214"/>
      <c r="BGB25" s="214"/>
      <c r="BGC25" s="214"/>
      <c r="BGD25" s="214"/>
      <c r="BGE25" s="214"/>
      <c r="BGF25" s="214"/>
      <c r="BGG25" s="214"/>
      <c r="BGH25" s="214"/>
      <c r="BGI25" s="214"/>
      <c r="BGJ25" s="214"/>
      <c r="BGK25" s="214"/>
      <c r="BGL25" s="214"/>
      <c r="BGM25" s="214"/>
      <c r="BGN25" s="214"/>
      <c r="BGO25" s="214"/>
      <c r="BGP25" s="214"/>
      <c r="BGQ25" s="214"/>
      <c r="BGR25" s="214"/>
      <c r="BGS25" s="214"/>
      <c r="BGT25" s="214"/>
      <c r="BGU25" s="214"/>
      <c r="BGV25" s="214"/>
      <c r="BGW25" s="214"/>
      <c r="BGX25" s="214"/>
      <c r="BGY25" s="214"/>
      <c r="BGZ25" s="214"/>
      <c r="BHA25" s="214"/>
      <c r="BHB25" s="214"/>
      <c r="BHC25" s="214"/>
      <c r="BHD25" s="214"/>
      <c r="BHE25" s="214"/>
      <c r="BHF25" s="214"/>
      <c r="BHG25" s="214"/>
      <c r="BHH25" s="214"/>
      <c r="BHI25" s="214"/>
      <c r="BHJ25" s="214"/>
      <c r="BHK25" s="214"/>
      <c r="BHL25" s="214"/>
      <c r="BHM25" s="214"/>
      <c r="BHN25" s="214"/>
      <c r="BHO25" s="214"/>
      <c r="BHP25" s="214"/>
      <c r="BHQ25" s="214"/>
      <c r="BHR25" s="214"/>
      <c r="BHS25" s="214"/>
      <c r="BHT25" s="214"/>
      <c r="BHU25" s="214"/>
      <c r="BHV25" s="214"/>
      <c r="BHW25" s="214"/>
    </row>
    <row r="26" spans="1:1583" s="217" customFormat="1" ht="15.75" thickBot="1">
      <c r="A26" s="124" t="s">
        <v>325</v>
      </c>
      <c r="B26" s="180" t="s">
        <v>354</v>
      </c>
      <c r="C26" s="417" t="s">
        <v>527</v>
      </c>
      <c r="D26" s="436" t="s">
        <v>527</v>
      </c>
      <c r="E26" s="59" t="s">
        <v>9</v>
      </c>
      <c r="F26" s="132"/>
      <c r="G26" s="60" t="s">
        <v>680</v>
      </c>
      <c r="H26" s="473">
        <f t="shared" si="8"/>
        <v>843.97347439097928</v>
      </c>
      <c r="I26" s="92">
        <f>VLOOKUP($B26,'DCS Data'!$E$2:$AJ$100,MATCH('Daily Report'!I$1,'DCS Data'!$E$2:$AJ$2,0),0)</f>
        <v>0</v>
      </c>
      <c r="J26" s="255"/>
      <c r="K26" s="92">
        <f>VLOOKUP($B26,'DCS Data'!$E$2:$AJ$100,MATCH('Daily Report'!K$1,'DCS Data'!$E$2:$AJ$2,0),0)</f>
        <v>0</v>
      </c>
      <c r="L26" s="92">
        <f>VLOOKUP($B26,'DCS Data'!$E$2:$AJ$100,MATCH('Daily Report'!L$1,'DCS Data'!$E$2:$AJ$2,0),0)</f>
        <v>0</v>
      </c>
      <c r="M26" s="92">
        <f>VLOOKUP($B26,'DCS Data'!$E$2:$AJ$100,MATCH('Daily Report'!M$1,'DCS Data'!$E$2:$AJ$2,0),0)</f>
        <v>0</v>
      </c>
      <c r="N26" s="92">
        <f>VLOOKUP($B26,'DCS Data'!$E$2:$AJ$100,MATCH('Daily Report'!N$1,'DCS Data'!$E$2:$AJ$2,0),0)</f>
        <v>0</v>
      </c>
      <c r="O26" s="92">
        <f>VLOOKUP($B26,'DCS Data'!$E$2:$AJ$100,MATCH('Daily Report'!O$1,'DCS Data'!$E$2:$AJ$2,0),0)</f>
        <v>0</v>
      </c>
      <c r="P26" s="92">
        <f>VLOOKUP($B26,'DCS Data'!$E$2:$AJ$100,MATCH('Daily Report'!P$1,'DCS Data'!$E$2:$AJ$2,0),0)</f>
        <v>0</v>
      </c>
      <c r="Q26" s="92">
        <f>VLOOKUP($B26,'DCS Data'!$E$2:$AJ$100,MATCH('Daily Report'!Q$1,'DCS Data'!$E$2:$AJ$2,0),0)</f>
        <v>0</v>
      </c>
      <c r="R26" s="92">
        <f>VLOOKUP($B26,'DCS Data'!$E$2:$AJ$100,MATCH('Daily Report'!R$1,'DCS Data'!$E$2:$AJ$2,0),0)</f>
        <v>0.92220036756352985</v>
      </c>
      <c r="S26" s="92">
        <f>VLOOKUP($B26,'DCS Data'!$E$2:$AJ$100,MATCH('Daily Report'!S$1,'DCS Data'!$E$2:$AJ$2,0),0)</f>
        <v>0</v>
      </c>
      <c r="T26" s="92">
        <f>VLOOKUP($B26,'DCS Data'!$E$2:$AJ$100,MATCH('Daily Report'!T$1,'DCS Data'!$E$2:$AJ$2,0),0)</f>
        <v>0</v>
      </c>
      <c r="U26" s="92">
        <f>VLOOKUP($B26,'DCS Data'!$E$2:$AJ$100,MATCH('Daily Report'!U$1,'DCS Data'!$E$2:$AJ$2,0),0)</f>
        <v>0</v>
      </c>
      <c r="V26" s="92">
        <f>VLOOKUP($B26,'DCS Data'!$E$2:$AJ$100,MATCH('Daily Report'!V$1,'DCS Data'!$E$2:$AJ$2,0),0)</f>
        <v>0</v>
      </c>
      <c r="W26" s="92">
        <f>VLOOKUP($B26,'DCS Data'!$E$2:$AJ$100,MATCH('Daily Report'!W$1,'DCS Data'!$E$2:$AJ$2,0),0)</f>
        <v>2.070915257817893E-2</v>
      </c>
      <c r="X26" s="92">
        <f>VLOOKUP($B26,'DCS Data'!$E$2:$AJ$100,MATCH('Daily Report'!X$1,'DCS Data'!$E$2:$AJ$2,0),0)</f>
        <v>25.502182794463238</v>
      </c>
      <c r="Y26" s="92">
        <f>VLOOKUP($B26,'DCS Data'!$E$2:$AJ$100,MATCH('Daily Report'!Y$1,'DCS Data'!$E$2:$AJ$2,0),0)</f>
        <v>67.978178517886093</v>
      </c>
      <c r="Z26" s="92">
        <f>VLOOKUP($B26,'DCS Data'!$E$2:$AJ$100,MATCH('Daily Report'!Z$1,'DCS Data'!$E$2:$AJ$2,0),0)</f>
        <v>108.60924179476152</v>
      </c>
      <c r="AA26" s="92">
        <f>VLOOKUP($B26,'DCS Data'!$E$2:$AJ$100,MATCH('Daily Report'!AA$1,'DCS Data'!$E$2:$AJ$2,0),0)</f>
        <v>124.34291488170852</v>
      </c>
      <c r="AB26" s="92">
        <f>VLOOKUP($B26,'DCS Data'!$E$2:$AJ$100,MATCH('Daily Report'!AB$1,'DCS Data'!$E$2:$AJ$2,0),0)</f>
        <v>125.1955135286958</v>
      </c>
      <c r="AC26" s="92">
        <f>VLOOKUP($B26,'DCS Data'!$E$2:$AJ$100,MATCH('Daily Report'!AC$1,'DCS Data'!$E$2:$AJ$2,0),0)</f>
        <v>73.1496796455354</v>
      </c>
      <c r="AD26" s="92">
        <f>VLOOKUP($B26,'DCS Data'!$E$2:$AJ$100,MATCH('Daily Report'!AD$1,'DCS Data'!$E$2:$AJ$2,0),0)</f>
        <v>36.896744498053984</v>
      </c>
      <c r="AE26" s="92">
        <f>VLOOKUP($B26,'DCS Data'!$E$2:$AJ$100,MATCH('Daily Report'!AE$1,'DCS Data'!$E$2:$AJ$2,0),0)</f>
        <v>32.99624054027484</v>
      </c>
      <c r="AF26" s="92">
        <f>VLOOKUP($B26,'DCS Data'!$E$2:$AJ$100,MATCH('Daily Report'!AF$1,'DCS Data'!$E$2:$AJ$2,0),0)</f>
        <v>32.996896406974528</v>
      </c>
      <c r="AG26" s="92">
        <f>VLOOKUP($B26,'DCS Data'!$E$2:$AJ$100,MATCH('Daily Report'!AG$1,'DCS Data'!$E$2:$AJ$2,0),0)</f>
        <v>33.00000596191051</v>
      </c>
      <c r="AH26" s="92">
        <f>VLOOKUP($B26,'DCS Data'!$E$2:$AJ$100,MATCH('Daily Report'!AH$1,'DCS Data'!$E$2:$AJ$2,0),0)</f>
        <v>32.998697459824641</v>
      </c>
      <c r="AI26" s="92">
        <f>VLOOKUP($B26,'DCS Data'!$E$2:$AJ$100,MATCH('Daily Report'!AI$1,'DCS Data'!$E$2:$AJ$2,0),0)</f>
        <v>29.371403884961211</v>
      </c>
      <c r="AJ26" s="92">
        <f>VLOOKUP($B26,'DCS Data'!$E$2:$AJ$100,MATCH('Daily Report'!AJ$1,'DCS Data'!$E$2:$AJ$2,0),0)</f>
        <v>23.998979599054731</v>
      </c>
      <c r="AK26" s="92">
        <f>VLOOKUP($B26,'DCS Data'!$E$2:$AJ$100,MATCH('Daily Report'!AK$1,'DCS Data'!$E$2:$AJ$2,0),0)</f>
        <v>23.996102398650567</v>
      </c>
      <c r="AL26" s="92">
        <f>VLOOKUP($B26,'DCS Data'!$E$2:$AJ$100,MATCH('Daily Report'!AL$1,'DCS Data'!$E$2:$AJ$2,0),0)</f>
        <v>23.999714026969166</v>
      </c>
      <c r="AM26" s="92">
        <f>VLOOKUP($B26,'DCS Data'!$E$2:$AJ$100,MATCH('Daily Report'!AM$1,'DCS Data'!$E$2:$AJ$2,0),0)</f>
        <v>23.998939269803877</v>
      </c>
      <c r="AN26" s="92">
        <f>VLOOKUP($B26,'DCS Data'!$E$2:$AJ$100,MATCH('Daily Report'!AN$1,'DCS Data'!$E$2:$AJ$2,0),0)</f>
        <v>23.999129661309198</v>
      </c>
      <c r="AO26" s="214"/>
      <c r="AP26" s="214"/>
      <c r="AQ26" s="214"/>
      <c r="AR26" s="214"/>
      <c r="AS26" s="214"/>
      <c r="AT26" s="214"/>
      <c r="AU26" s="214"/>
      <c r="AV26" s="214"/>
      <c r="AW26" s="214"/>
      <c r="AX26" s="214"/>
      <c r="AY26" s="214"/>
      <c r="AZ26" s="214"/>
      <c r="BA26" s="214"/>
      <c r="BB26" s="214"/>
      <c r="BC26" s="214"/>
      <c r="BD26" s="214"/>
      <c r="BE26" s="214"/>
      <c r="BF26" s="214"/>
      <c r="BG26" s="214"/>
      <c r="BH26" s="214"/>
      <c r="BI26" s="214"/>
      <c r="BJ26" s="214"/>
      <c r="BK26" s="214"/>
      <c r="BL26" s="214"/>
      <c r="BM26" s="214"/>
      <c r="BN26" s="214"/>
      <c r="BO26" s="214"/>
      <c r="BP26" s="214"/>
      <c r="BQ26" s="214"/>
      <c r="BR26" s="214"/>
      <c r="BS26" s="214"/>
      <c r="BT26" s="214"/>
      <c r="BU26" s="214"/>
      <c r="BV26" s="214"/>
      <c r="BW26" s="214"/>
      <c r="BX26" s="214"/>
      <c r="BY26" s="214"/>
      <c r="BZ26" s="214"/>
      <c r="CA26" s="214"/>
      <c r="CB26" s="214"/>
      <c r="CC26" s="214"/>
      <c r="CD26" s="214"/>
      <c r="CE26" s="214"/>
      <c r="CF26" s="214"/>
      <c r="CG26" s="214"/>
      <c r="CH26" s="214"/>
      <c r="CI26" s="214"/>
      <c r="CJ26" s="214"/>
      <c r="CK26" s="214"/>
      <c r="CL26" s="214"/>
      <c r="CM26" s="214"/>
      <c r="CN26" s="214"/>
      <c r="CO26" s="214"/>
      <c r="CP26" s="214"/>
      <c r="CQ26" s="214"/>
      <c r="CR26" s="214"/>
      <c r="CS26" s="214"/>
      <c r="CT26" s="214"/>
      <c r="CU26" s="214"/>
      <c r="CV26" s="214"/>
      <c r="CW26" s="214"/>
      <c r="CX26" s="214"/>
      <c r="CY26" s="214"/>
      <c r="CZ26" s="214"/>
      <c r="DA26" s="214"/>
      <c r="DB26" s="214"/>
      <c r="DC26" s="214"/>
      <c r="DD26" s="214"/>
      <c r="DE26" s="214"/>
      <c r="DF26" s="214"/>
      <c r="DG26" s="214"/>
      <c r="DH26" s="214"/>
      <c r="DI26" s="214"/>
      <c r="DJ26" s="214"/>
      <c r="DK26" s="214"/>
      <c r="DL26" s="214"/>
      <c r="DM26" s="214"/>
      <c r="DN26" s="214"/>
      <c r="DO26" s="214"/>
      <c r="DP26" s="214"/>
      <c r="DQ26" s="214"/>
      <c r="DR26" s="214"/>
      <c r="DS26" s="214"/>
      <c r="DT26" s="214"/>
      <c r="DU26" s="214"/>
      <c r="DV26" s="214"/>
      <c r="DW26" s="214"/>
      <c r="DX26" s="214"/>
      <c r="DY26" s="214"/>
      <c r="DZ26" s="214"/>
      <c r="EA26" s="214"/>
      <c r="EB26" s="214"/>
      <c r="EC26" s="214"/>
      <c r="ED26" s="214"/>
      <c r="EE26" s="214"/>
      <c r="EF26" s="214"/>
      <c r="EG26" s="214"/>
      <c r="EH26" s="214"/>
      <c r="EI26" s="214"/>
      <c r="EJ26" s="214"/>
      <c r="EK26" s="214"/>
      <c r="EL26" s="214"/>
      <c r="EM26" s="214"/>
      <c r="EN26" s="214"/>
      <c r="EO26" s="214"/>
      <c r="EP26" s="214"/>
      <c r="EQ26" s="214"/>
      <c r="ER26" s="214"/>
      <c r="ES26" s="214"/>
      <c r="ET26" s="214"/>
      <c r="EU26" s="214"/>
      <c r="EV26" s="214"/>
      <c r="EW26" s="214"/>
      <c r="EX26" s="214"/>
      <c r="EY26" s="214"/>
      <c r="EZ26" s="214"/>
      <c r="FA26" s="214"/>
      <c r="FB26" s="214"/>
      <c r="FC26" s="214"/>
      <c r="FD26" s="214"/>
      <c r="FE26" s="214"/>
      <c r="FF26" s="214"/>
      <c r="FG26" s="214"/>
      <c r="FH26" s="214"/>
      <c r="FI26" s="214"/>
      <c r="FJ26" s="214"/>
      <c r="FK26" s="214"/>
      <c r="FL26" s="214"/>
      <c r="FM26" s="214"/>
      <c r="FN26" s="214"/>
      <c r="FO26" s="214"/>
      <c r="FP26" s="214"/>
      <c r="FQ26" s="214"/>
      <c r="FR26" s="214"/>
      <c r="FS26" s="214"/>
      <c r="FT26" s="214"/>
      <c r="FU26" s="214"/>
      <c r="FV26" s="214"/>
      <c r="FW26" s="214"/>
      <c r="FX26" s="214"/>
      <c r="FY26" s="214"/>
      <c r="FZ26" s="214"/>
      <c r="GA26" s="214"/>
      <c r="GB26" s="214"/>
      <c r="GC26" s="214"/>
      <c r="GD26" s="214"/>
      <c r="GE26" s="214"/>
      <c r="GF26" s="214"/>
      <c r="GG26" s="214"/>
      <c r="GH26" s="214"/>
      <c r="GI26" s="214"/>
      <c r="GJ26" s="214"/>
      <c r="GK26" s="214"/>
      <c r="GL26" s="214"/>
      <c r="GM26" s="214"/>
      <c r="GN26" s="214"/>
      <c r="GO26" s="214"/>
      <c r="GP26" s="214"/>
      <c r="GQ26" s="214"/>
      <c r="GR26" s="214"/>
      <c r="GS26" s="214"/>
      <c r="GT26" s="214"/>
      <c r="GU26" s="214"/>
      <c r="GV26" s="214"/>
      <c r="GW26" s="214"/>
      <c r="GX26" s="214"/>
      <c r="GY26" s="214"/>
      <c r="GZ26" s="214"/>
      <c r="HA26" s="214"/>
      <c r="HB26" s="214"/>
      <c r="HC26" s="214"/>
      <c r="HD26" s="214"/>
      <c r="HE26" s="214"/>
      <c r="HF26" s="214"/>
      <c r="HG26" s="214"/>
      <c r="HH26" s="214"/>
      <c r="HI26" s="214"/>
      <c r="HJ26" s="214"/>
      <c r="HK26" s="214"/>
      <c r="HL26" s="214"/>
      <c r="HM26" s="214"/>
      <c r="HN26" s="214"/>
      <c r="HO26" s="214"/>
      <c r="HP26" s="214"/>
      <c r="HQ26" s="214"/>
      <c r="HR26" s="214"/>
      <c r="HS26" s="214"/>
      <c r="HT26" s="214"/>
      <c r="HU26" s="214"/>
      <c r="HV26" s="214"/>
      <c r="HW26" s="214"/>
      <c r="HX26" s="214"/>
      <c r="HY26" s="214"/>
      <c r="HZ26" s="214"/>
      <c r="IA26" s="214"/>
      <c r="IB26" s="214"/>
      <c r="IC26" s="214"/>
      <c r="ID26" s="214"/>
      <c r="IE26" s="214"/>
      <c r="IF26" s="214"/>
      <c r="IG26" s="214"/>
      <c r="IH26" s="214"/>
      <c r="II26" s="214"/>
      <c r="IJ26" s="214"/>
      <c r="IK26" s="214"/>
      <c r="IL26" s="214"/>
      <c r="IM26" s="214"/>
      <c r="IN26" s="214"/>
      <c r="IO26" s="214"/>
      <c r="IP26" s="214"/>
      <c r="IQ26" s="214"/>
      <c r="IR26" s="214"/>
      <c r="IS26" s="214"/>
      <c r="IT26" s="214"/>
      <c r="IU26" s="214"/>
      <c r="IV26" s="214"/>
      <c r="IW26" s="214"/>
      <c r="IX26" s="214"/>
      <c r="IY26" s="214"/>
      <c r="IZ26" s="214"/>
      <c r="JA26" s="214"/>
      <c r="JB26" s="214"/>
      <c r="JC26" s="214"/>
      <c r="JD26" s="214"/>
      <c r="JE26" s="214"/>
      <c r="JF26" s="214"/>
      <c r="JG26" s="214"/>
      <c r="JH26" s="214"/>
      <c r="JI26" s="214"/>
      <c r="JJ26" s="214"/>
      <c r="JK26" s="214"/>
      <c r="JL26" s="214"/>
      <c r="JM26" s="214"/>
      <c r="JN26" s="214"/>
      <c r="JO26" s="214"/>
      <c r="JP26" s="214"/>
      <c r="JQ26" s="214"/>
      <c r="JR26" s="214"/>
      <c r="JS26" s="214"/>
      <c r="JT26" s="214"/>
      <c r="JU26" s="214"/>
      <c r="JV26" s="214"/>
      <c r="JW26" s="214"/>
      <c r="JX26" s="214"/>
      <c r="JY26" s="214"/>
      <c r="JZ26" s="214"/>
      <c r="KA26" s="214"/>
      <c r="KB26" s="214"/>
      <c r="KC26" s="214"/>
      <c r="KD26" s="214"/>
      <c r="KE26" s="214"/>
      <c r="KF26" s="214"/>
      <c r="KG26" s="214"/>
      <c r="KH26" s="214"/>
      <c r="KI26" s="214"/>
      <c r="KJ26" s="214"/>
      <c r="KK26" s="214"/>
      <c r="KL26" s="214"/>
      <c r="KM26" s="214"/>
      <c r="KN26" s="214"/>
      <c r="KO26" s="214"/>
      <c r="KP26" s="214"/>
      <c r="KQ26" s="214"/>
      <c r="KR26" s="214"/>
      <c r="KS26" s="214"/>
      <c r="KT26" s="214"/>
      <c r="KU26" s="214"/>
      <c r="KV26" s="214"/>
      <c r="KW26" s="214"/>
      <c r="KX26" s="214"/>
      <c r="KY26" s="214"/>
      <c r="KZ26" s="214"/>
      <c r="LA26" s="214"/>
      <c r="LB26" s="214"/>
      <c r="LC26" s="214"/>
      <c r="LD26" s="214"/>
      <c r="LE26" s="214"/>
      <c r="LF26" s="214"/>
      <c r="LG26" s="214"/>
      <c r="LH26" s="214"/>
      <c r="LI26" s="214"/>
      <c r="LJ26" s="214"/>
      <c r="LK26" s="214"/>
      <c r="LL26" s="214"/>
      <c r="LM26" s="214"/>
      <c r="LN26" s="214"/>
      <c r="LO26" s="214"/>
      <c r="LP26" s="214"/>
      <c r="LQ26" s="214"/>
      <c r="LR26" s="214"/>
      <c r="LS26" s="214"/>
      <c r="LT26" s="214"/>
      <c r="LU26" s="214"/>
      <c r="LV26" s="214"/>
      <c r="LW26" s="214"/>
      <c r="LX26" s="214"/>
      <c r="LY26" s="214"/>
      <c r="LZ26" s="214"/>
      <c r="MA26" s="214"/>
      <c r="MB26" s="214"/>
      <c r="MC26" s="214"/>
      <c r="MD26" s="214"/>
      <c r="ME26" s="214"/>
      <c r="MF26" s="214"/>
      <c r="MG26" s="214"/>
      <c r="MH26" s="214"/>
      <c r="MI26" s="214"/>
      <c r="MJ26" s="214"/>
      <c r="MK26" s="214"/>
      <c r="ML26" s="214"/>
      <c r="MM26" s="214"/>
      <c r="MN26" s="214"/>
      <c r="MO26" s="214"/>
      <c r="MP26" s="214"/>
      <c r="MQ26" s="214"/>
      <c r="MR26" s="214"/>
      <c r="MS26" s="214"/>
      <c r="MT26" s="214"/>
      <c r="MU26" s="214"/>
      <c r="MV26" s="214"/>
      <c r="MW26" s="214"/>
      <c r="MX26" s="214"/>
      <c r="MY26" s="214"/>
      <c r="MZ26" s="214"/>
      <c r="NA26" s="214"/>
      <c r="NB26" s="214"/>
      <c r="NC26" s="214"/>
      <c r="ND26" s="214"/>
      <c r="NE26" s="214"/>
      <c r="NF26" s="214"/>
      <c r="NG26" s="214"/>
      <c r="NH26" s="214"/>
      <c r="NI26" s="214"/>
      <c r="NJ26" s="214"/>
      <c r="NK26" s="214"/>
      <c r="NL26" s="214"/>
      <c r="NM26" s="214"/>
      <c r="NN26" s="214"/>
      <c r="NO26" s="214"/>
      <c r="NP26" s="214"/>
      <c r="NQ26" s="214"/>
      <c r="NR26" s="214"/>
      <c r="NS26" s="214"/>
      <c r="NT26" s="214"/>
      <c r="NU26" s="214"/>
      <c r="NV26" s="214"/>
      <c r="NW26" s="214"/>
      <c r="NX26" s="214"/>
      <c r="NY26" s="214"/>
      <c r="NZ26" s="214"/>
      <c r="OA26" s="214"/>
      <c r="OB26" s="214"/>
      <c r="OC26" s="214"/>
      <c r="OD26" s="214"/>
      <c r="OE26" s="214"/>
      <c r="OF26" s="214"/>
      <c r="OG26" s="214"/>
      <c r="OH26" s="214"/>
      <c r="OI26" s="214"/>
      <c r="OJ26" s="214"/>
      <c r="OK26" s="214"/>
      <c r="OL26" s="214"/>
      <c r="OM26" s="214"/>
      <c r="ON26" s="214"/>
      <c r="OO26" s="214"/>
      <c r="OP26" s="214"/>
      <c r="OQ26" s="214"/>
      <c r="OR26" s="214"/>
      <c r="OS26" s="214"/>
      <c r="OT26" s="214"/>
      <c r="OU26" s="214"/>
      <c r="OV26" s="214"/>
      <c r="OW26" s="214"/>
      <c r="OX26" s="214"/>
      <c r="OY26" s="214"/>
      <c r="OZ26" s="214"/>
      <c r="PA26" s="214"/>
      <c r="PB26" s="214"/>
      <c r="PC26" s="214"/>
      <c r="PD26" s="214"/>
      <c r="PE26" s="214"/>
      <c r="PF26" s="214"/>
      <c r="PG26" s="214"/>
      <c r="PH26" s="214"/>
      <c r="PI26" s="214"/>
      <c r="PJ26" s="214"/>
      <c r="PK26" s="214"/>
      <c r="PL26" s="214"/>
      <c r="PM26" s="214"/>
      <c r="PN26" s="214"/>
      <c r="PO26" s="214"/>
      <c r="PP26" s="214"/>
      <c r="PQ26" s="214"/>
      <c r="PR26" s="214"/>
      <c r="PS26" s="214"/>
      <c r="PT26" s="214"/>
      <c r="PU26" s="214"/>
      <c r="PV26" s="214"/>
      <c r="PW26" s="214"/>
      <c r="PX26" s="214"/>
      <c r="PY26" s="214"/>
      <c r="PZ26" s="214"/>
      <c r="QA26" s="214"/>
      <c r="QB26" s="214"/>
      <c r="QC26" s="214"/>
      <c r="QD26" s="214"/>
      <c r="QE26" s="214"/>
      <c r="QF26" s="214"/>
      <c r="QG26" s="214"/>
      <c r="QH26" s="214"/>
      <c r="QI26" s="214"/>
      <c r="QJ26" s="214"/>
      <c r="QK26" s="214"/>
      <c r="QL26" s="214"/>
      <c r="QM26" s="214"/>
      <c r="QN26" s="214"/>
      <c r="QO26" s="214"/>
      <c r="QP26" s="214"/>
      <c r="QQ26" s="214"/>
      <c r="QR26" s="214"/>
      <c r="QS26" s="214"/>
      <c r="QT26" s="214"/>
      <c r="QU26" s="214"/>
      <c r="QV26" s="214"/>
      <c r="QW26" s="214"/>
      <c r="QX26" s="214"/>
      <c r="QY26" s="214"/>
      <c r="QZ26" s="214"/>
      <c r="RA26" s="214"/>
      <c r="RB26" s="214"/>
      <c r="RC26" s="214"/>
      <c r="RD26" s="214"/>
      <c r="RE26" s="214"/>
      <c r="RF26" s="214"/>
      <c r="RG26" s="214"/>
      <c r="RH26" s="214"/>
      <c r="RI26" s="214"/>
      <c r="RJ26" s="214"/>
      <c r="RK26" s="214"/>
      <c r="RL26" s="214"/>
      <c r="RM26" s="214"/>
      <c r="RN26" s="214"/>
      <c r="RO26" s="214"/>
      <c r="RP26" s="214"/>
      <c r="RQ26" s="214"/>
      <c r="RR26" s="214"/>
      <c r="RS26" s="214"/>
      <c r="RT26" s="214"/>
      <c r="RU26" s="214"/>
      <c r="RV26" s="214"/>
      <c r="RW26" s="214"/>
      <c r="RX26" s="214"/>
      <c r="RY26" s="214"/>
      <c r="RZ26" s="214"/>
      <c r="SA26" s="214"/>
      <c r="SB26" s="214"/>
      <c r="SC26" s="214"/>
      <c r="SD26" s="214"/>
      <c r="SE26" s="214"/>
      <c r="SF26" s="214"/>
      <c r="SG26" s="214"/>
      <c r="SH26" s="214"/>
      <c r="SI26" s="214"/>
      <c r="SJ26" s="214"/>
      <c r="SK26" s="214"/>
      <c r="SL26" s="214"/>
      <c r="SM26" s="214"/>
      <c r="SN26" s="214"/>
      <c r="SO26" s="214"/>
      <c r="SP26" s="214"/>
      <c r="SQ26" s="214"/>
      <c r="SR26" s="214"/>
      <c r="SS26" s="214"/>
      <c r="ST26" s="214"/>
      <c r="SU26" s="214"/>
      <c r="SV26" s="214"/>
      <c r="SW26" s="214"/>
      <c r="SX26" s="214"/>
      <c r="SY26" s="214"/>
      <c r="SZ26" s="214"/>
      <c r="TA26" s="214"/>
      <c r="TB26" s="214"/>
      <c r="TC26" s="214"/>
      <c r="TD26" s="214"/>
      <c r="TE26" s="214"/>
      <c r="TF26" s="214"/>
      <c r="TG26" s="214"/>
      <c r="TH26" s="214"/>
      <c r="TI26" s="214"/>
      <c r="TJ26" s="214"/>
      <c r="TK26" s="214"/>
      <c r="TL26" s="214"/>
      <c r="TM26" s="214"/>
      <c r="TN26" s="214"/>
      <c r="TO26" s="214"/>
      <c r="TP26" s="214"/>
      <c r="TQ26" s="214"/>
      <c r="TR26" s="214"/>
      <c r="TS26" s="214"/>
      <c r="TT26" s="214"/>
      <c r="TU26" s="214"/>
      <c r="TV26" s="214"/>
      <c r="TW26" s="214"/>
      <c r="TX26" s="214"/>
      <c r="TY26" s="214"/>
      <c r="TZ26" s="214"/>
      <c r="UA26" s="214"/>
      <c r="UB26" s="214"/>
      <c r="UC26" s="214"/>
      <c r="UD26" s="214"/>
      <c r="UE26" s="214"/>
      <c r="UF26" s="214"/>
      <c r="UG26" s="214"/>
      <c r="UH26" s="214"/>
      <c r="UI26" s="214"/>
      <c r="UJ26" s="214"/>
      <c r="UK26" s="214"/>
      <c r="UL26" s="214"/>
      <c r="UM26" s="214"/>
      <c r="UN26" s="214"/>
      <c r="UO26" s="214"/>
      <c r="UP26" s="214"/>
      <c r="UQ26" s="214"/>
      <c r="UR26" s="214"/>
      <c r="US26" s="214"/>
      <c r="UT26" s="214"/>
      <c r="UU26" s="214"/>
      <c r="UV26" s="214"/>
      <c r="UW26" s="214"/>
      <c r="UX26" s="214"/>
      <c r="UY26" s="214"/>
      <c r="UZ26" s="214"/>
      <c r="VA26" s="214"/>
      <c r="VB26" s="214"/>
      <c r="VC26" s="214"/>
      <c r="VD26" s="214"/>
      <c r="VE26" s="214"/>
      <c r="VF26" s="214"/>
      <c r="VG26" s="214"/>
      <c r="VH26" s="214"/>
      <c r="VI26" s="214"/>
      <c r="VJ26" s="214"/>
      <c r="VK26" s="214"/>
      <c r="VL26" s="214"/>
      <c r="VM26" s="214"/>
      <c r="VN26" s="214"/>
      <c r="VO26" s="214"/>
      <c r="VP26" s="214"/>
      <c r="VQ26" s="214"/>
      <c r="VR26" s="214"/>
      <c r="VS26" s="214"/>
      <c r="VT26" s="214"/>
      <c r="VU26" s="214"/>
      <c r="VV26" s="214"/>
      <c r="VW26" s="214"/>
      <c r="VX26" s="214"/>
      <c r="VY26" s="214"/>
      <c r="VZ26" s="214"/>
      <c r="WA26" s="214"/>
      <c r="WB26" s="214"/>
      <c r="WC26" s="214"/>
      <c r="WD26" s="214"/>
      <c r="WE26" s="214"/>
      <c r="WF26" s="214"/>
      <c r="WG26" s="214"/>
      <c r="WH26" s="214"/>
      <c r="WI26" s="214"/>
      <c r="WJ26" s="214"/>
      <c r="WK26" s="214"/>
      <c r="WL26" s="214"/>
      <c r="WM26" s="214"/>
      <c r="WN26" s="214"/>
      <c r="WO26" s="214"/>
      <c r="WP26" s="214"/>
      <c r="WQ26" s="214"/>
      <c r="WR26" s="214"/>
      <c r="WS26" s="214"/>
      <c r="WT26" s="214"/>
      <c r="WU26" s="214"/>
      <c r="WV26" s="214"/>
      <c r="WW26" s="214"/>
      <c r="WX26" s="214"/>
      <c r="WY26" s="214"/>
      <c r="WZ26" s="214"/>
      <c r="XA26" s="214"/>
      <c r="XB26" s="214"/>
      <c r="XC26" s="214"/>
      <c r="XD26" s="214"/>
      <c r="XE26" s="214"/>
      <c r="XF26" s="214"/>
      <c r="XG26" s="214"/>
      <c r="XH26" s="214"/>
      <c r="XI26" s="214"/>
      <c r="XJ26" s="214"/>
      <c r="XK26" s="214"/>
      <c r="XL26" s="214"/>
      <c r="XM26" s="214"/>
      <c r="XN26" s="214"/>
      <c r="XO26" s="214"/>
      <c r="XP26" s="214"/>
      <c r="XQ26" s="214"/>
      <c r="XR26" s="214"/>
      <c r="XS26" s="214"/>
      <c r="XT26" s="214"/>
      <c r="XU26" s="214"/>
      <c r="XV26" s="214"/>
      <c r="XW26" s="214"/>
      <c r="XX26" s="214"/>
      <c r="XY26" s="214"/>
      <c r="XZ26" s="214"/>
      <c r="YA26" s="214"/>
      <c r="YB26" s="214"/>
      <c r="YC26" s="214"/>
      <c r="YD26" s="214"/>
      <c r="YE26" s="214"/>
      <c r="YF26" s="214"/>
      <c r="YG26" s="214"/>
      <c r="YH26" s="214"/>
      <c r="YI26" s="214"/>
      <c r="YJ26" s="214"/>
      <c r="YK26" s="214"/>
      <c r="YL26" s="214"/>
      <c r="YM26" s="214"/>
      <c r="YN26" s="214"/>
      <c r="YO26" s="214"/>
      <c r="YP26" s="214"/>
      <c r="YQ26" s="214"/>
      <c r="YR26" s="214"/>
      <c r="YS26" s="214"/>
      <c r="YT26" s="214"/>
      <c r="YU26" s="214"/>
      <c r="YV26" s="214"/>
      <c r="YW26" s="214"/>
      <c r="YX26" s="214"/>
      <c r="YY26" s="214"/>
      <c r="YZ26" s="214"/>
      <c r="ZA26" s="214"/>
      <c r="ZB26" s="214"/>
      <c r="ZC26" s="214"/>
      <c r="ZD26" s="214"/>
      <c r="ZE26" s="214"/>
      <c r="ZF26" s="214"/>
      <c r="ZG26" s="214"/>
      <c r="ZH26" s="214"/>
      <c r="ZI26" s="214"/>
      <c r="ZJ26" s="214"/>
      <c r="ZK26" s="214"/>
      <c r="ZL26" s="214"/>
      <c r="ZM26" s="214"/>
      <c r="ZN26" s="214"/>
      <c r="ZO26" s="214"/>
      <c r="ZP26" s="214"/>
      <c r="ZQ26" s="214"/>
      <c r="ZR26" s="214"/>
      <c r="ZS26" s="214"/>
      <c r="ZT26" s="214"/>
      <c r="ZU26" s="214"/>
      <c r="ZV26" s="214"/>
      <c r="ZW26" s="214"/>
      <c r="ZX26" s="214"/>
      <c r="ZY26" s="214"/>
      <c r="ZZ26" s="214"/>
      <c r="AAA26" s="214"/>
      <c r="AAB26" s="214"/>
      <c r="AAC26" s="214"/>
      <c r="AAD26" s="214"/>
      <c r="AAE26" s="214"/>
      <c r="AAF26" s="214"/>
      <c r="AAG26" s="214"/>
      <c r="AAH26" s="214"/>
      <c r="AAI26" s="214"/>
      <c r="AAJ26" s="214"/>
      <c r="AAK26" s="214"/>
      <c r="AAL26" s="214"/>
      <c r="AAM26" s="214"/>
      <c r="AAN26" s="214"/>
      <c r="AAO26" s="214"/>
      <c r="AAP26" s="214"/>
      <c r="AAQ26" s="214"/>
      <c r="AAR26" s="214"/>
      <c r="AAS26" s="214"/>
      <c r="AAT26" s="214"/>
      <c r="AAU26" s="214"/>
      <c r="AAV26" s="214"/>
      <c r="AAW26" s="214"/>
      <c r="AAX26" s="214"/>
      <c r="AAY26" s="214"/>
      <c r="AAZ26" s="214"/>
      <c r="ABA26" s="214"/>
      <c r="ABB26" s="214"/>
      <c r="ABC26" s="214"/>
      <c r="ABD26" s="214"/>
      <c r="ABE26" s="214"/>
      <c r="ABF26" s="214"/>
      <c r="ABG26" s="214"/>
      <c r="ABH26" s="214"/>
      <c r="ABI26" s="214"/>
      <c r="ABJ26" s="214"/>
      <c r="ABK26" s="214"/>
      <c r="ABL26" s="214"/>
      <c r="ABM26" s="214"/>
      <c r="ABN26" s="214"/>
      <c r="ABO26" s="214"/>
      <c r="ABP26" s="214"/>
      <c r="ABQ26" s="214"/>
      <c r="ABR26" s="214"/>
      <c r="ABS26" s="214"/>
      <c r="ABT26" s="214"/>
      <c r="ABU26" s="214"/>
      <c r="ABV26" s="214"/>
      <c r="ABW26" s="214"/>
      <c r="ABX26" s="214"/>
      <c r="ABY26" s="214"/>
      <c r="ABZ26" s="214"/>
      <c r="ACA26" s="214"/>
      <c r="ACB26" s="214"/>
      <c r="ACC26" s="214"/>
      <c r="ACD26" s="214"/>
      <c r="ACE26" s="214"/>
      <c r="ACF26" s="214"/>
      <c r="ACG26" s="214"/>
      <c r="ACH26" s="214"/>
      <c r="ACI26" s="214"/>
      <c r="ACJ26" s="214"/>
      <c r="ACK26" s="214"/>
      <c r="ACL26" s="214"/>
      <c r="ACM26" s="214"/>
      <c r="ACN26" s="214"/>
      <c r="ACO26" s="214"/>
      <c r="ACP26" s="214"/>
      <c r="ACQ26" s="214"/>
      <c r="ACR26" s="214"/>
      <c r="ACS26" s="214"/>
      <c r="ACT26" s="214"/>
      <c r="ACU26" s="214"/>
      <c r="ACV26" s="214"/>
      <c r="ACW26" s="214"/>
      <c r="ACX26" s="214"/>
      <c r="ACY26" s="214"/>
      <c r="ACZ26" s="214"/>
      <c r="ADA26" s="214"/>
      <c r="ADB26" s="214"/>
      <c r="ADC26" s="214"/>
      <c r="ADD26" s="214"/>
      <c r="ADE26" s="214"/>
      <c r="ADF26" s="214"/>
      <c r="ADG26" s="214"/>
      <c r="ADH26" s="214"/>
      <c r="ADI26" s="214"/>
      <c r="ADJ26" s="214"/>
      <c r="ADK26" s="214"/>
      <c r="ADL26" s="214"/>
      <c r="ADM26" s="214"/>
      <c r="ADN26" s="214"/>
      <c r="ADO26" s="214"/>
      <c r="ADP26" s="214"/>
      <c r="ADQ26" s="214"/>
      <c r="ADR26" s="214"/>
      <c r="ADS26" s="214"/>
      <c r="ADT26" s="214"/>
      <c r="ADU26" s="214"/>
      <c r="ADV26" s="214"/>
      <c r="ADW26" s="214"/>
      <c r="ADX26" s="214"/>
      <c r="ADY26" s="214"/>
      <c r="ADZ26" s="214"/>
      <c r="AEA26" s="214"/>
      <c r="AEB26" s="214"/>
      <c r="AEC26" s="214"/>
      <c r="AED26" s="214"/>
      <c r="AEE26" s="214"/>
      <c r="AEF26" s="214"/>
      <c r="AEG26" s="214"/>
      <c r="AEH26" s="214"/>
      <c r="AEI26" s="214"/>
      <c r="AEJ26" s="214"/>
      <c r="AEK26" s="214"/>
      <c r="AEL26" s="214"/>
      <c r="AEM26" s="214"/>
      <c r="AEN26" s="214"/>
      <c r="AEO26" s="214"/>
      <c r="AEP26" s="214"/>
      <c r="AEQ26" s="214"/>
      <c r="AER26" s="214"/>
      <c r="AES26" s="214"/>
      <c r="AET26" s="214"/>
      <c r="AEU26" s="214"/>
      <c r="AEV26" s="214"/>
      <c r="AEW26" s="214"/>
      <c r="AEX26" s="214"/>
      <c r="AEY26" s="214"/>
      <c r="AEZ26" s="214"/>
      <c r="AFA26" s="214"/>
      <c r="AFB26" s="214"/>
      <c r="AFC26" s="214"/>
      <c r="AFD26" s="214"/>
      <c r="AFE26" s="214"/>
      <c r="AFF26" s="214"/>
      <c r="AFG26" s="214"/>
      <c r="AFH26" s="214"/>
      <c r="AFI26" s="214"/>
      <c r="AFJ26" s="214"/>
      <c r="AFK26" s="214"/>
      <c r="AFL26" s="214"/>
      <c r="AFM26" s="214"/>
      <c r="AFN26" s="214"/>
      <c r="AFO26" s="214"/>
      <c r="AFP26" s="214"/>
      <c r="AFQ26" s="214"/>
      <c r="AFR26" s="214"/>
      <c r="AFS26" s="214"/>
      <c r="AFT26" s="214"/>
      <c r="AFU26" s="214"/>
      <c r="AFV26" s="214"/>
      <c r="AFW26" s="214"/>
      <c r="AFX26" s="214"/>
      <c r="AFY26" s="214"/>
      <c r="AFZ26" s="214"/>
      <c r="AGA26" s="214"/>
      <c r="AGB26" s="214"/>
      <c r="AGC26" s="214"/>
      <c r="AGD26" s="214"/>
      <c r="AGE26" s="214"/>
      <c r="AGF26" s="214"/>
      <c r="AGG26" s="214"/>
      <c r="AGH26" s="214"/>
      <c r="AGI26" s="214"/>
      <c r="AGJ26" s="214"/>
      <c r="AGK26" s="214"/>
      <c r="AGL26" s="214"/>
      <c r="AGM26" s="214"/>
      <c r="AGN26" s="214"/>
      <c r="AGO26" s="214"/>
      <c r="AGP26" s="214"/>
      <c r="AGQ26" s="214"/>
      <c r="AGR26" s="214"/>
      <c r="AGS26" s="214"/>
      <c r="AGT26" s="214"/>
      <c r="AGU26" s="214"/>
      <c r="AGV26" s="214"/>
      <c r="AGW26" s="214"/>
      <c r="AGX26" s="214"/>
      <c r="AGY26" s="214"/>
      <c r="AGZ26" s="214"/>
      <c r="AHA26" s="214"/>
      <c r="AHB26" s="214"/>
      <c r="AHC26" s="214"/>
      <c r="AHD26" s="214"/>
      <c r="AHE26" s="214"/>
      <c r="AHF26" s="214"/>
      <c r="AHG26" s="214"/>
      <c r="AHH26" s="214"/>
      <c r="AHI26" s="214"/>
      <c r="AHJ26" s="214"/>
      <c r="AHK26" s="214"/>
      <c r="AHL26" s="214"/>
      <c r="AHM26" s="214"/>
      <c r="AHN26" s="214"/>
      <c r="AHO26" s="214"/>
      <c r="AHP26" s="214"/>
      <c r="AHQ26" s="214"/>
      <c r="AHR26" s="214"/>
      <c r="AHS26" s="214"/>
      <c r="AHT26" s="214"/>
      <c r="AHU26" s="214"/>
      <c r="AHV26" s="214"/>
      <c r="AHW26" s="214"/>
      <c r="AHX26" s="214"/>
      <c r="AHY26" s="214"/>
      <c r="AHZ26" s="214"/>
      <c r="AIA26" s="214"/>
      <c r="AIB26" s="214"/>
      <c r="AIC26" s="214"/>
      <c r="AID26" s="214"/>
      <c r="AIE26" s="214"/>
      <c r="AIF26" s="214"/>
      <c r="AIG26" s="214"/>
      <c r="AIH26" s="214"/>
      <c r="AII26" s="214"/>
      <c r="AIJ26" s="214"/>
      <c r="AIK26" s="214"/>
      <c r="AIL26" s="214"/>
      <c r="AIM26" s="214"/>
      <c r="AIN26" s="214"/>
      <c r="AIO26" s="214"/>
      <c r="AIP26" s="214"/>
      <c r="AIQ26" s="214"/>
      <c r="AIR26" s="214"/>
      <c r="AIS26" s="214"/>
      <c r="AIT26" s="214"/>
      <c r="AIU26" s="214"/>
      <c r="AIV26" s="214"/>
      <c r="AIW26" s="214"/>
      <c r="AIX26" s="214"/>
      <c r="AIY26" s="214"/>
      <c r="AIZ26" s="214"/>
      <c r="AJA26" s="214"/>
      <c r="AJB26" s="214"/>
      <c r="AJC26" s="214"/>
      <c r="AJD26" s="214"/>
      <c r="AJE26" s="214"/>
      <c r="AJF26" s="214"/>
      <c r="AJG26" s="214"/>
      <c r="AJH26" s="214"/>
      <c r="AJI26" s="214"/>
      <c r="AJJ26" s="214"/>
      <c r="AJK26" s="214"/>
      <c r="AJL26" s="214"/>
      <c r="AJM26" s="214"/>
      <c r="AJN26" s="214"/>
      <c r="AJO26" s="214"/>
      <c r="AJP26" s="214"/>
      <c r="AJQ26" s="214"/>
      <c r="AJR26" s="214"/>
      <c r="AJS26" s="214"/>
      <c r="AJT26" s="214"/>
      <c r="AJU26" s="214"/>
      <c r="AJV26" s="214"/>
      <c r="AJW26" s="214"/>
      <c r="AJX26" s="214"/>
      <c r="AJY26" s="214"/>
      <c r="AJZ26" s="214"/>
      <c r="AKA26" s="214"/>
      <c r="AKB26" s="214"/>
      <c r="AKC26" s="214"/>
      <c r="AKD26" s="214"/>
      <c r="AKE26" s="214"/>
      <c r="AKF26" s="214"/>
      <c r="AKG26" s="214"/>
      <c r="AKH26" s="214"/>
      <c r="AKI26" s="214"/>
      <c r="AKJ26" s="214"/>
      <c r="AKK26" s="214"/>
      <c r="AKL26" s="214"/>
      <c r="AKM26" s="214"/>
      <c r="AKN26" s="214"/>
      <c r="AKO26" s="214"/>
      <c r="AKP26" s="214"/>
      <c r="AKQ26" s="214"/>
      <c r="AKR26" s="214"/>
      <c r="AKS26" s="214"/>
      <c r="AKT26" s="214"/>
      <c r="AKU26" s="214"/>
      <c r="AKV26" s="214"/>
      <c r="AKW26" s="214"/>
      <c r="AKX26" s="214"/>
      <c r="AKY26" s="214"/>
      <c r="AKZ26" s="214"/>
      <c r="ALA26" s="214"/>
      <c r="ALB26" s="214"/>
      <c r="ALC26" s="214"/>
      <c r="ALD26" s="214"/>
      <c r="ALE26" s="214"/>
      <c r="ALF26" s="214"/>
      <c r="ALG26" s="214"/>
      <c r="ALH26" s="214"/>
      <c r="ALI26" s="214"/>
      <c r="ALJ26" s="214"/>
      <c r="ALK26" s="214"/>
      <c r="ALL26" s="214"/>
      <c r="ALM26" s="214"/>
      <c r="ALN26" s="214"/>
      <c r="ALO26" s="214"/>
      <c r="ALP26" s="214"/>
      <c r="ALQ26" s="214"/>
      <c r="ALR26" s="214"/>
      <c r="ALS26" s="214"/>
      <c r="ALT26" s="214"/>
      <c r="ALU26" s="214"/>
      <c r="ALV26" s="214"/>
      <c r="ALW26" s="214"/>
      <c r="ALX26" s="214"/>
      <c r="ALY26" s="214"/>
      <c r="ALZ26" s="214"/>
      <c r="AMA26" s="214"/>
      <c r="AMB26" s="214"/>
      <c r="AMC26" s="214"/>
      <c r="AMD26" s="214"/>
      <c r="AME26" s="214"/>
      <c r="AMF26" s="214"/>
      <c r="AMG26" s="214"/>
      <c r="AMH26" s="214"/>
      <c r="AMI26" s="214"/>
      <c r="AMJ26" s="214"/>
      <c r="AMK26" s="214"/>
      <c r="AML26" s="214"/>
      <c r="AMM26" s="214"/>
      <c r="AMN26" s="214"/>
      <c r="AMO26" s="214"/>
      <c r="AMP26" s="214"/>
      <c r="AMQ26" s="214"/>
      <c r="AMR26" s="214"/>
      <c r="AMS26" s="214"/>
      <c r="AMT26" s="214"/>
      <c r="AMU26" s="214"/>
      <c r="AMV26" s="214"/>
      <c r="AMW26" s="214"/>
      <c r="AMX26" s="214"/>
      <c r="AMY26" s="214"/>
      <c r="AMZ26" s="214"/>
      <c r="ANA26" s="214"/>
      <c r="ANB26" s="214"/>
      <c r="ANC26" s="214"/>
      <c r="AND26" s="214"/>
      <c r="ANE26" s="214"/>
      <c r="ANF26" s="214"/>
      <c r="ANG26" s="214"/>
      <c r="ANH26" s="214"/>
      <c r="ANI26" s="214"/>
      <c r="ANJ26" s="214"/>
      <c r="ANK26" s="214"/>
      <c r="ANL26" s="214"/>
      <c r="ANM26" s="214"/>
      <c r="ANN26" s="214"/>
      <c r="ANO26" s="214"/>
      <c r="ANP26" s="214"/>
      <c r="ANQ26" s="214"/>
      <c r="ANR26" s="214"/>
      <c r="ANS26" s="214"/>
      <c r="ANT26" s="214"/>
      <c r="ANU26" s="214"/>
      <c r="ANV26" s="214"/>
      <c r="ANW26" s="214"/>
      <c r="ANX26" s="214"/>
      <c r="ANY26" s="214"/>
      <c r="ANZ26" s="214"/>
      <c r="AOA26" s="214"/>
      <c r="AOB26" s="214"/>
      <c r="AOC26" s="214"/>
      <c r="AOD26" s="214"/>
      <c r="AOE26" s="214"/>
      <c r="AOF26" s="214"/>
      <c r="AOG26" s="214"/>
      <c r="AOH26" s="214"/>
      <c r="AOI26" s="214"/>
      <c r="AOJ26" s="214"/>
      <c r="AOK26" s="214"/>
      <c r="AOL26" s="214"/>
      <c r="AOM26" s="214"/>
      <c r="AON26" s="214"/>
      <c r="AOO26" s="214"/>
      <c r="AOP26" s="214"/>
      <c r="AOQ26" s="214"/>
      <c r="AOR26" s="214"/>
      <c r="AOS26" s="214"/>
      <c r="AOT26" s="214"/>
      <c r="AOU26" s="214"/>
      <c r="AOV26" s="214"/>
      <c r="AOW26" s="214"/>
      <c r="AOX26" s="214"/>
      <c r="AOY26" s="214"/>
      <c r="AOZ26" s="214"/>
      <c r="APA26" s="214"/>
      <c r="APB26" s="214"/>
      <c r="APC26" s="214"/>
      <c r="APD26" s="214"/>
      <c r="APE26" s="214"/>
      <c r="APF26" s="214"/>
      <c r="APG26" s="214"/>
      <c r="APH26" s="214"/>
      <c r="API26" s="214"/>
      <c r="APJ26" s="214"/>
      <c r="APK26" s="214"/>
      <c r="APL26" s="214"/>
      <c r="APM26" s="214"/>
      <c r="APN26" s="214"/>
      <c r="APO26" s="214"/>
      <c r="APP26" s="214"/>
      <c r="APQ26" s="214"/>
      <c r="APR26" s="214"/>
      <c r="APS26" s="214"/>
      <c r="APT26" s="214"/>
      <c r="APU26" s="214"/>
      <c r="APV26" s="214"/>
      <c r="APW26" s="214"/>
      <c r="APX26" s="214"/>
      <c r="APY26" s="214"/>
      <c r="APZ26" s="214"/>
      <c r="AQA26" s="214"/>
      <c r="AQB26" s="214"/>
      <c r="AQC26" s="214"/>
      <c r="AQD26" s="214"/>
      <c r="AQE26" s="214"/>
      <c r="AQF26" s="214"/>
      <c r="AQG26" s="214"/>
      <c r="AQH26" s="214"/>
      <c r="AQI26" s="214"/>
      <c r="AQJ26" s="214"/>
      <c r="AQK26" s="214"/>
      <c r="AQL26" s="214"/>
      <c r="AQM26" s="214"/>
      <c r="AQN26" s="214"/>
      <c r="AQO26" s="214"/>
      <c r="AQP26" s="214"/>
      <c r="AQQ26" s="214"/>
      <c r="AQR26" s="214"/>
      <c r="AQS26" s="214"/>
      <c r="AQT26" s="214"/>
      <c r="AQU26" s="214"/>
      <c r="AQV26" s="214"/>
      <c r="AQW26" s="214"/>
      <c r="AQX26" s="214"/>
      <c r="AQY26" s="214"/>
      <c r="AQZ26" s="214"/>
      <c r="ARA26" s="214"/>
      <c r="ARB26" s="214"/>
      <c r="ARC26" s="214"/>
      <c r="ARD26" s="214"/>
      <c r="ARE26" s="214"/>
      <c r="ARF26" s="214"/>
      <c r="ARG26" s="214"/>
      <c r="ARH26" s="214"/>
      <c r="ARI26" s="214"/>
      <c r="ARJ26" s="214"/>
      <c r="ARK26" s="214"/>
      <c r="ARL26" s="214"/>
      <c r="ARM26" s="214"/>
      <c r="ARN26" s="214"/>
      <c r="ARO26" s="214"/>
      <c r="ARP26" s="214"/>
      <c r="ARQ26" s="214"/>
      <c r="ARR26" s="214"/>
      <c r="ARS26" s="214"/>
      <c r="ART26" s="214"/>
      <c r="ARU26" s="214"/>
      <c r="ARV26" s="214"/>
      <c r="ARW26" s="214"/>
      <c r="ARX26" s="214"/>
      <c r="ARY26" s="214"/>
      <c r="ARZ26" s="214"/>
      <c r="ASA26" s="214"/>
      <c r="ASB26" s="214"/>
      <c r="ASC26" s="214"/>
      <c r="ASD26" s="214"/>
      <c r="ASE26" s="214"/>
      <c r="ASF26" s="214"/>
      <c r="ASG26" s="214"/>
      <c r="ASH26" s="214"/>
      <c r="ASI26" s="214"/>
      <c r="ASJ26" s="214"/>
      <c r="ASK26" s="214"/>
      <c r="ASL26" s="214"/>
      <c r="ASM26" s="214"/>
      <c r="ASN26" s="214"/>
      <c r="ASO26" s="214"/>
      <c r="ASP26" s="214"/>
      <c r="ASQ26" s="214"/>
      <c r="ASR26" s="214"/>
      <c r="ASS26" s="214"/>
      <c r="AST26" s="214"/>
      <c r="ASU26" s="214"/>
      <c r="ASV26" s="214"/>
      <c r="ASW26" s="214"/>
      <c r="ASX26" s="214"/>
      <c r="ASY26" s="214"/>
      <c r="ASZ26" s="214"/>
      <c r="ATA26" s="214"/>
      <c r="ATB26" s="214"/>
      <c r="ATC26" s="214"/>
      <c r="ATD26" s="214"/>
      <c r="ATE26" s="214"/>
      <c r="ATF26" s="214"/>
      <c r="ATG26" s="214"/>
      <c r="ATH26" s="214"/>
      <c r="ATI26" s="214"/>
      <c r="ATJ26" s="214"/>
      <c r="ATK26" s="214"/>
      <c r="ATL26" s="214"/>
      <c r="ATM26" s="214"/>
      <c r="ATN26" s="214"/>
      <c r="ATO26" s="214"/>
      <c r="ATP26" s="214"/>
      <c r="ATQ26" s="214"/>
      <c r="ATR26" s="214"/>
      <c r="ATS26" s="214"/>
      <c r="ATT26" s="214"/>
      <c r="ATU26" s="214"/>
      <c r="ATV26" s="214"/>
      <c r="ATW26" s="214"/>
      <c r="ATX26" s="214"/>
      <c r="ATY26" s="214"/>
      <c r="ATZ26" s="214"/>
      <c r="AUA26" s="214"/>
      <c r="AUB26" s="214"/>
      <c r="AUC26" s="214"/>
      <c r="AUD26" s="214"/>
      <c r="AUE26" s="214"/>
      <c r="AUF26" s="214"/>
      <c r="AUG26" s="214"/>
      <c r="AUH26" s="214"/>
      <c r="AUI26" s="214"/>
      <c r="AUJ26" s="214"/>
      <c r="AUK26" s="214"/>
      <c r="AUL26" s="214"/>
      <c r="AUM26" s="214"/>
      <c r="AUN26" s="214"/>
      <c r="AUO26" s="214"/>
      <c r="AUP26" s="214"/>
      <c r="AUQ26" s="214"/>
      <c r="AUR26" s="214"/>
      <c r="AUS26" s="214"/>
      <c r="AUT26" s="214"/>
      <c r="AUU26" s="214"/>
      <c r="AUV26" s="214"/>
      <c r="AUW26" s="214"/>
      <c r="AUX26" s="214"/>
      <c r="AUY26" s="214"/>
      <c r="AUZ26" s="214"/>
      <c r="AVA26" s="214"/>
      <c r="AVB26" s="214"/>
      <c r="AVC26" s="214"/>
      <c r="AVD26" s="214"/>
      <c r="AVE26" s="214"/>
      <c r="AVF26" s="214"/>
      <c r="AVG26" s="214"/>
      <c r="AVH26" s="214"/>
      <c r="AVI26" s="214"/>
      <c r="AVJ26" s="214"/>
      <c r="AVK26" s="214"/>
      <c r="AVL26" s="214"/>
      <c r="AVM26" s="214"/>
      <c r="AVN26" s="214"/>
      <c r="AVO26" s="214"/>
      <c r="AVP26" s="214"/>
      <c r="AVQ26" s="214"/>
      <c r="AVR26" s="214"/>
      <c r="AVS26" s="214"/>
      <c r="AVT26" s="214"/>
      <c r="AVU26" s="214"/>
      <c r="AVV26" s="214"/>
      <c r="AVW26" s="214"/>
      <c r="AVX26" s="214"/>
      <c r="AVY26" s="214"/>
      <c r="AVZ26" s="214"/>
      <c r="AWA26" s="214"/>
      <c r="AWB26" s="214"/>
      <c r="AWC26" s="214"/>
      <c r="AWD26" s="214"/>
      <c r="AWE26" s="214"/>
      <c r="AWF26" s="214"/>
      <c r="AWG26" s="214"/>
      <c r="AWH26" s="214"/>
      <c r="AWI26" s="214"/>
      <c r="AWJ26" s="214"/>
      <c r="AWK26" s="214"/>
      <c r="AWL26" s="214"/>
      <c r="AWM26" s="214"/>
      <c r="AWN26" s="214"/>
      <c r="AWO26" s="214"/>
      <c r="AWP26" s="214"/>
      <c r="AWQ26" s="214"/>
      <c r="AWR26" s="214"/>
      <c r="AWS26" s="214"/>
      <c r="AWT26" s="214"/>
      <c r="AWU26" s="214"/>
      <c r="AWV26" s="214"/>
      <c r="AWW26" s="214"/>
      <c r="AWX26" s="214"/>
      <c r="AWY26" s="214"/>
      <c r="AWZ26" s="214"/>
      <c r="AXA26" s="214"/>
      <c r="AXB26" s="214"/>
      <c r="AXC26" s="214"/>
      <c r="AXD26" s="214"/>
      <c r="AXE26" s="214"/>
      <c r="AXF26" s="214"/>
      <c r="AXG26" s="214"/>
      <c r="AXH26" s="214"/>
      <c r="AXI26" s="214"/>
      <c r="AXJ26" s="214"/>
      <c r="AXK26" s="214"/>
      <c r="AXL26" s="214"/>
      <c r="AXM26" s="214"/>
      <c r="AXN26" s="214"/>
      <c r="AXO26" s="214"/>
      <c r="AXP26" s="214"/>
      <c r="AXQ26" s="214"/>
      <c r="AXR26" s="214"/>
      <c r="AXS26" s="214"/>
      <c r="AXT26" s="214"/>
      <c r="AXU26" s="214"/>
      <c r="AXV26" s="214"/>
      <c r="AXW26" s="214"/>
      <c r="AXX26" s="214"/>
      <c r="AXY26" s="214"/>
      <c r="AXZ26" s="214"/>
      <c r="AYA26" s="214"/>
      <c r="AYB26" s="214"/>
      <c r="AYC26" s="214"/>
      <c r="AYD26" s="214"/>
      <c r="AYE26" s="214"/>
      <c r="AYF26" s="214"/>
      <c r="AYG26" s="214"/>
      <c r="AYH26" s="214"/>
      <c r="AYI26" s="214"/>
      <c r="AYJ26" s="214"/>
      <c r="AYK26" s="214"/>
      <c r="AYL26" s="214"/>
      <c r="AYM26" s="214"/>
      <c r="AYN26" s="214"/>
      <c r="AYO26" s="214"/>
      <c r="AYP26" s="214"/>
      <c r="AYQ26" s="214"/>
      <c r="AYR26" s="214"/>
      <c r="AYS26" s="214"/>
      <c r="AYT26" s="214"/>
      <c r="AYU26" s="214"/>
      <c r="AYV26" s="214"/>
      <c r="AYW26" s="214"/>
      <c r="AYX26" s="214"/>
      <c r="AYY26" s="214"/>
      <c r="AYZ26" s="214"/>
      <c r="AZA26" s="214"/>
      <c r="AZB26" s="214"/>
      <c r="AZC26" s="214"/>
      <c r="AZD26" s="214"/>
      <c r="AZE26" s="214"/>
      <c r="AZF26" s="214"/>
      <c r="AZG26" s="214"/>
      <c r="AZH26" s="214"/>
      <c r="AZI26" s="214"/>
      <c r="AZJ26" s="214"/>
      <c r="AZK26" s="214"/>
      <c r="AZL26" s="214"/>
      <c r="AZM26" s="214"/>
      <c r="AZN26" s="214"/>
      <c r="AZO26" s="214"/>
      <c r="AZP26" s="214"/>
      <c r="AZQ26" s="214"/>
      <c r="AZR26" s="214"/>
      <c r="AZS26" s="214"/>
      <c r="AZT26" s="214"/>
      <c r="AZU26" s="214"/>
      <c r="AZV26" s="214"/>
      <c r="AZW26" s="214"/>
      <c r="AZX26" s="214"/>
      <c r="AZY26" s="214"/>
      <c r="AZZ26" s="214"/>
      <c r="BAA26" s="214"/>
      <c r="BAB26" s="214"/>
      <c r="BAC26" s="214"/>
      <c r="BAD26" s="214"/>
      <c r="BAE26" s="214"/>
      <c r="BAF26" s="214"/>
      <c r="BAG26" s="214"/>
      <c r="BAH26" s="214"/>
      <c r="BAI26" s="214"/>
      <c r="BAJ26" s="214"/>
      <c r="BAK26" s="214"/>
      <c r="BAL26" s="214"/>
      <c r="BAM26" s="214"/>
      <c r="BAN26" s="214"/>
      <c r="BAO26" s="214"/>
      <c r="BAP26" s="214"/>
      <c r="BAQ26" s="214"/>
      <c r="BAR26" s="214"/>
      <c r="BAS26" s="214"/>
      <c r="BAT26" s="214"/>
      <c r="BAU26" s="214"/>
      <c r="BAV26" s="214"/>
      <c r="BAW26" s="214"/>
      <c r="BAX26" s="214"/>
      <c r="BAY26" s="214"/>
      <c r="BAZ26" s="214"/>
      <c r="BBA26" s="214"/>
      <c r="BBB26" s="214"/>
      <c r="BBC26" s="214"/>
      <c r="BBD26" s="214"/>
      <c r="BBE26" s="214"/>
      <c r="BBF26" s="214"/>
      <c r="BBG26" s="214"/>
      <c r="BBH26" s="214"/>
      <c r="BBI26" s="214"/>
      <c r="BBJ26" s="214"/>
      <c r="BBK26" s="214"/>
      <c r="BBL26" s="214"/>
      <c r="BBM26" s="214"/>
      <c r="BBN26" s="214"/>
      <c r="BBO26" s="214"/>
      <c r="BBP26" s="214"/>
      <c r="BBQ26" s="214"/>
      <c r="BBR26" s="214"/>
      <c r="BBS26" s="214"/>
      <c r="BBT26" s="214"/>
      <c r="BBU26" s="214"/>
      <c r="BBV26" s="214"/>
      <c r="BBW26" s="214"/>
      <c r="BBX26" s="214"/>
      <c r="BBY26" s="214"/>
      <c r="BBZ26" s="214"/>
      <c r="BCA26" s="214"/>
      <c r="BCB26" s="214"/>
      <c r="BCC26" s="214"/>
      <c r="BCD26" s="214"/>
      <c r="BCE26" s="214"/>
      <c r="BCF26" s="214"/>
      <c r="BCG26" s="214"/>
      <c r="BCH26" s="214"/>
      <c r="BCI26" s="214"/>
      <c r="BCJ26" s="214"/>
      <c r="BCK26" s="214"/>
      <c r="BCL26" s="214"/>
      <c r="BCM26" s="214"/>
      <c r="BCN26" s="214"/>
      <c r="BCO26" s="214"/>
      <c r="BCP26" s="214"/>
      <c r="BCQ26" s="214"/>
      <c r="BCR26" s="214"/>
      <c r="BCS26" s="214"/>
      <c r="BCT26" s="214"/>
      <c r="BCU26" s="214"/>
      <c r="BCV26" s="214"/>
      <c r="BCW26" s="214"/>
      <c r="BCX26" s="214"/>
      <c r="BCY26" s="214"/>
      <c r="BCZ26" s="214"/>
      <c r="BDA26" s="214"/>
      <c r="BDB26" s="214"/>
      <c r="BDC26" s="214"/>
      <c r="BDD26" s="214"/>
      <c r="BDE26" s="214"/>
      <c r="BDF26" s="214"/>
      <c r="BDG26" s="214"/>
      <c r="BDH26" s="214"/>
      <c r="BDI26" s="214"/>
      <c r="BDJ26" s="214"/>
      <c r="BDK26" s="214"/>
      <c r="BDL26" s="214"/>
      <c r="BDM26" s="214"/>
      <c r="BDN26" s="214"/>
      <c r="BDO26" s="214"/>
      <c r="BDP26" s="214"/>
      <c r="BDQ26" s="214"/>
      <c r="BDR26" s="214"/>
      <c r="BDS26" s="214"/>
      <c r="BDT26" s="214"/>
      <c r="BDU26" s="214"/>
      <c r="BDV26" s="214"/>
      <c r="BDW26" s="214"/>
      <c r="BDX26" s="214"/>
      <c r="BDY26" s="214"/>
      <c r="BDZ26" s="214"/>
      <c r="BEA26" s="214"/>
      <c r="BEB26" s="214"/>
      <c r="BEC26" s="214"/>
      <c r="BED26" s="214"/>
      <c r="BEE26" s="214"/>
      <c r="BEF26" s="214"/>
      <c r="BEG26" s="214"/>
      <c r="BEH26" s="214"/>
      <c r="BEI26" s="214"/>
      <c r="BEJ26" s="214"/>
      <c r="BEK26" s="214"/>
      <c r="BEL26" s="214"/>
      <c r="BEM26" s="214"/>
      <c r="BEN26" s="214"/>
      <c r="BEO26" s="214"/>
      <c r="BEP26" s="214"/>
      <c r="BEQ26" s="214"/>
      <c r="BER26" s="214"/>
      <c r="BES26" s="214"/>
      <c r="BET26" s="214"/>
      <c r="BEU26" s="214"/>
      <c r="BEV26" s="214"/>
      <c r="BEW26" s="214"/>
      <c r="BEX26" s="214"/>
      <c r="BEY26" s="214"/>
      <c r="BEZ26" s="214"/>
      <c r="BFA26" s="214"/>
      <c r="BFB26" s="214"/>
      <c r="BFC26" s="214"/>
      <c r="BFD26" s="214"/>
      <c r="BFE26" s="214"/>
      <c r="BFF26" s="214"/>
      <c r="BFG26" s="214"/>
      <c r="BFH26" s="214"/>
      <c r="BFI26" s="214"/>
      <c r="BFJ26" s="214"/>
      <c r="BFK26" s="214"/>
      <c r="BFL26" s="214"/>
      <c r="BFM26" s="214"/>
      <c r="BFN26" s="214"/>
      <c r="BFO26" s="214"/>
      <c r="BFP26" s="214"/>
      <c r="BFQ26" s="214"/>
      <c r="BFR26" s="214"/>
      <c r="BFS26" s="214"/>
      <c r="BFT26" s="214"/>
      <c r="BFU26" s="214"/>
      <c r="BFV26" s="214"/>
      <c r="BFW26" s="214"/>
      <c r="BFX26" s="214"/>
      <c r="BFY26" s="214"/>
      <c r="BFZ26" s="214"/>
      <c r="BGA26" s="214"/>
      <c r="BGB26" s="214"/>
      <c r="BGC26" s="214"/>
      <c r="BGD26" s="214"/>
      <c r="BGE26" s="214"/>
      <c r="BGF26" s="214"/>
      <c r="BGG26" s="214"/>
      <c r="BGH26" s="214"/>
      <c r="BGI26" s="214"/>
      <c r="BGJ26" s="214"/>
      <c r="BGK26" s="214"/>
      <c r="BGL26" s="214"/>
      <c r="BGM26" s="214"/>
      <c r="BGN26" s="214"/>
      <c r="BGO26" s="214"/>
      <c r="BGP26" s="214"/>
      <c r="BGQ26" s="214"/>
      <c r="BGR26" s="214"/>
      <c r="BGS26" s="214"/>
      <c r="BGT26" s="214"/>
      <c r="BGU26" s="214"/>
      <c r="BGV26" s="214"/>
      <c r="BGW26" s="214"/>
      <c r="BGX26" s="214"/>
      <c r="BGY26" s="214"/>
      <c r="BGZ26" s="214"/>
      <c r="BHA26" s="214"/>
      <c r="BHB26" s="214"/>
      <c r="BHC26" s="214"/>
      <c r="BHD26" s="214"/>
      <c r="BHE26" s="214"/>
      <c r="BHF26" s="214"/>
      <c r="BHG26" s="214"/>
      <c r="BHH26" s="214"/>
      <c r="BHI26" s="214"/>
      <c r="BHJ26" s="214"/>
      <c r="BHK26" s="214"/>
      <c r="BHL26" s="214"/>
      <c r="BHM26" s="214"/>
      <c r="BHN26" s="214"/>
      <c r="BHO26" s="214"/>
      <c r="BHP26" s="214"/>
      <c r="BHQ26" s="214"/>
      <c r="BHR26" s="214"/>
      <c r="BHS26" s="214"/>
      <c r="BHT26" s="214"/>
      <c r="BHU26" s="214"/>
      <c r="BHV26" s="214"/>
      <c r="BHW26" s="214"/>
    </row>
    <row r="27" spans="1:1583" s="219" customFormat="1" ht="15.75" thickBot="1">
      <c r="A27" s="108"/>
      <c r="B27" s="294" t="s">
        <v>39</v>
      </c>
      <c r="C27" s="294"/>
      <c r="D27" s="294" t="s">
        <v>617</v>
      </c>
      <c r="E27" s="265" t="s">
        <v>9</v>
      </c>
      <c r="F27" s="137"/>
      <c r="G27" s="60" t="s">
        <v>681</v>
      </c>
      <c r="H27" s="473">
        <f t="shared" si="8"/>
        <v>1090.2157103397187</v>
      </c>
      <c r="I27" s="295">
        <f>MAX(I24-I25,I26)</f>
        <v>7.4886921169912313</v>
      </c>
      <c r="J27" s="437"/>
      <c r="K27" s="295">
        <f t="shared" ref="K27:AN27" si="13">MAX(K24-K25,K26)</f>
        <v>12.673381975939485</v>
      </c>
      <c r="L27" s="295">
        <f t="shared" si="13"/>
        <v>17.831055096696453</v>
      </c>
      <c r="M27" s="295">
        <f t="shared" si="13"/>
        <v>19.084478602193109</v>
      </c>
      <c r="N27" s="295">
        <f t="shared" si="13"/>
        <v>16.86416452743962</v>
      </c>
      <c r="O27" s="295">
        <f t="shared" si="13"/>
        <v>14.805949179325729</v>
      </c>
      <c r="P27" s="295">
        <f t="shared" si="13"/>
        <v>14.062885651055694</v>
      </c>
      <c r="Q27" s="295">
        <f t="shared" si="13"/>
        <v>14.282714589643383</v>
      </c>
      <c r="R27" s="295">
        <f t="shared" si="13"/>
        <v>13.141249379642986</v>
      </c>
      <c r="S27" s="295">
        <f t="shared" si="13"/>
        <v>12.919016771060157</v>
      </c>
      <c r="T27" s="295">
        <f t="shared" si="13"/>
        <v>13.145445227020488</v>
      </c>
      <c r="U27" s="295">
        <f t="shared" si="13"/>
        <v>13.651317505932212</v>
      </c>
      <c r="V27" s="295">
        <f t="shared" si="13"/>
        <v>12.177114660081344</v>
      </c>
      <c r="W27" s="295">
        <f t="shared" si="13"/>
        <v>13.040325922606378</v>
      </c>
      <c r="X27" s="295">
        <f t="shared" si="13"/>
        <v>35.954058779171739</v>
      </c>
      <c r="Y27" s="295">
        <f t="shared" si="13"/>
        <v>70.366009223805605</v>
      </c>
      <c r="Z27" s="295">
        <f t="shared" si="13"/>
        <v>117.71979631339615</v>
      </c>
      <c r="AA27" s="295">
        <f t="shared" si="13"/>
        <v>136.87464598497118</v>
      </c>
      <c r="AB27" s="295">
        <f t="shared" si="13"/>
        <v>139.82576103750262</v>
      </c>
      <c r="AC27" s="295">
        <f t="shared" si="13"/>
        <v>76.054794087456244</v>
      </c>
      <c r="AD27" s="295">
        <f t="shared" si="13"/>
        <v>36.896744498053984</v>
      </c>
      <c r="AE27" s="295">
        <f t="shared" si="13"/>
        <v>32.99624054027484</v>
      </c>
      <c r="AF27" s="295">
        <f t="shared" si="13"/>
        <v>32.996896406974528</v>
      </c>
      <c r="AG27" s="295">
        <f t="shared" si="13"/>
        <v>33.00000596191051</v>
      </c>
      <c r="AH27" s="295">
        <f t="shared" si="13"/>
        <v>32.998697459824641</v>
      </c>
      <c r="AI27" s="295">
        <f t="shared" si="13"/>
        <v>29.371403884961211</v>
      </c>
      <c r="AJ27" s="295">
        <f t="shared" si="13"/>
        <v>23.998979599054731</v>
      </c>
      <c r="AK27" s="295">
        <f t="shared" si="13"/>
        <v>23.996102398650567</v>
      </c>
      <c r="AL27" s="295">
        <f t="shared" si="13"/>
        <v>23.999714026969166</v>
      </c>
      <c r="AM27" s="295">
        <f t="shared" si="13"/>
        <v>23.998939269803877</v>
      </c>
      <c r="AN27" s="295">
        <f t="shared" si="13"/>
        <v>23.999129661309198</v>
      </c>
      <c r="AO27" s="218"/>
      <c r="AP27" s="218"/>
      <c r="AQ27" s="218"/>
      <c r="AR27" s="218"/>
      <c r="AS27" s="218"/>
      <c r="AT27" s="218"/>
      <c r="AU27" s="218"/>
      <c r="AV27" s="218"/>
      <c r="AW27" s="218"/>
      <c r="AX27" s="218"/>
      <c r="AY27" s="218"/>
      <c r="AZ27" s="218"/>
      <c r="BA27" s="218"/>
      <c r="BB27" s="218"/>
      <c r="BC27" s="218"/>
      <c r="BD27" s="218"/>
      <c r="BE27" s="218"/>
      <c r="BF27" s="218"/>
      <c r="BG27" s="218"/>
      <c r="BH27" s="218"/>
      <c r="BI27" s="218"/>
      <c r="BJ27" s="218"/>
      <c r="BK27" s="218"/>
      <c r="BL27" s="218"/>
      <c r="BM27" s="218"/>
      <c r="BN27" s="218"/>
      <c r="BO27" s="218"/>
      <c r="BP27" s="218"/>
      <c r="BQ27" s="218"/>
      <c r="BR27" s="218"/>
      <c r="BS27" s="218"/>
      <c r="BT27" s="218"/>
      <c r="BU27" s="218"/>
      <c r="BV27" s="218"/>
      <c r="BW27" s="218"/>
      <c r="BX27" s="218"/>
      <c r="BY27" s="218"/>
      <c r="BZ27" s="218"/>
      <c r="CA27" s="218"/>
      <c r="CB27" s="218"/>
      <c r="CC27" s="218"/>
      <c r="CD27" s="218"/>
      <c r="CE27" s="218"/>
      <c r="CF27" s="218"/>
      <c r="CG27" s="218"/>
      <c r="CH27" s="218"/>
      <c r="CI27" s="218"/>
      <c r="CJ27" s="218"/>
      <c r="CK27" s="218"/>
      <c r="CL27" s="218"/>
      <c r="CM27" s="218"/>
      <c r="CN27" s="218"/>
      <c r="CO27" s="218"/>
      <c r="CP27" s="218"/>
      <c r="CQ27" s="218"/>
      <c r="CR27" s="218"/>
      <c r="CS27" s="218"/>
      <c r="CT27" s="218"/>
      <c r="CU27" s="218"/>
      <c r="CV27" s="218"/>
      <c r="CW27" s="218"/>
      <c r="CX27" s="218"/>
      <c r="CY27" s="218"/>
      <c r="CZ27" s="218"/>
      <c r="DA27" s="218"/>
      <c r="DB27" s="218"/>
      <c r="DC27" s="218"/>
      <c r="DD27" s="218"/>
      <c r="DE27" s="218"/>
      <c r="DF27" s="218"/>
      <c r="DG27" s="218"/>
      <c r="DH27" s="218"/>
      <c r="DI27" s="218"/>
      <c r="DJ27" s="218"/>
      <c r="DK27" s="218"/>
      <c r="DL27" s="218"/>
      <c r="DM27" s="218"/>
      <c r="DN27" s="218"/>
      <c r="DO27" s="218"/>
      <c r="DP27" s="218"/>
      <c r="DQ27" s="218"/>
      <c r="DR27" s="218"/>
      <c r="DS27" s="218"/>
      <c r="DT27" s="218"/>
      <c r="DU27" s="218"/>
      <c r="DV27" s="218"/>
      <c r="DW27" s="218"/>
      <c r="DX27" s="218"/>
      <c r="DY27" s="218"/>
      <c r="DZ27" s="218"/>
      <c r="EA27" s="218"/>
      <c r="EB27" s="218"/>
      <c r="EC27" s="218"/>
      <c r="ED27" s="218"/>
      <c r="EE27" s="218"/>
      <c r="EF27" s="218"/>
      <c r="EG27" s="218"/>
      <c r="EH27" s="218"/>
      <c r="EI27" s="218"/>
      <c r="EJ27" s="218"/>
      <c r="EK27" s="218"/>
      <c r="EL27" s="218"/>
      <c r="EM27" s="218"/>
      <c r="EN27" s="218"/>
      <c r="EO27" s="218"/>
      <c r="EP27" s="218"/>
      <c r="EQ27" s="218"/>
      <c r="ER27" s="218"/>
      <c r="ES27" s="218"/>
      <c r="ET27" s="218"/>
      <c r="EU27" s="218"/>
      <c r="EV27" s="218"/>
      <c r="EW27" s="218"/>
      <c r="EX27" s="218"/>
      <c r="EY27" s="218"/>
      <c r="EZ27" s="218"/>
      <c r="FA27" s="218"/>
      <c r="FB27" s="218"/>
      <c r="FC27" s="218"/>
      <c r="FD27" s="218"/>
      <c r="FE27" s="218"/>
      <c r="FF27" s="218"/>
      <c r="FG27" s="218"/>
      <c r="FH27" s="218"/>
      <c r="FI27" s="218"/>
      <c r="FJ27" s="218"/>
      <c r="FK27" s="218"/>
      <c r="FL27" s="218"/>
      <c r="FM27" s="218"/>
      <c r="FN27" s="218"/>
      <c r="FO27" s="218"/>
      <c r="FP27" s="218"/>
      <c r="FQ27" s="218"/>
      <c r="FR27" s="218"/>
      <c r="FS27" s="218"/>
      <c r="FT27" s="218"/>
      <c r="FU27" s="218"/>
      <c r="FV27" s="218"/>
      <c r="FW27" s="218"/>
      <c r="FX27" s="218"/>
      <c r="FY27" s="218"/>
      <c r="FZ27" s="218"/>
      <c r="GA27" s="218"/>
      <c r="GB27" s="218"/>
      <c r="GC27" s="218"/>
      <c r="GD27" s="218"/>
      <c r="GE27" s="218"/>
      <c r="GF27" s="218"/>
      <c r="GG27" s="218"/>
      <c r="GH27" s="218"/>
      <c r="GI27" s="218"/>
      <c r="GJ27" s="218"/>
      <c r="GK27" s="218"/>
      <c r="GL27" s="218"/>
      <c r="GM27" s="218"/>
      <c r="GN27" s="218"/>
      <c r="GO27" s="218"/>
      <c r="GP27" s="218"/>
      <c r="GQ27" s="218"/>
      <c r="GR27" s="218"/>
      <c r="GS27" s="218"/>
      <c r="GT27" s="218"/>
      <c r="GU27" s="218"/>
      <c r="GV27" s="218"/>
      <c r="GW27" s="218"/>
      <c r="GX27" s="218"/>
      <c r="GY27" s="218"/>
      <c r="GZ27" s="218"/>
      <c r="HA27" s="218"/>
      <c r="HB27" s="218"/>
      <c r="HC27" s="218"/>
      <c r="HD27" s="218"/>
      <c r="HE27" s="218"/>
      <c r="HF27" s="218"/>
      <c r="HG27" s="218"/>
      <c r="HH27" s="218"/>
      <c r="HI27" s="218"/>
      <c r="HJ27" s="218"/>
      <c r="HK27" s="218"/>
      <c r="HL27" s="218"/>
      <c r="HM27" s="218"/>
      <c r="HN27" s="218"/>
      <c r="HO27" s="218"/>
      <c r="HP27" s="218"/>
      <c r="HQ27" s="218"/>
      <c r="HR27" s="218"/>
      <c r="HS27" s="218"/>
      <c r="HT27" s="218"/>
      <c r="HU27" s="218"/>
      <c r="HV27" s="218"/>
      <c r="HW27" s="218"/>
      <c r="HX27" s="218"/>
      <c r="HY27" s="218"/>
      <c r="HZ27" s="218"/>
      <c r="IA27" s="218"/>
      <c r="IB27" s="218"/>
      <c r="IC27" s="218"/>
      <c r="ID27" s="218"/>
      <c r="IE27" s="218"/>
      <c r="IF27" s="218"/>
      <c r="IG27" s="218"/>
      <c r="IH27" s="218"/>
      <c r="II27" s="218"/>
      <c r="IJ27" s="218"/>
      <c r="IK27" s="218"/>
      <c r="IL27" s="218"/>
      <c r="IM27" s="218"/>
      <c r="IN27" s="218"/>
      <c r="IO27" s="218"/>
      <c r="IP27" s="218"/>
      <c r="IQ27" s="218"/>
      <c r="IR27" s="218"/>
      <c r="IS27" s="218"/>
      <c r="IT27" s="218"/>
      <c r="IU27" s="218"/>
      <c r="IV27" s="218"/>
      <c r="IW27" s="218"/>
      <c r="IX27" s="218"/>
      <c r="IY27" s="218"/>
      <c r="IZ27" s="218"/>
      <c r="JA27" s="218"/>
      <c r="JB27" s="218"/>
      <c r="JC27" s="218"/>
      <c r="JD27" s="218"/>
      <c r="JE27" s="218"/>
      <c r="JF27" s="218"/>
      <c r="JG27" s="218"/>
      <c r="JH27" s="218"/>
      <c r="JI27" s="218"/>
      <c r="JJ27" s="218"/>
      <c r="JK27" s="218"/>
      <c r="JL27" s="218"/>
      <c r="JM27" s="218"/>
      <c r="JN27" s="218"/>
      <c r="JO27" s="218"/>
      <c r="JP27" s="218"/>
      <c r="JQ27" s="218"/>
      <c r="JR27" s="218"/>
      <c r="JS27" s="218"/>
      <c r="JT27" s="218"/>
      <c r="JU27" s="218"/>
      <c r="JV27" s="218"/>
      <c r="JW27" s="218"/>
      <c r="JX27" s="218"/>
      <c r="JY27" s="218"/>
      <c r="JZ27" s="218"/>
      <c r="KA27" s="218"/>
      <c r="KB27" s="218"/>
      <c r="KC27" s="218"/>
      <c r="KD27" s="218"/>
      <c r="KE27" s="218"/>
      <c r="KF27" s="218"/>
      <c r="KG27" s="218"/>
      <c r="KH27" s="218"/>
      <c r="KI27" s="218"/>
      <c r="KJ27" s="218"/>
      <c r="KK27" s="218"/>
      <c r="KL27" s="218"/>
      <c r="KM27" s="218"/>
      <c r="KN27" s="218"/>
      <c r="KO27" s="218"/>
      <c r="KP27" s="218"/>
      <c r="KQ27" s="218"/>
      <c r="KR27" s="218"/>
      <c r="KS27" s="218"/>
      <c r="KT27" s="218"/>
      <c r="KU27" s="218"/>
      <c r="KV27" s="218"/>
      <c r="KW27" s="218"/>
      <c r="KX27" s="218"/>
      <c r="KY27" s="218"/>
      <c r="KZ27" s="218"/>
      <c r="LA27" s="218"/>
      <c r="LB27" s="218"/>
      <c r="LC27" s="218"/>
      <c r="LD27" s="218"/>
      <c r="LE27" s="218"/>
      <c r="LF27" s="218"/>
      <c r="LG27" s="218"/>
      <c r="LH27" s="218"/>
      <c r="LI27" s="218"/>
      <c r="LJ27" s="218"/>
      <c r="LK27" s="218"/>
      <c r="LL27" s="218"/>
      <c r="LM27" s="218"/>
      <c r="LN27" s="218"/>
      <c r="LO27" s="218"/>
      <c r="LP27" s="218"/>
      <c r="LQ27" s="218"/>
      <c r="LR27" s="218"/>
      <c r="LS27" s="218"/>
      <c r="LT27" s="218"/>
      <c r="LU27" s="218"/>
      <c r="LV27" s="218"/>
      <c r="LW27" s="218"/>
      <c r="LX27" s="218"/>
      <c r="LY27" s="218"/>
      <c r="LZ27" s="218"/>
      <c r="MA27" s="218"/>
      <c r="MB27" s="218"/>
      <c r="MC27" s="218"/>
      <c r="MD27" s="218"/>
      <c r="ME27" s="218"/>
      <c r="MF27" s="218"/>
      <c r="MG27" s="218"/>
      <c r="MH27" s="218"/>
      <c r="MI27" s="218"/>
      <c r="MJ27" s="218"/>
      <c r="MK27" s="218"/>
      <c r="ML27" s="218"/>
      <c r="MM27" s="218"/>
      <c r="MN27" s="218"/>
      <c r="MO27" s="218"/>
      <c r="MP27" s="218"/>
      <c r="MQ27" s="218"/>
      <c r="MR27" s="218"/>
      <c r="MS27" s="218"/>
      <c r="MT27" s="218"/>
      <c r="MU27" s="218"/>
      <c r="MV27" s="218"/>
      <c r="MW27" s="218"/>
      <c r="MX27" s="218"/>
      <c r="MY27" s="218"/>
      <c r="MZ27" s="218"/>
      <c r="NA27" s="218"/>
      <c r="NB27" s="218"/>
      <c r="NC27" s="218"/>
      <c r="ND27" s="218"/>
      <c r="NE27" s="218"/>
      <c r="NF27" s="218"/>
      <c r="NG27" s="218"/>
      <c r="NH27" s="218"/>
      <c r="NI27" s="218"/>
      <c r="NJ27" s="218"/>
      <c r="NK27" s="218"/>
      <c r="NL27" s="218"/>
      <c r="NM27" s="218"/>
      <c r="NN27" s="218"/>
      <c r="NO27" s="218"/>
      <c r="NP27" s="218"/>
      <c r="NQ27" s="218"/>
      <c r="NR27" s="218"/>
      <c r="NS27" s="218"/>
      <c r="NT27" s="218"/>
      <c r="NU27" s="218"/>
      <c r="NV27" s="218"/>
      <c r="NW27" s="218"/>
      <c r="NX27" s="218"/>
      <c r="NY27" s="218"/>
      <c r="NZ27" s="218"/>
      <c r="OA27" s="218"/>
      <c r="OB27" s="218"/>
      <c r="OC27" s="218"/>
      <c r="OD27" s="218"/>
      <c r="OE27" s="218"/>
      <c r="OF27" s="218"/>
      <c r="OG27" s="218"/>
      <c r="OH27" s="218"/>
      <c r="OI27" s="218"/>
      <c r="OJ27" s="218"/>
      <c r="OK27" s="218"/>
      <c r="OL27" s="218"/>
      <c r="OM27" s="218"/>
      <c r="ON27" s="218"/>
      <c r="OO27" s="218"/>
      <c r="OP27" s="218"/>
      <c r="OQ27" s="218"/>
      <c r="OR27" s="218"/>
      <c r="OS27" s="218"/>
      <c r="OT27" s="218"/>
      <c r="OU27" s="218"/>
      <c r="OV27" s="218"/>
      <c r="OW27" s="218"/>
      <c r="OX27" s="218"/>
      <c r="OY27" s="218"/>
      <c r="OZ27" s="218"/>
      <c r="PA27" s="218"/>
      <c r="PB27" s="218"/>
      <c r="PC27" s="218"/>
      <c r="PD27" s="218"/>
      <c r="PE27" s="218"/>
      <c r="PF27" s="218"/>
      <c r="PG27" s="218"/>
      <c r="PH27" s="218"/>
      <c r="PI27" s="218"/>
      <c r="PJ27" s="218"/>
      <c r="PK27" s="218"/>
      <c r="PL27" s="218"/>
      <c r="PM27" s="218"/>
      <c r="PN27" s="218"/>
      <c r="PO27" s="218"/>
      <c r="PP27" s="218"/>
      <c r="PQ27" s="218"/>
      <c r="PR27" s="218"/>
      <c r="PS27" s="218"/>
      <c r="PT27" s="218"/>
      <c r="PU27" s="218"/>
      <c r="PV27" s="218"/>
      <c r="PW27" s="218"/>
      <c r="PX27" s="218"/>
      <c r="PY27" s="218"/>
      <c r="PZ27" s="218"/>
      <c r="QA27" s="218"/>
      <c r="QB27" s="218"/>
      <c r="QC27" s="218"/>
      <c r="QD27" s="218"/>
      <c r="QE27" s="218"/>
      <c r="QF27" s="218"/>
      <c r="QG27" s="218"/>
      <c r="QH27" s="218"/>
      <c r="QI27" s="218"/>
      <c r="QJ27" s="218"/>
      <c r="QK27" s="218"/>
      <c r="QL27" s="218"/>
      <c r="QM27" s="218"/>
      <c r="QN27" s="218"/>
      <c r="QO27" s="218"/>
      <c r="QP27" s="218"/>
      <c r="QQ27" s="218"/>
      <c r="QR27" s="218"/>
      <c r="QS27" s="218"/>
      <c r="QT27" s="218"/>
      <c r="QU27" s="218"/>
      <c r="QV27" s="218"/>
      <c r="QW27" s="218"/>
      <c r="QX27" s="218"/>
      <c r="QY27" s="218"/>
      <c r="QZ27" s="218"/>
      <c r="RA27" s="218"/>
      <c r="RB27" s="218"/>
      <c r="RC27" s="218"/>
      <c r="RD27" s="218"/>
      <c r="RE27" s="218"/>
      <c r="RF27" s="218"/>
      <c r="RG27" s="218"/>
      <c r="RH27" s="218"/>
      <c r="RI27" s="218"/>
      <c r="RJ27" s="218"/>
      <c r="RK27" s="218"/>
      <c r="RL27" s="218"/>
      <c r="RM27" s="218"/>
      <c r="RN27" s="218"/>
      <c r="RO27" s="218"/>
      <c r="RP27" s="218"/>
      <c r="RQ27" s="218"/>
      <c r="RR27" s="218"/>
      <c r="RS27" s="218"/>
      <c r="RT27" s="218"/>
      <c r="RU27" s="218"/>
      <c r="RV27" s="218"/>
      <c r="RW27" s="218"/>
      <c r="RX27" s="218"/>
      <c r="RY27" s="218"/>
      <c r="RZ27" s="218"/>
      <c r="SA27" s="218"/>
      <c r="SB27" s="218"/>
      <c r="SC27" s="218"/>
      <c r="SD27" s="218"/>
      <c r="SE27" s="218"/>
      <c r="SF27" s="218"/>
      <c r="SG27" s="218"/>
      <c r="SH27" s="218"/>
      <c r="SI27" s="218"/>
      <c r="SJ27" s="218"/>
      <c r="SK27" s="218"/>
      <c r="SL27" s="218"/>
      <c r="SM27" s="218"/>
      <c r="SN27" s="218"/>
      <c r="SO27" s="218"/>
      <c r="SP27" s="218"/>
      <c r="SQ27" s="218"/>
      <c r="SR27" s="218"/>
      <c r="SS27" s="218"/>
      <c r="ST27" s="218"/>
      <c r="SU27" s="218"/>
      <c r="SV27" s="218"/>
      <c r="SW27" s="218"/>
      <c r="SX27" s="218"/>
      <c r="SY27" s="218"/>
      <c r="SZ27" s="218"/>
      <c r="TA27" s="218"/>
      <c r="TB27" s="218"/>
      <c r="TC27" s="218"/>
      <c r="TD27" s="218"/>
      <c r="TE27" s="218"/>
      <c r="TF27" s="218"/>
      <c r="TG27" s="218"/>
      <c r="TH27" s="218"/>
      <c r="TI27" s="218"/>
      <c r="TJ27" s="218"/>
      <c r="TK27" s="218"/>
      <c r="TL27" s="218"/>
      <c r="TM27" s="218"/>
      <c r="TN27" s="218"/>
      <c r="TO27" s="218"/>
      <c r="TP27" s="218"/>
      <c r="TQ27" s="218"/>
      <c r="TR27" s="218"/>
      <c r="TS27" s="218"/>
      <c r="TT27" s="218"/>
      <c r="TU27" s="218"/>
      <c r="TV27" s="218"/>
      <c r="TW27" s="218"/>
      <c r="TX27" s="218"/>
      <c r="TY27" s="218"/>
      <c r="TZ27" s="218"/>
      <c r="UA27" s="218"/>
      <c r="UB27" s="218"/>
      <c r="UC27" s="218"/>
      <c r="UD27" s="218"/>
      <c r="UE27" s="218"/>
      <c r="UF27" s="218"/>
      <c r="UG27" s="218"/>
      <c r="UH27" s="218"/>
      <c r="UI27" s="218"/>
      <c r="UJ27" s="218"/>
      <c r="UK27" s="218"/>
      <c r="UL27" s="218"/>
      <c r="UM27" s="218"/>
      <c r="UN27" s="218"/>
      <c r="UO27" s="218"/>
      <c r="UP27" s="218"/>
      <c r="UQ27" s="218"/>
      <c r="UR27" s="218"/>
      <c r="US27" s="218"/>
      <c r="UT27" s="218"/>
      <c r="UU27" s="218"/>
      <c r="UV27" s="218"/>
      <c r="UW27" s="218"/>
      <c r="UX27" s="218"/>
      <c r="UY27" s="218"/>
      <c r="UZ27" s="218"/>
      <c r="VA27" s="218"/>
      <c r="VB27" s="218"/>
      <c r="VC27" s="218"/>
      <c r="VD27" s="218"/>
      <c r="VE27" s="218"/>
      <c r="VF27" s="218"/>
      <c r="VG27" s="218"/>
      <c r="VH27" s="218"/>
      <c r="VI27" s="218"/>
      <c r="VJ27" s="218"/>
      <c r="VK27" s="218"/>
      <c r="VL27" s="218"/>
      <c r="VM27" s="218"/>
      <c r="VN27" s="218"/>
      <c r="VO27" s="218"/>
      <c r="VP27" s="218"/>
      <c r="VQ27" s="218"/>
      <c r="VR27" s="218"/>
      <c r="VS27" s="218"/>
      <c r="VT27" s="218"/>
      <c r="VU27" s="218"/>
      <c r="VV27" s="218"/>
      <c r="VW27" s="218"/>
      <c r="VX27" s="218"/>
      <c r="VY27" s="218"/>
      <c r="VZ27" s="218"/>
      <c r="WA27" s="218"/>
      <c r="WB27" s="218"/>
      <c r="WC27" s="218"/>
      <c r="WD27" s="218"/>
      <c r="WE27" s="218"/>
      <c r="WF27" s="218"/>
      <c r="WG27" s="218"/>
      <c r="WH27" s="218"/>
      <c r="WI27" s="218"/>
      <c r="WJ27" s="218"/>
      <c r="WK27" s="218"/>
      <c r="WL27" s="218"/>
      <c r="WM27" s="218"/>
      <c r="WN27" s="218"/>
      <c r="WO27" s="218"/>
      <c r="WP27" s="218"/>
      <c r="WQ27" s="218"/>
      <c r="WR27" s="218"/>
      <c r="WS27" s="218"/>
      <c r="WT27" s="218"/>
      <c r="WU27" s="218"/>
      <c r="WV27" s="218"/>
      <c r="WW27" s="218"/>
      <c r="WX27" s="218"/>
      <c r="WY27" s="218"/>
      <c r="WZ27" s="218"/>
      <c r="XA27" s="218"/>
      <c r="XB27" s="218"/>
      <c r="XC27" s="218"/>
      <c r="XD27" s="218"/>
      <c r="XE27" s="218"/>
      <c r="XF27" s="218"/>
      <c r="XG27" s="218"/>
      <c r="XH27" s="218"/>
      <c r="XI27" s="218"/>
      <c r="XJ27" s="218"/>
      <c r="XK27" s="218"/>
      <c r="XL27" s="218"/>
      <c r="XM27" s="218"/>
      <c r="XN27" s="218"/>
      <c r="XO27" s="218"/>
      <c r="XP27" s="218"/>
      <c r="XQ27" s="218"/>
      <c r="XR27" s="218"/>
      <c r="XS27" s="218"/>
      <c r="XT27" s="218"/>
      <c r="XU27" s="218"/>
      <c r="XV27" s="218"/>
      <c r="XW27" s="218"/>
      <c r="XX27" s="218"/>
      <c r="XY27" s="218"/>
      <c r="XZ27" s="218"/>
      <c r="YA27" s="218"/>
      <c r="YB27" s="218"/>
      <c r="YC27" s="218"/>
      <c r="YD27" s="218"/>
      <c r="YE27" s="218"/>
      <c r="YF27" s="218"/>
      <c r="YG27" s="218"/>
      <c r="YH27" s="218"/>
      <c r="YI27" s="218"/>
      <c r="YJ27" s="218"/>
      <c r="YK27" s="218"/>
      <c r="YL27" s="218"/>
      <c r="YM27" s="218"/>
      <c r="YN27" s="218"/>
      <c r="YO27" s="218"/>
      <c r="YP27" s="218"/>
      <c r="YQ27" s="218"/>
      <c r="YR27" s="218"/>
      <c r="YS27" s="218"/>
      <c r="YT27" s="218"/>
      <c r="YU27" s="218"/>
      <c r="YV27" s="218"/>
      <c r="YW27" s="218"/>
      <c r="YX27" s="218"/>
      <c r="YY27" s="218"/>
      <c r="YZ27" s="218"/>
      <c r="ZA27" s="218"/>
      <c r="ZB27" s="218"/>
      <c r="ZC27" s="218"/>
      <c r="ZD27" s="218"/>
      <c r="ZE27" s="218"/>
      <c r="ZF27" s="218"/>
      <c r="ZG27" s="218"/>
      <c r="ZH27" s="218"/>
      <c r="ZI27" s="218"/>
      <c r="ZJ27" s="218"/>
      <c r="ZK27" s="218"/>
      <c r="ZL27" s="218"/>
      <c r="ZM27" s="218"/>
      <c r="ZN27" s="218"/>
      <c r="ZO27" s="218"/>
      <c r="ZP27" s="218"/>
      <c r="ZQ27" s="218"/>
      <c r="ZR27" s="218"/>
      <c r="ZS27" s="218"/>
      <c r="ZT27" s="218"/>
      <c r="ZU27" s="218"/>
      <c r="ZV27" s="218"/>
      <c r="ZW27" s="218"/>
      <c r="ZX27" s="218"/>
      <c r="ZY27" s="218"/>
      <c r="ZZ27" s="218"/>
      <c r="AAA27" s="218"/>
      <c r="AAB27" s="218"/>
      <c r="AAC27" s="218"/>
      <c r="AAD27" s="218"/>
      <c r="AAE27" s="218"/>
      <c r="AAF27" s="218"/>
      <c r="AAG27" s="218"/>
      <c r="AAH27" s="218"/>
      <c r="AAI27" s="218"/>
      <c r="AAJ27" s="218"/>
      <c r="AAK27" s="218"/>
      <c r="AAL27" s="218"/>
      <c r="AAM27" s="218"/>
      <c r="AAN27" s="218"/>
      <c r="AAO27" s="218"/>
      <c r="AAP27" s="218"/>
      <c r="AAQ27" s="218"/>
      <c r="AAR27" s="218"/>
      <c r="AAS27" s="218"/>
      <c r="AAT27" s="218"/>
      <c r="AAU27" s="218"/>
      <c r="AAV27" s="218"/>
      <c r="AAW27" s="218"/>
      <c r="AAX27" s="218"/>
      <c r="AAY27" s="218"/>
      <c r="AAZ27" s="218"/>
      <c r="ABA27" s="218"/>
      <c r="ABB27" s="218"/>
      <c r="ABC27" s="218"/>
      <c r="ABD27" s="218"/>
      <c r="ABE27" s="218"/>
      <c r="ABF27" s="218"/>
      <c r="ABG27" s="218"/>
      <c r="ABH27" s="218"/>
      <c r="ABI27" s="218"/>
      <c r="ABJ27" s="218"/>
      <c r="ABK27" s="218"/>
      <c r="ABL27" s="218"/>
      <c r="ABM27" s="218"/>
      <c r="ABN27" s="218"/>
      <c r="ABO27" s="218"/>
      <c r="ABP27" s="218"/>
      <c r="ABQ27" s="218"/>
      <c r="ABR27" s="218"/>
      <c r="ABS27" s="218"/>
      <c r="ABT27" s="218"/>
      <c r="ABU27" s="218"/>
      <c r="ABV27" s="218"/>
      <c r="ABW27" s="218"/>
      <c r="ABX27" s="218"/>
      <c r="ABY27" s="218"/>
      <c r="ABZ27" s="218"/>
      <c r="ACA27" s="218"/>
      <c r="ACB27" s="218"/>
      <c r="ACC27" s="218"/>
      <c r="ACD27" s="218"/>
      <c r="ACE27" s="218"/>
      <c r="ACF27" s="218"/>
      <c r="ACG27" s="218"/>
      <c r="ACH27" s="218"/>
      <c r="ACI27" s="218"/>
      <c r="ACJ27" s="218"/>
      <c r="ACK27" s="218"/>
      <c r="ACL27" s="218"/>
      <c r="ACM27" s="218"/>
      <c r="ACN27" s="218"/>
      <c r="ACO27" s="218"/>
      <c r="ACP27" s="218"/>
      <c r="ACQ27" s="218"/>
      <c r="ACR27" s="218"/>
      <c r="ACS27" s="218"/>
      <c r="ACT27" s="218"/>
      <c r="ACU27" s="218"/>
      <c r="ACV27" s="218"/>
      <c r="ACW27" s="218"/>
      <c r="ACX27" s="218"/>
      <c r="ACY27" s="218"/>
      <c r="ACZ27" s="218"/>
      <c r="ADA27" s="218"/>
      <c r="ADB27" s="218"/>
      <c r="ADC27" s="218"/>
      <c r="ADD27" s="218"/>
      <c r="ADE27" s="218"/>
      <c r="ADF27" s="218"/>
      <c r="ADG27" s="218"/>
      <c r="ADH27" s="218"/>
      <c r="ADI27" s="218"/>
      <c r="ADJ27" s="218"/>
      <c r="ADK27" s="218"/>
      <c r="ADL27" s="218"/>
      <c r="ADM27" s="218"/>
      <c r="ADN27" s="218"/>
      <c r="ADO27" s="218"/>
      <c r="ADP27" s="218"/>
      <c r="ADQ27" s="218"/>
      <c r="ADR27" s="218"/>
      <c r="ADS27" s="218"/>
      <c r="ADT27" s="218"/>
      <c r="ADU27" s="218"/>
      <c r="ADV27" s="218"/>
      <c r="ADW27" s="218"/>
      <c r="ADX27" s="218"/>
      <c r="ADY27" s="218"/>
      <c r="ADZ27" s="218"/>
      <c r="AEA27" s="218"/>
      <c r="AEB27" s="218"/>
      <c r="AEC27" s="218"/>
      <c r="AED27" s="218"/>
      <c r="AEE27" s="218"/>
      <c r="AEF27" s="218"/>
      <c r="AEG27" s="218"/>
      <c r="AEH27" s="218"/>
      <c r="AEI27" s="218"/>
      <c r="AEJ27" s="218"/>
      <c r="AEK27" s="218"/>
      <c r="AEL27" s="218"/>
      <c r="AEM27" s="218"/>
      <c r="AEN27" s="218"/>
      <c r="AEO27" s="218"/>
      <c r="AEP27" s="218"/>
      <c r="AEQ27" s="218"/>
      <c r="AER27" s="218"/>
      <c r="AES27" s="218"/>
      <c r="AET27" s="218"/>
      <c r="AEU27" s="218"/>
      <c r="AEV27" s="218"/>
      <c r="AEW27" s="218"/>
      <c r="AEX27" s="218"/>
      <c r="AEY27" s="218"/>
      <c r="AEZ27" s="218"/>
      <c r="AFA27" s="218"/>
      <c r="AFB27" s="218"/>
      <c r="AFC27" s="218"/>
      <c r="AFD27" s="218"/>
      <c r="AFE27" s="218"/>
      <c r="AFF27" s="218"/>
      <c r="AFG27" s="218"/>
      <c r="AFH27" s="218"/>
      <c r="AFI27" s="218"/>
      <c r="AFJ27" s="218"/>
      <c r="AFK27" s="218"/>
      <c r="AFL27" s="218"/>
      <c r="AFM27" s="218"/>
      <c r="AFN27" s="218"/>
      <c r="AFO27" s="218"/>
      <c r="AFP27" s="218"/>
      <c r="AFQ27" s="218"/>
      <c r="AFR27" s="218"/>
      <c r="AFS27" s="218"/>
      <c r="AFT27" s="218"/>
      <c r="AFU27" s="218"/>
      <c r="AFV27" s="218"/>
      <c r="AFW27" s="218"/>
      <c r="AFX27" s="218"/>
      <c r="AFY27" s="218"/>
      <c r="AFZ27" s="218"/>
      <c r="AGA27" s="218"/>
      <c r="AGB27" s="218"/>
      <c r="AGC27" s="218"/>
      <c r="AGD27" s="218"/>
      <c r="AGE27" s="218"/>
      <c r="AGF27" s="218"/>
      <c r="AGG27" s="218"/>
      <c r="AGH27" s="218"/>
      <c r="AGI27" s="218"/>
      <c r="AGJ27" s="218"/>
      <c r="AGK27" s="218"/>
      <c r="AGL27" s="218"/>
      <c r="AGM27" s="218"/>
      <c r="AGN27" s="218"/>
      <c r="AGO27" s="218"/>
      <c r="AGP27" s="218"/>
      <c r="AGQ27" s="218"/>
      <c r="AGR27" s="218"/>
      <c r="AGS27" s="218"/>
      <c r="AGT27" s="218"/>
      <c r="AGU27" s="218"/>
      <c r="AGV27" s="218"/>
      <c r="AGW27" s="218"/>
      <c r="AGX27" s="218"/>
      <c r="AGY27" s="218"/>
      <c r="AGZ27" s="218"/>
      <c r="AHA27" s="218"/>
      <c r="AHB27" s="218"/>
      <c r="AHC27" s="218"/>
      <c r="AHD27" s="218"/>
      <c r="AHE27" s="218"/>
      <c r="AHF27" s="218"/>
      <c r="AHG27" s="218"/>
      <c r="AHH27" s="218"/>
      <c r="AHI27" s="218"/>
      <c r="AHJ27" s="218"/>
      <c r="AHK27" s="218"/>
      <c r="AHL27" s="218"/>
      <c r="AHM27" s="218"/>
      <c r="AHN27" s="218"/>
      <c r="AHO27" s="218"/>
      <c r="AHP27" s="218"/>
      <c r="AHQ27" s="218"/>
      <c r="AHR27" s="218"/>
      <c r="AHS27" s="218"/>
      <c r="AHT27" s="218"/>
      <c r="AHU27" s="218"/>
      <c r="AHV27" s="218"/>
      <c r="AHW27" s="218"/>
      <c r="AHX27" s="218"/>
      <c r="AHY27" s="218"/>
      <c r="AHZ27" s="218"/>
      <c r="AIA27" s="218"/>
      <c r="AIB27" s="218"/>
      <c r="AIC27" s="218"/>
      <c r="AID27" s="218"/>
      <c r="AIE27" s="218"/>
      <c r="AIF27" s="218"/>
      <c r="AIG27" s="218"/>
      <c r="AIH27" s="218"/>
      <c r="AII27" s="218"/>
      <c r="AIJ27" s="218"/>
      <c r="AIK27" s="218"/>
      <c r="AIL27" s="218"/>
      <c r="AIM27" s="218"/>
      <c r="AIN27" s="218"/>
      <c r="AIO27" s="218"/>
      <c r="AIP27" s="218"/>
      <c r="AIQ27" s="218"/>
      <c r="AIR27" s="218"/>
      <c r="AIS27" s="218"/>
      <c r="AIT27" s="218"/>
      <c r="AIU27" s="218"/>
      <c r="AIV27" s="218"/>
      <c r="AIW27" s="218"/>
      <c r="AIX27" s="218"/>
      <c r="AIY27" s="218"/>
      <c r="AIZ27" s="218"/>
      <c r="AJA27" s="218"/>
      <c r="AJB27" s="218"/>
      <c r="AJC27" s="218"/>
      <c r="AJD27" s="218"/>
      <c r="AJE27" s="218"/>
      <c r="AJF27" s="218"/>
      <c r="AJG27" s="218"/>
      <c r="AJH27" s="218"/>
      <c r="AJI27" s="218"/>
      <c r="AJJ27" s="218"/>
      <c r="AJK27" s="218"/>
      <c r="AJL27" s="218"/>
      <c r="AJM27" s="218"/>
      <c r="AJN27" s="218"/>
      <c r="AJO27" s="218"/>
      <c r="AJP27" s="218"/>
      <c r="AJQ27" s="218"/>
      <c r="AJR27" s="218"/>
      <c r="AJS27" s="218"/>
      <c r="AJT27" s="218"/>
      <c r="AJU27" s="218"/>
      <c r="AJV27" s="218"/>
      <c r="AJW27" s="218"/>
      <c r="AJX27" s="218"/>
      <c r="AJY27" s="218"/>
      <c r="AJZ27" s="218"/>
      <c r="AKA27" s="218"/>
      <c r="AKB27" s="218"/>
      <c r="AKC27" s="218"/>
      <c r="AKD27" s="218"/>
      <c r="AKE27" s="218"/>
      <c r="AKF27" s="218"/>
      <c r="AKG27" s="218"/>
      <c r="AKH27" s="218"/>
      <c r="AKI27" s="218"/>
      <c r="AKJ27" s="218"/>
      <c r="AKK27" s="218"/>
      <c r="AKL27" s="218"/>
      <c r="AKM27" s="218"/>
      <c r="AKN27" s="218"/>
      <c r="AKO27" s="218"/>
      <c r="AKP27" s="218"/>
      <c r="AKQ27" s="218"/>
      <c r="AKR27" s="218"/>
      <c r="AKS27" s="218"/>
      <c r="AKT27" s="218"/>
      <c r="AKU27" s="218"/>
      <c r="AKV27" s="218"/>
      <c r="AKW27" s="218"/>
      <c r="AKX27" s="218"/>
      <c r="AKY27" s="218"/>
      <c r="AKZ27" s="218"/>
      <c r="ALA27" s="218"/>
      <c r="ALB27" s="218"/>
      <c r="ALC27" s="218"/>
      <c r="ALD27" s="218"/>
      <c r="ALE27" s="218"/>
      <c r="ALF27" s="218"/>
      <c r="ALG27" s="218"/>
      <c r="ALH27" s="218"/>
      <c r="ALI27" s="218"/>
      <c r="ALJ27" s="218"/>
      <c r="ALK27" s="218"/>
      <c r="ALL27" s="218"/>
      <c r="ALM27" s="218"/>
      <c r="ALN27" s="218"/>
      <c r="ALO27" s="218"/>
      <c r="ALP27" s="218"/>
      <c r="ALQ27" s="218"/>
      <c r="ALR27" s="218"/>
      <c r="ALS27" s="218"/>
      <c r="ALT27" s="218"/>
      <c r="ALU27" s="218"/>
      <c r="ALV27" s="218"/>
      <c r="ALW27" s="218"/>
      <c r="ALX27" s="218"/>
      <c r="ALY27" s="218"/>
      <c r="ALZ27" s="218"/>
      <c r="AMA27" s="218"/>
      <c r="AMB27" s="218"/>
      <c r="AMC27" s="218"/>
      <c r="AMD27" s="218"/>
      <c r="AME27" s="218"/>
      <c r="AMF27" s="218"/>
      <c r="AMG27" s="218"/>
      <c r="AMH27" s="218"/>
      <c r="AMI27" s="218"/>
      <c r="AMJ27" s="218"/>
      <c r="AMK27" s="218"/>
      <c r="AML27" s="218"/>
      <c r="AMM27" s="218"/>
      <c r="AMN27" s="218"/>
      <c r="AMO27" s="218"/>
      <c r="AMP27" s="218"/>
      <c r="AMQ27" s="218"/>
      <c r="AMR27" s="218"/>
      <c r="AMS27" s="218"/>
      <c r="AMT27" s="218"/>
      <c r="AMU27" s="218"/>
      <c r="AMV27" s="218"/>
      <c r="AMW27" s="218"/>
      <c r="AMX27" s="218"/>
      <c r="AMY27" s="218"/>
      <c r="AMZ27" s="218"/>
      <c r="ANA27" s="218"/>
      <c r="ANB27" s="218"/>
      <c r="ANC27" s="218"/>
      <c r="AND27" s="218"/>
      <c r="ANE27" s="218"/>
      <c r="ANF27" s="218"/>
      <c r="ANG27" s="218"/>
      <c r="ANH27" s="218"/>
      <c r="ANI27" s="218"/>
      <c r="ANJ27" s="218"/>
      <c r="ANK27" s="218"/>
      <c r="ANL27" s="218"/>
      <c r="ANM27" s="218"/>
      <c r="ANN27" s="218"/>
      <c r="ANO27" s="218"/>
      <c r="ANP27" s="218"/>
      <c r="ANQ27" s="218"/>
      <c r="ANR27" s="218"/>
      <c r="ANS27" s="218"/>
      <c r="ANT27" s="218"/>
      <c r="ANU27" s="218"/>
      <c r="ANV27" s="218"/>
      <c r="ANW27" s="218"/>
      <c r="ANX27" s="218"/>
      <c r="ANY27" s="218"/>
      <c r="ANZ27" s="218"/>
      <c r="AOA27" s="218"/>
      <c r="AOB27" s="218"/>
      <c r="AOC27" s="218"/>
      <c r="AOD27" s="218"/>
      <c r="AOE27" s="218"/>
      <c r="AOF27" s="218"/>
      <c r="AOG27" s="218"/>
      <c r="AOH27" s="218"/>
      <c r="AOI27" s="218"/>
      <c r="AOJ27" s="218"/>
      <c r="AOK27" s="218"/>
      <c r="AOL27" s="218"/>
      <c r="AOM27" s="218"/>
      <c r="AON27" s="218"/>
      <c r="AOO27" s="218"/>
      <c r="AOP27" s="218"/>
      <c r="AOQ27" s="218"/>
      <c r="AOR27" s="218"/>
      <c r="AOS27" s="218"/>
      <c r="AOT27" s="218"/>
      <c r="AOU27" s="218"/>
      <c r="AOV27" s="218"/>
      <c r="AOW27" s="218"/>
      <c r="AOX27" s="218"/>
      <c r="AOY27" s="218"/>
      <c r="AOZ27" s="218"/>
      <c r="APA27" s="218"/>
      <c r="APB27" s="218"/>
      <c r="APC27" s="218"/>
      <c r="APD27" s="218"/>
      <c r="APE27" s="218"/>
      <c r="APF27" s="218"/>
      <c r="APG27" s="218"/>
      <c r="APH27" s="218"/>
      <c r="API27" s="218"/>
      <c r="APJ27" s="218"/>
      <c r="APK27" s="218"/>
      <c r="APL27" s="218"/>
      <c r="APM27" s="218"/>
      <c r="APN27" s="218"/>
      <c r="APO27" s="218"/>
      <c r="APP27" s="218"/>
      <c r="APQ27" s="218"/>
      <c r="APR27" s="218"/>
      <c r="APS27" s="218"/>
      <c r="APT27" s="218"/>
      <c r="APU27" s="218"/>
      <c r="APV27" s="218"/>
      <c r="APW27" s="218"/>
      <c r="APX27" s="218"/>
      <c r="APY27" s="218"/>
      <c r="APZ27" s="218"/>
      <c r="AQA27" s="218"/>
      <c r="AQB27" s="218"/>
      <c r="AQC27" s="218"/>
      <c r="AQD27" s="218"/>
      <c r="AQE27" s="218"/>
      <c r="AQF27" s="218"/>
      <c r="AQG27" s="218"/>
      <c r="AQH27" s="218"/>
      <c r="AQI27" s="218"/>
      <c r="AQJ27" s="218"/>
      <c r="AQK27" s="218"/>
      <c r="AQL27" s="218"/>
      <c r="AQM27" s="218"/>
      <c r="AQN27" s="218"/>
      <c r="AQO27" s="218"/>
      <c r="AQP27" s="218"/>
      <c r="AQQ27" s="218"/>
      <c r="AQR27" s="218"/>
      <c r="AQS27" s="218"/>
      <c r="AQT27" s="218"/>
      <c r="AQU27" s="218"/>
      <c r="AQV27" s="218"/>
      <c r="AQW27" s="218"/>
      <c r="AQX27" s="218"/>
      <c r="AQY27" s="218"/>
      <c r="AQZ27" s="218"/>
      <c r="ARA27" s="218"/>
      <c r="ARB27" s="218"/>
      <c r="ARC27" s="218"/>
      <c r="ARD27" s="218"/>
      <c r="ARE27" s="218"/>
      <c r="ARF27" s="218"/>
      <c r="ARG27" s="218"/>
      <c r="ARH27" s="218"/>
      <c r="ARI27" s="218"/>
      <c r="ARJ27" s="218"/>
      <c r="ARK27" s="218"/>
      <c r="ARL27" s="218"/>
      <c r="ARM27" s="218"/>
      <c r="ARN27" s="218"/>
      <c r="ARO27" s="218"/>
      <c r="ARP27" s="218"/>
      <c r="ARQ27" s="218"/>
      <c r="ARR27" s="218"/>
      <c r="ARS27" s="218"/>
      <c r="ART27" s="218"/>
      <c r="ARU27" s="218"/>
      <c r="ARV27" s="218"/>
      <c r="ARW27" s="218"/>
      <c r="ARX27" s="218"/>
      <c r="ARY27" s="218"/>
      <c r="ARZ27" s="218"/>
      <c r="ASA27" s="218"/>
      <c r="ASB27" s="218"/>
      <c r="ASC27" s="218"/>
      <c r="ASD27" s="218"/>
      <c r="ASE27" s="218"/>
      <c r="ASF27" s="218"/>
      <c r="ASG27" s="218"/>
      <c r="ASH27" s="218"/>
      <c r="ASI27" s="218"/>
      <c r="ASJ27" s="218"/>
      <c r="ASK27" s="218"/>
      <c r="ASL27" s="218"/>
      <c r="ASM27" s="218"/>
      <c r="ASN27" s="218"/>
      <c r="ASO27" s="218"/>
      <c r="ASP27" s="218"/>
      <c r="ASQ27" s="218"/>
      <c r="ASR27" s="218"/>
      <c r="ASS27" s="218"/>
      <c r="AST27" s="218"/>
      <c r="ASU27" s="218"/>
      <c r="ASV27" s="218"/>
      <c r="ASW27" s="218"/>
      <c r="ASX27" s="218"/>
      <c r="ASY27" s="218"/>
      <c r="ASZ27" s="218"/>
      <c r="ATA27" s="218"/>
      <c r="ATB27" s="218"/>
      <c r="ATC27" s="218"/>
      <c r="ATD27" s="218"/>
      <c r="ATE27" s="218"/>
      <c r="ATF27" s="218"/>
      <c r="ATG27" s="218"/>
      <c r="ATH27" s="218"/>
      <c r="ATI27" s="218"/>
      <c r="ATJ27" s="218"/>
      <c r="ATK27" s="218"/>
      <c r="ATL27" s="218"/>
      <c r="ATM27" s="218"/>
      <c r="ATN27" s="218"/>
      <c r="ATO27" s="218"/>
      <c r="ATP27" s="218"/>
      <c r="ATQ27" s="218"/>
      <c r="ATR27" s="218"/>
      <c r="ATS27" s="218"/>
      <c r="ATT27" s="218"/>
      <c r="ATU27" s="218"/>
      <c r="ATV27" s="218"/>
      <c r="ATW27" s="218"/>
      <c r="ATX27" s="218"/>
      <c r="ATY27" s="218"/>
      <c r="ATZ27" s="218"/>
      <c r="AUA27" s="218"/>
      <c r="AUB27" s="218"/>
      <c r="AUC27" s="218"/>
      <c r="AUD27" s="218"/>
      <c r="AUE27" s="218"/>
      <c r="AUF27" s="218"/>
      <c r="AUG27" s="218"/>
      <c r="AUH27" s="218"/>
      <c r="AUI27" s="218"/>
      <c r="AUJ27" s="218"/>
      <c r="AUK27" s="218"/>
      <c r="AUL27" s="218"/>
      <c r="AUM27" s="218"/>
      <c r="AUN27" s="218"/>
      <c r="AUO27" s="218"/>
      <c r="AUP27" s="218"/>
      <c r="AUQ27" s="218"/>
      <c r="AUR27" s="218"/>
      <c r="AUS27" s="218"/>
      <c r="AUT27" s="218"/>
      <c r="AUU27" s="218"/>
      <c r="AUV27" s="218"/>
      <c r="AUW27" s="218"/>
      <c r="AUX27" s="218"/>
      <c r="AUY27" s="218"/>
      <c r="AUZ27" s="218"/>
      <c r="AVA27" s="218"/>
      <c r="AVB27" s="218"/>
      <c r="AVC27" s="218"/>
      <c r="AVD27" s="218"/>
      <c r="AVE27" s="218"/>
      <c r="AVF27" s="218"/>
      <c r="AVG27" s="218"/>
      <c r="AVH27" s="218"/>
      <c r="AVI27" s="218"/>
      <c r="AVJ27" s="218"/>
      <c r="AVK27" s="218"/>
      <c r="AVL27" s="218"/>
      <c r="AVM27" s="218"/>
      <c r="AVN27" s="218"/>
      <c r="AVO27" s="218"/>
      <c r="AVP27" s="218"/>
      <c r="AVQ27" s="218"/>
      <c r="AVR27" s="218"/>
      <c r="AVS27" s="218"/>
      <c r="AVT27" s="218"/>
      <c r="AVU27" s="218"/>
      <c r="AVV27" s="218"/>
      <c r="AVW27" s="218"/>
      <c r="AVX27" s="218"/>
      <c r="AVY27" s="218"/>
      <c r="AVZ27" s="218"/>
      <c r="AWA27" s="218"/>
      <c r="AWB27" s="218"/>
      <c r="AWC27" s="218"/>
      <c r="AWD27" s="218"/>
      <c r="AWE27" s="218"/>
      <c r="AWF27" s="218"/>
      <c r="AWG27" s="218"/>
      <c r="AWH27" s="218"/>
      <c r="AWI27" s="218"/>
      <c r="AWJ27" s="218"/>
      <c r="AWK27" s="218"/>
      <c r="AWL27" s="218"/>
      <c r="AWM27" s="218"/>
      <c r="AWN27" s="218"/>
      <c r="AWO27" s="218"/>
      <c r="AWP27" s="218"/>
      <c r="AWQ27" s="218"/>
      <c r="AWR27" s="218"/>
      <c r="AWS27" s="218"/>
      <c r="AWT27" s="218"/>
      <c r="AWU27" s="218"/>
      <c r="AWV27" s="218"/>
      <c r="AWW27" s="218"/>
      <c r="AWX27" s="218"/>
      <c r="AWY27" s="218"/>
      <c r="AWZ27" s="218"/>
      <c r="AXA27" s="218"/>
      <c r="AXB27" s="218"/>
      <c r="AXC27" s="218"/>
      <c r="AXD27" s="218"/>
      <c r="AXE27" s="218"/>
      <c r="AXF27" s="218"/>
      <c r="AXG27" s="218"/>
      <c r="AXH27" s="218"/>
      <c r="AXI27" s="218"/>
      <c r="AXJ27" s="218"/>
      <c r="AXK27" s="218"/>
      <c r="AXL27" s="218"/>
      <c r="AXM27" s="218"/>
      <c r="AXN27" s="218"/>
      <c r="AXO27" s="218"/>
      <c r="AXP27" s="218"/>
      <c r="AXQ27" s="218"/>
      <c r="AXR27" s="218"/>
      <c r="AXS27" s="218"/>
      <c r="AXT27" s="218"/>
      <c r="AXU27" s="218"/>
      <c r="AXV27" s="218"/>
      <c r="AXW27" s="218"/>
      <c r="AXX27" s="218"/>
      <c r="AXY27" s="218"/>
      <c r="AXZ27" s="218"/>
      <c r="AYA27" s="218"/>
      <c r="AYB27" s="218"/>
      <c r="AYC27" s="218"/>
      <c r="AYD27" s="218"/>
      <c r="AYE27" s="218"/>
      <c r="AYF27" s="218"/>
      <c r="AYG27" s="218"/>
      <c r="AYH27" s="218"/>
      <c r="AYI27" s="218"/>
      <c r="AYJ27" s="218"/>
      <c r="AYK27" s="218"/>
      <c r="AYL27" s="218"/>
      <c r="AYM27" s="218"/>
      <c r="AYN27" s="218"/>
      <c r="AYO27" s="218"/>
      <c r="AYP27" s="218"/>
      <c r="AYQ27" s="218"/>
      <c r="AYR27" s="218"/>
      <c r="AYS27" s="218"/>
      <c r="AYT27" s="218"/>
      <c r="AYU27" s="218"/>
      <c r="AYV27" s="218"/>
      <c r="AYW27" s="218"/>
      <c r="AYX27" s="218"/>
      <c r="AYY27" s="218"/>
      <c r="AYZ27" s="218"/>
      <c r="AZA27" s="218"/>
      <c r="AZB27" s="218"/>
      <c r="AZC27" s="218"/>
      <c r="AZD27" s="218"/>
      <c r="AZE27" s="218"/>
      <c r="AZF27" s="218"/>
      <c r="AZG27" s="218"/>
      <c r="AZH27" s="218"/>
      <c r="AZI27" s="218"/>
      <c r="AZJ27" s="218"/>
      <c r="AZK27" s="218"/>
      <c r="AZL27" s="218"/>
      <c r="AZM27" s="218"/>
      <c r="AZN27" s="218"/>
      <c r="AZO27" s="218"/>
      <c r="AZP27" s="218"/>
      <c r="AZQ27" s="218"/>
      <c r="AZR27" s="218"/>
      <c r="AZS27" s="218"/>
      <c r="AZT27" s="218"/>
      <c r="AZU27" s="218"/>
      <c r="AZV27" s="218"/>
      <c r="AZW27" s="218"/>
      <c r="AZX27" s="218"/>
      <c r="AZY27" s="218"/>
      <c r="AZZ27" s="218"/>
      <c r="BAA27" s="218"/>
      <c r="BAB27" s="218"/>
      <c r="BAC27" s="218"/>
      <c r="BAD27" s="218"/>
      <c r="BAE27" s="218"/>
      <c r="BAF27" s="218"/>
      <c r="BAG27" s="218"/>
      <c r="BAH27" s="218"/>
      <c r="BAI27" s="218"/>
      <c r="BAJ27" s="218"/>
      <c r="BAK27" s="218"/>
      <c r="BAL27" s="218"/>
      <c r="BAM27" s="218"/>
      <c r="BAN27" s="218"/>
      <c r="BAO27" s="218"/>
      <c r="BAP27" s="218"/>
      <c r="BAQ27" s="218"/>
      <c r="BAR27" s="218"/>
      <c r="BAS27" s="218"/>
      <c r="BAT27" s="218"/>
      <c r="BAU27" s="218"/>
      <c r="BAV27" s="218"/>
      <c r="BAW27" s="218"/>
      <c r="BAX27" s="218"/>
      <c r="BAY27" s="218"/>
      <c r="BAZ27" s="218"/>
      <c r="BBA27" s="218"/>
      <c r="BBB27" s="218"/>
      <c r="BBC27" s="218"/>
      <c r="BBD27" s="218"/>
      <c r="BBE27" s="218"/>
      <c r="BBF27" s="218"/>
      <c r="BBG27" s="218"/>
      <c r="BBH27" s="218"/>
      <c r="BBI27" s="218"/>
      <c r="BBJ27" s="218"/>
      <c r="BBK27" s="218"/>
      <c r="BBL27" s="218"/>
      <c r="BBM27" s="218"/>
      <c r="BBN27" s="218"/>
      <c r="BBO27" s="218"/>
      <c r="BBP27" s="218"/>
      <c r="BBQ27" s="218"/>
      <c r="BBR27" s="218"/>
      <c r="BBS27" s="218"/>
      <c r="BBT27" s="218"/>
      <c r="BBU27" s="218"/>
      <c r="BBV27" s="218"/>
      <c r="BBW27" s="218"/>
      <c r="BBX27" s="218"/>
      <c r="BBY27" s="218"/>
      <c r="BBZ27" s="218"/>
      <c r="BCA27" s="218"/>
      <c r="BCB27" s="218"/>
      <c r="BCC27" s="218"/>
      <c r="BCD27" s="218"/>
      <c r="BCE27" s="218"/>
      <c r="BCF27" s="218"/>
      <c r="BCG27" s="218"/>
      <c r="BCH27" s="218"/>
      <c r="BCI27" s="218"/>
      <c r="BCJ27" s="218"/>
      <c r="BCK27" s="218"/>
      <c r="BCL27" s="218"/>
      <c r="BCM27" s="218"/>
      <c r="BCN27" s="218"/>
      <c r="BCO27" s="218"/>
      <c r="BCP27" s="218"/>
      <c r="BCQ27" s="218"/>
      <c r="BCR27" s="218"/>
      <c r="BCS27" s="218"/>
      <c r="BCT27" s="218"/>
      <c r="BCU27" s="218"/>
      <c r="BCV27" s="218"/>
      <c r="BCW27" s="218"/>
      <c r="BCX27" s="218"/>
      <c r="BCY27" s="218"/>
      <c r="BCZ27" s="218"/>
      <c r="BDA27" s="218"/>
      <c r="BDB27" s="218"/>
      <c r="BDC27" s="218"/>
      <c r="BDD27" s="218"/>
      <c r="BDE27" s="218"/>
      <c r="BDF27" s="218"/>
      <c r="BDG27" s="218"/>
      <c r="BDH27" s="218"/>
      <c r="BDI27" s="218"/>
      <c r="BDJ27" s="218"/>
      <c r="BDK27" s="218"/>
      <c r="BDL27" s="218"/>
      <c r="BDM27" s="218"/>
      <c r="BDN27" s="218"/>
      <c r="BDO27" s="218"/>
      <c r="BDP27" s="218"/>
      <c r="BDQ27" s="218"/>
      <c r="BDR27" s="218"/>
      <c r="BDS27" s="218"/>
      <c r="BDT27" s="218"/>
      <c r="BDU27" s="218"/>
      <c r="BDV27" s="218"/>
      <c r="BDW27" s="218"/>
      <c r="BDX27" s="218"/>
      <c r="BDY27" s="218"/>
      <c r="BDZ27" s="218"/>
      <c r="BEA27" s="218"/>
      <c r="BEB27" s="218"/>
      <c r="BEC27" s="218"/>
      <c r="BED27" s="218"/>
      <c r="BEE27" s="218"/>
      <c r="BEF27" s="218"/>
      <c r="BEG27" s="218"/>
      <c r="BEH27" s="218"/>
      <c r="BEI27" s="218"/>
      <c r="BEJ27" s="218"/>
      <c r="BEK27" s="218"/>
      <c r="BEL27" s="218"/>
      <c r="BEM27" s="218"/>
      <c r="BEN27" s="218"/>
      <c r="BEO27" s="218"/>
      <c r="BEP27" s="218"/>
      <c r="BEQ27" s="218"/>
      <c r="BER27" s="218"/>
      <c r="BES27" s="218"/>
      <c r="BET27" s="218"/>
      <c r="BEU27" s="218"/>
      <c r="BEV27" s="218"/>
      <c r="BEW27" s="218"/>
      <c r="BEX27" s="218"/>
      <c r="BEY27" s="218"/>
      <c r="BEZ27" s="218"/>
      <c r="BFA27" s="218"/>
      <c r="BFB27" s="218"/>
      <c r="BFC27" s="218"/>
      <c r="BFD27" s="218"/>
      <c r="BFE27" s="218"/>
      <c r="BFF27" s="218"/>
      <c r="BFG27" s="218"/>
      <c r="BFH27" s="218"/>
      <c r="BFI27" s="218"/>
      <c r="BFJ27" s="218"/>
      <c r="BFK27" s="218"/>
      <c r="BFL27" s="218"/>
      <c r="BFM27" s="218"/>
      <c r="BFN27" s="218"/>
      <c r="BFO27" s="218"/>
      <c r="BFP27" s="218"/>
      <c r="BFQ27" s="218"/>
      <c r="BFR27" s="218"/>
      <c r="BFS27" s="218"/>
      <c r="BFT27" s="218"/>
      <c r="BFU27" s="218"/>
      <c r="BFV27" s="218"/>
      <c r="BFW27" s="218"/>
      <c r="BFX27" s="218"/>
      <c r="BFY27" s="218"/>
      <c r="BFZ27" s="218"/>
      <c r="BGA27" s="218"/>
      <c r="BGB27" s="218"/>
      <c r="BGC27" s="218"/>
      <c r="BGD27" s="218"/>
      <c r="BGE27" s="218"/>
      <c r="BGF27" s="218"/>
      <c r="BGG27" s="218"/>
      <c r="BGH27" s="218"/>
      <c r="BGI27" s="218"/>
      <c r="BGJ27" s="218"/>
      <c r="BGK27" s="218"/>
      <c r="BGL27" s="218"/>
      <c r="BGM27" s="218"/>
      <c r="BGN27" s="218"/>
      <c r="BGO27" s="218"/>
      <c r="BGP27" s="218"/>
      <c r="BGQ27" s="218"/>
      <c r="BGR27" s="218"/>
      <c r="BGS27" s="218"/>
      <c r="BGT27" s="218"/>
      <c r="BGU27" s="218"/>
      <c r="BGV27" s="218"/>
      <c r="BGW27" s="218"/>
      <c r="BGX27" s="218"/>
      <c r="BGY27" s="218"/>
      <c r="BGZ27" s="218"/>
      <c r="BHA27" s="218"/>
      <c r="BHB27" s="218"/>
      <c r="BHC27" s="218"/>
      <c r="BHD27" s="218"/>
      <c r="BHE27" s="218"/>
      <c r="BHF27" s="218"/>
      <c r="BHG27" s="218"/>
      <c r="BHH27" s="218"/>
      <c r="BHI27" s="218"/>
      <c r="BHJ27" s="218"/>
      <c r="BHK27" s="218"/>
      <c r="BHL27" s="218"/>
      <c r="BHM27" s="218"/>
      <c r="BHN27" s="218"/>
      <c r="BHO27" s="218"/>
      <c r="BHP27" s="218"/>
      <c r="BHQ27" s="218"/>
      <c r="BHR27" s="218"/>
      <c r="BHS27" s="218"/>
      <c r="BHT27" s="218"/>
      <c r="BHU27" s="218"/>
      <c r="BHV27" s="218"/>
      <c r="BHW27" s="218"/>
    </row>
    <row r="28" spans="1:1583" s="216" customFormat="1" ht="18.75">
      <c r="A28" s="260" t="s">
        <v>40</v>
      </c>
      <c r="B28" s="184" t="s">
        <v>355</v>
      </c>
      <c r="C28" s="416" t="s">
        <v>478</v>
      </c>
      <c r="D28" s="418" t="s">
        <v>478</v>
      </c>
      <c r="E28" s="63" t="s">
        <v>9</v>
      </c>
      <c r="F28" s="131">
        <v>220</v>
      </c>
      <c r="G28" s="60" t="s">
        <v>682</v>
      </c>
      <c r="H28" s="473">
        <f>SUM(I28:AN28)</f>
        <v>9788.4331893858325</v>
      </c>
      <c r="I28" s="95">
        <f>VLOOKUP($B28,'DCS Data'!$E$2:$AJ$100,MATCH('Daily Report'!I$1,'DCS Data'!$E$2:$AJ$2,0),0)</f>
        <v>274.82855153513378</v>
      </c>
      <c r="J28" s="255"/>
      <c r="K28" s="95">
        <f>VLOOKUP($B28,'DCS Data'!$E$2:$AJ$100,MATCH('Daily Report'!K$1,'DCS Data'!$E$2:$AJ$2,0),0)</f>
        <v>316.51049739503605</v>
      </c>
      <c r="L28" s="95">
        <f>VLOOKUP($B28,'DCS Data'!$E$2:$AJ$100,MATCH('Daily Report'!L$1,'DCS Data'!$E$2:$AJ$2,0),0)</f>
        <v>324.81534788671291</v>
      </c>
      <c r="M28" s="95">
        <f>VLOOKUP($B28,'DCS Data'!$E$2:$AJ$100,MATCH('Daily Report'!M$1,'DCS Data'!$E$2:$AJ$2,0),0)</f>
        <v>323.96956397793912</v>
      </c>
      <c r="N28" s="95">
        <f>VLOOKUP($B28,'DCS Data'!$E$2:$AJ$100,MATCH('Daily Report'!N$1,'DCS Data'!$E$2:$AJ$2,0),0)</f>
        <v>322.12720770252275</v>
      </c>
      <c r="O28" s="95">
        <f>VLOOKUP($B28,'DCS Data'!$E$2:$AJ$100,MATCH('Daily Report'!O$1,'DCS Data'!$E$2:$AJ$2,0),0)</f>
        <v>325.39024103691662</v>
      </c>
      <c r="P28" s="95">
        <f>VLOOKUP($B28,'DCS Data'!$E$2:$AJ$100,MATCH('Daily Report'!P$1,'DCS Data'!$E$2:$AJ$2,0),0)</f>
        <v>323.8594890377625</v>
      </c>
      <c r="Q28" s="95">
        <f>VLOOKUP($B28,'DCS Data'!$E$2:$AJ$100,MATCH('Daily Report'!Q$1,'DCS Data'!$E$2:$AJ$2,0),0)</f>
        <v>320.90932791116893</v>
      </c>
      <c r="R28" s="95">
        <f>VLOOKUP($B28,'DCS Data'!$E$2:$AJ$100,MATCH('Daily Report'!R$1,'DCS Data'!$E$2:$AJ$2,0),0)</f>
        <v>316.56837872632957</v>
      </c>
      <c r="S28" s="95">
        <f>VLOOKUP($B28,'DCS Data'!$E$2:$AJ$100,MATCH('Daily Report'!S$1,'DCS Data'!$E$2:$AJ$2,0),0)</f>
        <v>315.07140128963806</v>
      </c>
      <c r="T28" s="95">
        <f>VLOOKUP($B28,'DCS Data'!$E$2:$AJ$100,MATCH('Daily Report'!T$1,'DCS Data'!$E$2:$AJ$2,0),0)</f>
        <v>312.77126516917144</v>
      </c>
      <c r="U28" s="95">
        <f>VLOOKUP($B28,'DCS Data'!$E$2:$AJ$100,MATCH('Daily Report'!U$1,'DCS Data'!$E$2:$AJ$2,0),0)</f>
        <v>312.58605325242735</v>
      </c>
      <c r="V28" s="95">
        <f>VLOOKUP($B28,'DCS Data'!$E$2:$AJ$100,MATCH('Daily Report'!V$1,'DCS Data'!$E$2:$AJ$2,0),0)</f>
        <v>314.31777938345823</v>
      </c>
      <c r="W28" s="95">
        <f>VLOOKUP($B28,'DCS Data'!$E$2:$AJ$100,MATCH('Daily Report'!W$1,'DCS Data'!$E$2:$AJ$2,0),0)</f>
        <v>316.32038594427297</v>
      </c>
      <c r="X28" s="95">
        <f>VLOOKUP($B28,'DCS Data'!$E$2:$AJ$100,MATCH('Daily Report'!X$1,'DCS Data'!$E$2:$AJ$2,0),0)</f>
        <v>302.15751253447763</v>
      </c>
      <c r="Y28" s="95">
        <f>VLOOKUP($B28,'DCS Data'!$E$2:$AJ$100,MATCH('Daily Report'!Y$1,'DCS Data'!$E$2:$AJ$2,0),0)</f>
        <v>287.58504309582247</v>
      </c>
      <c r="Z28" s="95">
        <f>VLOOKUP($B28,'DCS Data'!$E$2:$AJ$100,MATCH('Daily Report'!Z$1,'DCS Data'!$E$2:$AJ$2,0),0)</f>
        <v>301.4006323813183</v>
      </c>
      <c r="AA28" s="95">
        <f>VLOOKUP($B28,'DCS Data'!$E$2:$AJ$100,MATCH('Daily Report'!AA$1,'DCS Data'!$E$2:$AJ$2,0),0)</f>
        <v>295.97470948515911</v>
      </c>
      <c r="AB28" s="95">
        <f>VLOOKUP($B28,'DCS Data'!$E$2:$AJ$100,MATCH('Daily Report'!AB$1,'DCS Data'!$E$2:$AJ$2,0),0)</f>
        <v>295.67675625516375</v>
      </c>
      <c r="AC28" s="95">
        <f>VLOOKUP($B28,'DCS Data'!$E$2:$AJ$100,MATCH('Daily Report'!AC$1,'DCS Data'!$E$2:$AJ$2,0),0)</f>
        <v>308.61498804081953</v>
      </c>
      <c r="AD28" s="95">
        <f>VLOOKUP($B28,'DCS Data'!$E$2:$AJ$100,MATCH('Daily Report'!AD$1,'DCS Data'!$E$2:$AJ$2,0),0)</f>
        <v>324.41094461685492</v>
      </c>
      <c r="AE28" s="95">
        <f>VLOOKUP($B28,'DCS Data'!$E$2:$AJ$100,MATCH('Daily Report'!AE$1,'DCS Data'!$E$2:$AJ$2,0),0)</f>
        <v>331.73014748011963</v>
      </c>
      <c r="AF28" s="95">
        <f>VLOOKUP($B28,'DCS Data'!$E$2:$AJ$100,MATCH('Daily Report'!AF$1,'DCS Data'!$E$2:$AJ$2,0),0)</f>
        <v>332.64328166278045</v>
      </c>
      <c r="AG28" s="95">
        <f>VLOOKUP($B28,'DCS Data'!$E$2:$AJ$100,MATCH('Daily Report'!AG$1,'DCS Data'!$E$2:$AJ$2,0),0)</f>
        <v>329.75785735100811</v>
      </c>
      <c r="AH28" s="95">
        <f>VLOOKUP($B28,'DCS Data'!$E$2:$AJ$100,MATCH('Daily Report'!AH$1,'DCS Data'!$E$2:$AJ$2,0),0)</f>
        <v>330.30353320123101</v>
      </c>
      <c r="AI28" s="95">
        <f>VLOOKUP($B28,'DCS Data'!$E$2:$AJ$100,MATCH('Daily Report'!AI$1,'DCS Data'!$E$2:$AJ$2,0),0)</f>
        <v>325.83511492208726</v>
      </c>
      <c r="AJ28" s="95">
        <f>VLOOKUP($B28,'DCS Data'!$E$2:$AJ$100,MATCH('Daily Report'!AJ$1,'DCS Data'!$E$2:$AJ$2,0),0)</f>
        <v>320.31557193039532</v>
      </c>
      <c r="AK28" s="95">
        <f>VLOOKUP($B28,'DCS Data'!$E$2:$AJ$100,MATCH('Daily Report'!AK$1,'DCS Data'!$E$2:$AJ$2,0),0)</f>
        <v>319.57131399567987</v>
      </c>
      <c r="AL28" s="95">
        <f>VLOOKUP($B28,'DCS Data'!$E$2:$AJ$100,MATCH('Daily Report'!AL$1,'DCS Data'!$E$2:$AJ$2,0),0)</f>
        <v>320.50144990457312</v>
      </c>
      <c r="AM28" s="95">
        <f>VLOOKUP($B28,'DCS Data'!$E$2:$AJ$100,MATCH('Daily Report'!AM$1,'DCS Data'!$E$2:$AJ$2,0),0)</f>
        <v>319.84348537879049</v>
      </c>
      <c r="AN28" s="95">
        <f>VLOOKUP($B28,'DCS Data'!$E$2:$AJ$100,MATCH('Daily Report'!AN$1,'DCS Data'!$E$2:$AJ$2,0),0)</f>
        <v>322.06535690105977</v>
      </c>
      <c r="AO28" s="215"/>
      <c r="AP28" s="215"/>
      <c r="AQ28" s="215"/>
      <c r="AR28" s="215"/>
      <c r="AS28" s="215"/>
      <c r="AT28" s="215"/>
      <c r="AU28" s="215"/>
      <c r="AV28" s="215"/>
      <c r="AW28" s="215"/>
      <c r="AX28" s="215"/>
      <c r="AY28" s="215"/>
      <c r="AZ28" s="215"/>
      <c r="BA28" s="215"/>
      <c r="BB28" s="215"/>
      <c r="BC28" s="215"/>
      <c r="BD28" s="215"/>
      <c r="BE28" s="215"/>
      <c r="BF28" s="215"/>
      <c r="BG28" s="215"/>
      <c r="BH28" s="215"/>
      <c r="BI28" s="215"/>
      <c r="BJ28" s="215"/>
      <c r="BK28" s="215"/>
      <c r="BL28" s="215"/>
      <c r="BM28" s="215"/>
      <c r="BN28" s="215"/>
      <c r="BO28" s="215"/>
      <c r="BP28" s="215"/>
      <c r="BQ28" s="215"/>
      <c r="BR28" s="215"/>
      <c r="BS28" s="215"/>
      <c r="BT28" s="215"/>
      <c r="BU28" s="215"/>
      <c r="BV28" s="215"/>
      <c r="BW28" s="215"/>
      <c r="BX28" s="215"/>
      <c r="BY28" s="215"/>
      <c r="BZ28" s="215"/>
      <c r="CA28" s="215"/>
      <c r="CB28" s="215"/>
      <c r="CC28" s="215"/>
      <c r="CD28" s="215"/>
      <c r="CE28" s="215"/>
      <c r="CF28" s="215"/>
      <c r="CG28" s="215"/>
      <c r="CH28" s="215"/>
      <c r="CI28" s="215"/>
      <c r="CJ28" s="215"/>
      <c r="CK28" s="215"/>
      <c r="CL28" s="215"/>
      <c r="CM28" s="215"/>
      <c r="CN28" s="215"/>
      <c r="CO28" s="215"/>
      <c r="CP28" s="215"/>
      <c r="CQ28" s="215"/>
      <c r="CR28" s="215"/>
      <c r="CS28" s="215"/>
      <c r="CT28" s="215"/>
      <c r="CU28" s="215"/>
      <c r="CV28" s="215"/>
      <c r="CW28" s="215"/>
      <c r="CX28" s="215"/>
      <c r="CY28" s="215"/>
      <c r="CZ28" s="215"/>
      <c r="DA28" s="215"/>
      <c r="DB28" s="215"/>
      <c r="DC28" s="215"/>
      <c r="DD28" s="215"/>
      <c r="DE28" s="215"/>
      <c r="DF28" s="215"/>
      <c r="DG28" s="215"/>
      <c r="DH28" s="215"/>
      <c r="DI28" s="215"/>
      <c r="DJ28" s="215"/>
      <c r="DK28" s="215"/>
      <c r="DL28" s="215"/>
      <c r="DM28" s="215"/>
      <c r="DN28" s="215"/>
      <c r="DO28" s="215"/>
      <c r="DP28" s="215"/>
      <c r="DQ28" s="215"/>
      <c r="DR28" s="215"/>
      <c r="DS28" s="215"/>
      <c r="DT28" s="215"/>
      <c r="DU28" s="215"/>
      <c r="DV28" s="215"/>
      <c r="DW28" s="215"/>
      <c r="DX28" s="215"/>
      <c r="DY28" s="215"/>
      <c r="DZ28" s="215"/>
      <c r="EA28" s="215"/>
      <c r="EB28" s="215"/>
      <c r="EC28" s="215"/>
      <c r="ED28" s="215"/>
      <c r="EE28" s="215"/>
      <c r="EF28" s="215"/>
      <c r="EG28" s="215"/>
      <c r="EH28" s="215"/>
      <c r="EI28" s="215"/>
      <c r="EJ28" s="215"/>
      <c r="EK28" s="215"/>
      <c r="EL28" s="215"/>
      <c r="EM28" s="215"/>
      <c r="EN28" s="215"/>
      <c r="EO28" s="215"/>
      <c r="EP28" s="215"/>
      <c r="EQ28" s="215"/>
      <c r="ER28" s="215"/>
      <c r="ES28" s="215"/>
      <c r="ET28" s="215"/>
      <c r="EU28" s="215"/>
      <c r="EV28" s="215"/>
      <c r="EW28" s="215"/>
      <c r="EX28" s="215"/>
      <c r="EY28" s="215"/>
      <c r="EZ28" s="215"/>
      <c r="FA28" s="215"/>
      <c r="FB28" s="215"/>
      <c r="FC28" s="215"/>
      <c r="FD28" s="215"/>
      <c r="FE28" s="215"/>
      <c r="FF28" s="215"/>
      <c r="FG28" s="215"/>
      <c r="FH28" s="215"/>
      <c r="FI28" s="215"/>
      <c r="FJ28" s="215"/>
      <c r="FK28" s="215"/>
      <c r="FL28" s="215"/>
      <c r="FM28" s="215"/>
      <c r="FN28" s="215"/>
      <c r="FO28" s="215"/>
      <c r="FP28" s="215"/>
      <c r="FQ28" s="215"/>
      <c r="FR28" s="215"/>
      <c r="FS28" s="215"/>
      <c r="FT28" s="215"/>
      <c r="FU28" s="215"/>
      <c r="FV28" s="215"/>
      <c r="FW28" s="215"/>
      <c r="FX28" s="215"/>
      <c r="FY28" s="215"/>
      <c r="FZ28" s="215"/>
      <c r="GA28" s="215"/>
      <c r="GB28" s="215"/>
      <c r="GC28" s="215"/>
      <c r="GD28" s="215"/>
      <c r="GE28" s="215"/>
      <c r="GF28" s="215"/>
      <c r="GG28" s="215"/>
      <c r="GH28" s="215"/>
      <c r="GI28" s="215"/>
      <c r="GJ28" s="215"/>
      <c r="GK28" s="215"/>
      <c r="GL28" s="215"/>
      <c r="GM28" s="215"/>
      <c r="GN28" s="215"/>
      <c r="GO28" s="215"/>
      <c r="GP28" s="215"/>
      <c r="GQ28" s="215"/>
      <c r="GR28" s="215"/>
      <c r="GS28" s="215"/>
      <c r="GT28" s="215"/>
      <c r="GU28" s="215"/>
      <c r="GV28" s="215"/>
      <c r="GW28" s="215"/>
      <c r="GX28" s="215"/>
      <c r="GY28" s="215"/>
      <c r="GZ28" s="215"/>
      <c r="HA28" s="215"/>
      <c r="HB28" s="215"/>
      <c r="HC28" s="215"/>
      <c r="HD28" s="215"/>
      <c r="HE28" s="215"/>
      <c r="HF28" s="215"/>
      <c r="HG28" s="215"/>
      <c r="HH28" s="215"/>
      <c r="HI28" s="215"/>
      <c r="HJ28" s="215"/>
      <c r="HK28" s="215"/>
      <c r="HL28" s="215"/>
      <c r="HM28" s="215"/>
      <c r="HN28" s="215"/>
      <c r="HO28" s="215"/>
      <c r="HP28" s="215"/>
      <c r="HQ28" s="215"/>
      <c r="HR28" s="215"/>
      <c r="HS28" s="215"/>
      <c r="HT28" s="215"/>
      <c r="HU28" s="215"/>
      <c r="HV28" s="215"/>
      <c r="HW28" s="215"/>
      <c r="HX28" s="215"/>
      <c r="HY28" s="215"/>
      <c r="HZ28" s="215"/>
      <c r="IA28" s="215"/>
      <c r="IB28" s="215"/>
      <c r="IC28" s="215"/>
      <c r="ID28" s="215"/>
      <c r="IE28" s="215"/>
      <c r="IF28" s="215"/>
      <c r="IG28" s="215"/>
      <c r="IH28" s="215"/>
      <c r="II28" s="215"/>
      <c r="IJ28" s="215"/>
      <c r="IK28" s="215"/>
      <c r="IL28" s="215"/>
      <c r="IM28" s="215"/>
      <c r="IN28" s="215"/>
      <c r="IO28" s="215"/>
      <c r="IP28" s="215"/>
      <c r="IQ28" s="215"/>
      <c r="IR28" s="215"/>
      <c r="IS28" s="215"/>
      <c r="IT28" s="215"/>
      <c r="IU28" s="215"/>
      <c r="IV28" s="215"/>
      <c r="IW28" s="215"/>
      <c r="IX28" s="215"/>
      <c r="IY28" s="215"/>
      <c r="IZ28" s="215"/>
      <c r="JA28" s="215"/>
      <c r="JB28" s="215"/>
      <c r="JC28" s="215"/>
      <c r="JD28" s="215"/>
      <c r="JE28" s="215"/>
      <c r="JF28" s="215"/>
      <c r="JG28" s="215"/>
      <c r="JH28" s="215"/>
      <c r="JI28" s="215"/>
      <c r="JJ28" s="215"/>
      <c r="JK28" s="215"/>
      <c r="JL28" s="215"/>
      <c r="JM28" s="215"/>
      <c r="JN28" s="215"/>
      <c r="JO28" s="215"/>
      <c r="JP28" s="215"/>
      <c r="JQ28" s="215"/>
      <c r="JR28" s="215"/>
      <c r="JS28" s="215"/>
      <c r="JT28" s="215"/>
      <c r="JU28" s="215"/>
      <c r="JV28" s="215"/>
      <c r="JW28" s="215"/>
      <c r="JX28" s="215"/>
      <c r="JY28" s="215"/>
      <c r="JZ28" s="215"/>
      <c r="KA28" s="215"/>
      <c r="KB28" s="215"/>
      <c r="KC28" s="215"/>
      <c r="KD28" s="215"/>
      <c r="KE28" s="215"/>
      <c r="KF28" s="215"/>
      <c r="KG28" s="215"/>
      <c r="KH28" s="215"/>
      <c r="KI28" s="215"/>
      <c r="KJ28" s="215"/>
      <c r="KK28" s="215"/>
      <c r="KL28" s="215"/>
      <c r="KM28" s="215"/>
      <c r="KN28" s="215"/>
      <c r="KO28" s="215"/>
      <c r="KP28" s="215"/>
      <c r="KQ28" s="215"/>
      <c r="KR28" s="215"/>
      <c r="KS28" s="215"/>
      <c r="KT28" s="215"/>
      <c r="KU28" s="215"/>
      <c r="KV28" s="215"/>
      <c r="KW28" s="215"/>
      <c r="KX28" s="215"/>
      <c r="KY28" s="215"/>
      <c r="KZ28" s="215"/>
      <c r="LA28" s="215"/>
      <c r="LB28" s="215"/>
      <c r="LC28" s="215"/>
      <c r="LD28" s="215"/>
      <c r="LE28" s="215"/>
      <c r="LF28" s="215"/>
      <c r="LG28" s="215"/>
      <c r="LH28" s="215"/>
      <c r="LI28" s="215"/>
      <c r="LJ28" s="215"/>
      <c r="LK28" s="215"/>
      <c r="LL28" s="215"/>
      <c r="LM28" s="215"/>
      <c r="LN28" s="215"/>
      <c r="LO28" s="215"/>
      <c r="LP28" s="215"/>
      <c r="LQ28" s="215"/>
      <c r="LR28" s="215"/>
      <c r="LS28" s="215"/>
      <c r="LT28" s="215"/>
      <c r="LU28" s="215"/>
      <c r="LV28" s="215"/>
      <c r="LW28" s="215"/>
      <c r="LX28" s="215"/>
      <c r="LY28" s="215"/>
      <c r="LZ28" s="215"/>
      <c r="MA28" s="215"/>
      <c r="MB28" s="215"/>
      <c r="MC28" s="215"/>
      <c r="MD28" s="215"/>
      <c r="ME28" s="215"/>
      <c r="MF28" s="215"/>
      <c r="MG28" s="215"/>
      <c r="MH28" s="215"/>
      <c r="MI28" s="215"/>
      <c r="MJ28" s="215"/>
      <c r="MK28" s="215"/>
      <c r="ML28" s="215"/>
      <c r="MM28" s="215"/>
      <c r="MN28" s="215"/>
      <c r="MO28" s="215"/>
      <c r="MP28" s="215"/>
      <c r="MQ28" s="215"/>
      <c r="MR28" s="215"/>
      <c r="MS28" s="215"/>
      <c r="MT28" s="215"/>
      <c r="MU28" s="215"/>
      <c r="MV28" s="215"/>
      <c r="MW28" s="215"/>
      <c r="MX28" s="215"/>
      <c r="MY28" s="215"/>
      <c r="MZ28" s="215"/>
      <c r="NA28" s="215"/>
      <c r="NB28" s="215"/>
      <c r="NC28" s="215"/>
      <c r="ND28" s="215"/>
      <c r="NE28" s="215"/>
      <c r="NF28" s="215"/>
      <c r="NG28" s="215"/>
      <c r="NH28" s="215"/>
      <c r="NI28" s="215"/>
      <c r="NJ28" s="215"/>
      <c r="NK28" s="215"/>
      <c r="NL28" s="215"/>
      <c r="NM28" s="215"/>
      <c r="NN28" s="215"/>
      <c r="NO28" s="215"/>
      <c r="NP28" s="215"/>
      <c r="NQ28" s="215"/>
      <c r="NR28" s="215"/>
      <c r="NS28" s="215"/>
      <c r="NT28" s="215"/>
      <c r="NU28" s="215"/>
      <c r="NV28" s="215"/>
      <c r="NW28" s="215"/>
      <c r="NX28" s="215"/>
      <c r="NY28" s="215"/>
      <c r="NZ28" s="215"/>
      <c r="OA28" s="215"/>
      <c r="OB28" s="215"/>
      <c r="OC28" s="215"/>
      <c r="OD28" s="215"/>
      <c r="OE28" s="215"/>
      <c r="OF28" s="215"/>
      <c r="OG28" s="215"/>
      <c r="OH28" s="215"/>
      <c r="OI28" s="215"/>
      <c r="OJ28" s="215"/>
      <c r="OK28" s="215"/>
      <c r="OL28" s="215"/>
      <c r="OM28" s="215"/>
      <c r="ON28" s="215"/>
      <c r="OO28" s="215"/>
      <c r="OP28" s="215"/>
      <c r="OQ28" s="215"/>
      <c r="OR28" s="215"/>
      <c r="OS28" s="215"/>
      <c r="OT28" s="215"/>
      <c r="OU28" s="215"/>
      <c r="OV28" s="215"/>
      <c r="OW28" s="215"/>
      <c r="OX28" s="215"/>
      <c r="OY28" s="215"/>
      <c r="OZ28" s="215"/>
      <c r="PA28" s="215"/>
      <c r="PB28" s="215"/>
      <c r="PC28" s="215"/>
      <c r="PD28" s="215"/>
      <c r="PE28" s="215"/>
      <c r="PF28" s="215"/>
      <c r="PG28" s="215"/>
      <c r="PH28" s="215"/>
      <c r="PI28" s="215"/>
      <c r="PJ28" s="215"/>
      <c r="PK28" s="215"/>
      <c r="PL28" s="215"/>
      <c r="PM28" s="215"/>
      <c r="PN28" s="215"/>
      <c r="PO28" s="215"/>
      <c r="PP28" s="215"/>
      <c r="PQ28" s="215"/>
      <c r="PR28" s="215"/>
      <c r="PS28" s="215"/>
      <c r="PT28" s="215"/>
      <c r="PU28" s="215"/>
      <c r="PV28" s="215"/>
      <c r="PW28" s="215"/>
      <c r="PX28" s="215"/>
      <c r="PY28" s="215"/>
      <c r="PZ28" s="215"/>
      <c r="QA28" s="215"/>
      <c r="QB28" s="215"/>
      <c r="QC28" s="215"/>
      <c r="QD28" s="215"/>
      <c r="QE28" s="215"/>
      <c r="QF28" s="215"/>
      <c r="QG28" s="215"/>
      <c r="QH28" s="215"/>
      <c r="QI28" s="215"/>
      <c r="QJ28" s="215"/>
      <c r="QK28" s="215"/>
      <c r="QL28" s="215"/>
      <c r="QM28" s="215"/>
      <c r="QN28" s="215"/>
      <c r="QO28" s="215"/>
      <c r="QP28" s="215"/>
      <c r="QQ28" s="215"/>
      <c r="QR28" s="215"/>
      <c r="QS28" s="215"/>
      <c r="QT28" s="215"/>
      <c r="QU28" s="215"/>
      <c r="QV28" s="215"/>
      <c r="QW28" s="215"/>
      <c r="QX28" s="215"/>
      <c r="QY28" s="215"/>
      <c r="QZ28" s="215"/>
      <c r="RA28" s="215"/>
      <c r="RB28" s="215"/>
      <c r="RC28" s="215"/>
      <c r="RD28" s="215"/>
      <c r="RE28" s="215"/>
      <c r="RF28" s="215"/>
      <c r="RG28" s="215"/>
      <c r="RH28" s="215"/>
      <c r="RI28" s="215"/>
      <c r="RJ28" s="215"/>
      <c r="RK28" s="215"/>
      <c r="RL28" s="215"/>
      <c r="RM28" s="215"/>
      <c r="RN28" s="215"/>
      <c r="RO28" s="215"/>
      <c r="RP28" s="215"/>
      <c r="RQ28" s="215"/>
      <c r="RR28" s="215"/>
      <c r="RS28" s="215"/>
      <c r="RT28" s="215"/>
      <c r="RU28" s="215"/>
      <c r="RV28" s="215"/>
      <c r="RW28" s="215"/>
      <c r="RX28" s="215"/>
      <c r="RY28" s="215"/>
      <c r="RZ28" s="215"/>
      <c r="SA28" s="215"/>
      <c r="SB28" s="215"/>
      <c r="SC28" s="215"/>
      <c r="SD28" s="215"/>
      <c r="SE28" s="215"/>
      <c r="SF28" s="215"/>
      <c r="SG28" s="215"/>
      <c r="SH28" s="215"/>
      <c r="SI28" s="215"/>
      <c r="SJ28" s="215"/>
      <c r="SK28" s="215"/>
      <c r="SL28" s="215"/>
      <c r="SM28" s="215"/>
      <c r="SN28" s="215"/>
      <c r="SO28" s="215"/>
      <c r="SP28" s="215"/>
      <c r="SQ28" s="215"/>
      <c r="SR28" s="215"/>
      <c r="SS28" s="215"/>
      <c r="ST28" s="215"/>
      <c r="SU28" s="215"/>
      <c r="SV28" s="215"/>
      <c r="SW28" s="215"/>
      <c r="SX28" s="215"/>
      <c r="SY28" s="215"/>
      <c r="SZ28" s="215"/>
      <c r="TA28" s="215"/>
      <c r="TB28" s="215"/>
      <c r="TC28" s="215"/>
      <c r="TD28" s="215"/>
      <c r="TE28" s="215"/>
      <c r="TF28" s="215"/>
      <c r="TG28" s="215"/>
      <c r="TH28" s="215"/>
      <c r="TI28" s="215"/>
      <c r="TJ28" s="215"/>
      <c r="TK28" s="215"/>
      <c r="TL28" s="215"/>
      <c r="TM28" s="215"/>
      <c r="TN28" s="215"/>
      <c r="TO28" s="215"/>
      <c r="TP28" s="215"/>
      <c r="TQ28" s="215"/>
      <c r="TR28" s="215"/>
      <c r="TS28" s="215"/>
      <c r="TT28" s="215"/>
      <c r="TU28" s="215"/>
      <c r="TV28" s="215"/>
      <c r="TW28" s="215"/>
      <c r="TX28" s="215"/>
      <c r="TY28" s="215"/>
      <c r="TZ28" s="215"/>
      <c r="UA28" s="215"/>
      <c r="UB28" s="215"/>
      <c r="UC28" s="215"/>
      <c r="UD28" s="215"/>
      <c r="UE28" s="215"/>
      <c r="UF28" s="215"/>
      <c r="UG28" s="215"/>
      <c r="UH28" s="215"/>
      <c r="UI28" s="215"/>
      <c r="UJ28" s="215"/>
      <c r="UK28" s="215"/>
      <c r="UL28" s="215"/>
      <c r="UM28" s="215"/>
      <c r="UN28" s="215"/>
      <c r="UO28" s="215"/>
      <c r="UP28" s="215"/>
      <c r="UQ28" s="215"/>
      <c r="UR28" s="215"/>
      <c r="US28" s="215"/>
      <c r="UT28" s="215"/>
      <c r="UU28" s="215"/>
      <c r="UV28" s="215"/>
      <c r="UW28" s="215"/>
      <c r="UX28" s="215"/>
      <c r="UY28" s="215"/>
      <c r="UZ28" s="215"/>
      <c r="VA28" s="215"/>
      <c r="VB28" s="215"/>
      <c r="VC28" s="215"/>
      <c r="VD28" s="215"/>
      <c r="VE28" s="215"/>
      <c r="VF28" s="215"/>
      <c r="VG28" s="215"/>
      <c r="VH28" s="215"/>
      <c r="VI28" s="215"/>
      <c r="VJ28" s="215"/>
      <c r="VK28" s="215"/>
      <c r="VL28" s="215"/>
      <c r="VM28" s="215"/>
      <c r="VN28" s="215"/>
      <c r="VO28" s="215"/>
      <c r="VP28" s="215"/>
      <c r="VQ28" s="215"/>
      <c r="VR28" s="215"/>
      <c r="VS28" s="215"/>
      <c r="VT28" s="215"/>
      <c r="VU28" s="215"/>
      <c r="VV28" s="215"/>
      <c r="VW28" s="215"/>
      <c r="VX28" s="215"/>
      <c r="VY28" s="215"/>
      <c r="VZ28" s="215"/>
      <c r="WA28" s="215"/>
      <c r="WB28" s="215"/>
      <c r="WC28" s="215"/>
      <c r="WD28" s="215"/>
      <c r="WE28" s="215"/>
      <c r="WF28" s="215"/>
      <c r="WG28" s="215"/>
      <c r="WH28" s="215"/>
      <c r="WI28" s="215"/>
      <c r="WJ28" s="215"/>
      <c r="WK28" s="215"/>
      <c r="WL28" s="215"/>
      <c r="WM28" s="215"/>
      <c r="WN28" s="215"/>
      <c r="WO28" s="215"/>
      <c r="WP28" s="215"/>
      <c r="WQ28" s="215"/>
      <c r="WR28" s="215"/>
      <c r="WS28" s="215"/>
      <c r="WT28" s="215"/>
      <c r="WU28" s="215"/>
      <c r="WV28" s="215"/>
      <c r="WW28" s="215"/>
      <c r="WX28" s="215"/>
      <c r="WY28" s="215"/>
      <c r="WZ28" s="215"/>
      <c r="XA28" s="215"/>
      <c r="XB28" s="215"/>
      <c r="XC28" s="215"/>
      <c r="XD28" s="215"/>
      <c r="XE28" s="215"/>
      <c r="XF28" s="215"/>
      <c r="XG28" s="215"/>
      <c r="XH28" s="215"/>
      <c r="XI28" s="215"/>
      <c r="XJ28" s="215"/>
      <c r="XK28" s="215"/>
      <c r="XL28" s="215"/>
      <c r="XM28" s="215"/>
      <c r="XN28" s="215"/>
      <c r="XO28" s="215"/>
      <c r="XP28" s="215"/>
      <c r="XQ28" s="215"/>
      <c r="XR28" s="215"/>
      <c r="XS28" s="215"/>
      <c r="XT28" s="215"/>
      <c r="XU28" s="215"/>
      <c r="XV28" s="215"/>
      <c r="XW28" s="215"/>
      <c r="XX28" s="215"/>
      <c r="XY28" s="215"/>
      <c r="XZ28" s="215"/>
      <c r="YA28" s="215"/>
      <c r="YB28" s="215"/>
      <c r="YC28" s="215"/>
      <c r="YD28" s="215"/>
      <c r="YE28" s="215"/>
      <c r="YF28" s="215"/>
      <c r="YG28" s="215"/>
      <c r="YH28" s="215"/>
      <c r="YI28" s="215"/>
      <c r="YJ28" s="215"/>
      <c r="YK28" s="215"/>
      <c r="YL28" s="215"/>
      <c r="YM28" s="215"/>
      <c r="YN28" s="215"/>
      <c r="YO28" s="215"/>
      <c r="YP28" s="215"/>
      <c r="YQ28" s="215"/>
      <c r="YR28" s="215"/>
      <c r="YS28" s="215"/>
      <c r="YT28" s="215"/>
      <c r="YU28" s="215"/>
      <c r="YV28" s="215"/>
      <c r="YW28" s="215"/>
      <c r="YX28" s="215"/>
      <c r="YY28" s="215"/>
      <c r="YZ28" s="215"/>
      <c r="ZA28" s="215"/>
      <c r="ZB28" s="215"/>
      <c r="ZC28" s="215"/>
      <c r="ZD28" s="215"/>
      <c r="ZE28" s="215"/>
      <c r="ZF28" s="215"/>
      <c r="ZG28" s="215"/>
      <c r="ZH28" s="215"/>
      <c r="ZI28" s="215"/>
      <c r="ZJ28" s="215"/>
      <c r="ZK28" s="215"/>
      <c r="ZL28" s="215"/>
      <c r="ZM28" s="215"/>
      <c r="ZN28" s="215"/>
      <c r="ZO28" s="215"/>
      <c r="ZP28" s="215"/>
      <c r="ZQ28" s="215"/>
      <c r="ZR28" s="215"/>
      <c r="ZS28" s="215"/>
      <c r="ZT28" s="215"/>
      <c r="ZU28" s="215"/>
      <c r="ZV28" s="215"/>
      <c r="ZW28" s="215"/>
      <c r="ZX28" s="215"/>
      <c r="ZY28" s="215"/>
      <c r="ZZ28" s="215"/>
      <c r="AAA28" s="215"/>
      <c r="AAB28" s="215"/>
      <c r="AAC28" s="215"/>
      <c r="AAD28" s="215"/>
      <c r="AAE28" s="215"/>
      <c r="AAF28" s="215"/>
      <c r="AAG28" s="215"/>
      <c r="AAH28" s="215"/>
      <c r="AAI28" s="215"/>
      <c r="AAJ28" s="215"/>
      <c r="AAK28" s="215"/>
      <c r="AAL28" s="215"/>
      <c r="AAM28" s="215"/>
      <c r="AAN28" s="215"/>
      <c r="AAO28" s="215"/>
      <c r="AAP28" s="215"/>
      <c r="AAQ28" s="215"/>
      <c r="AAR28" s="215"/>
      <c r="AAS28" s="215"/>
      <c r="AAT28" s="215"/>
      <c r="AAU28" s="215"/>
      <c r="AAV28" s="215"/>
      <c r="AAW28" s="215"/>
      <c r="AAX28" s="215"/>
      <c r="AAY28" s="215"/>
      <c r="AAZ28" s="215"/>
      <c r="ABA28" s="215"/>
      <c r="ABB28" s="215"/>
      <c r="ABC28" s="215"/>
      <c r="ABD28" s="215"/>
      <c r="ABE28" s="215"/>
      <c r="ABF28" s="215"/>
      <c r="ABG28" s="215"/>
      <c r="ABH28" s="215"/>
      <c r="ABI28" s="215"/>
      <c r="ABJ28" s="215"/>
      <c r="ABK28" s="215"/>
      <c r="ABL28" s="215"/>
      <c r="ABM28" s="215"/>
      <c r="ABN28" s="215"/>
      <c r="ABO28" s="215"/>
      <c r="ABP28" s="215"/>
      <c r="ABQ28" s="215"/>
      <c r="ABR28" s="215"/>
      <c r="ABS28" s="215"/>
      <c r="ABT28" s="215"/>
      <c r="ABU28" s="215"/>
      <c r="ABV28" s="215"/>
      <c r="ABW28" s="215"/>
      <c r="ABX28" s="215"/>
      <c r="ABY28" s="215"/>
      <c r="ABZ28" s="215"/>
      <c r="ACA28" s="215"/>
      <c r="ACB28" s="215"/>
      <c r="ACC28" s="215"/>
      <c r="ACD28" s="215"/>
      <c r="ACE28" s="215"/>
      <c r="ACF28" s="215"/>
      <c r="ACG28" s="215"/>
      <c r="ACH28" s="215"/>
      <c r="ACI28" s="215"/>
      <c r="ACJ28" s="215"/>
      <c r="ACK28" s="215"/>
      <c r="ACL28" s="215"/>
      <c r="ACM28" s="215"/>
      <c r="ACN28" s="215"/>
      <c r="ACO28" s="215"/>
      <c r="ACP28" s="215"/>
      <c r="ACQ28" s="215"/>
      <c r="ACR28" s="215"/>
      <c r="ACS28" s="215"/>
      <c r="ACT28" s="215"/>
      <c r="ACU28" s="215"/>
      <c r="ACV28" s="215"/>
      <c r="ACW28" s="215"/>
      <c r="ACX28" s="215"/>
      <c r="ACY28" s="215"/>
      <c r="ACZ28" s="215"/>
      <c r="ADA28" s="215"/>
      <c r="ADB28" s="215"/>
      <c r="ADC28" s="215"/>
      <c r="ADD28" s="215"/>
      <c r="ADE28" s="215"/>
      <c r="ADF28" s="215"/>
      <c r="ADG28" s="215"/>
      <c r="ADH28" s="215"/>
      <c r="ADI28" s="215"/>
      <c r="ADJ28" s="215"/>
      <c r="ADK28" s="215"/>
      <c r="ADL28" s="215"/>
      <c r="ADM28" s="215"/>
      <c r="ADN28" s="215"/>
      <c r="ADO28" s="215"/>
      <c r="ADP28" s="215"/>
      <c r="ADQ28" s="215"/>
      <c r="ADR28" s="215"/>
      <c r="ADS28" s="215"/>
      <c r="ADT28" s="215"/>
      <c r="ADU28" s="215"/>
      <c r="ADV28" s="215"/>
      <c r="ADW28" s="215"/>
      <c r="ADX28" s="215"/>
      <c r="ADY28" s="215"/>
      <c r="ADZ28" s="215"/>
      <c r="AEA28" s="215"/>
      <c r="AEB28" s="215"/>
      <c r="AEC28" s="215"/>
      <c r="AED28" s="215"/>
      <c r="AEE28" s="215"/>
      <c r="AEF28" s="215"/>
      <c r="AEG28" s="215"/>
      <c r="AEH28" s="215"/>
      <c r="AEI28" s="215"/>
      <c r="AEJ28" s="215"/>
      <c r="AEK28" s="215"/>
      <c r="AEL28" s="215"/>
      <c r="AEM28" s="215"/>
      <c r="AEN28" s="215"/>
      <c r="AEO28" s="215"/>
      <c r="AEP28" s="215"/>
      <c r="AEQ28" s="215"/>
      <c r="AER28" s="215"/>
      <c r="AES28" s="215"/>
      <c r="AET28" s="215"/>
      <c r="AEU28" s="215"/>
      <c r="AEV28" s="215"/>
      <c r="AEW28" s="215"/>
      <c r="AEX28" s="215"/>
      <c r="AEY28" s="215"/>
      <c r="AEZ28" s="215"/>
      <c r="AFA28" s="215"/>
      <c r="AFB28" s="215"/>
      <c r="AFC28" s="215"/>
      <c r="AFD28" s="215"/>
      <c r="AFE28" s="215"/>
      <c r="AFF28" s="215"/>
      <c r="AFG28" s="215"/>
      <c r="AFH28" s="215"/>
      <c r="AFI28" s="215"/>
      <c r="AFJ28" s="215"/>
      <c r="AFK28" s="215"/>
      <c r="AFL28" s="215"/>
      <c r="AFM28" s="215"/>
      <c r="AFN28" s="215"/>
      <c r="AFO28" s="215"/>
      <c r="AFP28" s="215"/>
      <c r="AFQ28" s="215"/>
      <c r="AFR28" s="215"/>
      <c r="AFS28" s="215"/>
      <c r="AFT28" s="215"/>
      <c r="AFU28" s="215"/>
      <c r="AFV28" s="215"/>
      <c r="AFW28" s="215"/>
      <c r="AFX28" s="215"/>
      <c r="AFY28" s="215"/>
      <c r="AFZ28" s="215"/>
      <c r="AGA28" s="215"/>
      <c r="AGB28" s="215"/>
      <c r="AGC28" s="215"/>
      <c r="AGD28" s="215"/>
      <c r="AGE28" s="215"/>
      <c r="AGF28" s="215"/>
      <c r="AGG28" s="215"/>
      <c r="AGH28" s="215"/>
      <c r="AGI28" s="215"/>
      <c r="AGJ28" s="215"/>
      <c r="AGK28" s="215"/>
      <c r="AGL28" s="215"/>
      <c r="AGM28" s="215"/>
      <c r="AGN28" s="215"/>
      <c r="AGO28" s="215"/>
      <c r="AGP28" s="215"/>
      <c r="AGQ28" s="215"/>
      <c r="AGR28" s="215"/>
      <c r="AGS28" s="215"/>
      <c r="AGT28" s="215"/>
      <c r="AGU28" s="215"/>
      <c r="AGV28" s="215"/>
      <c r="AGW28" s="215"/>
      <c r="AGX28" s="215"/>
      <c r="AGY28" s="215"/>
      <c r="AGZ28" s="215"/>
      <c r="AHA28" s="215"/>
      <c r="AHB28" s="215"/>
      <c r="AHC28" s="215"/>
      <c r="AHD28" s="215"/>
      <c r="AHE28" s="215"/>
      <c r="AHF28" s="215"/>
      <c r="AHG28" s="215"/>
      <c r="AHH28" s="215"/>
      <c r="AHI28" s="215"/>
      <c r="AHJ28" s="215"/>
      <c r="AHK28" s="215"/>
      <c r="AHL28" s="215"/>
      <c r="AHM28" s="215"/>
      <c r="AHN28" s="215"/>
      <c r="AHO28" s="215"/>
      <c r="AHP28" s="215"/>
      <c r="AHQ28" s="215"/>
      <c r="AHR28" s="215"/>
      <c r="AHS28" s="215"/>
      <c r="AHT28" s="215"/>
      <c r="AHU28" s="215"/>
      <c r="AHV28" s="215"/>
      <c r="AHW28" s="215"/>
      <c r="AHX28" s="215"/>
      <c r="AHY28" s="215"/>
      <c r="AHZ28" s="215"/>
      <c r="AIA28" s="215"/>
      <c r="AIB28" s="215"/>
      <c r="AIC28" s="215"/>
      <c r="AID28" s="215"/>
      <c r="AIE28" s="215"/>
      <c r="AIF28" s="215"/>
      <c r="AIG28" s="215"/>
      <c r="AIH28" s="215"/>
      <c r="AII28" s="215"/>
      <c r="AIJ28" s="215"/>
      <c r="AIK28" s="215"/>
      <c r="AIL28" s="215"/>
      <c r="AIM28" s="215"/>
      <c r="AIN28" s="215"/>
      <c r="AIO28" s="215"/>
      <c r="AIP28" s="215"/>
      <c r="AIQ28" s="215"/>
      <c r="AIR28" s="215"/>
      <c r="AIS28" s="215"/>
      <c r="AIT28" s="215"/>
      <c r="AIU28" s="215"/>
      <c r="AIV28" s="215"/>
      <c r="AIW28" s="215"/>
      <c r="AIX28" s="215"/>
      <c r="AIY28" s="215"/>
      <c r="AIZ28" s="215"/>
      <c r="AJA28" s="215"/>
      <c r="AJB28" s="215"/>
      <c r="AJC28" s="215"/>
      <c r="AJD28" s="215"/>
      <c r="AJE28" s="215"/>
      <c r="AJF28" s="215"/>
      <c r="AJG28" s="215"/>
      <c r="AJH28" s="215"/>
      <c r="AJI28" s="215"/>
      <c r="AJJ28" s="215"/>
      <c r="AJK28" s="215"/>
      <c r="AJL28" s="215"/>
      <c r="AJM28" s="215"/>
      <c r="AJN28" s="215"/>
      <c r="AJO28" s="215"/>
      <c r="AJP28" s="215"/>
      <c r="AJQ28" s="215"/>
      <c r="AJR28" s="215"/>
      <c r="AJS28" s="215"/>
      <c r="AJT28" s="215"/>
      <c r="AJU28" s="215"/>
      <c r="AJV28" s="215"/>
      <c r="AJW28" s="215"/>
      <c r="AJX28" s="215"/>
      <c r="AJY28" s="215"/>
      <c r="AJZ28" s="215"/>
      <c r="AKA28" s="215"/>
      <c r="AKB28" s="215"/>
      <c r="AKC28" s="215"/>
      <c r="AKD28" s="215"/>
      <c r="AKE28" s="215"/>
      <c r="AKF28" s="215"/>
      <c r="AKG28" s="215"/>
      <c r="AKH28" s="215"/>
      <c r="AKI28" s="215"/>
      <c r="AKJ28" s="215"/>
      <c r="AKK28" s="215"/>
      <c r="AKL28" s="215"/>
      <c r="AKM28" s="215"/>
      <c r="AKN28" s="215"/>
      <c r="AKO28" s="215"/>
      <c r="AKP28" s="215"/>
      <c r="AKQ28" s="215"/>
      <c r="AKR28" s="215"/>
      <c r="AKS28" s="215"/>
      <c r="AKT28" s="215"/>
      <c r="AKU28" s="215"/>
      <c r="AKV28" s="215"/>
      <c r="AKW28" s="215"/>
      <c r="AKX28" s="215"/>
      <c r="AKY28" s="215"/>
      <c r="AKZ28" s="215"/>
      <c r="ALA28" s="215"/>
      <c r="ALB28" s="215"/>
      <c r="ALC28" s="215"/>
      <c r="ALD28" s="215"/>
      <c r="ALE28" s="215"/>
      <c r="ALF28" s="215"/>
      <c r="ALG28" s="215"/>
      <c r="ALH28" s="215"/>
      <c r="ALI28" s="215"/>
      <c r="ALJ28" s="215"/>
      <c r="ALK28" s="215"/>
      <c r="ALL28" s="215"/>
      <c r="ALM28" s="215"/>
      <c r="ALN28" s="215"/>
      <c r="ALO28" s="215"/>
      <c r="ALP28" s="215"/>
      <c r="ALQ28" s="215"/>
      <c r="ALR28" s="215"/>
      <c r="ALS28" s="215"/>
      <c r="ALT28" s="215"/>
      <c r="ALU28" s="215"/>
      <c r="ALV28" s="215"/>
      <c r="ALW28" s="215"/>
      <c r="ALX28" s="215"/>
      <c r="ALY28" s="215"/>
      <c r="ALZ28" s="215"/>
      <c r="AMA28" s="215"/>
      <c r="AMB28" s="215"/>
      <c r="AMC28" s="215"/>
      <c r="AMD28" s="215"/>
      <c r="AME28" s="215"/>
      <c r="AMF28" s="215"/>
      <c r="AMG28" s="215"/>
      <c r="AMH28" s="215"/>
      <c r="AMI28" s="215"/>
      <c r="AMJ28" s="215"/>
      <c r="AMK28" s="215"/>
      <c r="AML28" s="215"/>
      <c r="AMM28" s="215"/>
      <c r="AMN28" s="215"/>
      <c r="AMO28" s="215"/>
      <c r="AMP28" s="215"/>
      <c r="AMQ28" s="215"/>
      <c r="AMR28" s="215"/>
      <c r="AMS28" s="215"/>
      <c r="AMT28" s="215"/>
      <c r="AMU28" s="215"/>
      <c r="AMV28" s="215"/>
      <c r="AMW28" s="215"/>
      <c r="AMX28" s="215"/>
      <c r="AMY28" s="215"/>
      <c r="AMZ28" s="215"/>
      <c r="ANA28" s="215"/>
      <c r="ANB28" s="215"/>
      <c r="ANC28" s="215"/>
      <c r="AND28" s="215"/>
      <c r="ANE28" s="215"/>
      <c r="ANF28" s="215"/>
      <c r="ANG28" s="215"/>
      <c r="ANH28" s="215"/>
      <c r="ANI28" s="215"/>
      <c r="ANJ28" s="215"/>
      <c r="ANK28" s="215"/>
      <c r="ANL28" s="215"/>
      <c r="ANM28" s="215"/>
      <c r="ANN28" s="215"/>
      <c r="ANO28" s="215"/>
      <c r="ANP28" s="215"/>
      <c r="ANQ28" s="215"/>
      <c r="ANR28" s="215"/>
      <c r="ANS28" s="215"/>
      <c r="ANT28" s="215"/>
      <c r="ANU28" s="215"/>
      <c r="ANV28" s="215"/>
      <c r="ANW28" s="215"/>
      <c r="ANX28" s="215"/>
      <c r="ANY28" s="215"/>
      <c r="ANZ28" s="215"/>
      <c r="AOA28" s="215"/>
      <c r="AOB28" s="215"/>
      <c r="AOC28" s="215"/>
      <c r="AOD28" s="215"/>
      <c r="AOE28" s="215"/>
      <c r="AOF28" s="215"/>
      <c r="AOG28" s="215"/>
      <c r="AOH28" s="215"/>
      <c r="AOI28" s="215"/>
      <c r="AOJ28" s="215"/>
      <c r="AOK28" s="215"/>
      <c r="AOL28" s="215"/>
      <c r="AOM28" s="215"/>
      <c r="AON28" s="215"/>
      <c r="AOO28" s="215"/>
      <c r="AOP28" s="215"/>
      <c r="AOQ28" s="215"/>
      <c r="AOR28" s="215"/>
      <c r="AOS28" s="215"/>
      <c r="AOT28" s="215"/>
      <c r="AOU28" s="215"/>
      <c r="AOV28" s="215"/>
      <c r="AOW28" s="215"/>
      <c r="AOX28" s="215"/>
      <c r="AOY28" s="215"/>
      <c r="AOZ28" s="215"/>
      <c r="APA28" s="215"/>
      <c r="APB28" s="215"/>
      <c r="APC28" s="215"/>
      <c r="APD28" s="215"/>
      <c r="APE28" s="215"/>
      <c r="APF28" s="215"/>
      <c r="APG28" s="215"/>
      <c r="APH28" s="215"/>
      <c r="API28" s="215"/>
      <c r="APJ28" s="215"/>
      <c r="APK28" s="215"/>
      <c r="APL28" s="215"/>
      <c r="APM28" s="215"/>
      <c r="APN28" s="215"/>
      <c r="APO28" s="215"/>
      <c r="APP28" s="215"/>
      <c r="APQ28" s="215"/>
      <c r="APR28" s="215"/>
      <c r="APS28" s="215"/>
      <c r="APT28" s="215"/>
      <c r="APU28" s="215"/>
      <c r="APV28" s="215"/>
      <c r="APW28" s="215"/>
      <c r="APX28" s="215"/>
      <c r="APY28" s="215"/>
      <c r="APZ28" s="215"/>
      <c r="AQA28" s="215"/>
      <c r="AQB28" s="215"/>
      <c r="AQC28" s="215"/>
      <c r="AQD28" s="215"/>
      <c r="AQE28" s="215"/>
      <c r="AQF28" s="215"/>
      <c r="AQG28" s="215"/>
      <c r="AQH28" s="215"/>
      <c r="AQI28" s="215"/>
      <c r="AQJ28" s="215"/>
      <c r="AQK28" s="215"/>
      <c r="AQL28" s="215"/>
      <c r="AQM28" s="215"/>
      <c r="AQN28" s="215"/>
      <c r="AQO28" s="215"/>
      <c r="AQP28" s="215"/>
      <c r="AQQ28" s="215"/>
      <c r="AQR28" s="215"/>
      <c r="AQS28" s="215"/>
      <c r="AQT28" s="215"/>
      <c r="AQU28" s="215"/>
      <c r="AQV28" s="215"/>
      <c r="AQW28" s="215"/>
      <c r="AQX28" s="215"/>
      <c r="AQY28" s="215"/>
      <c r="AQZ28" s="215"/>
      <c r="ARA28" s="215"/>
      <c r="ARB28" s="215"/>
      <c r="ARC28" s="215"/>
      <c r="ARD28" s="215"/>
      <c r="ARE28" s="215"/>
      <c r="ARF28" s="215"/>
      <c r="ARG28" s="215"/>
      <c r="ARH28" s="215"/>
      <c r="ARI28" s="215"/>
      <c r="ARJ28" s="215"/>
      <c r="ARK28" s="215"/>
      <c r="ARL28" s="215"/>
      <c r="ARM28" s="215"/>
      <c r="ARN28" s="215"/>
      <c r="ARO28" s="215"/>
      <c r="ARP28" s="215"/>
      <c r="ARQ28" s="215"/>
      <c r="ARR28" s="215"/>
      <c r="ARS28" s="215"/>
      <c r="ART28" s="215"/>
      <c r="ARU28" s="215"/>
      <c r="ARV28" s="215"/>
      <c r="ARW28" s="215"/>
      <c r="ARX28" s="215"/>
      <c r="ARY28" s="215"/>
      <c r="ARZ28" s="215"/>
      <c r="ASA28" s="215"/>
      <c r="ASB28" s="215"/>
      <c r="ASC28" s="215"/>
      <c r="ASD28" s="215"/>
      <c r="ASE28" s="215"/>
      <c r="ASF28" s="215"/>
      <c r="ASG28" s="215"/>
      <c r="ASH28" s="215"/>
      <c r="ASI28" s="215"/>
      <c r="ASJ28" s="215"/>
      <c r="ASK28" s="215"/>
      <c r="ASL28" s="215"/>
      <c r="ASM28" s="215"/>
      <c r="ASN28" s="215"/>
      <c r="ASO28" s="215"/>
      <c r="ASP28" s="215"/>
      <c r="ASQ28" s="215"/>
      <c r="ASR28" s="215"/>
      <c r="ASS28" s="215"/>
      <c r="AST28" s="215"/>
      <c r="ASU28" s="215"/>
      <c r="ASV28" s="215"/>
      <c r="ASW28" s="215"/>
      <c r="ASX28" s="215"/>
      <c r="ASY28" s="215"/>
      <c r="ASZ28" s="215"/>
      <c r="ATA28" s="215"/>
      <c r="ATB28" s="215"/>
      <c r="ATC28" s="215"/>
      <c r="ATD28" s="215"/>
      <c r="ATE28" s="215"/>
      <c r="ATF28" s="215"/>
      <c r="ATG28" s="215"/>
      <c r="ATH28" s="215"/>
      <c r="ATI28" s="215"/>
      <c r="ATJ28" s="215"/>
      <c r="ATK28" s="215"/>
      <c r="ATL28" s="215"/>
      <c r="ATM28" s="215"/>
      <c r="ATN28" s="215"/>
      <c r="ATO28" s="215"/>
      <c r="ATP28" s="215"/>
      <c r="ATQ28" s="215"/>
      <c r="ATR28" s="215"/>
      <c r="ATS28" s="215"/>
      <c r="ATT28" s="215"/>
      <c r="ATU28" s="215"/>
      <c r="ATV28" s="215"/>
      <c r="ATW28" s="215"/>
      <c r="ATX28" s="215"/>
      <c r="ATY28" s="215"/>
      <c r="ATZ28" s="215"/>
      <c r="AUA28" s="215"/>
      <c r="AUB28" s="215"/>
      <c r="AUC28" s="215"/>
      <c r="AUD28" s="215"/>
      <c r="AUE28" s="215"/>
      <c r="AUF28" s="215"/>
      <c r="AUG28" s="215"/>
      <c r="AUH28" s="215"/>
      <c r="AUI28" s="215"/>
      <c r="AUJ28" s="215"/>
      <c r="AUK28" s="215"/>
      <c r="AUL28" s="215"/>
      <c r="AUM28" s="215"/>
      <c r="AUN28" s="215"/>
      <c r="AUO28" s="215"/>
      <c r="AUP28" s="215"/>
      <c r="AUQ28" s="215"/>
      <c r="AUR28" s="215"/>
      <c r="AUS28" s="215"/>
      <c r="AUT28" s="215"/>
      <c r="AUU28" s="215"/>
      <c r="AUV28" s="215"/>
      <c r="AUW28" s="215"/>
      <c r="AUX28" s="215"/>
      <c r="AUY28" s="215"/>
      <c r="AUZ28" s="215"/>
      <c r="AVA28" s="215"/>
      <c r="AVB28" s="215"/>
      <c r="AVC28" s="215"/>
      <c r="AVD28" s="215"/>
      <c r="AVE28" s="215"/>
      <c r="AVF28" s="215"/>
      <c r="AVG28" s="215"/>
      <c r="AVH28" s="215"/>
      <c r="AVI28" s="215"/>
      <c r="AVJ28" s="215"/>
      <c r="AVK28" s="215"/>
      <c r="AVL28" s="215"/>
      <c r="AVM28" s="215"/>
      <c r="AVN28" s="215"/>
      <c r="AVO28" s="215"/>
      <c r="AVP28" s="215"/>
      <c r="AVQ28" s="215"/>
      <c r="AVR28" s="215"/>
      <c r="AVS28" s="215"/>
      <c r="AVT28" s="215"/>
      <c r="AVU28" s="215"/>
      <c r="AVV28" s="215"/>
      <c r="AVW28" s="215"/>
      <c r="AVX28" s="215"/>
      <c r="AVY28" s="215"/>
      <c r="AVZ28" s="215"/>
      <c r="AWA28" s="215"/>
      <c r="AWB28" s="215"/>
      <c r="AWC28" s="215"/>
      <c r="AWD28" s="215"/>
      <c r="AWE28" s="215"/>
      <c r="AWF28" s="215"/>
      <c r="AWG28" s="215"/>
      <c r="AWH28" s="215"/>
      <c r="AWI28" s="215"/>
      <c r="AWJ28" s="215"/>
      <c r="AWK28" s="215"/>
      <c r="AWL28" s="215"/>
      <c r="AWM28" s="215"/>
      <c r="AWN28" s="215"/>
      <c r="AWO28" s="215"/>
      <c r="AWP28" s="215"/>
      <c r="AWQ28" s="215"/>
      <c r="AWR28" s="215"/>
      <c r="AWS28" s="215"/>
      <c r="AWT28" s="215"/>
      <c r="AWU28" s="215"/>
      <c r="AWV28" s="215"/>
      <c r="AWW28" s="215"/>
      <c r="AWX28" s="215"/>
      <c r="AWY28" s="215"/>
      <c r="AWZ28" s="215"/>
      <c r="AXA28" s="215"/>
      <c r="AXB28" s="215"/>
      <c r="AXC28" s="215"/>
      <c r="AXD28" s="215"/>
      <c r="AXE28" s="215"/>
      <c r="AXF28" s="215"/>
      <c r="AXG28" s="215"/>
      <c r="AXH28" s="215"/>
      <c r="AXI28" s="215"/>
      <c r="AXJ28" s="215"/>
      <c r="AXK28" s="215"/>
      <c r="AXL28" s="215"/>
      <c r="AXM28" s="215"/>
      <c r="AXN28" s="215"/>
      <c r="AXO28" s="215"/>
      <c r="AXP28" s="215"/>
      <c r="AXQ28" s="215"/>
      <c r="AXR28" s="215"/>
      <c r="AXS28" s="215"/>
      <c r="AXT28" s="215"/>
      <c r="AXU28" s="215"/>
      <c r="AXV28" s="215"/>
      <c r="AXW28" s="215"/>
      <c r="AXX28" s="215"/>
      <c r="AXY28" s="215"/>
      <c r="AXZ28" s="215"/>
      <c r="AYA28" s="215"/>
      <c r="AYB28" s="215"/>
      <c r="AYC28" s="215"/>
      <c r="AYD28" s="215"/>
      <c r="AYE28" s="215"/>
      <c r="AYF28" s="215"/>
      <c r="AYG28" s="215"/>
      <c r="AYH28" s="215"/>
      <c r="AYI28" s="215"/>
      <c r="AYJ28" s="215"/>
      <c r="AYK28" s="215"/>
      <c r="AYL28" s="215"/>
      <c r="AYM28" s="215"/>
      <c r="AYN28" s="215"/>
      <c r="AYO28" s="215"/>
      <c r="AYP28" s="215"/>
      <c r="AYQ28" s="215"/>
      <c r="AYR28" s="215"/>
      <c r="AYS28" s="215"/>
      <c r="AYT28" s="215"/>
      <c r="AYU28" s="215"/>
      <c r="AYV28" s="215"/>
      <c r="AYW28" s="215"/>
      <c r="AYX28" s="215"/>
      <c r="AYY28" s="215"/>
      <c r="AYZ28" s="215"/>
      <c r="AZA28" s="215"/>
      <c r="AZB28" s="215"/>
      <c r="AZC28" s="215"/>
      <c r="AZD28" s="215"/>
      <c r="AZE28" s="215"/>
      <c r="AZF28" s="215"/>
      <c r="AZG28" s="215"/>
      <c r="AZH28" s="215"/>
      <c r="AZI28" s="215"/>
      <c r="AZJ28" s="215"/>
      <c r="AZK28" s="215"/>
      <c r="AZL28" s="215"/>
      <c r="AZM28" s="215"/>
      <c r="AZN28" s="215"/>
      <c r="AZO28" s="215"/>
      <c r="AZP28" s="215"/>
      <c r="AZQ28" s="215"/>
      <c r="AZR28" s="215"/>
      <c r="AZS28" s="215"/>
      <c r="AZT28" s="215"/>
      <c r="AZU28" s="215"/>
      <c r="AZV28" s="215"/>
      <c r="AZW28" s="215"/>
      <c r="AZX28" s="215"/>
      <c r="AZY28" s="215"/>
      <c r="AZZ28" s="215"/>
      <c r="BAA28" s="215"/>
      <c r="BAB28" s="215"/>
      <c r="BAC28" s="215"/>
      <c r="BAD28" s="215"/>
      <c r="BAE28" s="215"/>
      <c r="BAF28" s="215"/>
      <c r="BAG28" s="215"/>
      <c r="BAH28" s="215"/>
      <c r="BAI28" s="215"/>
      <c r="BAJ28" s="215"/>
      <c r="BAK28" s="215"/>
      <c r="BAL28" s="215"/>
      <c r="BAM28" s="215"/>
      <c r="BAN28" s="215"/>
      <c r="BAO28" s="215"/>
      <c r="BAP28" s="215"/>
      <c r="BAQ28" s="215"/>
      <c r="BAR28" s="215"/>
      <c r="BAS28" s="215"/>
      <c r="BAT28" s="215"/>
      <c r="BAU28" s="215"/>
      <c r="BAV28" s="215"/>
      <c r="BAW28" s="215"/>
      <c r="BAX28" s="215"/>
      <c r="BAY28" s="215"/>
      <c r="BAZ28" s="215"/>
      <c r="BBA28" s="215"/>
      <c r="BBB28" s="215"/>
      <c r="BBC28" s="215"/>
      <c r="BBD28" s="215"/>
      <c r="BBE28" s="215"/>
      <c r="BBF28" s="215"/>
      <c r="BBG28" s="215"/>
      <c r="BBH28" s="215"/>
      <c r="BBI28" s="215"/>
      <c r="BBJ28" s="215"/>
      <c r="BBK28" s="215"/>
      <c r="BBL28" s="215"/>
      <c r="BBM28" s="215"/>
      <c r="BBN28" s="215"/>
      <c r="BBO28" s="215"/>
      <c r="BBP28" s="215"/>
      <c r="BBQ28" s="215"/>
      <c r="BBR28" s="215"/>
      <c r="BBS28" s="215"/>
      <c r="BBT28" s="215"/>
      <c r="BBU28" s="215"/>
      <c r="BBV28" s="215"/>
      <c r="BBW28" s="215"/>
      <c r="BBX28" s="215"/>
      <c r="BBY28" s="215"/>
      <c r="BBZ28" s="215"/>
      <c r="BCA28" s="215"/>
      <c r="BCB28" s="215"/>
      <c r="BCC28" s="215"/>
      <c r="BCD28" s="215"/>
      <c r="BCE28" s="215"/>
      <c r="BCF28" s="215"/>
      <c r="BCG28" s="215"/>
      <c r="BCH28" s="215"/>
      <c r="BCI28" s="215"/>
      <c r="BCJ28" s="215"/>
      <c r="BCK28" s="215"/>
      <c r="BCL28" s="215"/>
      <c r="BCM28" s="215"/>
      <c r="BCN28" s="215"/>
      <c r="BCO28" s="215"/>
      <c r="BCP28" s="215"/>
      <c r="BCQ28" s="215"/>
      <c r="BCR28" s="215"/>
      <c r="BCS28" s="215"/>
      <c r="BCT28" s="215"/>
      <c r="BCU28" s="215"/>
      <c r="BCV28" s="215"/>
      <c r="BCW28" s="215"/>
      <c r="BCX28" s="215"/>
      <c r="BCY28" s="215"/>
      <c r="BCZ28" s="215"/>
      <c r="BDA28" s="215"/>
      <c r="BDB28" s="215"/>
      <c r="BDC28" s="215"/>
      <c r="BDD28" s="215"/>
      <c r="BDE28" s="215"/>
      <c r="BDF28" s="215"/>
      <c r="BDG28" s="215"/>
      <c r="BDH28" s="215"/>
      <c r="BDI28" s="215"/>
      <c r="BDJ28" s="215"/>
      <c r="BDK28" s="215"/>
      <c r="BDL28" s="215"/>
      <c r="BDM28" s="215"/>
      <c r="BDN28" s="215"/>
      <c r="BDO28" s="215"/>
      <c r="BDP28" s="215"/>
      <c r="BDQ28" s="215"/>
      <c r="BDR28" s="215"/>
      <c r="BDS28" s="215"/>
      <c r="BDT28" s="215"/>
      <c r="BDU28" s="215"/>
      <c r="BDV28" s="215"/>
      <c r="BDW28" s="215"/>
      <c r="BDX28" s="215"/>
      <c r="BDY28" s="215"/>
      <c r="BDZ28" s="215"/>
      <c r="BEA28" s="215"/>
      <c r="BEB28" s="215"/>
      <c r="BEC28" s="215"/>
      <c r="BED28" s="215"/>
      <c r="BEE28" s="215"/>
      <c r="BEF28" s="215"/>
      <c r="BEG28" s="215"/>
      <c r="BEH28" s="215"/>
      <c r="BEI28" s="215"/>
      <c r="BEJ28" s="215"/>
      <c r="BEK28" s="215"/>
      <c r="BEL28" s="215"/>
      <c r="BEM28" s="215"/>
      <c r="BEN28" s="215"/>
      <c r="BEO28" s="215"/>
      <c r="BEP28" s="215"/>
      <c r="BEQ28" s="215"/>
      <c r="BER28" s="215"/>
      <c r="BES28" s="215"/>
      <c r="BET28" s="215"/>
      <c r="BEU28" s="215"/>
      <c r="BEV28" s="215"/>
      <c r="BEW28" s="215"/>
      <c r="BEX28" s="215"/>
      <c r="BEY28" s="215"/>
      <c r="BEZ28" s="215"/>
      <c r="BFA28" s="215"/>
      <c r="BFB28" s="215"/>
      <c r="BFC28" s="215"/>
      <c r="BFD28" s="215"/>
      <c r="BFE28" s="215"/>
      <c r="BFF28" s="215"/>
      <c r="BFG28" s="215"/>
      <c r="BFH28" s="215"/>
      <c r="BFI28" s="215"/>
      <c r="BFJ28" s="215"/>
      <c r="BFK28" s="215"/>
      <c r="BFL28" s="215"/>
      <c r="BFM28" s="215"/>
      <c r="BFN28" s="215"/>
      <c r="BFO28" s="215"/>
      <c r="BFP28" s="215"/>
      <c r="BFQ28" s="215"/>
      <c r="BFR28" s="215"/>
      <c r="BFS28" s="215"/>
      <c r="BFT28" s="215"/>
      <c r="BFU28" s="215"/>
      <c r="BFV28" s="215"/>
      <c r="BFW28" s="215"/>
      <c r="BFX28" s="215"/>
      <c r="BFY28" s="215"/>
      <c r="BFZ28" s="215"/>
      <c r="BGA28" s="215"/>
      <c r="BGB28" s="215"/>
      <c r="BGC28" s="215"/>
      <c r="BGD28" s="215"/>
      <c r="BGE28" s="215"/>
      <c r="BGF28" s="215"/>
      <c r="BGG28" s="215"/>
      <c r="BGH28" s="215"/>
      <c r="BGI28" s="215"/>
      <c r="BGJ28" s="215"/>
      <c r="BGK28" s="215"/>
      <c r="BGL28" s="215"/>
      <c r="BGM28" s="215"/>
      <c r="BGN28" s="215"/>
      <c r="BGO28" s="215"/>
      <c r="BGP28" s="215"/>
      <c r="BGQ28" s="215"/>
      <c r="BGR28" s="215"/>
      <c r="BGS28" s="215"/>
      <c r="BGT28" s="215"/>
      <c r="BGU28" s="215"/>
      <c r="BGV28" s="215"/>
      <c r="BGW28" s="215"/>
      <c r="BGX28" s="215"/>
      <c r="BGY28" s="215"/>
      <c r="BGZ28" s="215"/>
      <c r="BHA28" s="215"/>
      <c r="BHB28" s="215"/>
      <c r="BHC28" s="215"/>
      <c r="BHD28" s="215"/>
      <c r="BHE28" s="215"/>
      <c r="BHF28" s="215"/>
      <c r="BHG28" s="215"/>
      <c r="BHH28" s="215"/>
      <c r="BHI28" s="215"/>
      <c r="BHJ28" s="215"/>
      <c r="BHK28" s="215"/>
      <c r="BHL28" s="215"/>
      <c r="BHM28" s="215"/>
      <c r="BHN28" s="215"/>
      <c r="BHO28" s="215"/>
      <c r="BHP28" s="215"/>
      <c r="BHQ28" s="215"/>
      <c r="BHR28" s="215"/>
      <c r="BHS28" s="215"/>
      <c r="BHT28" s="215"/>
      <c r="BHU28" s="215"/>
      <c r="BHV28" s="215"/>
      <c r="BHW28" s="215"/>
    </row>
    <row r="29" spans="1:1583" s="217" customFormat="1" ht="18.75">
      <c r="A29" s="261" t="s">
        <v>236</v>
      </c>
      <c r="B29" s="180" t="s">
        <v>356</v>
      </c>
      <c r="C29" s="416" t="s">
        <v>479</v>
      </c>
      <c r="D29" s="420" t="s">
        <v>546</v>
      </c>
      <c r="E29" s="59" t="s">
        <v>41</v>
      </c>
      <c r="F29" s="132"/>
      <c r="G29" s="60" t="s">
        <v>683</v>
      </c>
      <c r="H29" s="473">
        <f>AVERAGE(I29:AN29)</f>
        <v>14.704783777293375</v>
      </c>
      <c r="I29" s="92">
        <f>VLOOKUP($B29,'DCS Data'!$E$2:$AJ$100,MATCH('Daily Report'!I$1,'DCS Data'!$E$2:$AJ$2,0),0)</f>
        <v>14.791534282679306</v>
      </c>
      <c r="J29" s="255"/>
      <c r="K29" s="92">
        <f>VLOOKUP($B29,'DCS Data'!$E$2:$AJ$100,MATCH('Daily Report'!K$1,'DCS Data'!$E$2:$AJ$2,0),0)</f>
        <v>14.781141305209852</v>
      </c>
      <c r="L29" s="92">
        <f>VLOOKUP($B29,'DCS Data'!$E$2:$AJ$100,MATCH('Daily Report'!L$1,'DCS Data'!$E$2:$AJ$2,0),0)</f>
        <v>14.698187742442059</v>
      </c>
      <c r="M29" s="92">
        <f>VLOOKUP($B29,'DCS Data'!$E$2:$AJ$100,MATCH('Daily Report'!M$1,'DCS Data'!$E$2:$AJ$2,0),0)</f>
        <v>14.754153212578512</v>
      </c>
      <c r="N29" s="92">
        <f>VLOOKUP($B29,'DCS Data'!$E$2:$AJ$100,MATCH('Daily Report'!N$1,'DCS Data'!$E$2:$AJ$2,0),0)</f>
        <v>14.786065259743916</v>
      </c>
      <c r="O29" s="92">
        <f>VLOOKUP($B29,'DCS Data'!$E$2:$AJ$100,MATCH('Daily Report'!O$1,'DCS Data'!$E$2:$AJ$2,0),0)</f>
        <v>14.805844181031743</v>
      </c>
      <c r="P29" s="92">
        <f>VLOOKUP($B29,'DCS Data'!$E$2:$AJ$100,MATCH('Daily Report'!P$1,'DCS Data'!$E$2:$AJ$2,0),0)</f>
        <v>14.789061651706533</v>
      </c>
      <c r="Q29" s="92">
        <f>VLOOKUP($B29,'DCS Data'!$E$2:$AJ$100,MATCH('Daily Report'!Q$1,'DCS Data'!$E$2:$AJ$2,0),0)</f>
        <v>14.748245213837984</v>
      </c>
      <c r="R29" s="92">
        <f>VLOOKUP($B29,'DCS Data'!$E$2:$AJ$100,MATCH('Daily Report'!R$1,'DCS Data'!$E$2:$AJ$2,0),0)</f>
        <v>14.792282877326022</v>
      </c>
      <c r="S29" s="92">
        <f>VLOOKUP($B29,'DCS Data'!$E$2:$AJ$100,MATCH('Daily Report'!S$1,'DCS Data'!$E$2:$AJ$2,0),0)</f>
        <v>14.813198550226064</v>
      </c>
      <c r="T29" s="92">
        <f>VLOOKUP($B29,'DCS Data'!$E$2:$AJ$100,MATCH('Daily Report'!T$1,'DCS Data'!$E$2:$AJ$2,0),0)</f>
        <v>14.813351724861061</v>
      </c>
      <c r="U29" s="92">
        <f>VLOOKUP($B29,'DCS Data'!$E$2:$AJ$100,MATCH('Daily Report'!U$1,'DCS Data'!$E$2:$AJ$2,0),0)</f>
        <v>14.813955771151786</v>
      </c>
      <c r="V29" s="92">
        <f>VLOOKUP($B29,'DCS Data'!$E$2:$AJ$100,MATCH('Daily Report'!V$1,'DCS Data'!$E$2:$AJ$2,0),0)</f>
        <v>14.769624946759572</v>
      </c>
      <c r="W29" s="92">
        <f>VLOOKUP($B29,'DCS Data'!$E$2:$AJ$100,MATCH('Daily Report'!W$1,'DCS Data'!$E$2:$AJ$2,0),0)</f>
        <v>14.72386256169696</v>
      </c>
      <c r="X29" s="92">
        <f>VLOOKUP($B29,'DCS Data'!$E$2:$AJ$100,MATCH('Daily Report'!X$1,'DCS Data'!$E$2:$AJ$2,0),0)</f>
        <v>14.648699492251312</v>
      </c>
      <c r="Y29" s="92">
        <f>VLOOKUP($B29,'DCS Data'!$E$2:$AJ$100,MATCH('Daily Report'!Y$1,'DCS Data'!$E$2:$AJ$2,0),0)</f>
        <v>14.80569244568051</v>
      </c>
      <c r="Z29" s="92">
        <f>VLOOKUP($B29,'DCS Data'!$E$2:$AJ$100,MATCH('Daily Report'!Z$1,'DCS Data'!$E$2:$AJ$2,0),0)</f>
        <v>14.776518393232424</v>
      </c>
      <c r="AA29" s="92">
        <f>VLOOKUP($B29,'DCS Data'!$E$2:$AJ$100,MATCH('Daily Report'!AA$1,'DCS Data'!$E$2:$AJ$2,0),0)</f>
        <v>14.768815766319161</v>
      </c>
      <c r="AB29" s="92">
        <f>VLOOKUP($B29,'DCS Data'!$E$2:$AJ$100,MATCH('Daily Report'!AB$1,'DCS Data'!$E$2:$AJ$2,0),0)</f>
        <v>14.763986374856808</v>
      </c>
      <c r="AC29" s="92">
        <f>VLOOKUP($B29,'DCS Data'!$E$2:$AJ$100,MATCH('Daily Report'!AC$1,'DCS Data'!$E$2:$AJ$2,0),0)</f>
        <v>14.722531214337694</v>
      </c>
      <c r="AD29" s="92">
        <f>VLOOKUP($B29,'DCS Data'!$E$2:$AJ$100,MATCH('Daily Report'!AD$1,'DCS Data'!$E$2:$AJ$2,0),0)</f>
        <v>14.629461526055779</v>
      </c>
      <c r="AE29" s="92">
        <f>VLOOKUP($B29,'DCS Data'!$E$2:$AJ$100,MATCH('Daily Report'!AE$1,'DCS Data'!$E$2:$AJ$2,0),0)</f>
        <v>14.604605870950715</v>
      </c>
      <c r="AF29" s="92">
        <f>VLOOKUP($B29,'DCS Data'!$E$2:$AJ$100,MATCH('Daily Report'!AF$1,'DCS Data'!$E$2:$AJ$2,0),0)</f>
        <v>14.570097430513432</v>
      </c>
      <c r="AG29" s="92">
        <f>VLOOKUP($B29,'DCS Data'!$E$2:$AJ$100,MATCH('Daily Report'!AG$1,'DCS Data'!$E$2:$AJ$2,0),0)</f>
        <v>14.594383946338793</v>
      </c>
      <c r="AH29" s="92">
        <f>VLOOKUP($B29,'DCS Data'!$E$2:$AJ$100,MATCH('Daily Report'!AH$1,'DCS Data'!$E$2:$AJ$2,0),0)</f>
        <v>14.599881526095452</v>
      </c>
      <c r="AI29" s="92">
        <f>VLOOKUP($B29,'DCS Data'!$E$2:$AJ$100,MATCH('Daily Report'!AI$1,'DCS Data'!$E$2:$AJ$2,0),0)</f>
        <v>14.554707875033763</v>
      </c>
      <c r="AJ29" s="92">
        <f>VLOOKUP($B29,'DCS Data'!$E$2:$AJ$100,MATCH('Daily Report'!AJ$1,'DCS Data'!$E$2:$AJ$2,0),0)</f>
        <v>14.617501745652586</v>
      </c>
      <c r="AK29" s="92">
        <f>VLOOKUP($B29,'DCS Data'!$E$2:$AJ$100,MATCH('Daily Report'!AK$1,'DCS Data'!$E$2:$AJ$2,0),0)</f>
        <v>14.619380299008526</v>
      </c>
      <c r="AL29" s="92">
        <f>VLOOKUP($B29,'DCS Data'!$E$2:$AJ$100,MATCH('Daily Report'!AL$1,'DCS Data'!$E$2:$AJ$2,0),0)</f>
        <v>14.565363482732543</v>
      </c>
      <c r="AM29" s="92">
        <f>VLOOKUP($B29,'DCS Data'!$E$2:$AJ$100,MATCH('Daily Report'!AM$1,'DCS Data'!$E$2:$AJ$2,0),0)</f>
        <v>14.567157730899384</v>
      </c>
      <c r="AN29" s="92">
        <f>VLOOKUP($B29,'DCS Data'!$E$2:$AJ$100,MATCH('Daily Report'!AN$1,'DCS Data'!$E$2:$AJ$2,0),0)</f>
        <v>14.559002694884317</v>
      </c>
      <c r="AO29" s="214"/>
      <c r="AP29" s="214"/>
      <c r="AQ29" s="214"/>
      <c r="AR29" s="214"/>
      <c r="AS29" s="214"/>
      <c r="AT29" s="214"/>
      <c r="AU29" s="214"/>
      <c r="AV29" s="214"/>
      <c r="AW29" s="214"/>
      <c r="AX29" s="214"/>
      <c r="AY29" s="214"/>
      <c r="AZ29" s="214"/>
      <c r="BA29" s="214"/>
      <c r="BB29" s="214"/>
      <c r="BC29" s="214"/>
      <c r="BD29" s="214"/>
      <c r="BE29" s="214"/>
      <c r="BF29" s="214"/>
      <c r="BG29" s="214"/>
      <c r="BH29" s="214"/>
      <c r="BI29" s="214"/>
      <c r="BJ29" s="214"/>
      <c r="BK29" s="214"/>
      <c r="BL29" s="214"/>
      <c r="BM29" s="214"/>
      <c r="BN29" s="214"/>
      <c r="BO29" s="214"/>
      <c r="BP29" s="214"/>
      <c r="BQ29" s="214"/>
      <c r="BR29" s="214"/>
      <c r="BS29" s="214"/>
      <c r="BT29" s="214"/>
      <c r="BU29" s="214"/>
      <c r="BV29" s="214"/>
      <c r="BW29" s="214"/>
      <c r="BX29" s="214"/>
      <c r="BY29" s="214"/>
      <c r="BZ29" s="214"/>
      <c r="CA29" s="214"/>
      <c r="CB29" s="214"/>
      <c r="CC29" s="214"/>
      <c r="CD29" s="214"/>
      <c r="CE29" s="214"/>
      <c r="CF29" s="214"/>
      <c r="CG29" s="214"/>
      <c r="CH29" s="214"/>
      <c r="CI29" s="214"/>
      <c r="CJ29" s="214"/>
      <c r="CK29" s="214"/>
      <c r="CL29" s="214"/>
      <c r="CM29" s="214"/>
      <c r="CN29" s="214"/>
      <c r="CO29" s="214"/>
      <c r="CP29" s="214"/>
      <c r="CQ29" s="214"/>
      <c r="CR29" s="214"/>
      <c r="CS29" s="214"/>
      <c r="CT29" s="214"/>
      <c r="CU29" s="214"/>
      <c r="CV29" s="214"/>
      <c r="CW29" s="214"/>
      <c r="CX29" s="214"/>
      <c r="CY29" s="214"/>
      <c r="CZ29" s="214"/>
      <c r="DA29" s="214"/>
      <c r="DB29" s="214"/>
      <c r="DC29" s="214"/>
      <c r="DD29" s="214"/>
      <c r="DE29" s="214"/>
      <c r="DF29" s="214"/>
      <c r="DG29" s="214"/>
      <c r="DH29" s="214"/>
      <c r="DI29" s="214"/>
      <c r="DJ29" s="214"/>
      <c r="DK29" s="214"/>
      <c r="DL29" s="214"/>
      <c r="DM29" s="214"/>
      <c r="DN29" s="214"/>
      <c r="DO29" s="214"/>
      <c r="DP29" s="214"/>
      <c r="DQ29" s="214"/>
      <c r="DR29" s="214"/>
      <c r="DS29" s="214"/>
      <c r="DT29" s="214"/>
      <c r="DU29" s="214"/>
      <c r="DV29" s="214"/>
      <c r="DW29" s="214"/>
      <c r="DX29" s="214"/>
      <c r="DY29" s="214"/>
      <c r="DZ29" s="214"/>
      <c r="EA29" s="214"/>
      <c r="EB29" s="214"/>
      <c r="EC29" s="214"/>
      <c r="ED29" s="214"/>
      <c r="EE29" s="214"/>
      <c r="EF29" s="214"/>
      <c r="EG29" s="214"/>
      <c r="EH29" s="214"/>
      <c r="EI29" s="214"/>
      <c r="EJ29" s="214"/>
      <c r="EK29" s="214"/>
      <c r="EL29" s="214"/>
      <c r="EM29" s="214"/>
      <c r="EN29" s="214"/>
      <c r="EO29" s="214"/>
      <c r="EP29" s="214"/>
      <c r="EQ29" s="214"/>
      <c r="ER29" s="214"/>
      <c r="ES29" s="214"/>
      <c r="ET29" s="214"/>
      <c r="EU29" s="214"/>
      <c r="EV29" s="214"/>
      <c r="EW29" s="214"/>
      <c r="EX29" s="214"/>
      <c r="EY29" s="214"/>
      <c r="EZ29" s="214"/>
      <c r="FA29" s="214"/>
      <c r="FB29" s="214"/>
      <c r="FC29" s="214"/>
      <c r="FD29" s="214"/>
      <c r="FE29" s="214"/>
      <c r="FF29" s="214"/>
      <c r="FG29" s="214"/>
      <c r="FH29" s="214"/>
      <c r="FI29" s="214"/>
      <c r="FJ29" s="214"/>
      <c r="FK29" s="214"/>
      <c r="FL29" s="214"/>
      <c r="FM29" s="214"/>
      <c r="FN29" s="214"/>
      <c r="FO29" s="214"/>
      <c r="FP29" s="214"/>
      <c r="FQ29" s="214"/>
      <c r="FR29" s="214"/>
      <c r="FS29" s="214"/>
      <c r="FT29" s="214"/>
      <c r="FU29" s="214"/>
      <c r="FV29" s="214"/>
      <c r="FW29" s="214"/>
      <c r="FX29" s="214"/>
      <c r="FY29" s="214"/>
      <c r="FZ29" s="214"/>
      <c r="GA29" s="214"/>
      <c r="GB29" s="214"/>
      <c r="GC29" s="214"/>
      <c r="GD29" s="214"/>
      <c r="GE29" s="214"/>
      <c r="GF29" s="214"/>
      <c r="GG29" s="214"/>
      <c r="GH29" s="214"/>
      <c r="GI29" s="214"/>
      <c r="GJ29" s="214"/>
      <c r="GK29" s="214"/>
      <c r="GL29" s="214"/>
      <c r="GM29" s="214"/>
      <c r="GN29" s="214"/>
      <c r="GO29" s="214"/>
      <c r="GP29" s="214"/>
      <c r="GQ29" s="214"/>
      <c r="GR29" s="214"/>
      <c r="GS29" s="214"/>
      <c r="GT29" s="214"/>
      <c r="GU29" s="214"/>
      <c r="GV29" s="214"/>
      <c r="GW29" s="214"/>
      <c r="GX29" s="214"/>
      <c r="GY29" s="214"/>
      <c r="GZ29" s="214"/>
      <c r="HA29" s="214"/>
      <c r="HB29" s="214"/>
      <c r="HC29" s="214"/>
      <c r="HD29" s="214"/>
      <c r="HE29" s="214"/>
      <c r="HF29" s="214"/>
      <c r="HG29" s="214"/>
      <c r="HH29" s="214"/>
      <c r="HI29" s="214"/>
      <c r="HJ29" s="214"/>
      <c r="HK29" s="214"/>
      <c r="HL29" s="214"/>
      <c r="HM29" s="214"/>
      <c r="HN29" s="214"/>
      <c r="HO29" s="214"/>
      <c r="HP29" s="214"/>
      <c r="HQ29" s="214"/>
      <c r="HR29" s="214"/>
      <c r="HS29" s="214"/>
      <c r="HT29" s="214"/>
      <c r="HU29" s="214"/>
      <c r="HV29" s="214"/>
      <c r="HW29" s="214"/>
      <c r="HX29" s="214"/>
      <c r="HY29" s="214"/>
      <c r="HZ29" s="214"/>
      <c r="IA29" s="214"/>
      <c r="IB29" s="214"/>
      <c r="IC29" s="214"/>
      <c r="ID29" s="214"/>
      <c r="IE29" s="214"/>
      <c r="IF29" s="214"/>
      <c r="IG29" s="214"/>
      <c r="IH29" s="214"/>
      <c r="II29" s="214"/>
      <c r="IJ29" s="214"/>
      <c r="IK29" s="214"/>
      <c r="IL29" s="214"/>
      <c r="IM29" s="214"/>
      <c r="IN29" s="214"/>
      <c r="IO29" s="214"/>
      <c r="IP29" s="214"/>
      <c r="IQ29" s="214"/>
      <c r="IR29" s="214"/>
      <c r="IS29" s="214"/>
      <c r="IT29" s="214"/>
      <c r="IU29" s="214"/>
      <c r="IV29" s="214"/>
      <c r="IW29" s="214"/>
      <c r="IX29" s="214"/>
      <c r="IY29" s="214"/>
      <c r="IZ29" s="214"/>
      <c r="JA29" s="214"/>
      <c r="JB29" s="214"/>
      <c r="JC29" s="214"/>
      <c r="JD29" s="214"/>
      <c r="JE29" s="214"/>
      <c r="JF29" s="214"/>
      <c r="JG29" s="214"/>
      <c r="JH29" s="214"/>
      <c r="JI29" s="214"/>
      <c r="JJ29" s="214"/>
      <c r="JK29" s="214"/>
      <c r="JL29" s="214"/>
      <c r="JM29" s="214"/>
      <c r="JN29" s="214"/>
      <c r="JO29" s="214"/>
      <c r="JP29" s="214"/>
      <c r="JQ29" s="214"/>
      <c r="JR29" s="214"/>
      <c r="JS29" s="214"/>
      <c r="JT29" s="214"/>
      <c r="JU29" s="214"/>
      <c r="JV29" s="214"/>
      <c r="JW29" s="214"/>
      <c r="JX29" s="214"/>
      <c r="JY29" s="214"/>
      <c r="JZ29" s="214"/>
      <c r="KA29" s="214"/>
      <c r="KB29" s="214"/>
      <c r="KC29" s="214"/>
      <c r="KD29" s="214"/>
      <c r="KE29" s="214"/>
      <c r="KF29" s="214"/>
      <c r="KG29" s="214"/>
      <c r="KH29" s="214"/>
      <c r="KI29" s="214"/>
      <c r="KJ29" s="214"/>
      <c r="KK29" s="214"/>
      <c r="KL29" s="214"/>
      <c r="KM29" s="214"/>
      <c r="KN29" s="214"/>
      <c r="KO29" s="214"/>
      <c r="KP29" s="214"/>
      <c r="KQ29" s="214"/>
      <c r="KR29" s="214"/>
      <c r="KS29" s="214"/>
      <c r="KT29" s="214"/>
      <c r="KU29" s="214"/>
      <c r="KV29" s="214"/>
      <c r="KW29" s="214"/>
      <c r="KX29" s="214"/>
      <c r="KY29" s="214"/>
      <c r="KZ29" s="214"/>
      <c r="LA29" s="214"/>
      <c r="LB29" s="214"/>
      <c r="LC29" s="214"/>
      <c r="LD29" s="214"/>
      <c r="LE29" s="214"/>
      <c r="LF29" s="214"/>
      <c r="LG29" s="214"/>
      <c r="LH29" s="214"/>
      <c r="LI29" s="214"/>
      <c r="LJ29" s="214"/>
      <c r="LK29" s="214"/>
      <c r="LL29" s="214"/>
      <c r="LM29" s="214"/>
      <c r="LN29" s="214"/>
      <c r="LO29" s="214"/>
      <c r="LP29" s="214"/>
      <c r="LQ29" s="214"/>
      <c r="LR29" s="214"/>
      <c r="LS29" s="214"/>
      <c r="LT29" s="214"/>
      <c r="LU29" s="214"/>
      <c r="LV29" s="214"/>
      <c r="LW29" s="214"/>
      <c r="LX29" s="214"/>
      <c r="LY29" s="214"/>
      <c r="LZ29" s="214"/>
      <c r="MA29" s="214"/>
      <c r="MB29" s="214"/>
      <c r="MC29" s="214"/>
      <c r="MD29" s="214"/>
      <c r="ME29" s="214"/>
      <c r="MF29" s="214"/>
      <c r="MG29" s="214"/>
      <c r="MH29" s="214"/>
      <c r="MI29" s="214"/>
      <c r="MJ29" s="214"/>
      <c r="MK29" s="214"/>
      <c r="ML29" s="214"/>
      <c r="MM29" s="214"/>
      <c r="MN29" s="214"/>
      <c r="MO29" s="214"/>
      <c r="MP29" s="214"/>
      <c r="MQ29" s="214"/>
      <c r="MR29" s="214"/>
      <c r="MS29" s="214"/>
      <c r="MT29" s="214"/>
      <c r="MU29" s="214"/>
      <c r="MV29" s="214"/>
      <c r="MW29" s="214"/>
      <c r="MX29" s="214"/>
      <c r="MY29" s="214"/>
      <c r="MZ29" s="214"/>
      <c r="NA29" s="214"/>
      <c r="NB29" s="214"/>
      <c r="NC29" s="214"/>
      <c r="ND29" s="214"/>
      <c r="NE29" s="214"/>
      <c r="NF29" s="214"/>
      <c r="NG29" s="214"/>
      <c r="NH29" s="214"/>
      <c r="NI29" s="214"/>
      <c r="NJ29" s="214"/>
      <c r="NK29" s="214"/>
      <c r="NL29" s="214"/>
      <c r="NM29" s="214"/>
      <c r="NN29" s="214"/>
      <c r="NO29" s="214"/>
      <c r="NP29" s="214"/>
      <c r="NQ29" s="214"/>
      <c r="NR29" s="214"/>
      <c r="NS29" s="214"/>
      <c r="NT29" s="214"/>
      <c r="NU29" s="214"/>
      <c r="NV29" s="214"/>
      <c r="NW29" s="214"/>
      <c r="NX29" s="214"/>
      <c r="NY29" s="214"/>
      <c r="NZ29" s="214"/>
      <c r="OA29" s="214"/>
      <c r="OB29" s="214"/>
      <c r="OC29" s="214"/>
      <c r="OD29" s="214"/>
      <c r="OE29" s="214"/>
      <c r="OF29" s="214"/>
      <c r="OG29" s="214"/>
      <c r="OH29" s="214"/>
      <c r="OI29" s="214"/>
      <c r="OJ29" s="214"/>
      <c r="OK29" s="214"/>
      <c r="OL29" s="214"/>
      <c r="OM29" s="214"/>
      <c r="ON29" s="214"/>
      <c r="OO29" s="214"/>
      <c r="OP29" s="214"/>
      <c r="OQ29" s="214"/>
      <c r="OR29" s="214"/>
      <c r="OS29" s="214"/>
      <c r="OT29" s="214"/>
      <c r="OU29" s="214"/>
      <c r="OV29" s="214"/>
      <c r="OW29" s="214"/>
      <c r="OX29" s="214"/>
      <c r="OY29" s="214"/>
      <c r="OZ29" s="214"/>
      <c r="PA29" s="214"/>
      <c r="PB29" s="214"/>
      <c r="PC29" s="214"/>
      <c r="PD29" s="214"/>
      <c r="PE29" s="214"/>
      <c r="PF29" s="214"/>
      <c r="PG29" s="214"/>
      <c r="PH29" s="214"/>
      <c r="PI29" s="214"/>
      <c r="PJ29" s="214"/>
      <c r="PK29" s="214"/>
      <c r="PL29" s="214"/>
      <c r="PM29" s="214"/>
      <c r="PN29" s="214"/>
      <c r="PO29" s="214"/>
      <c r="PP29" s="214"/>
      <c r="PQ29" s="214"/>
      <c r="PR29" s="214"/>
      <c r="PS29" s="214"/>
      <c r="PT29" s="214"/>
      <c r="PU29" s="214"/>
      <c r="PV29" s="214"/>
      <c r="PW29" s="214"/>
      <c r="PX29" s="214"/>
      <c r="PY29" s="214"/>
      <c r="PZ29" s="214"/>
      <c r="QA29" s="214"/>
      <c r="QB29" s="214"/>
      <c r="QC29" s="214"/>
      <c r="QD29" s="214"/>
      <c r="QE29" s="214"/>
      <c r="QF29" s="214"/>
      <c r="QG29" s="214"/>
      <c r="QH29" s="214"/>
      <c r="QI29" s="214"/>
      <c r="QJ29" s="214"/>
      <c r="QK29" s="214"/>
      <c r="QL29" s="214"/>
      <c r="QM29" s="214"/>
      <c r="QN29" s="214"/>
      <c r="QO29" s="214"/>
      <c r="QP29" s="214"/>
      <c r="QQ29" s="214"/>
      <c r="QR29" s="214"/>
      <c r="QS29" s="214"/>
      <c r="QT29" s="214"/>
      <c r="QU29" s="214"/>
      <c r="QV29" s="214"/>
      <c r="QW29" s="214"/>
      <c r="QX29" s="214"/>
      <c r="QY29" s="214"/>
      <c r="QZ29" s="214"/>
      <c r="RA29" s="214"/>
      <c r="RB29" s="214"/>
      <c r="RC29" s="214"/>
      <c r="RD29" s="214"/>
      <c r="RE29" s="214"/>
      <c r="RF29" s="214"/>
      <c r="RG29" s="214"/>
      <c r="RH29" s="214"/>
      <c r="RI29" s="214"/>
      <c r="RJ29" s="214"/>
      <c r="RK29" s="214"/>
      <c r="RL29" s="214"/>
      <c r="RM29" s="214"/>
      <c r="RN29" s="214"/>
      <c r="RO29" s="214"/>
      <c r="RP29" s="214"/>
      <c r="RQ29" s="214"/>
      <c r="RR29" s="214"/>
      <c r="RS29" s="214"/>
      <c r="RT29" s="214"/>
      <c r="RU29" s="214"/>
      <c r="RV29" s="214"/>
      <c r="RW29" s="214"/>
      <c r="RX29" s="214"/>
      <c r="RY29" s="214"/>
      <c r="RZ29" s="214"/>
      <c r="SA29" s="214"/>
      <c r="SB29" s="214"/>
      <c r="SC29" s="214"/>
      <c r="SD29" s="214"/>
      <c r="SE29" s="214"/>
      <c r="SF29" s="214"/>
      <c r="SG29" s="214"/>
      <c r="SH29" s="214"/>
      <c r="SI29" s="214"/>
      <c r="SJ29" s="214"/>
      <c r="SK29" s="214"/>
      <c r="SL29" s="214"/>
      <c r="SM29" s="214"/>
      <c r="SN29" s="214"/>
      <c r="SO29" s="214"/>
      <c r="SP29" s="214"/>
      <c r="SQ29" s="214"/>
      <c r="SR29" s="214"/>
      <c r="SS29" s="214"/>
      <c r="ST29" s="214"/>
      <c r="SU29" s="214"/>
      <c r="SV29" s="214"/>
      <c r="SW29" s="214"/>
      <c r="SX29" s="214"/>
      <c r="SY29" s="214"/>
      <c r="SZ29" s="214"/>
      <c r="TA29" s="214"/>
      <c r="TB29" s="214"/>
      <c r="TC29" s="214"/>
      <c r="TD29" s="214"/>
      <c r="TE29" s="214"/>
      <c r="TF29" s="214"/>
      <c r="TG29" s="214"/>
      <c r="TH29" s="214"/>
      <c r="TI29" s="214"/>
      <c r="TJ29" s="214"/>
      <c r="TK29" s="214"/>
      <c r="TL29" s="214"/>
      <c r="TM29" s="214"/>
      <c r="TN29" s="214"/>
      <c r="TO29" s="214"/>
      <c r="TP29" s="214"/>
      <c r="TQ29" s="214"/>
      <c r="TR29" s="214"/>
      <c r="TS29" s="214"/>
      <c r="TT29" s="214"/>
      <c r="TU29" s="214"/>
      <c r="TV29" s="214"/>
      <c r="TW29" s="214"/>
      <c r="TX29" s="214"/>
      <c r="TY29" s="214"/>
      <c r="TZ29" s="214"/>
      <c r="UA29" s="214"/>
      <c r="UB29" s="214"/>
      <c r="UC29" s="214"/>
      <c r="UD29" s="214"/>
      <c r="UE29" s="214"/>
      <c r="UF29" s="214"/>
      <c r="UG29" s="214"/>
      <c r="UH29" s="214"/>
      <c r="UI29" s="214"/>
      <c r="UJ29" s="214"/>
      <c r="UK29" s="214"/>
      <c r="UL29" s="214"/>
      <c r="UM29" s="214"/>
      <c r="UN29" s="214"/>
      <c r="UO29" s="214"/>
      <c r="UP29" s="214"/>
      <c r="UQ29" s="214"/>
      <c r="UR29" s="214"/>
      <c r="US29" s="214"/>
      <c r="UT29" s="214"/>
      <c r="UU29" s="214"/>
      <c r="UV29" s="214"/>
      <c r="UW29" s="214"/>
      <c r="UX29" s="214"/>
      <c r="UY29" s="214"/>
      <c r="UZ29" s="214"/>
      <c r="VA29" s="214"/>
      <c r="VB29" s="214"/>
      <c r="VC29" s="214"/>
      <c r="VD29" s="214"/>
      <c r="VE29" s="214"/>
      <c r="VF29" s="214"/>
      <c r="VG29" s="214"/>
      <c r="VH29" s="214"/>
      <c r="VI29" s="214"/>
      <c r="VJ29" s="214"/>
      <c r="VK29" s="214"/>
      <c r="VL29" s="214"/>
      <c r="VM29" s="214"/>
      <c r="VN29" s="214"/>
      <c r="VO29" s="214"/>
      <c r="VP29" s="214"/>
      <c r="VQ29" s="214"/>
      <c r="VR29" s="214"/>
      <c r="VS29" s="214"/>
      <c r="VT29" s="214"/>
      <c r="VU29" s="214"/>
      <c r="VV29" s="214"/>
      <c r="VW29" s="214"/>
      <c r="VX29" s="214"/>
      <c r="VY29" s="214"/>
      <c r="VZ29" s="214"/>
      <c r="WA29" s="214"/>
      <c r="WB29" s="214"/>
      <c r="WC29" s="214"/>
      <c r="WD29" s="214"/>
      <c r="WE29" s="214"/>
      <c r="WF29" s="214"/>
      <c r="WG29" s="214"/>
      <c r="WH29" s="214"/>
      <c r="WI29" s="214"/>
      <c r="WJ29" s="214"/>
      <c r="WK29" s="214"/>
      <c r="WL29" s="214"/>
      <c r="WM29" s="214"/>
      <c r="WN29" s="214"/>
      <c r="WO29" s="214"/>
      <c r="WP29" s="214"/>
      <c r="WQ29" s="214"/>
      <c r="WR29" s="214"/>
      <c r="WS29" s="214"/>
      <c r="WT29" s="214"/>
      <c r="WU29" s="214"/>
      <c r="WV29" s="214"/>
      <c r="WW29" s="214"/>
      <c r="WX29" s="214"/>
      <c r="WY29" s="214"/>
      <c r="WZ29" s="214"/>
      <c r="XA29" s="214"/>
      <c r="XB29" s="214"/>
      <c r="XC29" s="214"/>
      <c r="XD29" s="214"/>
      <c r="XE29" s="214"/>
      <c r="XF29" s="214"/>
      <c r="XG29" s="214"/>
      <c r="XH29" s="214"/>
      <c r="XI29" s="214"/>
      <c r="XJ29" s="214"/>
      <c r="XK29" s="214"/>
      <c r="XL29" s="214"/>
      <c r="XM29" s="214"/>
      <c r="XN29" s="214"/>
      <c r="XO29" s="214"/>
      <c r="XP29" s="214"/>
      <c r="XQ29" s="214"/>
      <c r="XR29" s="214"/>
      <c r="XS29" s="214"/>
      <c r="XT29" s="214"/>
      <c r="XU29" s="214"/>
      <c r="XV29" s="214"/>
      <c r="XW29" s="214"/>
      <c r="XX29" s="214"/>
      <c r="XY29" s="214"/>
      <c r="XZ29" s="214"/>
      <c r="YA29" s="214"/>
      <c r="YB29" s="214"/>
      <c r="YC29" s="214"/>
      <c r="YD29" s="214"/>
      <c r="YE29" s="214"/>
      <c r="YF29" s="214"/>
      <c r="YG29" s="214"/>
      <c r="YH29" s="214"/>
      <c r="YI29" s="214"/>
      <c r="YJ29" s="214"/>
      <c r="YK29" s="214"/>
      <c r="YL29" s="214"/>
      <c r="YM29" s="214"/>
      <c r="YN29" s="214"/>
      <c r="YO29" s="214"/>
      <c r="YP29" s="214"/>
      <c r="YQ29" s="214"/>
      <c r="YR29" s="214"/>
      <c r="YS29" s="214"/>
      <c r="YT29" s="214"/>
      <c r="YU29" s="214"/>
      <c r="YV29" s="214"/>
      <c r="YW29" s="214"/>
      <c r="YX29" s="214"/>
      <c r="YY29" s="214"/>
      <c r="YZ29" s="214"/>
      <c r="ZA29" s="214"/>
      <c r="ZB29" s="214"/>
      <c r="ZC29" s="214"/>
      <c r="ZD29" s="214"/>
      <c r="ZE29" s="214"/>
      <c r="ZF29" s="214"/>
      <c r="ZG29" s="214"/>
      <c r="ZH29" s="214"/>
      <c r="ZI29" s="214"/>
      <c r="ZJ29" s="214"/>
      <c r="ZK29" s="214"/>
      <c r="ZL29" s="214"/>
      <c r="ZM29" s="214"/>
      <c r="ZN29" s="214"/>
      <c r="ZO29" s="214"/>
      <c r="ZP29" s="214"/>
      <c r="ZQ29" s="214"/>
      <c r="ZR29" s="214"/>
      <c r="ZS29" s="214"/>
      <c r="ZT29" s="214"/>
      <c r="ZU29" s="214"/>
      <c r="ZV29" s="214"/>
      <c r="ZW29" s="214"/>
      <c r="ZX29" s="214"/>
      <c r="ZY29" s="214"/>
      <c r="ZZ29" s="214"/>
      <c r="AAA29" s="214"/>
      <c r="AAB29" s="214"/>
      <c r="AAC29" s="214"/>
      <c r="AAD29" s="214"/>
      <c r="AAE29" s="214"/>
      <c r="AAF29" s="214"/>
      <c r="AAG29" s="214"/>
      <c r="AAH29" s="214"/>
      <c r="AAI29" s="214"/>
      <c r="AAJ29" s="214"/>
      <c r="AAK29" s="214"/>
      <c r="AAL29" s="214"/>
      <c r="AAM29" s="214"/>
      <c r="AAN29" s="214"/>
      <c r="AAO29" s="214"/>
      <c r="AAP29" s="214"/>
      <c r="AAQ29" s="214"/>
      <c r="AAR29" s="214"/>
      <c r="AAS29" s="214"/>
      <c r="AAT29" s="214"/>
      <c r="AAU29" s="214"/>
      <c r="AAV29" s="214"/>
      <c r="AAW29" s="214"/>
      <c r="AAX29" s="214"/>
      <c r="AAY29" s="214"/>
      <c r="AAZ29" s="214"/>
      <c r="ABA29" s="214"/>
      <c r="ABB29" s="214"/>
      <c r="ABC29" s="214"/>
      <c r="ABD29" s="214"/>
      <c r="ABE29" s="214"/>
      <c r="ABF29" s="214"/>
      <c r="ABG29" s="214"/>
      <c r="ABH29" s="214"/>
      <c r="ABI29" s="214"/>
      <c r="ABJ29" s="214"/>
      <c r="ABK29" s="214"/>
      <c r="ABL29" s="214"/>
      <c r="ABM29" s="214"/>
      <c r="ABN29" s="214"/>
      <c r="ABO29" s="214"/>
      <c r="ABP29" s="214"/>
      <c r="ABQ29" s="214"/>
      <c r="ABR29" s="214"/>
      <c r="ABS29" s="214"/>
      <c r="ABT29" s="214"/>
      <c r="ABU29" s="214"/>
      <c r="ABV29" s="214"/>
      <c r="ABW29" s="214"/>
      <c r="ABX29" s="214"/>
      <c r="ABY29" s="214"/>
      <c r="ABZ29" s="214"/>
      <c r="ACA29" s="214"/>
      <c r="ACB29" s="214"/>
      <c r="ACC29" s="214"/>
      <c r="ACD29" s="214"/>
      <c r="ACE29" s="214"/>
      <c r="ACF29" s="214"/>
      <c r="ACG29" s="214"/>
      <c r="ACH29" s="214"/>
      <c r="ACI29" s="214"/>
      <c r="ACJ29" s="214"/>
      <c r="ACK29" s="214"/>
      <c r="ACL29" s="214"/>
      <c r="ACM29" s="214"/>
      <c r="ACN29" s="214"/>
      <c r="ACO29" s="214"/>
      <c r="ACP29" s="214"/>
      <c r="ACQ29" s="214"/>
      <c r="ACR29" s="214"/>
      <c r="ACS29" s="214"/>
      <c r="ACT29" s="214"/>
      <c r="ACU29" s="214"/>
      <c r="ACV29" s="214"/>
      <c r="ACW29" s="214"/>
      <c r="ACX29" s="214"/>
      <c r="ACY29" s="214"/>
      <c r="ACZ29" s="214"/>
      <c r="ADA29" s="214"/>
      <c r="ADB29" s="214"/>
      <c r="ADC29" s="214"/>
      <c r="ADD29" s="214"/>
      <c r="ADE29" s="214"/>
      <c r="ADF29" s="214"/>
      <c r="ADG29" s="214"/>
      <c r="ADH29" s="214"/>
      <c r="ADI29" s="214"/>
      <c r="ADJ29" s="214"/>
      <c r="ADK29" s="214"/>
      <c r="ADL29" s="214"/>
      <c r="ADM29" s="214"/>
      <c r="ADN29" s="214"/>
      <c r="ADO29" s="214"/>
      <c r="ADP29" s="214"/>
      <c r="ADQ29" s="214"/>
      <c r="ADR29" s="214"/>
      <c r="ADS29" s="214"/>
      <c r="ADT29" s="214"/>
      <c r="ADU29" s="214"/>
      <c r="ADV29" s="214"/>
      <c r="ADW29" s="214"/>
      <c r="ADX29" s="214"/>
      <c r="ADY29" s="214"/>
      <c r="ADZ29" s="214"/>
      <c r="AEA29" s="214"/>
      <c r="AEB29" s="214"/>
      <c r="AEC29" s="214"/>
      <c r="AED29" s="214"/>
      <c r="AEE29" s="214"/>
      <c r="AEF29" s="214"/>
      <c r="AEG29" s="214"/>
      <c r="AEH29" s="214"/>
      <c r="AEI29" s="214"/>
      <c r="AEJ29" s="214"/>
      <c r="AEK29" s="214"/>
      <c r="AEL29" s="214"/>
      <c r="AEM29" s="214"/>
      <c r="AEN29" s="214"/>
      <c r="AEO29" s="214"/>
      <c r="AEP29" s="214"/>
      <c r="AEQ29" s="214"/>
      <c r="AER29" s="214"/>
      <c r="AES29" s="214"/>
      <c r="AET29" s="214"/>
      <c r="AEU29" s="214"/>
      <c r="AEV29" s="214"/>
      <c r="AEW29" s="214"/>
      <c r="AEX29" s="214"/>
      <c r="AEY29" s="214"/>
      <c r="AEZ29" s="214"/>
      <c r="AFA29" s="214"/>
      <c r="AFB29" s="214"/>
      <c r="AFC29" s="214"/>
      <c r="AFD29" s="214"/>
      <c r="AFE29" s="214"/>
      <c r="AFF29" s="214"/>
      <c r="AFG29" s="214"/>
      <c r="AFH29" s="214"/>
      <c r="AFI29" s="214"/>
      <c r="AFJ29" s="214"/>
      <c r="AFK29" s="214"/>
      <c r="AFL29" s="214"/>
      <c r="AFM29" s="214"/>
      <c r="AFN29" s="214"/>
      <c r="AFO29" s="214"/>
      <c r="AFP29" s="214"/>
      <c r="AFQ29" s="214"/>
      <c r="AFR29" s="214"/>
      <c r="AFS29" s="214"/>
      <c r="AFT29" s="214"/>
      <c r="AFU29" s="214"/>
      <c r="AFV29" s="214"/>
      <c r="AFW29" s="214"/>
      <c r="AFX29" s="214"/>
      <c r="AFY29" s="214"/>
      <c r="AFZ29" s="214"/>
      <c r="AGA29" s="214"/>
      <c r="AGB29" s="214"/>
      <c r="AGC29" s="214"/>
      <c r="AGD29" s="214"/>
      <c r="AGE29" s="214"/>
      <c r="AGF29" s="214"/>
      <c r="AGG29" s="214"/>
      <c r="AGH29" s="214"/>
      <c r="AGI29" s="214"/>
      <c r="AGJ29" s="214"/>
      <c r="AGK29" s="214"/>
      <c r="AGL29" s="214"/>
      <c r="AGM29" s="214"/>
      <c r="AGN29" s="214"/>
      <c r="AGO29" s="214"/>
      <c r="AGP29" s="214"/>
      <c r="AGQ29" s="214"/>
      <c r="AGR29" s="214"/>
      <c r="AGS29" s="214"/>
      <c r="AGT29" s="214"/>
      <c r="AGU29" s="214"/>
      <c r="AGV29" s="214"/>
      <c r="AGW29" s="214"/>
      <c r="AGX29" s="214"/>
      <c r="AGY29" s="214"/>
      <c r="AGZ29" s="214"/>
      <c r="AHA29" s="214"/>
      <c r="AHB29" s="214"/>
      <c r="AHC29" s="214"/>
      <c r="AHD29" s="214"/>
      <c r="AHE29" s="214"/>
      <c r="AHF29" s="214"/>
      <c r="AHG29" s="214"/>
      <c r="AHH29" s="214"/>
      <c r="AHI29" s="214"/>
      <c r="AHJ29" s="214"/>
      <c r="AHK29" s="214"/>
      <c r="AHL29" s="214"/>
      <c r="AHM29" s="214"/>
      <c r="AHN29" s="214"/>
      <c r="AHO29" s="214"/>
      <c r="AHP29" s="214"/>
      <c r="AHQ29" s="214"/>
      <c r="AHR29" s="214"/>
      <c r="AHS29" s="214"/>
      <c r="AHT29" s="214"/>
      <c r="AHU29" s="214"/>
      <c r="AHV29" s="214"/>
      <c r="AHW29" s="214"/>
      <c r="AHX29" s="214"/>
      <c r="AHY29" s="214"/>
      <c r="AHZ29" s="214"/>
      <c r="AIA29" s="214"/>
      <c r="AIB29" s="214"/>
      <c r="AIC29" s="214"/>
      <c r="AID29" s="214"/>
      <c r="AIE29" s="214"/>
      <c r="AIF29" s="214"/>
      <c r="AIG29" s="214"/>
      <c r="AIH29" s="214"/>
      <c r="AII29" s="214"/>
      <c r="AIJ29" s="214"/>
      <c r="AIK29" s="214"/>
      <c r="AIL29" s="214"/>
      <c r="AIM29" s="214"/>
      <c r="AIN29" s="214"/>
      <c r="AIO29" s="214"/>
      <c r="AIP29" s="214"/>
      <c r="AIQ29" s="214"/>
      <c r="AIR29" s="214"/>
      <c r="AIS29" s="214"/>
      <c r="AIT29" s="214"/>
      <c r="AIU29" s="214"/>
      <c r="AIV29" s="214"/>
      <c r="AIW29" s="214"/>
      <c r="AIX29" s="214"/>
      <c r="AIY29" s="214"/>
      <c r="AIZ29" s="214"/>
      <c r="AJA29" s="214"/>
      <c r="AJB29" s="214"/>
      <c r="AJC29" s="214"/>
      <c r="AJD29" s="214"/>
      <c r="AJE29" s="214"/>
      <c r="AJF29" s="214"/>
      <c r="AJG29" s="214"/>
      <c r="AJH29" s="214"/>
      <c r="AJI29" s="214"/>
      <c r="AJJ29" s="214"/>
      <c r="AJK29" s="214"/>
      <c r="AJL29" s="214"/>
      <c r="AJM29" s="214"/>
      <c r="AJN29" s="214"/>
      <c r="AJO29" s="214"/>
      <c r="AJP29" s="214"/>
      <c r="AJQ29" s="214"/>
      <c r="AJR29" s="214"/>
      <c r="AJS29" s="214"/>
      <c r="AJT29" s="214"/>
      <c r="AJU29" s="214"/>
      <c r="AJV29" s="214"/>
      <c r="AJW29" s="214"/>
      <c r="AJX29" s="214"/>
      <c r="AJY29" s="214"/>
      <c r="AJZ29" s="214"/>
      <c r="AKA29" s="214"/>
      <c r="AKB29" s="214"/>
      <c r="AKC29" s="214"/>
      <c r="AKD29" s="214"/>
      <c r="AKE29" s="214"/>
      <c r="AKF29" s="214"/>
      <c r="AKG29" s="214"/>
      <c r="AKH29" s="214"/>
      <c r="AKI29" s="214"/>
      <c r="AKJ29" s="214"/>
      <c r="AKK29" s="214"/>
      <c r="AKL29" s="214"/>
      <c r="AKM29" s="214"/>
      <c r="AKN29" s="214"/>
      <c r="AKO29" s="214"/>
      <c r="AKP29" s="214"/>
      <c r="AKQ29" s="214"/>
      <c r="AKR29" s="214"/>
      <c r="AKS29" s="214"/>
      <c r="AKT29" s="214"/>
      <c r="AKU29" s="214"/>
      <c r="AKV29" s="214"/>
      <c r="AKW29" s="214"/>
      <c r="AKX29" s="214"/>
      <c r="AKY29" s="214"/>
      <c r="AKZ29" s="214"/>
      <c r="ALA29" s="214"/>
      <c r="ALB29" s="214"/>
      <c r="ALC29" s="214"/>
      <c r="ALD29" s="214"/>
      <c r="ALE29" s="214"/>
      <c r="ALF29" s="214"/>
      <c r="ALG29" s="214"/>
      <c r="ALH29" s="214"/>
      <c r="ALI29" s="214"/>
      <c r="ALJ29" s="214"/>
      <c r="ALK29" s="214"/>
      <c r="ALL29" s="214"/>
      <c r="ALM29" s="214"/>
      <c r="ALN29" s="214"/>
      <c r="ALO29" s="214"/>
      <c r="ALP29" s="214"/>
      <c r="ALQ29" s="214"/>
      <c r="ALR29" s="214"/>
      <c r="ALS29" s="214"/>
      <c r="ALT29" s="214"/>
      <c r="ALU29" s="214"/>
      <c r="ALV29" s="214"/>
      <c r="ALW29" s="214"/>
      <c r="ALX29" s="214"/>
      <c r="ALY29" s="214"/>
      <c r="ALZ29" s="214"/>
      <c r="AMA29" s="214"/>
      <c r="AMB29" s="214"/>
      <c r="AMC29" s="214"/>
      <c r="AMD29" s="214"/>
      <c r="AME29" s="214"/>
      <c r="AMF29" s="214"/>
      <c r="AMG29" s="214"/>
      <c r="AMH29" s="214"/>
      <c r="AMI29" s="214"/>
      <c r="AMJ29" s="214"/>
      <c r="AMK29" s="214"/>
      <c r="AML29" s="214"/>
      <c r="AMM29" s="214"/>
      <c r="AMN29" s="214"/>
      <c r="AMO29" s="214"/>
      <c r="AMP29" s="214"/>
      <c r="AMQ29" s="214"/>
      <c r="AMR29" s="214"/>
      <c r="AMS29" s="214"/>
      <c r="AMT29" s="214"/>
      <c r="AMU29" s="214"/>
      <c r="AMV29" s="214"/>
      <c r="AMW29" s="214"/>
      <c r="AMX29" s="214"/>
      <c r="AMY29" s="214"/>
      <c r="AMZ29" s="214"/>
      <c r="ANA29" s="214"/>
      <c r="ANB29" s="214"/>
      <c r="ANC29" s="214"/>
      <c r="AND29" s="214"/>
      <c r="ANE29" s="214"/>
      <c r="ANF29" s="214"/>
      <c r="ANG29" s="214"/>
      <c r="ANH29" s="214"/>
      <c r="ANI29" s="214"/>
      <c r="ANJ29" s="214"/>
      <c r="ANK29" s="214"/>
      <c r="ANL29" s="214"/>
      <c r="ANM29" s="214"/>
      <c r="ANN29" s="214"/>
      <c r="ANO29" s="214"/>
      <c r="ANP29" s="214"/>
      <c r="ANQ29" s="214"/>
      <c r="ANR29" s="214"/>
      <c r="ANS29" s="214"/>
      <c r="ANT29" s="214"/>
      <c r="ANU29" s="214"/>
      <c r="ANV29" s="214"/>
      <c r="ANW29" s="214"/>
      <c r="ANX29" s="214"/>
      <c r="ANY29" s="214"/>
      <c r="ANZ29" s="214"/>
      <c r="AOA29" s="214"/>
      <c r="AOB29" s="214"/>
      <c r="AOC29" s="214"/>
      <c r="AOD29" s="214"/>
      <c r="AOE29" s="214"/>
      <c r="AOF29" s="214"/>
      <c r="AOG29" s="214"/>
      <c r="AOH29" s="214"/>
      <c r="AOI29" s="214"/>
      <c r="AOJ29" s="214"/>
      <c r="AOK29" s="214"/>
      <c r="AOL29" s="214"/>
      <c r="AOM29" s="214"/>
      <c r="AON29" s="214"/>
      <c r="AOO29" s="214"/>
      <c r="AOP29" s="214"/>
      <c r="AOQ29" s="214"/>
      <c r="AOR29" s="214"/>
      <c r="AOS29" s="214"/>
      <c r="AOT29" s="214"/>
      <c r="AOU29" s="214"/>
      <c r="AOV29" s="214"/>
      <c r="AOW29" s="214"/>
      <c r="AOX29" s="214"/>
      <c r="AOY29" s="214"/>
      <c r="AOZ29" s="214"/>
      <c r="APA29" s="214"/>
      <c r="APB29" s="214"/>
      <c r="APC29" s="214"/>
      <c r="APD29" s="214"/>
      <c r="APE29" s="214"/>
      <c r="APF29" s="214"/>
      <c r="APG29" s="214"/>
      <c r="APH29" s="214"/>
      <c r="API29" s="214"/>
      <c r="APJ29" s="214"/>
      <c r="APK29" s="214"/>
      <c r="APL29" s="214"/>
      <c r="APM29" s="214"/>
      <c r="APN29" s="214"/>
      <c r="APO29" s="214"/>
      <c r="APP29" s="214"/>
      <c r="APQ29" s="214"/>
      <c r="APR29" s="214"/>
      <c r="APS29" s="214"/>
      <c r="APT29" s="214"/>
      <c r="APU29" s="214"/>
      <c r="APV29" s="214"/>
      <c r="APW29" s="214"/>
      <c r="APX29" s="214"/>
      <c r="APY29" s="214"/>
      <c r="APZ29" s="214"/>
      <c r="AQA29" s="214"/>
      <c r="AQB29" s="214"/>
      <c r="AQC29" s="214"/>
      <c r="AQD29" s="214"/>
      <c r="AQE29" s="214"/>
      <c r="AQF29" s="214"/>
      <c r="AQG29" s="214"/>
      <c r="AQH29" s="214"/>
      <c r="AQI29" s="214"/>
      <c r="AQJ29" s="214"/>
      <c r="AQK29" s="214"/>
      <c r="AQL29" s="214"/>
      <c r="AQM29" s="214"/>
      <c r="AQN29" s="214"/>
      <c r="AQO29" s="214"/>
      <c r="AQP29" s="214"/>
      <c r="AQQ29" s="214"/>
      <c r="AQR29" s="214"/>
      <c r="AQS29" s="214"/>
      <c r="AQT29" s="214"/>
      <c r="AQU29" s="214"/>
      <c r="AQV29" s="214"/>
      <c r="AQW29" s="214"/>
      <c r="AQX29" s="214"/>
      <c r="AQY29" s="214"/>
      <c r="AQZ29" s="214"/>
      <c r="ARA29" s="214"/>
      <c r="ARB29" s="214"/>
      <c r="ARC29" s="214"/>
      <c r="ARD29" s="214"/>
      <c r="ARE29" s="214"/>
      <c r="ARF29" s="214"/>
      <c r="ARG29" s="214"/>
      <c r="ARH29" s="214"/>
      <c r="ARI29" s="214"/>
      <c r="ARJ29" s="214"/>
      <c r="ARK29" s="214"/>
      <c r="ARL29" s="214"/>
      <c r="ARM29" s="214"/>
      <c r="ARN29" s="214"/>
      <c r="ARO29" s="214"/>
      <c r="ARP29" s="214"/>
      <c r="ARQ29" s="214"/>
      <c r="ARR29" s="214"/>
      <c r="ARS29" s="214"/>
      <c r="ART29" s="214"/>
      <c r="ARU29" s="214"/>
      <c r="ARV29" s="214"/>
      <c r="ARW29" s="214"/>
      <c r="ARX29" s="214"/>
      <c r="ARY29" s="214"/>
      <c r="ARZ29" s="214"/>
      <c r="ASA29" s="214"/>
      <c r="ASB29" s="214"/>
      <c r="ASC29" s="214"/>
      <c r="ASD29" s="214"/>
      <c r="ASE29" s="214"/>
      <c r="ASF29" s="214"/>
      <c r="ASG29" s="214"/>
      <c r="ASH29" s="214"/>
      <c r="ASI29" s="214"/>
      <c r="ASJ29" s="214"/>
      <c r="ASK29" s="214"/>
      <c r="ASL29" s="214"/>
      <c r="ASM29" s="214"/>
      <c r="ASN29" s="214"/>
      <c r="ASO29" s="214"/>
      <c r="ASP29" s="214"/>
      <c r="ASQ29" s="214"/>
      <c r="ASR29" s="214"/>
      <c r="ASS29" s="214"/>
      <c r="AST29" s="214"/>
      <c r="ASU29" s="214"/>
      <c r="ASV29" s="214"/>
      <c r="ASW29" s="214"/>
      <c r="ASX29" s="214"/>
      <c r="ASY29" s="214"/>
      <c r="ASZ29" s="214"/>
      <c r="ATA29" s="214"/>
      <c r="ATB29" s="214"/>
      <c r="ATC29" s="214"/>
      <c r="ATD29" s="214"/>
      <c r="ATE29" s="214"/>
      <c r="ATF29" s="214"/>
      <c r="ATG29" s="214"/>
      <c r="ATH29" s="214"/>
      <c r="ATI29" s="214"/>
      <c r="ATJ29" s="214"/>
      <c r="ATK29" s="214"/>
      <c r="ATL29" s="214"/>
      <c r="ATM29" s="214"/>
      <c r="ATN29" s="214"/>
      <c r="ATO29" s="214"/>
      <c r="ATP29" s="214"/>
      <c r="ATQ29" s="214"/>
      <c r="ATR29" s="214"/>
      <c r="ATS29" s="214"/>
      <c r="ATT29" s="214"/>
      <c r="ATU29" s="214"/>
      <c r="ATV29" s="214"/>
      <c r="ATW29" s="214"/>
      <c r="ATX29" s="214"/>
      <c r="ATY29" s="214"/>
      <c r="ATZ29" s="214"/>
      <c r="AUA29" s="214"/>
      <c r="AUB29" s="214"/>
      <c r="AUC29" s="214"/>
      <c r="AUD29" s="214"/>
      <c r="AUE29" s="214"/>
      <c r="AUF29" s="214"/>
      <c r="AUG29" s="214"/>
      <c r="AUH29" s="214"/>
      <c r="AUI29" s="214"/>
      <c r="AUJ29" s="214"/>
      <c r="AUK29" s="214"/>
      <c r="AUL29" s="214"/>
      <c r="AUM29" s="214"/>
      <c r="AUN29" s="214"/>
      <c r="AUO29" s="214"/>
      <c r="AUP29" s="214"/>
      <c r="AUQ29" s="214"/>
      <c r="AUR29" s="214"/>
      <c r="AUS29" s="214"/>
      <c r="AUT29" s="214"/>
      <c r="AUU29" s="214"/>
      <c r="AUV29" s="214"/>
      <c r="AUW29" s="214"/>
      <c r="AUX29" s="214"/>
      <c r="AUY29" s="214"/>
      <c r="AUZ29" s="214"/>
      <c r="AVA29" s="214"/>
      <c r="AVB29" s="214"/>
      <c r="AVC29" s="214"/>
      <c r="AVD29" s="214"/>
      <c r="AVE29" s="214"/>
      <c r="AVF29" s="214"/>
      <c r="AVG29" s="214"/>
      <c r="AVH29" s="214"/>
      <c r="AVI29" s="214"/>
      <c r="AVJ29" s="214"/>
      <c r="AVK29" s="214"/>
      <c r="AVL29" s="214"/>
      <c r="AVM29" s="214"/>
      <c r="AVN29" s="214"/>
      <c r="AVO29" s="214"/>
      <c r="AVP29" s="214"/>
      <c r="AVQ29" s="214"/>
      <c r="AVR29" s="214"/>
      <c r="AVS29" s="214"/>
      <c r="AVT29" s="214"/>
      <c r="AVU29" s="214"/>
      <c r="AVV29" s="214"/>
      <c r="AVW29" s="214"/>
      <c r="AVX29" s="214"/>
      <c r="AVY29" s="214"/>
      <c r="AVZ29" s="214"/>
      <c r="AWA29" s="214"/>
      <c r="AWB29" s="214"/>
      <c r="AWC29" s="214"/>
      <c r="AWD29" s="214"/>
      <c r="AWE29" s="214"/>
      <c r="AWF29" s="214"/>
      <c r="AWG29" s="214"/>
      <c r="AWH29" s="214"/>
      <c r="AWI29" s="214"/>
      <c r="AWJ29" s="214"/>
      <c r="AWK29" s="214"/>
      <c r="AWL29" s="214"/>
      <c r="AWM29" s="214"/>
      <c r="AWN29" s="214"/>
      <c r="AWO29" s="214"/>
      <c r="AWP29" s="214"/>
      <c r="AWQ29" s="214"/>
      <c r="AWR29" s="214"/>
      <c r="AWS29" s="214"/>
      <c r="AWT29" s="214"/>
      <c r="AWU29" s="214"/>
      <c r="AWV29" s="214"/>
      <c r="AWW29" s="214"/>
      <c r="AWX29" s="214"/>
      <c r="AWY29" s="214"/>
      <c r="AWZ29" s="214"/>
      <c r="AXA29" s="214"/>
      <c r="AXB29" s="214"/>
      <c r="AXC29" s="214"/>
      <c r="AXD29" s="214"/>
      <c r="AXE29" s="214"/>
      <c r="AXF29" s="214"/>
      <c r="AXG29" s="214"/>
      <c r="AXH29" s="214"/>
      <c r="AXI29" s="214"/>
      <c r="AXJ29" s="214"/>
      <c r="AXK29" s="214"/>
      <c r="AXL29" s="214"/>
      <c r="AXM29" s="214"/>
      <c r="AXN29" s="214"/>
      <c r="AXO29" s="214"/>
      <c r="AXP29" s="214"/>
      <c r="AXQ29" s="214"/>
      <c r="AXR29" s="214"/>
      <c r="AXS29" s="214"/>
      <c r="AXT29" s="214"/>
      <c r="AXU29" s="214"/>
      <c r="AXV29" s="214"/>
      <c r="AXW29" s="214"/>
      <c r="AXX29" s="214"/>
      <c r="AXY29" s="214"/>
      <c r="AXZ29" s="214"/>
      <c r="AYA29" s="214"/>
      <c r="AYB29" s="214"/>
      <c r="AYC29" s="214"/>
      <c r="AYD29" s="214"/>
      <c r="AYE29" s="214"/>
      <c r="AYF29" s="214"/>
      <c r="AYG29" s="214"/>
      <c r="AYH29" s="214"/>
      <c r="AYI29" s="214"/>
      <c r="AYJ29" s="214"/>
      <c r="AYK29" s="214"/>
      <c r="AYL29" s="214"/>
      <c r="AYM29" s="214"/>
      <c r="AYN29" s="214"/>
      <c r="AYO29" s="214"/>
      <c r="AYP29" s="214"/>
      <c r="AYQ29" s="214"/>
      <c r="AYR29" s="214"/>
      <c r="AYS29" s="214"/>
      <c r="AYT29" s="214"/>
      <c r="AYU29" s="214"/>
      <c r="AYV29" s="214"/>
      <c r="AYW29" s="214"/>
      <c r="AYX29" s="214"/>
      <c r="AYY29" s="214"/>
      <c r="AYZ29" s="214"/>
      <c r="AZA29" s="214"/>
      <c r="AZB29" s="214"/>
      <c r="AZC29" s="214"/>
      <c r="AZD29" s="214"/>
      <c r="AZE29" s="214"/>
      <c r="AZF29" s="214"/>
      <c r="AZG29" s="214"/>
      <c r="AZH29" s="214"/>
      <c r="AZI29" s="214"/>
      <c r="AZJ29" s="214"/>
      <c r="AZK29" s="214"/>
      <c r="AZL29" s="214"/>
      <c r="AZM29" s="214"/>
      <c r="AZN29" s="214"/>
      <c r="AZO29" s="214"/>
      <c r="AZP29" s="214"/>
      <c r="AZQ29" s="214"/>
      <c r="AZR29" s="214"/>
      <c r="AZS29" s="214"/>
      <c r="AZT29" s="214"/>
      <c r="AZU29" s="214"/>
      <c r="AZV29" s="214"/>
      <c r="AZW29" s="214"/>
      <c r="AZX29" s="214"/>
      <c r="AZY29" s="214"/>
      <c r="AZZ29" s="214"/>
      <c r="BAA29" s="214"/>
      <c r="BAB29" s="214"/>
      <c r="BAC29" s="214"/>
      <c r="BAD29" s="214"/>
      <c r="BAE29" s="214"/>
      <c r="BAF29" s="214"/>
      <c r="BAG29" s="214"/>
      <c r="BAH29" s="214"/>
      <c r="BAI29" s="214"/>
      <c r="BAJ29" s="214"/>
      <c r="BAK29" s="214"/>
      <c r="BAL29" s="214"/>
      <c r="BAM29" s="214"/>
      <c r="BAN29" s="214"/>
      <c r="BAO29" s="214"/>
      <c r="BAP29" s="214"/>
      <c r="BAQ29" s="214"/>
      <c r="BAR29" s="214"/>
      <c r="BAS29" s="214"/>
      <c r="BAT29" s="214"/>
      <c r="BAU29" s="214"/>
      <c r="BAV29" s="214"/>
      <c r="BAW29" s="214"/>
      <c r="BAX29" s="214"/>
      <c r="BAY29" s="214"/>
      <c r="BAZ29" s="214"/>
      <c r="BBA29" s="214"/>
      <c r="BBB29" s="214"/>
      <c r="BBC29" s="214"/>
      <c r="BBD29" s="214"/>
      <c r="BBE29" s="214"/>
      <c r="BBF29" s="214"/>
      <c r="BBG29" s="214"/>
      <c r="BBH29" s="214"/>
      <c r="BBI29" s="214"/>
      <c r="BBJ29" s="214"/>
      <c r="BBK29" s="214"/>
      <c r="BBL29" s="214"/>
      <c r="BBM29" s="214"/>
      <c r="BBN29" s="214"/>
      <c r="BBO29" s="214"/>
      <c r="BBP29" s="214"/>
      <c r="BBQ29" s="214"/>
      <c r="BBR29" s="214"/>
      <c r="BBS29" s="214"/>
      <c r="BBT29" s="214"/>
      <c r="BBU29" s="214"/>
      <c r="BBV29" s="214"/>
      <c r="BBW29" s="214"/>
      <c r="BBX29" s="214"/>
      <c r="BBY29" s="214"/>
      <c r="BBZ29" s="214"/>
      <c r="BCA29" s="214"/>
      <c r="BCB29" s="214"/>
      <c r="BCC29" s="214"/>
      <c r="BCD29" s="214"/>
      <c r="BCE29" s="214"/>
      <c r="BCF29" s="214"/>
      <c r="BCG29" s="214"/>
      <c r="BCH29" s="214"/>
      <c r="BCI29" s="214"/>
      <c r="BCJ29" s="214"/>
      <c r="BCK29" s="214"/>
      <c r="BCL29" s="214"/>
      <c r="BCM29" s="214"/>
      <c r="BCN29" s="214"/>
      <c r="BCO29" s="214"/>
      <c r="BCP29" s="214"/>
      <c r="BCQ29" s="214"/>
      <c r="BCR29" s="214"/>
      <c r="BCS29" s="214"/>
      <c r="BCT29" s="214"/>
      <c r="BCU29" s="214"/>
      <c r="BCV29" s="214"/>
      <c r="BCW29" s="214"/>
      <c r="BCX29" s="214"/>
      <c r="BCY29" s="214"/>
      <c r="BCZ29" s="214"/>
      <c r="BDA29" s="214"/>
      <c r="BDB29" s="214"/>
      <c r="BDC29" s="214"/>
      <c r="BDD29" s="214"/>
      <c r="BDE29" s="214"/>
      <c r="BDF29" s="214"/>
      <c r="BDG29" s="214"/>
      <c r="BDH29" s="214"/>
      <c r="BDI29" s="214"/>
      <c r="BDJ29" s="214"/>
      <c r="BDK29" s="214"/>
      <c r="BDL29" s="214"/>
      <c r="BDM29" s="214"/>
      <c r="BDN29" s="214"/>
      <c r="BDO29" s="214"/>
      <c r="BDP29" s="214"/>
      <c r="BDQ29" s="214"/>
      <c r="BDR29" s="214"/>
      <c r="BDS29" s="214"/>
      <c r="BDT29" s="214"/>
      <c r="BDU29" s="214"/>
      <c r="BDV29" s="214"/>
      <c r="BDW29" s="214"/>
      <c r="BDX29" s="214"/>
      <c r="BDY29" s="214"/>
      <c r="BDZ29" s="214"/>
      <c r="BEA29" s="214"/>
      <c r="BEB29" s="214"/>
      <c r="BEC29" s="214"/>
      <c r="BED29" s="214"/>
      <c r="BEE29" s="214"/>
      <c r="BEF29" s="214"/>
      <c r="BEG29" s="214"/>
      <c r="BEH29" s="214"/>
      <c r="BEI29" s="214"/>
      <c r="BEJ29" s="214"/>
      <c r="BEK29" s="214"/>
      <c r="BEL29" s="214"/>
      <c r="BEM29" s="214"/>
      <c r="BEN29" s="214"/>
      <c r="BEO29" s="214"/>
      <c r="BEP29" s="214"/>
      <c r="BEQ29" s="214"/>
      <c r="BER29" s="214"/>
      <c r="BES29" s="214"/>
      <c r="BET29" s="214"/>
      <c r="BEU29" s="214"/>
      <c r="BEV29" s="214"/>
      <c r="BEW29" s="214"/>
      <c r="BEX29" s="214"/>
      <c r="BEY29" s="214"/>
      <c r="BEZ29" s="214"/>
      <c r="BFA29" s="214"/>
      <c r="BFB29" s="214"/>
      <c r="BFC29" s="214"/>
      <c r="BFD29" s="214"/>
      <c r="BFE29" s="214"/>
      <c r="BFF29" s="214"/>
      <c r="BFG29" s="214"/>
      <c r="BFH29" s="214"/>
      <c r="BFI29" s="214"/>
      <c r="BFJ29" s="214"/>
      <c r="BFK29" s="214"/>
      <c r="BFL29" s="214"/>
      <c r="BFM29" s="214"/>
      <c r="BFN29" s="214"/>
      <c r="BFO29" s="214"/>
      <c r="BFP29" s="214"/>
      <c r="BFQ29" s="214"/>
      <c r="BFR29" s="214"/>
      <c r="BFS29" s="214"/>
      <c r="BFT29" s="214"/>
      <c r="BFU29" s="214"/>
      <c r="BFV29" s="214"/>
      <c r="BFW29" s="214"/>
      <c r="BFX29" s="214"/>
      <c r="BFY29" s="214"/>
      <c r="BFZ29" s="214"/>
      <c r="BGA29" s="214"/>
      <c r="BGB29" s="214"/>
      <c r="BGC29" s="214"/>
      <c r="BGD29" s="214"/>
      <c r="BGE29" s="214"/>
      <c r="BGF29" s="214"/>
      <c r="BGG29" s="214"/>
      <c r="BGH29" s="214"/>
      <c r="BGI29" s="214"/>
      <c r="BGJ29" s="214"/>
      <c r="BGK29" s="214"/>
      <c r="BGL29" s="214"/>
      <c r="BGM29" s="214"/>
      <c r="BGN29" s="214"/>
      <c r="BGO29" s="214"/>
      <c r="BGP29" s="214"/>
      <c r="BGQ29" s="214"/>
      <c r="BGR29" s="214"/>
      <c r="BGS29" s="214"/>
      <c r="BGT29" s="214"/>
      <c r="BGU29" s="214"/>
      <c r="BGV29" s="214"/>
      <c r="BGW29" s="214"/>
      <c r="BGX29" s="214"/>
      <c r="BGY29" s="214"/>
      <c r="BGZ29" s="214"/>
      <c r="BHA29" s="214"/>
      <c r="BHB29" s="214"/>
      <c r="BHC29" s="214"/>
      <c r="BHD29" s="214"/>
      <c r="BHE29" s="214"/>
      <c r="BHF29" s="214"/>
      <c r="BHG29" s="214"/>
      <c r="BHH29" s="214"/>
      <c r="BHI29" s="214"/>
      <c r="BHJ29" s="214"/>
      <c r="BHK29" s="214"/>
      <c r="BHL29" s="214"/>
      <c r="BHM29" s="214"/>
      <c r="BHN29" s="214"/>
      <c r="BHO29" s="214"/>
      <c r="BHP29" s="214"/>
      <c r="BHQ29" s="214"/>
      <c r="BHR29" s="214"/>
      <c r="BHS29" s="214"/>
      <c r="BHT29" s="214"/>
      <c r="BHU29" s="214"/>
      <c r="BHV29" s="214"/>
      <c r="BHW29" s="214"/>
    </row>
    <row r="30" spans="1:1583" s="217" customFormat="1" ht="18.75">
      <c r="A30" s="261" t="s">
        <v>237</v>
      </c>
      <c r="B30" s="180" t="s">
        <v>357</v>
      </c>
      <c r="C30" s="416" t="s">
        <v>480</v>
      </c>
      <c r="D30" s="420" t="s">
        <v>547</v>
      </c>
      <c r="E30" s="59" t="s">
        <v>42</v>
      </c>
      <c r="F30" s="132"/>
      <c r="G30" s="60" t="s">
        <v>684</v>
      </c>
      <c r="H30" s="473">
        <f>AVERAGE(I30:AN30)</f>
        <v>37.962986542926338</v>
      </c>
      <c r="I30" s="92">
        <f>VLOOKUP($B30,'DCS Data'!$E$2:$AJ$100,MATCH('Daily Report'!I$1,'DCS Data'!$E$2:$AJ$2,0),0)</f>
        <v>45.833714720405489</v>
      </c>
      <c r="J30" s="255"/>
      <c r="K30" s="92">
        <f>VLOOKUP($B30,'DCS Data'!$E$2:$AJ$100,MATCH('Daily Report'!K$1,'DCS Data'!$E$2:$AJ$2,0),0)</f>
        <v>45.017124105231787</v>
      </c>
      <c r="L30" s="92">
        <f>VLOOKUP($B30,'DCS Data'!$E$2:$AJ$100,MATCH('Daily Report'!L$1,'DCS Data'!$E$2:$AJ$2,0),0)</f>
        <v>44.405758965987701</v>
      </c>
      <c r="M30" s="92">
        <f>VLOOKUP($B30,'DCS Data'!$E$2:$AJ$100,MATCH('Daily Report'!M$1,'DCS Data'!$E$2:$AJ$2,0),0)</f>
        <v>43.565906176303677</v>
      </c>
      <c r="N30" s="92">
        <f>VLOOKUP($B30,'DCS Data'!$E$2:$AJ$100,MATCH('Daily Report'!N$1,'DCS Data'!$E$2:$AJ$2,0),0)</f>
        <v>43.99571643314318</v>
      </c>
      <c r="O30" s="92">
        <f>VLOOKUP($B30,'DCS Data'!$E$2:$AJ$100,MATCH('Daily Report'!O$1,'DCS Data'!$E$2:$AJ$2,0),0)</f>
        <v>44.407769175628253</v>
      </c>
      <c r="P30" s="92">
        <f>VLOOKUP($B30,'DCS Data'!$E$2:$AJ$100,MATCH('Daily Report'!P$1,'DCS Data'!$E$2:$AJ$2,0),0)</f>
        <v>44.868528695819144</v>
      </c>
      <c r="Q30" s="92">
        <f>VLOOKUP($B30,'DCS Data'!$E$2:$AJ$100,MATCH('Daily Report'!Q$1,'DCS Data'!$E$2:$AJ$2,0),0)</f>
        <v>44.797969774328124</v>
      </c>
      <c r="R30" s="92">
        <f>VLOOKUP($B30,'DCS Data'!$E$2:$AJ$100,MATCH('Daily Report'!R$1,'DCS Data'!$E$2:$AJ$2,0),0)</f>
        <v>44.403776003485021</v>
      </c>
      <c r="S30" s="92">
        <f>VLOOKUP($B30,'DCS Data'!$E$2:$AJ$100,MATCH('Daily Report'!S$1,'DCS Data'!$E$2:$AJ$2,0),0)</f>
        <v>43.456368254462156</v>
      </c>
      <c r="T30" s="92">
        <f>VLOOKUP($B30,'DCS Data'!$E$2:$AJ$100,MATCH('Daily Report'!T$1,'DCS Data'!$E$2:$AJ$2,0),0)</f>
        <v>41.730205396137137</v>
      </c>
      <c r="U30" s="92">
        <f>VLOOKUP($B30,'DCS Data'!$E$2:$AJ$100,MATCH('Daily Report'!U$1,'DCS Data'!$E$2:$AJ$2,0),0)</f>
        <v>41.375324941625436</v>
      </c>
      <c r="V30" s="92">
        <f>VLOOKUP($B30,'DCS Data'!$E$2:$AJ$100,MATCH('Daily Report'!V$1,'DCS Data'!$E$2:$AJ$2,0),0)</f>
        <v>42.122632996387942</v>
      </c>
      <c r="W30" s="92">
        <f>VLOOKUP($B30,'DCS Data'!$E$2:$AJ$100,MATCH('Daily Report'!W$1,'DCS Data'!$E$2:$AJ$2,0),0)</f>
        <v>42.509301469748799</v>
      </c>
      <c r="X30" s="92">
        <f>VLOOKUP($B30,'DCS Data'!$E$2:$AJ$100,MATCH('Daily Report'!X$1,'DCS Data'!$E$2:$AJ$2,0),0)</f>
        <v>33.230639992843599</v>
      </c>
      <c r="Y30" s="92">
        <f>VLOOKUP($B30,'DCS Data'!$E$2:$AJ$100,MATCH('Daily Report'!Y$1,'DCS Data'!$E$2:$AJ$2,0),0)</f>
        <v>31.809339109901355</v>
      </c>
      <c r="Z30" s="92">
        <f>VLOOKUP($B30,'DCS Data'!$E$2:$AJ$100,MATCH('Daily Report'!Z$1,'DCS Data'!$E$2:$AJ$2,0),0)</f>
        <v>31.833472147439462</v>
      </c>
      <c r="AA30" s="92">
        <f>VLOOKUP($B30,'DCS Data'!$E$2:$AJ$100,MATCH('Daily Report'!AA$1,'DCS Data'!$E$2:$AJ$2,0),0)</f>
        <v>31.96392488968857</v>
      </c>
      <c r="AB30" s="92">
        <f>VLOOKUP($B30,'DCS Data'!$E$2:$AJ$100,MATCH('Daily Report'!AB$1,'DCS Data'!$E$2:$AJ$2,0),0)</f>
        <v>32.004293179122008</v>
      </c>
      <c r="AC30" s="92">
        <f>VLOOKUP($B30,'DCS Data'!$E$2:$AJ$100,MATCH('Daily Report'!AC$1,'DCS Data'!$E$2:$AJ$2,0),0)</f>
        <v>33.326123413111162</v>
      </c>
      <c r="AD30" s="92">
        <f>VLOOKUP($B30,'DCS Data'!$E$2:$AJ$100,MATCH('Daily Report'!AD$1,'DCS Data'!$E$2:$AJ$2,0),0)</f>
        <v>33.677246530526475</v>
      </c>
      <c r="AE30" s="92">
        <f>VLOOKUP($B30,'DCS Data'!$E$2:$AJ$100,MATCH('Daily Report'!AE$1,'DCS Data'!$E$2:$AJ$2,0),0)</f>
        <v>33.553581946052653</v>
      </c>
      <c r="AF30" s="92">
        <f>VLOOKUP($B30,'DCS Data'!$E$2:$AJ$100,MATCH('Daily Report'!AF$1,'DCS Data'!$E$2:$AJ$2,0),0)</f>
        <v>33.610989852005147</v>
      </c>
      <c r="AG30" s="92">
        <f>VLOOKUP($B30,'DCS Data'!$E$2:$AJ$100,MATCH('Daily Report'!AG$1,'DCS Data'!$E$2:$AJ$2,0),0)</f>
        <v>34.113259811966863</v>
      </c>
      <c r="AH30" s="92">
        <f>VLOOKUP($B30,'DCS Data'!$E$2:$AJ$100,MATCH('Daily Report'!AH$1,'DCS Data'!$E$2:$AJ$2,0),0)</f>
        <v>34.317561427301506</v>
      </c>
      <c r="AI30" s="92">
        <f>VLOOKUP($B30,'DCS Data'!$E$2:$AJ$100,MATCH('Daily Report'!AI$1,'DCS Data'!$E$2:$AJ$2,0),0)</f>
        <v>34.49903492778305</v>
      </c>
      <c r="AJ30" s="92">
        <f>VLOOKUP($B30,'DCS Data'!$E$2:$AJ$100,MATCH('Daily Report'!AJ$1,'DCS Data'!$E$2:$AJ$2,0),0)</f>
        <v>33.714680259955138</v>
      </c>
      <c r="AK30" s="92">
        <f>VLOOKUP($B30,'DCS Data'!$E$2:$AJ$100,MATCH('Daily Report'!AK$1,'DCS Data'!$E$2:$AJ$2,0),0)</f>
        <v>33.497320829091237</v>
      </c>
      <c r="AL30" s="92">
        <f>VLOOKUP($B30,'DCS Data'!$E$2:$AJ$100,MATCH('Daily Report'!AL$1,'DCS Data'!$E$2:$AJ$2,0),0)</f>
        <v>33.053790296315967</v>
      </c>
      <c r="AM30" s="92">
        <f>VLOOKUP($B30,'DCS Data'!$E$2:$AJ$100,MATCH('Daily Report'!AM$1,'DCS Data'!$E$2:$AJ$2,0),0)</f>
        <v>33.165184638586503</v>
      </c>
      <c r="AN30" s="92">
        <f>VLOOKUP($B30,'DCS Data'!$E$2:$AJ$100,MATCH('Daily Report'!AN$1,'DCS Data'!$E$2:$AJ$2,0),0)</f>
        <v>32.992042470332159</v>
      </c>
      <c r="AO30" s="214"/>
      <c r="AP30" s="214"/>
      <c r="AQ30" s="214"/>
      <c r="AR30" s="214"/>
      <c r="AS30" s="214"/>
      <c r="AT30" s="214"/>
      <c r="AU30" s="214"/>
      <c r="AV30" s="214"/>
      <c r="AW30" s="214"/>
      <c r="AX30" s="214"/>
      <c r="AY30" s="214"/>
      <c r="AZ30" s="214"/>
      <c r="BA30" s="214"/>
      <c r="BB30" s="214"/>
      <c r="BC30" s="214"/>
      <c r="BD30" s="214"/>
      <c r="BE30" s="214"/>
      <c r="BF30" s="214"/>
      <c r="BG30" s="214"/>
      <c r="BH30" s="214"/>
      <c r="BI30" s="214"/>
      <c r="BJ30" s="214"/>
      <c r="BK30" s="214"/>
      <c r="BL30" s="214"/>
      <c r="BM30" s="214"/>
      <c r="BN30" s="214"/>
      <c r="BO30" s="214"/>
      <c r="BP30" s="214"/>
      <c r="BQ30" s="214"/>
      <c r="BR30" s="214"/>
      <c r="BS30" s="214"/>
      <c r="BT30" s="214"/>
      <c r="BU30" s="214"/>
      <c r="BV30" s="214"/>
      <c r="BW30" s="214"/>
      <c r="BX30" s="214"/>
      <c r="BY30" s="214"/>
      <c r="BZ30" s="214"/>
      <c r="CA30" s="214"/>
      <c r="CB30" s="214"/>
      <c r="CC30" s="214"/>
      <c r="CD30" s="214"/>
      <c r="CE30" s="214"/>
      <c r="CF30" s="214"/>
      <c r="CG30" s="214"/>
      <c r="CH30" s="214"/>
      <c r="CI30" s="214"/>
      <c r="CJ30" s="214"/>
      <c r="CK30" s="214"/>
      <c r="CL30" s="214"/>
      <c r="CM30" s="214"/>
      <c r="CN30" s="214"/>
      <c r="CO30" s="214"/>
      <c r="CP30" s="214"/>
      <c r="CQ30" s="214"/>
      <c r="CR30" s="214"/>
      <c r="CS30" s="214"/>
      <c r="CT30" s="214"/>
      <c r="CU30" s="214"/>
      <c r="CV30" s="214"/>
      <c r="CW30" s="214"/>
      <c r="CX30" s="214"/>
      <c r="CY30" s="214"/>
      <c r="CZ30" s="214"/>
      <c r="DA30" s="214"/>
      <c r="DB30" s="214"/>
      <c r="DC30" s="214"/>
      <c r="DD30" s="214"/>
      <c r="DE30" s="214"/>
      <c r="DF30" s="214"/>
      <c r="DG30" s="214"/>
      <c r="DH30" s="214"/>
      <c r="DI30" s="214"/>
      <c r="DJ30" s="214"/>
      <c r="DK30" s="214"/>
      <c r="DL30" s="214"/>
      <c r="DM30" s="214"/>
      <c r="DN30" s="214"/>
      <c r="DO30" s="214"/>
      <c r="DP30" s="214"/>
      <c r="DQ30" s="214"/>
      <c r="DR30" s="214"/>
      <c r="DS30" s="214"/>
      <c r="DT30" s="214"/>
      <c r="DU30" s="214"/>
      <c r="DV30" s="214"/>
      <c r="DW30" s="214"/>
      <c r="DX30" s="214"/>
      <c r="DY30" s="214"/>
      <c r="DZ30" s="214"/>
      <c r="EA30" s="214"/>
      <c r="EB30" s="214"/>
      <c r="EC30" s="214"/>
      <c r="ED30" s="214"/>
      <c r="EE30" s="214"/>
      <c r="EF30" s="214"/>
      <c r="EG30" s="214"/>
      <c r="EH30" s="214"/>
      <c r="EI30" s="214"/>
      <c r="EJ30" s="214"/>
      <c r="EK30" s="214"/>
      <c r="EL30" s="214"/>
      <c r="EM30" s="214"/>
      <c r="EN30" s="214"/>
      <c r="EO30" s="214"/>
      <c r="EP30" s="214"/>
      <c r="EQ30" s="214"/>
      <c r="ER30" s="214"/>
      <c r="ES30" s="214"/>
      <c r="ET30" s="214"/>
      <c r="EU30" s="214"/>
      <c r="EV30" s="214"/>
      <c r="EW30" s="214"/>
      <c r="EX30" s="214"/>
      <c r="EY30" s="214"/>
      <c r="EZ30" s="214"/>
      <c r="FA30" s="214"/>
      <c r="FB30" s="214"/>
      <c r="FC30" s="214"/>
      <c r="FD30" s="214"/>
      <c r="FE30" s="214"/>
      <c r="FF30" s="214"/>
      <c r="FG30" s="214"/>
      <c r="FH30" s="214"/>
      <c r="FI30" s="214"/>
      <c r="FJ30" s="214"/>
      <c r="FK30" s="214"/>
      <c r="FL30" s="214"/>
      <c r="FM30" s="214"/>
      <c r="FN30" s="214"/>
      <c r="FO30" s="214"/>
      <c r="FP30" s="214"/>
      <c r="FQ30" s="214"/>
      <c r="FR30" s="214"/>
      <c r="FS30" s="214"/>
      <c r="FT30" s="214"/>
      <c r="FU30" s="214"/>
      <c r="FV30" s="214"/>
      <c r="FW30" s="214"/>
      <c r="FX30" s="214"/>
      <c r="FY30" s="214"/>
      <c r="FZ30" s="214"/>
      <c r="GA30" s="214"/>
      <c r="GB30" s="214"/>
      <c r="GC30" s="214"/>
      <c r="GD30" s="214"/>
      <c r="GE30" s="214"/>
      <c r="GF30" s="214"/>
      <c r="GG30" s="214"/>
      <c r="GH30" s="214"/>
      <c r="GI30" s="214"/>
      <c r="GJ30" s="214"/>
      <c r="GK30" s="214"/>
      <c r="GL30" s="214"/>
      <c r="GM30" s="214"/>
      <c r="GN30" s="214"/>
      <c r="GO30" s="214"/>
      <c r="GP30" s="214"/>
      <c r="GQ30" s="214"/>
      <c r="GR30" s="214"/>
      <c r="GS30" s="214"/>
      <c r="GT30" s="214"/>
      <c r="GU30" s="214"/>
      <c r="GV30" s="214"/>
      <c r="GW30" s="214"/>
      <c r="GX30" s="214"/>
      <c r="GY30" s="214"/>
      <c r="GZ30" s="214"/>
      <c r="HA30" s="214"/>
      <c r="HB30" s="214"/>
      <c r="HC30" s="214"/>
      <c r="HD30" s="214"/>
      <c r="HE30" s="214"/>
      <c r="HF30" s="214"/>
      <c r="HG30" s="214"/>
      <c r="HH30" s="214"/>
      <c r="HI30" s="214"/>
      <c r="HJ30" s="214"/>
      <c r="HK30" s="214"/>
      <c r="HL30" s="214"/>
      <c r="HM30" s="214"/>
      <c r="HN30" s="214"/>
      <c r="HO30" s="214"/>
      <c r="HP30" s="214"/>
      <c r="HQ30" s="214"/>
      <c r="HR30" s="214"/>
      <c r="HS30" s="214"/>
      <c r="HT30" s="214"/>
      <c r="HU30" s="214"/>
      <c r="HV30" s="214"/>
      <c r="HW30" s="214"/>
      <c r="HX30" s="214"/>
      <c r="HY30" s="214"/>
      <c r="HZ30" s="214"/>
      <c r="IA30" s="214"/>
      <c r="IB30" s="214"/>
      <c r="IC30" s="214"/>
      <c r="ID30" s="214"/>
      <c r="IE30" s="214"/>
      <c r="IF30" s="214"/>
      <c r="IG30" s="214"/>
      <c r="IH30" s="214"/>
      <c r="II30" s="214"/>
      <c r="IJ30" s="214"/>
      <c r="IK30" s="214"/>
      <c r="IL30" s="214"/>
      <c r="IM30" s="214"/>
      <c r="IN30" s="214"/>
      <c r="IO30" s="214"/>
      <c r="IP30" s="214"/>
      <c r="IQ30" s="214"/>
      <c r="IR30" s="214"/>
      <c r="IS30" s="214"/>
      <c r="IT30" s="214"/>
      <c r="IU30" s="214"/>
      <c r="IV30" s="214"/>
      <c r="IW30" s="214"/>
      <c r="IX30" s="214"/>
      <c r="IY30" s="214"/>
      <c r="IZ30" s="214"/>
      <c r="JA30" s="214"/>
      <c r="JB30" s="214"/>
      <c r="JC30" s="214"/>
      <c r="JD30" s="214"/>
      <c r="JE30" s="214"/>
      <c r="JF30" s="214"/>
      <c r="JG30" s="214"/>
      <c r="JH30" s="214"/>
      <c r="JI30" s="214"/>
      <c r="JJ30" s="214"/>
      <c r="JK30" s="214"/>
      <c r="JL30" s="214"/>
      <c r="JM30" s="214"/>
      <c r="JN30" s="214"/>
      <c r="JO30" s="214"/>
      <c r="JP30" s="214"/>
      <c r="JQ30" s="214"/>
      <c r="JR30" s="214"/>
      <c r="JS30" s="214"/>
      <c r="JT30" s="214"/>
      <c r="JU30" s="214"/>
      <c r="JV30" s="214"/>
      <c r="JW30" s="214"/>
      <c r="JX30" s="214"/>
      <c r="JY30" s="214"/>
      <c r="JZ30" s="214"/>
      <c r="KA30" s="214"/>
      <c r="KB30" s="214"/>
      <c r="KC30" s="214"/>
      <c r="KD30" s="214"/>
      <c r="KE30" s="214"/>
      <c r="KF30" s="214"/>
      <c r="KG30" s="214"/>
      <c r="KH30" s="214"/>
      <c r="KI30" s="214"/>
      <c r="KJ30" s="214"/>
      <c r="KK30" s="214"/>
      <c r="KL30" s="214"/>
      <c r="KM30" s="214"/>
      <c r="KN30" s="214"/>
      <c r="KO30" s="214"/>
      <c r="KP30" s="214"/>
      <c r="KQ30" s="214"/>
      <c r="KR30" s="214"/>
      <c r="KS30" s="214"/>
      <c r="KT30" s="214"/>
      <c r="KU30" s="214"/>
      <c r="KV30" s="214"/>
      <c r="KW30" s="214"/>
      <c r="KX30" s="214"/>
      <c r="KY30" s="214"/>
      <c r="KZ30" s="214"/>
      <c r="LA30" s="214"/>
      <c r="LB30" s="214"/>
      <c r="LC30" s="214"/>
      <c r="LD30" s="214"/>
      <c r="LE30" s="214"/>
      <c r="LF30" s="214"/>
      <c r="LG30" s="214"/>
      <c r="LH30" s="214"/>
      <c r="LI30" s="214"/>
      <c r="LJ30" s="214"/>
      <c r="LK30" s="214"/>
      <c r="LL30" s="214"/>
      <c r="LM30" s="214"/>
      <c r="LN30" s="214"/>
      <c r="LO30" s="214"/>
      <c r="LP30" s="214"/>
      <c r="LQ30" s="214"/>
      <c r="LR30" s="214"/>
      <c r="LS30" s="214"/>
      <c r="LT30" s="214"/>
      <c r="LU30" s="214"/>
      <c r="LV30" s="214"/>
      <c r="LW30" s="214"/>
      <c r="LX30" s="214"/>
      <c r="LY30" s="214"/>
      <c r="LZ30" s="214"/>
      <c r="MA30" s="214"/>
      <c r="MB30" s="214"/>
      <c r="MC30" s="214"/>
      <c r="MD30" s="214"/>
      <c r="ME30" s="214"/>
      <c r="MF30" s="214"/>
      <c r="MG30" s="214"/>
      <c r="MH30" s="214"/>
      <c r="MI30" s="214"/>
      <c r="MJ30" s="214"/>
      <c r="MK30" s="214"/>
      <c r="ML30" s="214"/>
      <c r="MM30" s="214"/>
      <c r="MN30" s="214"/>
      <c r="MO30" s="214"/>
      <c r="MP30" s="214"/>
      <c r="MQ30" s="214"/>
      <c r="MR30" s="214"/>
      <c r="MS30" s="214"/>
      <c r="MT30" s="214"/>
      <c r="MU30" s="214"/>
      <c r="MV30" s="214"/>
      <c r="MW30" s="214"/>
      <c r="MX30" s="214"/>
      <c r="MY30" s="214"/>
      <c r="MZ30" s="214"/>
      <c r="NA30" s="214"/>
      <c r="NB30" s="214"/>
      <c r="NC30" s="214"/>
      <c r="ND30" s="214"/>
      <c r="NE30" s="214"/>
      <c r="NF30" s="214"/>
      <c r="NG30" s="214"/>
      <c r="NH30" s="214"/>
      <c r="NI30" s="214"/>
      <c r="NJ30" s="214"/>
      <c r="NK30" s="214"/>
      <c r="NL30" s="214"/>
      <c r="NM30" s="214"/>
      <c r="NN30" s="214"/>
      <c r="NO30" s="214"/>
      <c r="NP30" s="214"/>
      <c r="NQ30" s="214"/>
      <c r="NR30" s="214"/>
      <c r="NS30" s="214"/>
      <c r="NT30" s="214"/>
      <c r="NU30" s="214"/>
      <c r="NV30" s="214"/>
      <c r="NW30" s="214"/>
      <c r="NX30" s="214"/>
      <c r="NY30" s="214"/>
      <c r="NZ30" s="214"/>
      <c r="OA30" s="214"/>
      <c r="OB30" s="214"/>
      <c r="OC30" s="214"/>
      <c r="OD30" s="214"/>
      <c r="OE30" s="214"/>
      <c r="OF30" s="214"/>
      <c r="OG30" s="214"/>
      <c r="OH30" s="214"/>
      <c r="OI30" s="214"/>
      <c r="OJ30" s="214"/>
      <c r="OK30" s="214"/>
      <c r="OL30" s="214"/>
      <c r="OM30" s="214"/>
      <c r="ON30" s="214"/>
      <c r="OO30" s="214"/>
      <c r="OP30" s="214"/>
      <c r="OQ30" s="214"/>
      <c r="OR30" s="214"/>
      <c r="OS30" s="214"/>
      <c r="OT30" s="214"/>
      <c r="OU30" s="214"/>
      <c r="OV30" s="214"/>
      <c r="OW30" s="214"/>
      <c r="OX30" s="214"/>
      <c r="OY30" s="214"/>
      <c r="OZ30" s="214"/>
      <c r="PA30" s="214"/>
      <c r="PB30" s="214"/>
      <c r="PC30" s="214"/>
      <c r="PD30" s="214"/>
      <c r="PE30" s="214"/>
      <c r="PF30" s="214"/>
      <c r="PG30" s="214"/>
      <c r="PH30" s="214"/>
      <c r="PI30" s="214"/>
      <c r="PJ30" s="214"/>
      <c r="PK30" s="214"/>
      <c r="PL30" s="214"/>
      <c r="PM30" s="214"/>
      <c r="PN30" s="214"/>
      <c r="PO30" s="214"/>
      <c r="PP30" s="214"/>
      <c r="PQ30" s="214"/>
      <c r="PR30" s="214"/>
      <c r="PS30" s="214"/>
      <c r="PT30" s="214"/>
      <c r="PU30" s="214"/>
      <c r="PV30" s="214"/>
      <c r="PW30" s="214"/>
      <c r="PX30" s="214"/>
      <c r="PY30" s="214"/>
      <c r="PZ30" s="214"/>
      <c r="QA30" s="214"/>
      <c r="QB30" s="214"/>
      <c r="QC30" s="214"/>
      <c r="QD30" s="214"/>
      <c r="QE30" s="214"/>
      <c r="QF30" s="214"/>
      <c r="QG30" s="214"/>
      <c r="QH30" s="214"/>
      <c r="QI30" s="214"/>
      <c r="QJ30" s="214"/>
      <c r="QK30" s="214"/>
      <c r="QL30" s="214"/>
      <c r="QM30" s="214"/>
      <c r="QN30" s="214"/>
      <c r="QO30" s="214"/>
      <c r="QP30" s="214"/>
      <c r="QQ30" s="214"/>
      <c r="QR30" s="214"/>
      <c r="QS30" s="214"/>
      <c r="QT30" s="214"/>
      <c r="QU30" s="214"/>
      <c r="QV30" s="214"/>
      <c r="QW30" s="214"/>
      <c r="QX30" s="214"/>
      <c r="QY30" s="214"/>
      <c r="QZ30" s="214"/>
      <c r="RA30" s="214"/>
      <c r="RB30" s="214"/>
      <c r="RC30" s="214"/>
      <c r="RD30" s="214"/>
      <c r="RE30" s="214"/>
      <c r="RF30" s="214"/>
      <c r="RG30" s="214"/>
      <c r="RH30" s="214"/>
      <c r="RI30" s="214"/>
      <c r="RJ30" s="214"/>
      <c r="RK30" s="214"/>
      <c r="RL30" s="214"/>
      <c r="RM30" s="214"/>
      <c r="RN30" s="214"/>
      <c r="RO30" s="214"/>
      <c r="RP30" s="214"/>
      <c r="RQ30" s="214"/>
      <c r="RR30" s="214"/>
      <c r="RS30" s="214"/>
      <c r="RT30" s="214"/>
      <c r="RU30" s="214"/>
      <c r="RV30" s="214"/>
      <c r="RW30" s="214"/>
      <c r="RX30" s="214"/>
      <c r="RY30" s="214"/>
      <c r="RZ30" s="214"/>
      <c r="SA30" s="214"/>
      <c r="SB30" s="214"/>
      <c r="SC30" s="214"/>
      <c r="SD30" s="214"/>
      <c r="SE30" s="214"/>
      <c r="SF30" s="214"/>
      <c r="SG30" s="214"/>
      <c r="SH30" s="214"/>
      <c r="SI30" s="214"/>
      <c r="SJ30" s="214"/>
      <c r="SK30" s="214"/>
      <c r="SL30" s="214"/>
      <c r="SM30" s="214"/>
      <c r="SN30" s="214"/>
      <c r="SO30" s="214"/>
      <c r="SP30" s="214"/>
      <c r="SQ30" s="214"/>
      <c r="SR30" s="214"/>
      <c r="SS30" s="214"/>
      <c r="ST30" s="214"/>
      <c r="SU30" s="214"/>
      <c r="SV30" s="214"/>
      <c r="SW30" s="214"/>
      <c r="SX30" s="214"/>
      <c r="SY30" s="214"/>
      <c r="SZ30" s="214"/>
      <c r="TA30" s="214"/>
      <c r="TB30" s="214"/>
      <c r="TC30" s="214"/>
      <c r="TD30" s="214"/>
      <c r="TE30" s="214"/>
      <c r="TF30" s="214"/>
      <c r="TG30" s="214"/>
      <c r="TH30" s="214"/>
      <c r="TI30" s="214"/>
      <c r="TJ30" s="214"/>
      <c r="TK30" s="214"/>
      <c r="TL30" s="214"/>
      <c r="TM30" s="214"/>
      <c r="TN30" s="214"/>
      <c r="TO30" s="214"/>
      <c r="TP30" s="214"/>
      <c r="TQ30" s="214"/>
      <c r="TR30" s="214"/>
      <c r="TS30" s="214"/>
      <c r="TT30" s="214"/>
      <c r="TU30" s="214"/>
      <c r="TV30" s="214"/>
      <c r="TW30" s="214"/>
      <c r="TX30" s="214"/>
      <c r="TY30" s="214"/>
      <c r="TZ30" s="214"/>
      <c r="UA30" s="214"/>
      <c r="UB30" s="214"/>
      <c r="UC30" s="214"/>
      <c r="UD30" s="214"/>
      <c r="UE30" s="214"/>
      <c r="UF30" s="214"/>
      <c r="UG30" s="214"/>
      <c r="UH30" s="214"/>
      <c r="UI30" s="214"/>
      <c r="UJ30" s="214"/>
      <c r="UK30" s="214"/>
      <c r="UL30" s="214"/>
      <c r="UM30" s="214"/>
      <c r="UN30" s="214"/>
      <c r="UO30" s="214"/>
      <c r="UP30" s="214"/>
      <c r="UQ30" s="214"/>
      <c r="UR30" s="214"/>
      <c r="US30" s="214"/>
      <c r="UT30" s="214"/>
      <c r="UU30" s="214"/>
      <c r="UV30" s="214"/>
      <c r="UW30" s="214"/>
      <c r="UX30" s="214"/>
      <c r="UY30" s="214"/>
      <c r="UZ30" s="214"/>
      <c r="VA30" s="214"/>
      <c r="VB30" s="214"/>
      <c r="VC30" s="214"/>
      <c r="VD30" s="214"/>
      <c r="VE30" s="214"/>
      <c r="VF30" s="214"/>
      <c r="VG30" s="214"/>
      <c r="VH30" s="214"/>
      <c r="VI30" s="214"/>
      <c r="VJ30" s="214"/>
      <c r="VK30" s="214"/>
      <c r="VL30" s="214"/>
      <c r="VM30" s="214"/>
      <c r="VN30" s="214"/>
      <c r="VO30" s="214"/>
      <c r="VP30" s="214"/>
      <c r="VQ30" s="214"/>
      <c r="VR30" s="214"/>
      <c r="VS30" s="214"/>
      <c r="VT30" s="214"/>
      <c r="VU30" s="214"/>
      <c r="VV30" s="214"/>
      <c r="VW30" s="214"/>
      <c r="VX30" s="214"/>
      <c r="VY30" s="214"/>
      <c r="VZ30" s="214"/>
      <c r="WA30" s="214"/>
      <c r="WB30" s="214"/>
      <c r="WC30" s="214"/>
      <c r="WD30" s="214"/>
      <c r="WE30" s="214"/>
      <c r="WF30" s="214"/>
      <c r="WG30" s="214"/>
      <c r="WH30" s="214"/>
      <c r="WI30" s="214"/>
      <c r="WJ30" s="214"/>
      <c r="WK30" s="214"/>
      <c r="WL30" s="214"/>
      <c r="WM30" s="214"/>
      <c r="WN30" s="214"/>
      <c r="WO30" s="214"/>
      <c r="WP30" s="214"/>
      <c r="WQ30" s="214"/>
      <c r="WR30" s="214"/>
      <c r="WS30" s="214"/>
      <c r="WT30" s="214"/>
      <c r="WU30" s="214"/>
      <c r="WV30" s="214"/>
      <c r="WW30" s="214"/>
      <c r="WX30" s="214"/>
      <c r="WY30" s="214"/>
      <c r="WZ30" s="214"/>
      <c r="XA30" s="214"/>
      <c r="XB30" s="214"/>
      <c r="XC30" s="214"/>
      <c r="XD30" s="214"/>
      <c r="XE30" s="214"/>
      <c r="XF30" s="214"/>
      <c r="XG30" s="214"/>
      <c r="XH30" s="214"/>
      <c r="XI30" s="214"/>
      <c r="XJ30" s="214"/>
      <c r="XK30" s="214"/>
      <c r="XL30" s="214"/>
      <c r="XM30" s="214"/>
      <c r="XN30" s="214"/>
      <c r="XO30" s="214"/>
      <c r="XP30" s="214"/>
      <c r="XQ30" s="214"/>
      <c r="XR30" s="214"/>
      <c r="XS30" s="214"/>
      <c r="XT30" s="214"/>
      <c r="XU30" s="214"/>
      <c r="XV30" s="214"/>
      <c r="XW30" s="214"/>
      <c r="XX30" s="214"/>
      <c r="XY30" s="214"/>
      <c r="XZ30" s="214"/>
      <c r="YA30" s="214"/>
      <c r="YB30" s="214"/>
      <c r="YC30" s="214"/>
      <c r="YD30" s="214"/>
      <c r="YE30" s="214"/>
      <c r="YF30" s="214"/>
      <c r="YG30" s="214"/>
      <c r="YH30" s="214"/>
      <c r="YI30" s="214"/>
      <c r="YJ30" s="214"/>
      <c r="YK30" s="214"/>
      <c r="YL30" s="214"/>
      <c r="YM30" s="214"/>
      <c r="YN30" s="214"/>
      <c r="YO30" s="214"/>
      <c r="YP30" s="214"/>
      <c r="YQ30" s="214"/>
      <c r="YR30" s="214"/>
      <c r="YS30" s="214"/>
      <c r="YT30" s="214"/>
      <c r="YU30" s="214"/>
      <c r="YV30" s="214"/>
      <c r="YW30" s="214"/>
      <c r="YX30" s="214"/>
      <c r="YY30" s="214"/>
      <c r="YZ30" s="214"/>
      <c r="ZA30" s="214"/>
      <c r="ZB30" s="214"/>
      <c r="ZC30" s="214"/>
      <c r="ZD30" s="214"/>
      <c r="ZE30" s="214"/>
      <c r="ZF30" s="214"/>
      <c r="ZG30" s="214"/>
      <c r="ZH30" s="214"/>
      <c r="ZI30" s="214"/>
      <c r="ZJ30" s="214"/>
      <c r="ZK30" s="214"/>
      <c r="ZL30" s="214"/>
      <c r="ZM30" s="214"/>
      <c r="ZN30" s="214"/>
      <c r="ZO30" s="214"/>
      <c r="ZP30" s="214"/>
      <c r="ZQ30" s="214"/>
      <c r="ZR30" s="214"/>
      <c r="ZS30" s="214"/>
      <c r="ZT30" s="214"/>
      <c r="ZU30" s="214"/>
      <c r="ZV30" s="214"/>
      <c r="ZW30" s="214"/>
      <c r="ZX30" s="214"/>
      <c r="ZY30" s="214"/>
      <c r="ZZ30" s="214"/>
      <c r="AAA30" s="214"/>
      <c r="AAB30" s="214"/>
      <c r="AAC30" s="214"/>
      <c r="AAD30" s="214"/>
      <c r="AAE30" s="214"/>
      <c r="AAF30" s="214"/>
      <c r="AAG30" s="214"/>
      <c r="AAH30" s="214"/>
      <c r="AAI30" s="214"/>
      <c r="AAJ30" s="214"/>
      <c r="AAK30" s="214"/>
      <c r="AAL30" s="214"/>
      <c r="AAM30" s="214"/>
      <c r="AAN30" s="214"/>
      <c r="AAO30" s="214"/>
      <c r="AAP30" s="214"/>
      <c r="AAQ30" s="214"/>
      <c r="AAR30" s="214"/>
      <c r="AAS30" s="214"/>
      <c r="AAT30" s="214"/>
      <c r="AAU30" s="214"/>
      <c r="AAV30" s="214"/>
      <c r="AAW30" s="214"/>
      <c r="AAX30" s="214"/>
      <c r="AAY30" s="214"/>
      <c r="AAZ30" s="214"/>
      <c r="ABA30" s="214"/>
      <c r="ABB30" s="214"/>
      <c r="ABC30" s="214"/>
      <c r="ABD30" s="214"/>
      <c r="ABE30" s="214"/>
      <c r="ABF30" s="214"/>
      <c r="ABG30" s="214"/>
      <c r="ABH30" s="214"/>
      <c r="ABI30" s="214"/>
      <c r="ABJ30" s="214"/>
      <c r="ABK30" s="214"/>
      <c r="ABL30" s="214"/>
      <c r="ABM30" s="214"/>
      <c r="ABN30" s="214"/>
      <c r="ABO30" s="214"/>
      <c r="ABP30" s="214"/>
      <c r="ABQ30" s="214"/>
      <c r="ABR30" s="214"/>
      <c r="ABS30" s="214"/>
      <c r="ABT30" s="214"/>
      <c r="ABU30" s="214"/>
      <c r="ABV30" s="214"/>
      <c r="ABW30" s="214"/>
      <c r="ABX30" s="214"/>
      <c r="ABY30" s="214"/>
      <c r="ABZ30" s="214"/>
      <c r="ACA30" s="214"/>
      <c r="ACB30" s="214"/>
      <c r="ACC30" s="214"/>
      <c r="ACD30" s="214"/>
      <c r="ACE30" s="214"/>
      <c r="ACF30" s="214"/>
      <c r="ACG30" s="214"/>
      <c r="ACH30" s="214"/>
      <c r="ACI30" s="214"/>
      <c r="ACJ30" s="214"/>
      <c r="ACK30" s="214"/>
      <c r="ACL30" s="214"/>
      <c r="ACM30" s="214"/>
      <c r="ACN30" s="214"/>
      <c r="ACO30" s="214"/>
      <c r="ACP30" s="214"/>
      <c r="ACQ30" s="214"/>
      <c r="ACR30" s="214"/>
      <c r="ACS30" s="214"/>
      <c r="ACT30" s="214"/>
      <c r="ACU30" s="214"/>
      <c r="ACV30" s="214"/>
      <c r="ACW30" s="214"/>
      <c r="ACX30" s="214"/>
      <c r="ACY30" s="214"/>
      <c r="ACZ30" s="214"/>
      <c r="ADA30" s="214"/>
      <c r="ADB30" s="214"/>
      <c r="ADC30" s="214"/>
      <c r="ADD30" s="214"/>
      <c r="ADE30" s="214"/>
      <c r="ADF30" s="214"/>
      <c r="ADG30" s="214"/>
      <c r="ADH30" s="214"/>
      <c r="ADI30" s="214"/>
      <c r="ADJ30" s="214"/>
      <c r="ADK30" s="214"/>
      <c r="ADL30" s="214"/>
      <c r="ADM30" s="214"/>
      <c r="ADN30" s="214"/>
      <c r="ADO30" s="214"/>
      <c r="ADP30" s="214"/>
      <c r="ADQ30" s="214"/>
      <c r="ADR30" s="214"/>
      <c r="ADS30" s="214"/>
      <c r="ADT30" s="214"/>
      <c r="ADU30" s="214"/>
      <c r="ADV30" s="214"/>
      <c r="ADW30" s="214"/>
      <c r="ADX30" s="214"/>
      <c r="ADY30" s="214"/>
      <c r="ADZ30" s="214"/>
      <c r="AEA30" s="214"/>
      <c r="AEB30" s="214"/>
      <c r="AEC30" s="214"/>
      <c r="AED30" s="214"/>
      <c r="AEE30" s="214"/>
      <c r="AEF30" s="214"/>
      <c r="AEG30" s="214"/>
      <c r="AEH30" s="214"/>
      <c r="AEI30" s="214"/>
      <c r="AEJ30" s="214"/>
      <c r="AEK30" s="214"/>
      <c r="AEL30" s="214"/>
      <c r="AEM30" s="214"/>
      <c r="AEN30" s="214"/>
      <c r="AEO30" s="214"/>
      <c r="AEP30" s="214"/>
      <c r="AEQ30" s="214"/>
      <c r="AER30" s="214"/>
      <c r="AES30" s="214"/>
      <c r="AET30" s="214"/>
      <c r="AEU30" s="214"/>
      <c r="AEV30" s="214"/>
      <c r="AEW30" s="214"/>
      <c r="AEX30" s="214"/>
      <c r="AEY30" s="214"/>
      <c r="AEZ30" s="214"/>
      <c r="AFA30" s="214"/>
      <c r="AFB30" s="214"/>
      <c r="AFC30" s="214"/>
      <c r="AFD30" s="214"/>
      <c r="AFE30" s="214"/>
      <c r="AFF30" s="214"/>
      <c r="AFG30" s="214"/>
      <c r="AFH30" s="214"/>
      <c r="AFI30" s="214"/>
      <c r="AFJ30" s="214"/>
      <c r="AFK30" s="214"/>
      <c r="AFL30" s="214"/>
      <c r="AFM30" s="214"/>
      <c r="AFN30" s="214"/>
      <c r="AFO30" s="214"/>
      <c r="AFP30" s="214"/>
      <c r="AFQ30" s="214"/>
      <c r="AFR30" s="214"/>
      <c r="AFS30" s="214"/>
      <c r="AFT30" s="214"/>
      <c r="AFU30" s="214"/>
      <c r="AFV30" s="214"/>
      <c r="AFW30" s="214"/>
      <c r="AFX30" s="214"/>
      <c r="AFY30" s="214"/>
      <c r="AFZ30" s="214"/>
      <c r="AGA30" s="214"/>
      <c r="AGB30" s="214"/>
      <c r="AGC30" s="214"/>
      <c r="AGD30" s="214"/>
      <c r="AGE30" s="214"/>
      <c r="AGF30" s="214"/>
      <c r="AGG30" s="214"/>
      <c r="AGH30" s="214"/>
      <c r="AGI30" s="214"/>
      <c r="AGJ30" s="214"/>
      <c r="AGK30" s="214"/>
      <c r="AGL30" s="214"/>
      <c r="AGM30" s="214"/>
      <c r="AGN30" s="214"/>
      <c r="AGO30" s="214"/>
      <c r="AGP30" s="214"/>
      <c r="AGQ30" s="214"/>
      <c r="AGR30" s="214"/>
      <c r="AGS30" s="214"/>
      <c r="AGT30" s="214"/>
      <c r="AGU30" s="214"/>
      <c r="AGV30" s="214"/>
      <c r="AGW30" s="214"/>
      <c r="AGX30" s="214"/>
      <c r="AGY30" s="214"/>
      <c r="AGZ30" s="214"/>
      <c r="AHA30" s="214"/>
      <c r="AHB30" s="214"/>
      <c r="AHC30" s="214"/>
      <c r="AHD30" s="214"/>
      <c r="AHE30" s="214"/>
      <c r="AHF30" s="214"/>
      <c r="AHG30" s="214"/>
      <c r="AHH30" s="214"/>
      <c r="AHI30" s="214"/>
      <c r="AHJ30" s="214"/>
      <c r="AHK30" s="214"/>
      <c r="AHL30" s="214"/>
      <c r="AHM30" s="214"/>
      <c r="AHN30" s="214"/>
      <c r="AHO30" s="214"/>
      <c r="AHP30" s="214"/>
      <c r="AHQ30" s="214"/>
      <c r="AHR30" s="214"/>
      <c r="AHS30" s="214"/>
      <c r="AHT30" s="214"/>
      <c r="AHU30" s="214"/>
      <c r="AHV30" s="214"/>
      <c r="AHW30" s="214"/>
      <c r="AHX30" s="214"/>
      <c r="AHY30" s="214"/>
      <c r="AHZ30" s="214"/>
      <c r="AIA30" s="214"/>
      <c r="AIB30" s="214"/>
      <c r="AIC30" s="214"/>
      <c r="AID30" s="214"/>
      <c r="AIE30" s="214"/>
      <c r="AIF30" s="214"/>
      <c r="AIG30" s="214"/>
      <c r="AIH30" s="214"/>
      <c r="AII30" s="214"/>
      <c r="AIJ30" s="214"/>
      <c r="AIK30" s="214"/>
      <c r="AIL30" s="214"/>
      <c r="AIM30" s="214"/>
      <c r="AIN30" s="214"/>
      <c r="AIO30" s="214"/>
      <c r="AIP30" s="214"/>
      <c r="AIQ30" s="214"/>
      <c r="AIR30" s="214"/>
      <c r="AIS30" s="214"/>
      <c r="AIT30" s="214"/>
      <c r="AIU30" s="214"/>
      <c r="AIV30" s="214"/>
      <c r="AIW30" s="214"/>
      <c r="AIX30" s="214"/>
      <c r="AIY30" s="214"/>
      <c r="AIZ30" s="214"/>
      <c r="AJA30" s="214"/>
      <c r="AJB30" s="214"/>
      <c r="AJC30" s="214"/>
      <c r="AJD30" s="214"/>
      <c r="AJE30" s="214"/>
      <c r="AJF30" s="214"/>
      <c r="AJG30" s="214"/>
      <c r="AJH30" s="214"/>
      <c r="AJI30" s="214"/>
      <c r="AJJ30" s="214"/>
      <c r="AJK30" s="214"/>
      <c r="AJL30" s="214"/>
      <c r="AJM30" s="214"/>
      <c r="AJN30" s="214"/>
      <c r="AJO30" s="214"/>
      <c r="AJP30" s="214"/>
      <c r="AJQ30" s="214"/>
      <c r="AJR30" s="214"/>
      <c r="AJS30" s="214"/>
      <c r="AJT30" s="214"/>
      <c r="AJU30" s="214"/>
      <c r="AJV30" s="214"/>
      <c r="AJW30" s="214"/>
      <c r="AJX30" s="214"/>
      <c r="AJY30" s="214"/>
      <c r="AJZ30" s="214"/>
      <c r="AKA30" s="214"/>
      <c r="AKB30" s="214"/>
      <c r="AKC30" s="214"/>
      <c r="AKD30" s="214"/>
      <c r="AKE30" s="214"/>
      <c r="AKF30" s="214"/>
      <c r="AKG30" s="214"/>
      <c r="AKH30" s="214"/>
      <c r="AKI30" s="214"/>
      <c r="AKJ30" s="214"/>
      <c r="AKK30" s="214"/>
      <c r="AKL30" s="214"/>
      <c r="AKM30" s="214"/>
      <c r="AKN30" s="214"/>
      <c r="AKO30" s="214"/>
      <c r="AKP30" s="214"/>
      <c r="AKQ30" s="214"/>
      <c r="AKR30" s="214"/>
      <c r="AKS30" s="214"/>
      <c r="AKT30" s="214"/>
      <c r="AKU30" s="214"/>
      <c r="AKV30" s="214"/>
      <c r="AKW30" s="214"/>
      <c r="AKX30" s="214"/>
      <c r="AKY30" s="214"/>
      <c r="AKZ30" s="214"/>
      <c r="ALA30" s="214"/>
      <c r="ALB30" s="214"/>
      <c r="ALC30" s="214"/>
      <c r="ALD30" s="214"/>
      <c r="ALE30" s="214"/>
      <c r="ALF30" s="214"/>
      <c r="ALG30" s="214"/>
      <c r="ALH30" s="214"/>
      <c r="ALI30" s="214"/>
      <c r="ALJ30" s="214"/>
      <c r="ALK30" s="214"/>
      <c r="ALL30" s="214"/>
      <c r="ALM30" s="214"/>
      <c r="ALN30" s="214"/>
      <c r="ALO30" s="214"/>
      <c r="ALP30" s="214"/>
      <c r="ALQ30" s="214"/>
      <c r="ALR30" s="214"/>
      <c r="ALS30" s="214"/>
      <c r="ALT30" s="214"/>
      <c r="ALU30" s="214"/>
      <c r="ALV30" s="214"/>
      <c r="ALW30" s="214"/>
      <c r="ALX30" s="214"/>
      <c r="ALY30" s="214"/>
      <c r="ALZ30" s="214"/>
      <c r="AMA30" s="214"/>
      <c r="AMB30" s="214"/>
      <c r="AMC30" s="214"/>
      <c r="AMD30" s="214"/>
      <c r="AME30" s="214"/>
      <c r="AMF30" s="214"/>
      <c r="AMG30" s="214"/>
      <c r="AMH30" s="214"/>
      <c r="AMI30" s="214"/>
      <c r="AMJ30" s="214"/>
      <c r="AMK30" s="214"/>
      <c r="AML30" s="214"/>
      <c r="AMM30" s="214"/>
      <c r="AMN30" s="214"/>
      <c r="AMO30" s="214"/>
      <c r="AMP30" s="214"/>
      <c r="AMQ30" s="214"/>
      <c r="AMR30" s="214"/>
      <c r="AMS30" s="214"/>
      <c r="AMT30" s="214"/>
      <c r="AMU30" s="214"/>
      <c r="AMV30" s="214"/>
      <c r="AMW30" s="214"/>
      <c r="AMX30" s="214"/>
      <c r="AMY30" s="214"/>
      <c r="AMZ30" s="214"/>
      <c r="ANA30" s="214"/>
      <c r="ANB30" s="214"/>
      <c r="ANC30" s="214"/>
      <c r="AND30" s="214"/>
      <c r="ANE30" s="214"/>
      <c r="ANF30" s="214"/>
      <c r="ANG30" s="214"/>
      <c r="ANH30" s="214"/>
      <c r="ANI30" s="214"/>
      <c r="ANJ30" s="214"/>
      <c r="ANK30" s="214"/>
      <c r="ANL30" s="214"/>
      <c r="ANM30" s="214"/>
      <c r="ANN30" s="214"/>
      <c r="ANO30" s="214"/>
      <c r="ANP30" s="214"/>
      <c r="ANQ30" s="214"/>
      <c r="ANR30" s="214"/>
      <c r="ANS30" s="214"/>
      <c r="ANT30" s="214"/>
      <c r="ANU30" s="214"/>
      <c r="ANV30" s="214"/>
      <c r="ANW30" s="214"/>
      <c r="ANX30" s="214"/>
      <c r="ANY30" s="214"/>
      <c r="ANZ30" s="214"/>
      <c r="AOA30" s="214"/>
      <c r="AOB30" s="214"/>
      <c r="AOC30" s="214"/>
      <c r="AOD30" s="214"/>
      <c r="AOE30" s="214"/>
      <c r="AOF30" s="214"/>
      <c r="AOG30" s="214"/>
      <c r="AOH30" s="214"/>
      <c r="AOI30" s="214"/>
      <c r="AOJ30" s="214"/>
      <c r="AOK30" s="214"/>
      <c r="AOL30" s="214"/>
      <c r="AOM30" s="214"/>
      <c r="AON30" s="214"/>
      <c r="AOO30" s="214"/>
      <c r="AOP30" s="214"/>
      <c r="AOQ30" s="214"/>
      <c r="AOR30" s="214"/>
      <c r="AOS30" s="214"/>
      <c r="AOT30" s="214"/>
      <c r="AOU30" s="214"/>
      <c r="AOV30" s="214"/>
      <c r="AOW30" s="214"/>
      <c r="AOX30" s="214"/>
      <c r="AOY30" s="214"/>
      <c r="AOZ30" s="214"/>
      <c r="APA30" s="214"/>
      <c r="APB30" s="214"/>
      <c r="APC30" s="214"/>
      <c r="APD30" s="214"/>
      <c r="APE30" s="214"/>
      <c r="APF30" s="214"/>
      <c r="APG30" s="214"/>
      <c r="APH30" s="214"/>
      <c r="API30" s="214"/>
      <c r="APJ30" s="214"/>
      <c r="APK30" s="214"/>
      <c r="APL30" s="214"/>
      <c r="APM30" s="214"/>
      <c r="APN30" s="214"/>
      <c r="APO30" s="214"/>
      <c r="APP30" s="214"/>
      <c r="APQ30" s="214"/>
      <c r="APR30" s="214"/>
      <c r="APS30" s="214"/>
      <c r="APT30" s="214"/>
      <c r="APU30" s="214"/>
      <c r="APV30" s="214"/>
      <c r="APW30" s="214"/>
      <c r="APX30" s="214"/>
      <c r="APY30" s="214"/>
      <c r="APZ30" s="214"/>
      <c r="AQA30" s="214"/>
      <c r="AQB30" s="214"/>
      <c r="AQC30" s="214"/>
      <c r="AQD30" s="214"/>
      <c r="AQE30" s="214"/>
      <c r="AQF30" s="214"/>
      <c r="AQG30" s="214"/>
      <c r="AQH30" s="214"/>
      <c r="AQI30" s="214"/>
      <c r="AQJ30" s="214"/>
      <c r="AQK30" s="214"/>
      <c r="AQL30" s="214"/>
      <c r="AQM30" s="214"/>
      <c r="AQN30" s="214"/>
      <c r="AQO30" s="214"/>
      <c r="AQP30" s="214"/>
      <c r="AQQ30" s="214"/>
      <c r="AQR30" s="214"/>
      <c r="AQS30" s="214"/>
      <c r="AQT30" s="214"/>
      <c r="AQU30" s="214"/>
      <c r="AQV30" s="214"/>
      <c r="AQW30" s="214"/>
      <c r="AQX30" s="214"/>
      <c r="AQY30" s="214"/>
      <c r="AQZ30" s="214"/>
      <c r="ARA30" s="214"/>
      <c r="ARB30" s="214"/>
      <c r="ARC30" s="214"/>
      <c r="ARD30" s="214"/>
      <c r="ARE30" s="214"/>
      <c r="ARF30" s="214"/>
      <c r="ARG30" s="214"/>
      <c r="ARH30" s="214"/>
      <c r="ARI30" s="214"/>
      <c r="ARJ30" s="214"/>
      <c r="ARK30" s="214"/>
      <c r="ARL30" s="214"/>
      <c r="ARM30" s="214"/>
      <c r="ARN30" s="214"/>
      <c r="ARO30" s="214"/>
      <c r="ARP30" s="214"/>
      <c r="ARQ30" s="214"/>
      <c r="ARR30" s="214"/>
      <c r="ARS30" s="214"/>
      <c r="ART30" s="214"/>
      <c r="ARU30" s="214"/>
      <c r="ARV30" s="214"/>
      <c r="ARW30" s="214"/>
      <c r="ARX30" s="214"/>
      <c r="ARY30" s="214"/>
      <c r="ARZ30" s="214"/>
      <c r="ASA30" s="214"/>
      <c r="ASB30" s="214"/>
      <c r="ASC30" s="214"/>
      <c r="ASD30" s="214"/>
      <c r="ASE30" s="214"/>
      <c r="ASF30" s="214"/>
      <c r="ASG30" s="214"/>
      <c r="ASH30" s="214"/>
      <c r="ASI30" s="214"/>
      <c r="ASJ30" s="214"/>
      <c r="ASK30" s="214"/>
      <c r="ASL30" s="214"/>
      <c r="ASM30" s="214"/>
      <c r="ASN30" s="214"/>
      <c r="ASO30" s="214"/>
      <c r="ASP30" s="214"/>
      <c r="ASQ30" s="214"/>
      <c r="ASR30" s="214"/>
      <c r="ASS30" s="214"/>
      <c r="AST30" s="214"/>
      <c r="ASU30" s="214"/>
      <c r="ASV30" s="214"/>
      <c r="ASW30" s="214"/>
      <c r="ASX30" s="214"/>
      <c r="ASY30" s="214"/>
      <c r="ASZ30" s="214"/>
      <c r="ATA30" s="214"/>
      <c r="ATB30" s="214"/>
      <c r="ATC30" s="214"/>
      <c r="ATD30" s="214"/>
      <c r="ATE30" s="214"/>
      <c r="ATF30" s="214"/>
      <c r="ATG30" s="214"/>
      <c r="ATH30" s="214"/>
      <c r="ATI30" s="214"/>
      <c r="ATJ30" s="214"/>
      <c r="ATK30" s="214"/>
      <c r="ATL30" s="214"/>
      <c r="ATM30" s="214"/>
      <c r="ATN30" s="214"/>
      <c r="ATO30" s="214"/>
      <c r="ATP30" s="214"/>
      <c r="ATQ30" s="214"/>
      <c r="ATR30" s="214"/>
      <c r="ATS30" s="214"/>
      <c r="ATT30" s="214"/>
      <c r="ATU30" s="214"/>
      <c r="ATV30" s="214"/>
      <c r="ATW30" s="214"/>
      <c r="ATX30" s="214"/>
      <c r="ATY30" s="214"/>
      <c r="ATZ30" s="214"/>
      <c r="AUA30" s="214"/>
      <c r="AUB30" s="214"/>
      <c r="AUC30" s="214"/>
      <c r="AUD30" s="214"/>
      <c r="AUE30" s="214"/>
      <c r="AUF30" s="214"/>
      <c r="AUG30" s="214"/>
      <c r="AUH30" s="214"/>
      <c r="AUI30" s="214"/>
      <c r="AUJ30" s="214"/>
      <c r="AUK30" s="214"/>
      <c r="AUL30" s="214"/>
      <c r="AUM30" s="214"/>
      <c r="AUN30" s="214"/>
      <c r="AUO30" s="214"/>
      <c r="AUP30" s="214"/>
      <c r="AUQ30" s="214"/>
      <c r="AUR30" s="214"/>
      <c r="AUS30" s="214"/>
      <c r="AUT30" s="214"/>
      <c r="AUU30" s="214"/>
      <c r="AUV30" s="214"/>
      <c r="AUW30" s="214"/>
      <c r="AUX30" s="214"/>
      <c r="AUY30" s="214"/>
      <c r="AUZ30" s="214"/>
      <c r="AVA30" s="214"/>
      <c r="AVB30" s="214"/>
      <c r="AVC30" s="214"/>
      <c r="AVD30" s="214"/>
      <c r="AVE30" s="214"/>
      <c r="AVF30" s="214"/>
      <c r="AVG30" s="214"/>
      <c r="AVH30" s="214"/>
      <c r="AVI30" s="214"/>
      <c r="AVJ30" s="214"/>
      <c r="AVK30" s="214"/>
      <c r="AVL30" s="214"/>
      <c r="AVM30" s="214"/>
      <c r="AVN30" s="214"/>
      <c r="AVO30" s="214"/>
      <c r="AVP30" s="214"/>
      <c r="AVQ30" s="214"/>
      <c r="AVR30" s="214"/>
      <c r="AVS30" s="214"/>
      <c r="AVT30" s="214"/>
      <c r="AVU30" s="214"/>
      <c r="AVV30" s="214"/>
      <c r="AVW30" s="214"/>
      <c r="AVX30" s="214"/>
      <c r="AVY30" s="214"/>
      <c r="AVZ30" s="214"/>
      <c r="AWA30" s="214"/>
      <c r="AWB30" s="214"/>
      <c r="AWC30" s="214"/>
      <c r="AWD30" s="214"/>
      <c r="AWE30" s="214"/>
      <c r="AWF30" s="214"/>
      <c r="AWG30" s="214"/>
      <c r="AWH30" s="214"/>
      <c r="AWI30" s="214"/>
      <c r="AWJ30" s="214"/>
      <c r="AWK30" s="214"/>
      <c r="AWL30" s="214"/>
      <c r="AWM30" s="214"/>
      <c r="AWN30" s="214"/>
      <c r="AWO30" s="214"/>
      <c r="AWP30" s="214"/>
      <c r="AWQ30" s="214"/>
      <c r="AWR30" s="214"/>
      <c r="AWS30" s="214"/>
      <c r="AWT30" s="214"/>
      <c r="AWU30" s="214"/>
      <c r="AWV30" s="214"/>
      <c r="AWW30" s="214"/>
      <c r="AWX30" s="214"/>
      <c r="AWY30" s="214"/>
      <c r="AWZ30" s="214"/>
      <c r="AXA30" s="214"/>
      <c r="AXB30" s="214"/>
      <c r="AXC30" s="214"/>
      <c r="AXD30" s="214"/>
      <c r="AXE30" s="214"/>
      <c r="AXF30" s="214"/>
      <c r="AXG30" s="214"/>
      <c r="AXH30" s="214"/>
      <c r="AXI30" s="214"/>
      <c r="AXJ30" s="214"/>
      <c r="AXK30" s="214"/>
      <c r="AXL30" s="214"/>
      <c r="AXM30" s="214"/>
      <c r="AXN30" s="214"/>
      <c r="AXO30" s="214"/>
      <c r="AXP30" s="214"/>
      <c r="AXQ30" s="214"/>
      <c r="AXR30" s="214"/>
      <c r="AXS30" s="214"/>
      <c r="AXT30" s="214"/>
      <c r="AXU30" s="214"/>
      <c r="AXV30" s="214"/>
      <c r="AXW30" s="214"/>
      <c r="AXX30" s="214"/>
      <c r="AXY30" s="214"/>
      <c r="AXZ30" s="214"/>
      <c r="AYA30" s="214"/>
      <c r="AYB30" s="214"/>
      <c r="AYC30" s="214"/>
      <c r="AYD30" s="214"/>
      <c r="AYE30" s="214"/>
      <c r="AYF30" s="214"/>
      <c r="AYG30" s="214"/>
      <c r="AYH30" s="214"/>
      <c r="AYI30" s="214"/>
      <c r="AYJ30" s="214"/>
      <c r="AYK30" s="214"/>
      <c r="AYL30" s="214"/>
      <c r="AYM30" s="214"/>
      <c r="AYN30" s="214"/>
      <c r="AYO30" s="214"/>
      <c r="AYP30" s="214"/>
      <c r="AYQ30" s="214"/>
      <c r="AYR30" s="214"/>
      <c r="AYS30" s="214"/>
      <c r="AYT30" s="214"/>
      <c r="AYU30" s="214"/>
      <c r="AYV30" s="214"/>
      <c r="AYW30" s="214"/>
      <c r="AYX30" s="214"/>
      <c r="AYY30" s="214"/>
      <c r="AYZ30" s="214"/>
      <c r="AZA30" s="214"/>
      <c r="AZB30" s="214"/>
      <c r="AZC30" s="214"/>
      <c r="AZD30" s="214"/>
      <c r="AZE30" s="214"/>
      <c r="AZF30" s="214"/>
      <c r="AZG30" s="214"/>
      <c r="AZH30" s="214"/>
      <c r="AZI30" s="214"/>
      <c r="AZJ30" s="214"/>
      <c r="AZK30" s="214"/>
      <c r="AZL30" s="214"/>
      <c r="AZM30" s="214"/>
      <c r="AZN30" s="214"/>
      <c r="AZO30" s="214"/>
      <c r="AZP30" s="214"/>
      <c r="AZQ30" s="214"/>
      <c r="AZR30" s="214"/>
      <c r="AZS30" s="214"/>
      <c r="AZT30" s="214"/>
      <c r="AZU30" s="214"/>
      <c r="AZV30" s="214"/>
      <c r="AZW30" s="214"/>
      <c r="AZX30" s="214"/>
      <c r="AZY30" s="214"/>
      <c r="AZZ30" s="214"/>
      <c r="BAA30" s="214"/>
      <c r="BAB30" s="214"/>
      <c r="BAC30" s="214"/>
      <c r="BAD30" s="214"/>
      <c r="BAE30" s="214"/>
      <c r="BAF30" s="214"/>
      <c r="BAG30" s="214"/>
      <c r="BAH30" s="214"/>
      <c r="BAI30" s="214"/>
      <c r="BAJ30" s="214"/>
      <c r="BAK30" s="214"/>
      <c r="BAL30" s="214"/>
      <c r="BAM30" s="214"/>
      <c r="BAN30" s="214"/>
      <c r="BAO30" s="214"/>
      <c r="BAP30" s="214"/>
      <c r="BAQ30" s="214"/>
      <c r="BAR30" s="214"/>
      <c r="BAS30" s="214"/>
      <c r="BAT30" s="214"/>
      <c r="BAU30" s="214"/>
      <c r="BAV30" s="214"/>
      <c r="BAW30" s="214"/>
      <c r="BAX30" s="214"/>
      <c r="BAY30" s="214"/>
      <c r="BAZ30" s="214"/>
      <c r="BBA30" s="214"/>
      <c r="BBB30" s="214"/>
      <c r="BBC30" s="214"/>
      <c r="BBD30" s="214"/>
      <c r="BBE30" s="214"/>
      <c r="BBF30" s="214"/>
      <c r="BBG30" s="214"/>
      <c r="BBH30" s="214"/>
      <c r="BBI30" s="214"/>
      <c r="BBJ30" s="214"/>
      <c r="BBK30" s="214"/>
      <c r="BBL30" s="214"/>
      <c r="BBM30" s="214"/>
      <c r="BBN30" s="214"/>
      <c r="BBO30" s="214"/>
      <c r="BBP30" s="214"/>
      <c r="BBQ30" s="214"/>
      <c r="BBR30" s="214"/>
      <c r="BBS30" s="214"/>
      <c r="BBT30" s="214"/>
      <c r="BBU30" s="214"/>
      <c r="BBV30" s="214"/>
      <c r="BBW30" s="214"/>
      <c r="BBX30" s="214"/>
      <c r="BBY30" s="214"/>
      <c r="BBZ30" s="214"/>
      <c r="BCA30" s="214"/>
      <c r="BCB30" s="214"/>
      <c r="BCC30" s="214"/>
      <c r="BCD30" s="214"/>
      <c r="BCE30" s="214"/>
      <c r="BCF30" s="214"/>
      <c r="BCG30" s="214"/>
      <c r="BCH30" s="214"/>
      <c r="BCI30" s="214"/>
      <c r="BCJ30" s="214"/>
      <c r="BCK30" s="214"/>
      <c r="BCL30" s="214"/>
      <c r="BCM30" s="214"/>
      <c r="BCN30" s="214"/>
      <c r="BCO30" s="214"/>
      <c r="BCP30" s="214"/>
      <c r="BCQ30" s="214"/>
      <c r="BCR30" s="214"/>
      <c r="BCS30" s="214"/>
      <c r="BCT30" s="214"/>
      <c r="BCU30" s="214"/>
      <c r="BCV30" s="214"/>
      <c r="BCW30" s="214"/>
      <c r="BCX30" s="214"/>
      <c r="BCY30" s="214"/>
      <c r="BCZ30" s="214"/>
      <c r="BDA30" s="214"/>
      <c r="BDB30" s="214"/>
      <c r="BDC30" s="214"/>
      <c r="BDD30" s="214"/>
      <c r="BDE30" s="214"/>
      <c r="BDF30" s="214"/>
      <c r="BDG30" s="214"/>
      <c r="BDH30" s="214"/>
      <c r="BDI30" s="214"/>
      <c r="BDJ30" s="214"/>
      <c r="BDK30" s="214"/>
      <c r="BDL30" s="214"/>
      <c r="BDM30" s="214"/>
      <c r="BDN30" s="214"/>
      <c r="BDO30" s="214"/>
      <c r="BDP30" s="214"/>
      <c r="BDQ30" s="214"/>
      <c r="BDR30" s="214"/>
      <c r="BDS30" s="214"/>
      <c r="BDT30" s="214"/>
      <c r="BDU30" s="214"/>
      <c r="BDV30" s="214"/>
      <c r="BDW30" s="214"/>
      <c r="BDX30" s="214"/>
      <c r="BDY30" s="214"/>
      <c r="BDZ30" s="214"/>
      <c r="BEA30" s="214"/>
      <c r="BEB30" s="214"/>
      <c r="BEC30" s="214"/>
      <c r="BED30" s="214"/>
      <c r="BEE30" s="214"/>
      <c r="BEF30" s="214"/>
      <c r="BEG30" s="214"/>
      <c r="BEH30" s="214"/>
      <c r="BEI30" s="214"/>
      <c r="BEJ30" s="214"/>
      <c r="BEK30" s="214"/>
      <c r="BEL30" s="214"/>
      <c r="BEM30" s="214"/>
      <c r="BEN30" s="214"/>
      <c r="BEO30" s="214"/>
      <c r="BEP30" s="214"/>
      <c r="BEQ30" s="214"/>
      <c r="BER30" s="214"/>
      <c r="BES30" s="214"/>
      <c r="BET30" s="214"/>
      <c r="BEU30" s="214"/>
      <c r="BEV30" s="214"/>
      <c r="BEW30" s="214"/>
      <c r="BEX30" s="214"/>
      <c r="BEY30" s="214"/>
      <c r="BEZ30" s="214"/>
      <c r="BFA30" s="214"/>
      <c r="BFB30" s="214"/>
      <c r="BFC30" s="214"/>
      <c r="BFD30" s="214"/>
      <c r="BFE30" s="214"/>
      <c r="BFF30" s="214"/>
      <c r="BFG30" s="214"/>
      <c r="BFH30" s="214"/>
      <c r="BFI30" s="214"/>
      <c r="BFJ30" s="214"/>
      <c r="BFK30" s="214"/>
      <c r="BFL30" s="214"/>
      <c r="BFM30" s="214"/>
      <c r="BFN30" s="214"/>
      <c r="BFO30" s="214"/>
      <c r="BFP30" s="214"/>
      <c r="BFQ30" s="214"/>
      <c r="BFR30" s="214"/>
      <c r="BFS30" s="214"/>
      <c r="BFT30" s="214"/>
      <c r="BFU30" s="214"/>
      <c r="BFV30" s="214"/>
      <c r="BFW30" s="214"/>
      <c r="BFX30" s="214"/>
      <c r="BFY30" s="214"/>
      <c r="BFZ30" s="214"/>
      <c r="BGA30" s="214"/>
      <c r="BGB30" s="214"/>
      <c r="BGC30" s="214"/>
      <c r="BGD30" s="214"/>
      <c r="BGE30" s="214"/>
      <c r="BGF30" s="214"/>
      <c r="BGG30" s="214"/>
      <c r="BGH30" s="214"/>
      <c r="BGI30" s="214"/>
      <c r="BGJ30" s="214"/>
      <c r="BGK30" s="214"/>
      <c r="BGL30" s="214"/>
      <c r="BGM30" s="214"/>
      <c r="BGN30" s="214"/>
      <c r="BGO30" s="214"/>
      <c r="BGP30" s="214"/>
      <c r="BGQ30" s="214"/>
      <c r="BGR30" s="214"/>
      <c r="BGS30" s="214"/>
      <c r="BGT30" s="214"/>
      <c r="BGU30" s="214"/>
      <c r="BGV30" s="214"/>
      <c r="BGW30" s="214"/>
      <c r="BGX30" s="214"/>
      <c r="BGY30" s="214"/>
      <c r="BGZ30" s="214"/>
      <c r="BHA30" s="214"/>
      <c r="BHB30" s="214"/>
      <c r="BHC30" s="214"/>
      <c r="BHD30" s="214"/>
      <c r="BHE30" s="214"/>
      <c r="BHF30" s="214"/>
      <c r="BHG30" s="214"/>
      <c r="BHH30" s="214"/>
      <c r="BHI30" s="214"/>
      <c r="BHJ30" s="214"/>
      <c r="BHK30" s="214"/>
      <c r="BHL30" s="214"/>
      <c r="BHM30" s="214"/>
      <c r="BHN30" s="214"/>
      <c r="BHO30" s="214"/>
      <c r="BHP30" s="214"/>
      <c r="BHQ30" s="214"/>
      <c r="BHR30" s="214"/>
      <c r="BHS30" s="214"/>
      <c r="BHT30" s="214"/>
      <c r="BHU30" s="214"/>
      <c r="BHV30" s="214"/>
      <c r="BHW30" s="214"/>
    </row>
    <row r="31" spans="1:1583" s="219" customFormat="1" ht="15.75" thickBot="1">
      <c r="A31" s="108"/>
      <c r="B31" s="187" t="s">
        <v>43</v>
      </c>
      <c r="C31" s="187"/>
      <c r="D31" s="187" t="s">
        <v>618</v>
      </c>
      <c r="E31" s="265" t="s">
        <v>9</v>
      </c>
      <c r="F31" s="137"/>
      <c r="G31" s="60" t="s">
        <v>685</v>
      </c>
      <c r="H31" s="473">
        <f>SUM(I31:AN31)</f>
        <v>9793.5958029826306</v>
      </c>
      <c r="I31" s="148">
        <f>(I28*(((57+273)/(I30+273))*(2.6/Analysis!J60)*((I29+1.01325)/(14.6+1.01325)))^0.5)*(Analysis!J60/2.6)-I27</f>
        <v>295.12865812966015</v>
      </c>
      <c r="J31" s="437"/>
      <c r="K31" s="148">
        <f>(K28*(((57+273)/(K30+273))*(2.6/Analysis!L60)*((K29+1.01325)/(14.6+1.01325)))^0.5)*(Analysis!L60/2.6)-K27</f>
        <v>336.17291779138759</v>
      </c>
      <c r="L31" s="148">
        <f>(L28*(((57+273)/(L30+273))*(2.6/Analysis!M60)*((L29+1.01325)/(14.6+1.01325)))^0.5)*(Analysis!M60/2.6)-L27</f>
        <v>339.57089167429251</v>
      </c>
      <c r="M31" s="148">
        <f>(M28*(((57+273)/(M30+273))*(2.6/Analysis!N60)*((M29+1.01325)/(14.6+1.01325)))^0.5)*(Analysis!N60/2.6)-M27</f>
        <v>338.49454719477825</v>
      </c>
      <c r="N31" s="148">
        <f>(N28*(((57+273)/(N30+273))*(2.6/Analysis!O60)*((N29+1.01325)/(14.6+1.01325)))^0.5)*(Analysis!O60/2.6)-N27</f>
        <v>338.79962564912984</v>
      </c>
      <c r="O31" s="148">
        <f>(O28*(((57+273)/(O30+273))*(2.6/Analysis!P60)*((O29+1.01325)/(14.6+1.01325)))^0.5)*(Analysis!P60/2.6)-O27</f>
        <v>344.45197951505361</v>
      </c>
      <c r="P31" s="148">
        <f>(P28*(((57+273)/(P30+273))*(2.6/Analysis!Q60)*((P29+1.01325)/(14.6+1.01325)))^0.5)*(Analysis!Q60/2.6)-P27</f>
        <v>343.05613370792526</v>
      </c>
      <c r="Q31" s="148">
        <f>(Q28*(((57+273)/(Q30+273))*(2.6/Analysis!R60)*((Q29+1.01325)/(14.6+1.01325)))^0.5)*(Analysis!R60/2.6)-Q27</f>
        <v>339.16509740716862</v>
      </c>
      <c r="R31" s="148">
        <f>(R28*(((57+273)/(R30+273))*(2.6/Analysis!S60)*((R29+1.01325)/(14.6+1.01325)))^0.5)*(Analysis!S60/2.6)-R27</f>
        <v>336.22895770447093</v>
      </c>
      <c r="S31" s="148">
        <f>(S28*(((57+273)/(S30+273))*(2.6/Analysis!T60)*((S29+1.01325)/(14.6+1.01325)))^0.5)*(Analysis!T60/2.6)-S27</f>
        <v>335.54954934962007</v>
      </c>
      <c r="T31" s="148">
        <f>(T28*(((57+273)/(T30+273))*(2.6/Analysis!U60)*((T29+1.01325)/(14.6+1.01325)))^0.5)*(Analysis!U60/2.6)-T27</f>
        <v>333.72818027102522</v>
      </c>
      <c r="U31" s="148">
        <f>(U28*(((57+273)/(U30+273))*(2.6/Analysis!V60)*((U29+1.01325)/(14.6+1.01325)))^0.5)*(Analysis!V60/2.6)-U27</f>
        <v>333.21913295747834</v>
      </c>
      <c r="V31" s="148">
        <f>(V28*(((57+273)/(V30+273))*(2.6/Analysis!W60)*((V29+1.01325)/(14.6+1.01325)))^0.5)*(Analysis!W60/2.6)-V27</f>
        <v>335.71294167437645</v>
      </c>
      <c r="W31" s="148">
        <f>(W28*(((57+273)/(W30+273))*(2.6/Analysis!X60)*((W29+1.01325)/(14.6+1.01325)))^0.5)*(Analysis!X60/2.6)-W27</f>
        <v>336.34401179456859</v>
      </c>
      <c r="X31" s="148">
        <f>(X28*(((57+273)/(X30+273))*(2.6/Analysis!Y60)*((X29+1.01325)/(14.6+1.01325)))^0.5)*(Analysis!Y60/2.6)-X27</f>
        <v>301.99542988279268</v>
      </c>
      <c r="Y31" s="148">
        <f>(Y28*(((57+273)/(Y30+273))*(2.6/Analysis!Z60)*((Y29+1.01325)/(14.6+1.01325)))^0.5)*(Analysis!Z60/2.6)-Y27</f>
        <v>253.64569027607033</v>
      </c>
      <c r="Z31" s="148">
        <f>(Z28*(((57+273)/(Z30+273))*(2.6/Analysis!AA60)*((Z29+1.01325)/(14.6+1.01325)))^0.5)*(Analysis!AA60/2.6)-Z27</f>
        <v>221.53072303844596</v>
      </c>
      <c r="AA31" s="148">
        <f>(AA28*(((57+273)/(AA30+273))*(2.6/Analysis!AB60)*((AA29+1.01325)/(14.6+1.01325)))^0.5)*(Analysis!AB60/2.6)-AA27</f>
        <v>196.11605196801591</v>
      </c>
      <c r="AB31" s="148">
        <f>(AB28*(((57+273)/(AB30+273))*(2.6/Analysis!AC60)*((AB29+1.01325)/(14.6+1.01325)))^0.5)*(Analysis!AC60/2.6)-AB27</f>
        <v>192.75680786887193</v>
      </c>
      <c r="AC31" s="148">
        <f>(AC28*(((57+273)/(AC30+273))*(2.6/Analysis!AD60)*((AC29+1.01325)/(14.6+1.01325)))^0.5)*(Analysis!AD60/2.6)-AC27</f>
        <v>269.87578939500588</v>
      </c>
      <c r="AD31" s="148">
        <f>(AD28*(((57+273)/(AD30+273))*(2.6/Analysis!AE60)*((AD29+1.01325)/(14.6+1.01325)))^0.5)*(Analysis!AE60/2.6)-AD27</f>
        <v>325.45515859038682</v>
      </c>
      <c r="AE31" s="148">
        <f>(AE28*(((57+273)/(AE30+273))*(2.6/Analysis!AF60)*((AE29+1.01325)/(14.6+1.01325)))^0.5)*(Analysis!AF60/2.6)-AE27</f>
        <v>337.31104632932966</v>
      </c>
      <c r="AF31" s="148">
        <f>(AF28*(((57+273)/(AF30+273))*(2.6/Analysis!AG60)*((AF29+1.01325)/(14.6+1.01325)))^0.5)*(Analysis!AG60/2.6)-AF27</f>
        <v>337.88452875997302</v>
      </c>
      <c r="AG31" s="148">
        <f>(AG28*(((57+273)/(AG30+273))*(2.6/Analysis!AH60)*((AG29+1.01325)/(14.6+1.01325)))^0.5)*(Analysis!AH60/2.6)-AG27</f>
        <v>334.64969121744127</v>
      </c>
      <c r="AH31" s="148">
        <f>(AH28*(((57+273)/(AH30+273))*(2.6/Analysis!AI60)*((AH29+1.01325)/(14.6+1.01325)))^0.5)*(Analysis!AI60/2.6)-AH27</f>
        <v>335.20178036650339</v>
      </c>
      <c r="AI31" s="148">
        <f>(AI28*(((57+273)/(AI30+273))*(2.6/Analysis!AJ60)*((AI29+1.01325)/(14.6+1.01325)))^0.5)*(Analysis!AJ60/2.6)-AI27</f>
        <v>333.21510418484968</v>
      </c>
      <c r="AJ31" s="148">
        <f>(AJ28*(((57+273)/(AJ30+273))*(2.6/Analysis!AK60)*((AJ29+1.01325)/(14.6+1.01325)))^0.5)*(Analysis!AK60/2.6)-AJ27</f>
        <v>333.6199606390598</v>
      </c>
      <c r="AK31" s="148">
        <f>(AK28*(((57+273)/(AK30+273))*(2.6/Analysis!AL60)*((AK29+1.01325)/(14.6+1.01325)))^0.5)*(Analysis!AL60/2.6)-AK27</f>
        <v>332.93984157121582</v>
      </c>
      <c r="AL31" s="148">
        <f>(AL28*(((57+273)/(AL30+273))*(2.6/Analysis!AM60)*((AL29+1.01325)/(14.6+1.01325)))^0.5)*(Analysis!AM60/2.6)-AL27</f>
        <v>333.61495681354813</v>
      </c>
      <c r="AM31" s="148">
        <f>(AM28*(((57+273)/(AM30+273))*(2.6/Analysis!AN60)*((AM29+1.01325)/(14.6+1.01325)))^0.5)*(Analysis!AN60/2.6)-AM27</f>
        <v>332.83719465961082</v>
      </c>
      <c r="AN31" s="148">
        <f>(AN28*(((57+273)/(AN30+273))*(2.6/Analysis!AO60)*((AN29+1.01325)/(14.6+1.01325)))^0.5)*(Analysis!AO60/2.6)-AN27</f>
        <v>335.32342260057322</v>
      </c>
      <c r="AO31" s="218"/>
      <c r="AP31" s="218"/>
      <c r="AQ31" s="218"/>
      <c r="AR31" s="218"/>
      <c r="AS31" s="218"/>
      <c r="AT31" s="218"/>
      <c r="AU31" s="218"/>
      <c r="AV31" s="218"/>
      <c r="AW31" s="218"/>
      <c r="AX31" s="218"/>
      <c r="AY31" s="218"/>
      <c r="AZ31" s="218"/>
      <c r="BA31" s="218"/>
      <c r="BB31" s="218"/>
      <c r="BC31" s="218"/>
      <c r="BD31" s="218"/>
      <c r="BE31" s="218"/>
      <c r="BF31" s="218"/>
      <c r="BG31" s="218"/>
      <c r="BH31" s="218"/>
      <c r="BI31" s="218"/>
      <c r="BJ31" s="218"/>
      <c r="BK31" s="218"/>
      <c r="BL31" s="218"/>
      <c r="BM31" s="218"/>
      <c r="BN31" s="218"/>
      <c r="BO31" s="218"/>
      <c r="BP31" s="218"/>
      <c r="BQ31" s="218"/>
      <c r="BR31" s="218"/>
      <c r="BS31" s="218"/>
      <c r="BT31" s="218"/>
      <c r="BU31" s="218"/>
      <c r="BV31" s="218"/>
      <c r="BW31" s="218"/>
      <c r="BX31" s="218"/>
      <c r="BY31" s="218"/>
      <c r="BZ31" s="218"/>
      <c r="CA31" s="218"/>
      <c r="CB31" s="218"/>
      <c r="CC31" s="218"/>
      <c r="CD31" s="218"/>
      <c r="CE31" s="218"/>
      <c r="CF31" s="218"/>
      <c r="CG31" s="218"/>
      <c r="CH31" s="218"/>
      <c r="CI31" s="218"/>
      <c r="CJ31" s="218"/>
      <c r="CK31" s="218"/>
      <c r="CL31" s="218"/>
      <c r="CM31" s="218"/>
      <c r="CN31" s="218"/>
      <c r="CO31" s="218"/>
      <c r="CP31" s="218"/>
      <c r="CQ31" s="218"/>
      <c r="CR31" s="218"/>
      <c r="CS31" s="218"/>
      <c r="CT31" s="218"/>
      <c r="CU31" s="218"/>
      <c r="CV31" s="218"/>
      <c r="CW31" s="218"/>
      <c r="CX31" s="218"/>
      <c r="CY31" s="218"/>
      <c r="CZ31" s="218"/>
      <c r="DA31" s="218"/>
      <c r="DB31" s="218"/>
      <c r="DC31" s="218"/>
      <c r="DD31" s="218"/>
      <c r="DE31" s="218"/>
      <c r="DF31" s="218"/>
      <c r="DG31" s="218"/>
      <c r="DH31" s="218"/>
      <c r="DI31" s="218"/>
      <c r="DJ31" s="218"/>
      <c r="DK31" s="218"/>
      <c r="DL31" s="218"/>
      <c r="DM31" s="218"/>
      <c r="DN31" s="218"/>
      <c r="DO31" s="218"/>
      <c r="DP31" s="218"/>
      <c r="DQ31" s="218"/>
      <c r="DR31" s="218"/>
      <c r="DS31" s="218"/>
      <c r="DT31" s="218"/>
      <c r="DU31" s="218"/>
      <c r="DV31" s="218"/>
      <c r="DW31" s="218"/>
      <c r="DX31" s="218"/>
      <c r="DY31" s="218"/>
      <c r="DZ31" s="218"/>
      <c r="EA31" s="218"/>
      <c r="EB31" s="218"/>
      <c r="EC31" s="218"/>
      <c r="ED31" s="218"/>
      <c r="EE31" s="218"/>
      <c r="EF31" s="218"/>
      <c r="EG31" s="218"/>
      <c r="EH31" s="218"/>
      <c r="EI31" s="218"/>
      <c r="EJ31" s="218"/>
      <c r="EK31" s="218"/>
      <c r="EL31" s="218"/>
      <c r="EM31" s="218"/>
      <c r="EN31" s="218"/>
      <c r="EO31" s="218"/>
      <c r="EP31" s="218"/>
      <c r="EQ31" s="218"/>
      <c r="ER31" s="218"/>
      <c r="ES31" s="218"/>
      <c r="ET31" s="218"/>
      <c r="EU31" s="218"/>
      <c r="EV31" s="218"/>
      <c r="EW31" s="218"/>
      <c r="EX31" s="218"/>
      <c r="EY31" s="218"/>
      <c r="EZ31" s="218"/>
      <c r="FA31" s="218"/>
      <c r="FB31" s="218"/>
      <c r="FC31" s="218"/>
      <c r="FD31" s="218"/>
      <c r="FE31" s="218"/>
      <c r="FF31" s="218"/>
      <c r="FG31" s="218"/>
      <c r="FH31" s="218"/>
      <c r="FI31" s="218"/>
      <c r="FJ31" s="218"/>
      <c r="FK31" s="218"/>
      <c r="FL31" s="218"/>
      <c r="FM31" s="218"/>
      <c r="FN31" s="218"/>
      <c r="FO31" s="218"/>
      <c r="FP31" s="218"/>
      <c r="FQ31" s="218"/>
      <c r="FR31" s="218"/>
      <c r="FS31" s="218"/>
      <c r="FT31" s="218"/>
      <c r="FU31" s="218"/>
      <c r="FV31" s="218"/>
      <c r="FW31" s="218"/>
      <c r="FX31" s="218"/>
      <c r="FY31" s="218"/>
      <c r="FZ31" s="218"/>
      <c r="GA31" s="218"/>
      <c r="GB31" s="218"/>
      <c r="GC31" s="218"/>
      <c r="GD31" s="218"/>
      <c r="GE31" s="218"/>
      <c r="GF31" s="218"/>
      <c r="GG31" s="218"/>
      <c r="GH31" s="218"/>
      <c r="GI31" s="218"/>
      <c r="GJ31" s="218"/>
      <c r="GK31" s="218"/>
      <c r="GL31" s="218"/>
      <c r="GM31" s="218"/>
      <c r="GN31" s="218"/>
      <c r="GO31" s="218"/>
      <c r="GP31" s="218"/>
      <c r="GQ31" s="218"/>
      <c r="GR31" s="218"/>
      <c r="GS31" s="218"/>
      <c r="GT31" s="218"/>
      <c r="GU31" s="218"/>
      <c r="GV31" s="218"/>
      <c r="GW31" s="218"/>
      <c r="GX31" s="218"/>
      <c r="GY31" s="218"/>
      <c r="GZ31" s="218"/>
      <c r="HA31" s="218"/>
      <c r="HB31" s="218"/>
      <c r="HC31" s="218"/>
      <c r="HD31" s="218"/>
      <c r="HE31" s="218"/>
      <c r="HF31" s="218"/>
      <c r="HG31" s="218"/>
      <c r="HH31" s="218"/>
      <c r="HI31" s="218"/>
      <c r="HJ31" s="218"/>
      <c r="HK31" s="218"/>
      <c r="HL31" s="218"/>
      <c r="HM31" s="218"/>
      <c r="HN31" s="218"/>
      <c r="HO31" s="218"/>
      <c r="HP31" s="218"/>
      <c r="HQ31" s="218"/>
      <c r="HR31" s="218"/>
      <c r="HS31" s="218"/>
      <c r="HT31" s="218"/>
      <c r="HU31" s="218"/>
      <c r="HV31" s="218"/>
      <c r="HW31" s="218"/>
      <c r="HX31" s="218"/>
      <c r="HY31" s="218"/>
      <c r="HZ31" s="218"/>
      <c r="IA31" s="218"/>
      <c r="IB31" s="218"/>
      <c r="IC31" s="218"/>
      <c r="ID31" s="218"/>
      <c r="IE31" s="218"/>
      <c r="IF31" s="218"/>
      <c r="IG31" s="218"/>
      <c r="IH31" s="218"/>
      <c r="II31" s="218"/>
      <c r="IJ31" s="218"/>
      <c r="IK31" s="218"/>
      <c r="IL31" s="218"/>
      <c r="IM31" s="218"/>
      <c r="IN31" s="218"/>
      <c r="IO31" s="218"/>
      <c r="IP31" s="218"/>
      <c r="IQ31" s="218"/>
      <c r="IR31" s="218"/>
      <c r="IS31" s="218"/>
      <c r="IT31" s="218"/>
      <c r="IU31" s="218"/>
      <c r="IV31" s="218"/>
      <c r="IW31" s="218"/>
      <c r="IX31" s="218"/>
      <c r="IY31" s="218"/>
      <c r="IZ31" s="218"/>
      <c r="JA31" s="218"/>
      <c r="JB31" s="218"/>
      <c r="JC31" s="218"/>
      <c r="JD31" s="218"/>
      <c r="JE31" s="218"/>
      <c r="JF31" s="218"/>
      <c r="JG31" s="218"/>
      <c r="JH31" s="218"/>
      <c r="JI31" s="218"/>
      <c r="JJ31" s="218"/>
      <c r="JK31" s="218"/>
      <c r="JL31" s="218"/>
      <c r="JM31" s="218"/>
      <c r="JN31" s="218"/>
      <c r="JO31" s="218"/>
      <c r="JP31" s="218"/>
      <c r="JQ31" s="218"/>
      <c r="JR31" s="218"/>
      <c r="JS31" s="218"/>
      <c r="JT31" s="218"/>
      <c r="JU31" s="218"/>
      <c r="JV31" s="218"/>
      <c r="JW31" s="218"/>
      <c r="JX31" s="218"/>
      <c r="JY31" s="218"/>
      <c r="JZ31" s="218"/>
      <c r="KA31" s="218"/>
      <c r="KB31" s="218"/>
      <c r="KC31" s="218"/>
      <c r="KD31" s="218"/>
      <c r="KE31" s="218"/>
      <c r="KF31" s="218"/>
      <c r="KG31" s="218"/>
      <c r="KH31" s="218"/>
      <c r="KI31" s="218"/>
      <c r="KJ31" s="218"/>
      <c r="KK31" s="218"/>
      <c r="KL31" s="218"/>
      <c r="KM31" s="218"/>
      <c r="KN31" s="218"/>
      <c r="KO31" s="218"/>
      <c r="KP31" s="218"/>
      <c r="KQ31" s="218"/>
      <c r="KR31" s="218"/>
      <c r="KS31" s="218"/>
      <c r="KT31" s="218"/>
      <c r="KU31" s="218"/>
      <c r="KV31" s="218"/>
      <c r="KW31" s="218"/>
      <c r="KX31" s="218"/>
      <c r="KY31" s="218"/>
      <c r="KZ31" s="218"/>
      <c r="LA31" s="218"/>
      <c r="LB31" s="218"/>
      <c r="LC31" s="218"/>
      <c r="LD31" s="218"/>
      <c r="LE31" s="218"/>
      <c r="LF31" s="218"/>
      <c r="LG31" s="218"/>
      <c r="LH31" s="218"/>
      <c r="LI31" s="218"/>
      <c r="LJ31" s="218"/>
      <c r="LK31" s="218"/>
      <c r="LL31" s="218"/>
      <c r="LM31" s="218"/>
      <c r="LN31" s="218"/>
      <c r="LO31" s="218"/>
      <c r="LP31" s="218"/>
      <c r="LQ31" s="218"/>
      <c r="LR31" s="218"/>
      <c r="LS31" s="218"/>
      <c r="LT31" s="218"/>
      <c r="LU31" s="218"/>
      <c r="LV31" s="218"/>
      <c r="LW31" s="218"/>
      <c r="LX31" s="218"/>
      <c r="LY31" s="218"/>
      <c r="LZ31" s="218"/>
      <c r="MA31" s="218"/>
      <c r="MB31" s="218"/>
      <c r="MC31" s="218"/>
      <c r="MD31" s="218"/>
      <c r="ME31" s="218"/>
      <c r="MF31" s="218"/>
      <c r="MG31" s="218"/>
      <c r="MH31" s="218"/>
      <c r="MI31" s="218"/>
      <c r="MJ31" s="218"/>
      <c r="MK31" s="218"/>
      <c r="ML31" s="218"/>
      <c r="MM31" s="218"/>
      <c r="MN31" s="218"/>
      <c r="MO31" s="218"/>
      <c r="MP31" s="218"/>
      <c r="MQ31" s="218"/>
      <c r="MR31" s="218"/>
      <c r="MS31" s="218"/>
      <c r="MT31" s="218"/>
      <c r="MU31" s="218"/>
      <c r="MV31" s="218"/>
      <c r="MW31" s="218"/>
      <c r="MX31" s="218"/>
      <c r="MY31" s="218"/>
      <c r="MZ31" s="218"/>
      <c r="NA31" s="218"/>
      <c r="NB31" s="218"/>
      <c r="NC31" s="218"/>
      <c r="ND31" s="218"/>
      <c r="NE31" s="218"/>
      <c r="NF31" s="218"/>
      <c r="NG31" s="218"/>
      <c r="NH31" s="218"/>
      <c r="NI31" s="218"/>
      <c r="NJ31" s="218"/>
      <c r="NK31" s="218"/>
      <c r="NL31" s="218"/>
      <c r="NM31" s="218"/>
      <c r="NN31" s="218"/>
      <c r="NO31" s="218"/>
      <c r="NP31" s="218"/>
      <c r="NQ31" s="218"/>
      <c r="NR31" s="218"/>
      <c r="NS31" s="218"/>
      <c r="NT31" s="218"/>
      <c r="NU31" s="218"/>
      <c r="NV31" s="218"/>
      <c r="NW31" s="218"/>
      <c r="NX31" s="218"/>
      <c r="NY31" s="218"/>
      <c r="NZ31" s="218"/>
      <c r="OA31" s="218"/>
      <c r="OB31" s="218"/>
      <c r="OC31" s="218"/>
      <c r="OD31" s="218"/>
      <c r="OE31" s="218"/>
      <c r="OF31" s="218"/>
      <c r="OG31" s="218"/>
      <c r="OH31" s="218"/>
      <c r="OI31" s="218"/>
      <c r="OJ31" s="218"/>
      <c r="OK31" s="218"/>
      <c r="OL31" s="218"/>
      <c r="OM31" s="218"/>
      <c r="ON31" s="218"/>
      <c r="OO31" s="218"/>
      <c r="OP31" s="218"/>
      <c r="OQ31" s="218"/>
      <c r="OR31" s="218"/>
      <c r="OS31" s="218"/>
      <c r="OT31" s="218"/>
      <c r="OU31" s="218"/>
      <c r="OV31" s="218"/>
      <c r="OW31" s="218"/>
      <c r="OX31" s="218"/>
      <c r="OY31" s="218"/>
      <c r="OZ31" s="218"/>
      <c r="PA31" s="218"/>
      <c r="PB31" s="218"/>
      <c r="PC31" s="218"/>
      <c r="PD31" s="218"/>
      <c r="PE31" s="218"/>
      <c r="PF31" s="218"/>
      <c r="PG31" s="218"/>
      <c r="PH31" s="218"/>
      <c r="PI31" s="218"/>
      <c r="PJ31" s="218"/>
      <c r="PK31" s="218"/>
      <c r="PL31" s="218"/>
      <c r="PM31" s="218"/>
      <c r="PN31" s="218"/>
      <c r="PO31" s="218"/>
      <c r="PP31" s="218"/>
      <c r="PQ31" s="218"/>
      <c r="PR31" s="218"/>
      <c r="PS31" s="218"/>
      <c r="PT31" s="218"/>
      <c r="PU31" s="218"/>
      <c r="PV31" s="218"/>
      <c r="PW31" s="218"/>
      <c r="PX31" s="218"/>
      <c r="PY31" s="218"/>
      <c r="PZ31" s="218"/>
      <c r="QA31" s="218"/>
      <c r="QB31" s="218"/>
      <c r="QC31" s="218"/>
      <c r="QD31" s="218"/>
      <c r="QE31" s="218"/>
      <c r="QF31" s="218"/>
      <c r="QG31" s="218"/>
      <c r="QH31" s="218"/>
      <c r="QI31" s="218"/>
      <c r="QJ31" s="218"/>
      <c r="QK31" s="218"/>
      <c r="QL31" s="218"/>
      <c r="QM31" s="218"/>
      <c r="QN31" s="218"/>
      <c r="QO31" s="218"/>
      <c r="QP31" s="218"/>
      <c r="QQ31" s="218"/>
      <c r="QR31" s="218"/>
      <c r="QS31" s="218"/>
      <c r="QT31" s="218"/>
      <c r="QU31" s="218"/>
      <c r="QV31" s="218"/>
      <c r="QW31" s="218"/>
      <c r="QX31" s="218"/>
      <c r="QY31" s="218"/>
      <c r="QZ31" s="218"/>
      <c r="RA31" s="218"/>
      <c r="RB31" s="218"/>
      <c r="RC31" s="218"/>
      <c r="RD31" s="218"/>
      <c r="RE31" s="218"/>
      <c r="RF31" s="218"/>
      <c r="RG31" s="218"/>
      <c r="RH31" s="218"/>
      <c r="RI31" s="218"/>
      <c r="RJ31" s="218"/>
      <c r="RK31" s="218"/>
      <c r="RL31" s="218"/>
      <c r="RM31" s="218"/>
      <c r="RN31" s="218"/>
      <c r="RO31" s="218"/>
      <c r="RP31" s="218"/>
      <c r="RQ31" s="218"/>
      <c r="RR31" s="218"/>
      <c r="RS31" s="218"/>
      <c r="RT31" s="218"/>
      <c r="RU31" s="218"/>
      <c r="RV31" s="218"/>
      <c r="RW31" s="218"/>
      <c r="RX31" s="218"/>
      <c r="RY31" s="218"/>
      <c r="RZ31" s="218"/>
      <c r="SA31" s="218"/>
      <c r="SB31" s="218"/>
      <c r="SC31" s="218"/>
      <c r="SD31" s="218"/>
      <c r="SE31" s="218"/>
      <c r="SF31" s="218"/>
      <c r="SG31" s="218"/>
      <c r="SH31" s="218"/>
      <c r="SI31" s="218"/>
      <c r="SJ31" s="218"/>
      <c r="SK31" s="218"/>
      <c r="SL31" s="218"/>
      <c r="SM31" s="218"/>
      <c r="SN31" s="218"/>
      <c r="SO31" s="218"/>
      <c r="SP31" s="218"/>
      <c r="SQ31" s="218"/>
      <c r="SR31" s="218"/>
      <c r="SS31" s="218"/>
      <c r="ST31" s="218"/>
      <c r="SU31" s="218"/>
      <c r="SV31" s="218"/>
      <c r="SW31" s="218"/>
      <c r="SX31" s="218"/>
      <c r="SY31" s="218"/>
      <c r="SZ31" s="218"/>
      <c r="TA31" s="218"/>
      <c r="TB31" s="218"/>
      <c r="TC31" s="218"/>
      <c r="TD31" s="218"/>
      <c r="TE31" s="218"/>
      <c r="TF31" s="218"/>
      <c r="TG31" s="218"/>
      <c r="TH31" s="218"/>
      <c r="TI31" s="218"/>
      <c r="TJ31" s="218"/>
      <c r="TK31" s="218"/>
      <c r="TL31" s="218"/>
      <c r="TM31" s="218"/>
      <c r="TN31" s="218"/>
      <c r="TO31" s="218"/>
      <c r="TP31" s="218"/>
      <c r="TQ31" s="218"/>
      <c r="TR31" s="218"/>
      <c r="TS31" s="218"/>
      <c r="TT31" s="218"/>
      <c r="TU31" s="218"/>
      <c r="TV31" s="218"/>
      <c r="TW31" s="218"/>
      <c r="TX31" s="218"/>
      <c r="TY31" s="218"/>
      <c r="TZ31" s="218"/>
      <c r="UA31" s="218"/>
      <c r="UB31" s="218"/>
      <c r="UC31" s="218"/>
      <c r="UD31" s="218"/>
      <c r="UE31" s="218"/>
      <c r="UF31" s="218"/>
      <c r="UG31" s="218"/>
      <c r="UH31" s="218"/>
      <c r="UI31" s="218"/>
      <c r="UJ31" s="218"/>
      <c r="UK31" s="218"/>
      <c r="UL31" s="218"/>
      <c r="UM31" s="218"/>
      <c r="UN31" s="218"/>
      <c r="UO31" s="218"/>
      <c r="UP31" s="218"/>
      <c r="UQ31" s="218"/>
      <c r="UR31" s="218"/>
      <c r="US31" s="218"/>
      <c r="UT31" s="218"/>
      <c r="UU31" s="218"/>
      <c r="UV31" s="218"/>
      <c r="UW31" s="218"/>
      <c r="UX31" s="218"/>
      <c r="UY31" s="218"/>
      <c r="UZ31" s="218"/>
      <c r="VA31" s="218"/>
      <c r="VB31" s="218"/>
      <c r="VC31" s="218"/>
      <c r="VD31" s="218"/>
      <c r="VE31" s="218"/>
      <c r="VF31" s="218"/>
      <c r="VG31" s="218"/>
      <c r="VH31" s="218"/>
      <c r="VI31" s="218"/>
      <c r="VJ31" s="218"/>
      <c r="VK31" s="218"/>
      <c r="VL31" s="218"/>
      <c r="VM31" s="218"/>
      <c r="VN31" s="218"/>
      <c r="VO31" s="218"/>
      <c r="VP31" s="218"/>
      <c r="VQ31" s="218"/>
      <c r="VR31" s="218"/>
      <c r="VS31" s="218"/>
      <c r="VT31" s="218"/>
      <c r="VU31" s="218"/>
      <c r="VV31" s="218"/>
      <c r="VW31" s="218"/>
      <c r="VX31" s="218"/>
      <c r="VY31" s="218"/>
      <c r="VZ31" s="218"/>
      <c r="WA31" s="218"/>
      <c r="WB31" s="218"/>
      <c r="WC31" s="218"/>
      <c r="WD31" s="218"/>
      <c r="WE31" s="218"/>
      <c r="WF31" s="218"/>
      <c r="WG31" s="218"/>
      <c r="WH31" s="218"/>
      <c r="WI31" s="218"/>
      <c r="WJ31" s="218"/>
      <c r="WK31" s="218"/>
      <c r="WL31" s="218"/>
      <c r="WM31" s="218"/>
      <c r="WN31" s="218"/>
      <c r="WO31" s="218"/>
      <c r="WP31" s="218"/>
      <c r="WQ31" s="218"/>
      <c r="WR31" s="218"/>
      <c r="WS31" s="218"/>
      <c r="WT31" s="218"/>
      <c r="WU31" s="218"/>
      <c r="WV31" s="218"/>
      <c r="WW31" s="218"/>
      <c r="WX31" s="218"/>
      <c r="WY31" s="218"/>
      <c r="WZ31" s="218"/>
      <c r="XA31" s="218"/>
      <c r="XB31" s="218"/>
      <c r="XC31" s="218"/>
      <c r="XD31" s="218"/>
      <c r="XE31" s="218"/>
      <c r="XF31" s="218"/>
      <c r="XG31" s="218"/>
      <c r="XH31" s="218"/>
      <c r="XI31" s="218"/>
      <c r="XJ31" s="218"/>
      <c r="XK31" s="218"/>
      <c r="XL31" s="218"/>
      <c r="XM31" s="218"/>
      <c r="XN31" s="218"/>
      <c r="XO31" s="218"/>
      <c r="XP31" s="218"/>
      <c r="XQ31" s="218"/>
      <c r="XR31" s="218"/>
      <c r="XS31" s="218"/>
      <c r="XT31" s="218"/>
      <c r="XU31" s="218"/>
      <c r="XV31" s="218"/>
      <c r="XW31" s="218"/>
      <c r="XX31" s="218"/>
      <c r="XY31" s="218"/>
      <c r="XZ31" s="218"/>
      <c r="YA31" s="218"/>
      <c r="YB31" s="218"/>
      <c r="YC31" s="218"/>
      <c r="YD31" s="218"/>
      <c r="YE31" s="218"/>
      <c r="YF31" s="218"/>
      <c r="YG31" s="218"/>
      <c r="YH31" s="218"/>
      <c r="YI31" s="218"/>
      <c r="YJ31" s="218"/>
      <c r="YK31" s="218"/>
      <c r="YL31" s="218"/>
      <c r="YM31" s="218"/>
      <c r="YN31" s="218"/>
      <c r="YO31" s="218"/>
      <c r="YP31" s="218"/>
      <c r="YQ31" s="218"/>
      <c r="YR31" s="218"/>
      <c r="YS31" s="218"/>
      <c r="YT31" s="218"/>
      <c r="YU31" s="218"/>
      <c r="YV31" s="218"/>
      <c r="YW31" s="218"/>
      <c r="YX31" s="218"/>
      <c r="YY31" s="218"/>
      <c r="YZ31" s="218"/>
      <c r="ZA31" s="218"/>
      <c r="ZB31" s="218"/>
      <c r="ZC31" s="218"/>
      <c r="ZD31" s="218"/>
      <c r="ZE31" s="218"/>
      <c r="ZF31" s="218"/>
      <c r="ZG31" s="218"/>
      <c r="ZH31" s="218"/>
      <c r="ZI31" s="218"/>
      <c r="ZJ31" s="218"/>
      <c r="ZK31" s="218"/>
      <c r="ZL31" s="218"/>
      <c r="ZM31" s="218"/>
      <c r="ZN31" s="218"/>
      <c r="ZO31" s="218"/>
      <c r="ZP31" s="218"/>
      <c r="ZQ31" s="218"/>
      <c r="ZR31" s="218"/>
      <c r="ZS31" s="218"/>
      <c r="ZT31" s="218"/>
      <c r="ZU31" s="218"/>
      <c r="ZV31" s="218"/>
      <c r="ZW31" s="218"/>
      <c r="ZX31" s="218"/>
      <c r="ZY31" s="218"/>
      <c r="ZZ31" s="218"/>
      <c r="AAA31" s="218"/>
      <c r="AAB31" s="218"/>
      <c r="AAC31" s="218"/>
      <c r="AAD31" s="218"/>
      <c r="AAE31" s="218"/>
      <c r="AAF31" s="218"/>
      <c r="AAG31" s="218"/>
      <c r="AAH31" s="218"/>
      <c r="AAI31" s="218"/>
      <c r="AAJ31" s="218"/>
      <c r="AAK31" s="218"/>
      <c r="AAL31" s="218"/>
      <c r="AAM31" s="218"/>
      <c r="AAN31" s="218"/>
      <c r="AAO31" s="218"/>
      <c r="AAP31" s="218"/>
      <c r="AAQ31" s="218"/>
      <c r="AAR31" s="218"/>
      <c r="AAS31" s="218"/>
      <c r="AAT31" s="218"/>
      <c r="AAU31" s="218"/>
      <c r="AAV31" s="218"/>
      <c r="AAW31" s="218"/>
      <c r="AAX31" s="218"/>
      <c r="AAY31" s="218"/>
      <c r="AAZ31" s="218"/>
      <c r="ABA31" s="218"/>
      <c r="ABB31" s="218"/>
      <c r="ABC31" s="218"/>
      <c r="ABD31" s="218"/>
      <c r="ABE31" s="218"/>
      <c r="ABF31" s="218"/>
      <c r="ABG31" s="218"/>
      <c r="ABH31" s="218"/>
      <c r="ABI31" s="218"/>
      <c r="ABJ31" s="218"/>
      <c r="ABK31" s="218"/>
      <c r="ABL31" s="218"/>
      <c r="ABM31" s="218"/>
      <c r="ABN31" s="218"/>
      <c r="ABO31" s="218"/>
      <c r="ABP31" s="218"/>
      <c r="ABQ31" s="218"/>
      <c r="ABR31" s="218"/>
      <c r="ABS31" s="218"/>
      <c r="ABT31" s="218"/>
      <c r="ABU31" s="218"/>
      <c r="ABV31" s="218"/>
      <c r="ABW31" s="218"/>
      <c r="ABX31" s="218"/>
      <c r="ABY31" s="218"/>
      <c r="ABZ31" s="218"/>
      <c r="ACA31" s="218"/>
      <c r="ACB31" s="218"/>
      <c r="ACC31" s="218"/>
      <c r="ACD31" s="218"/>
      <c r="ACE31" s="218"/>
      <c r="ACF31" s="218"/>
      <c r="ACG31" s="218"/>
      <c r="ACH31" s="218"/>
      <c r="ACI31" s="218"/>
      <c r="ACJ31" s="218"/>
      <c r="ACK31" s="218"/>
      <c r="ACL31" s="218"/>
      <c r="ACM31" s="218"/>
      <c r="ACN31" s="218"/>
      <c r="ACO31" s="218"/>
      <c r="ACP31" s="218"/>
      <c r="ACQ31" s="218"/>
      <c r="ACR31" s="218"/>
      <c r="ACS31" s="218"/>
      <c r="ACT31" s="218"/>
      <c r="ACU31" s="218"/>
      <c r="ACV31" s="218"/>
      <c r="ACW31" s="218"/>
      <c r="ACX31" s="218"/>
      <c r="ACY31" s="218"/>
      <c r="ACZ31" s="218"/>
      <c r="ADA31" s="218"/>
      <c r="ADB31" s="218"/>
      <c r="ADC31" s="218"/>
      <c r="ADD31" s="218"/>
      <c r="ADE31" s="218"/>
      <c r="ADF31" s="218"/>
      <c r="ADG31" s="218"/>
      <c r="ADH31" s="218"/>
      <c r="ADI31" s="218"/>
      <c r="ADJ31" s="218"/>
      <c r="ADK31" s="218"/>
      <c r="ADL31" s="218"/>
      <c r="ADM31" s="218"/>
      <c r="ADN31" s="218"/>
      <c r="ADO31" s="218"/>
      <c r="ADP31" s="218"/>
      <c r="ADQ31" s="218"/>
      <c r="ADR31" s="218"/>
      <c r="ADS31" s="218"/>
      <c r="ADT31" s="218"/>
      <c r="ADU31" s="218"/>
      <c r="ADV31" s="218"/>
      <c r="ADW31" s="218"/>
      <c r="ADX31" s="218"/>
      <c r="ADY31" s="218"/>
      <c r="ADZ31" s="218"/>
      <c r="AEA31" s="218"/>
      <c r="AEB31" s="218"/>
      <c r="AEC31" s="218"/>
      <c r="AED31" s="218"/>
      <c r="AEE31" s="218"/>
      <c r="AEF31" s="218"/>
      <c r="AEG31" s="218"/>
      <c r="AEH31" s="218"/>
      <c r="AEI31" s="218"/>
      <c r="AEJ31" s="218"/>
      <c r="AEK31" s="218"/>
      <c r="AEL31" s="218"/>
      <c r="AEM31" s="218"/>
      <c r="AEN31" s="218"/>
      <c r="AEO31" s="218"/>
      <c r="AEP31" s="218"/>
      <c r="AEQ31" s="218"/>
      <c r="AER31" s="218"/>
      <c r="AES31" s="218"/>
      <c r="AET31" s="218"/>
      <c r="AEU31" s="218"/>
      <c r="AEV31" s="218"/>
      <c r="AEW31" s="218"/>
      <c r="AEX31" s="218"/>
      <c r="AEY31" s="218"/>
      <c r="AEZ31" s="218"/>
      <c r="AFA31" s="218"/>
      <c r="AFB31" s="218"/>
      <c r="AFC31" s="218"/>
      <c r="AFD31" s="218"/>
      <c r="AFE31" s="218"/>
      <c r="AFF31" s="218"/>
      <c r="AFG31" s="218"/>
      <c r="AFH31" s="218"/>
      <c r="AFI31" s="218"/>
      <c r="AFJ31" s="218"/>
      <c r="AFK31" s="218"/>
      <c r="AFL31" s="218"/>
      <c r="AFM31" s="218"/>
      <c r="AFN31" s="218"/>
      <c r="AFO31" s="218"/>
      <c r="AFP31" s="218"/>
      <c r="AFQ31" s="218"/>
      <c r="AFR31" s="218"/>
      <c r="AFS31" s="218"/>
      <c r="AFT31" s="218"/>
      <c r="AFU31" s="218"/>
      <c r="AFV31" s="218"/>
      <c r="AFW31" s="218"/>
      <c r="AFX31" s="218"/>
      <c r="AFY31" s="218"/>
      <c r="AFZ31" s="218"/>
      <c r="AGA31" s="218"/>
      <c r="AGB31" s="218"/>
      <c r="AGC31" s="218"/>
      <c r="AGD31" s="218"/>
      <c r="AGE31" s="218"/>
      <c r="AGF31" s="218"/>
      <c r="AGG31" s="218"/>
      <c r="AGH31" s="218"/>
      <c r="AGI31" s="218"/>
      <c r="AGJ31" s="218"/>
      <c r="AGK31" s="218"/>
      <c r="AGL31" s="218"/>
      <c r="AGM31" s="218"/>
      <c r="AGN31" s="218"/>
      <c r="AGO31" s="218"/>
      <c r="AGP31" s="218"/>
      <c r="AGQ31" s="218"/>
      <c r="AGR31" s="218"/>
      <c r="AGS31" s="218"/>
      <c r="AGT31" s="218"/>
      <c r="AGU31" s="218"/>
      <c r="AGV31" s="218"/>
      <c r="AGW31" s="218"/>
      <c r="AGX31" s="218"/>
      <c r="AGY31" s="218"/>
      <c r="AGZ31" s="218"/>
      <c r="AHA31" s="218"/>
      <c r="AHB31" s="218"/>
      <c r="AHC31" s="218"/>
      <c r="AHD31" s="218"/>
      <c r="AHE31" s="218"/>
      <c r="AHF31" s="218"/>
      <c r="AHG31" s="218"/>
      <c r="AHH31" s="218"/>
      <c r="AHI31" s="218"/>
      <c r="AHJ31" s="218"/>
      <c r="AHK31" s="218"/>
      <c r="AHL31" s="218"/>
      <c r="AHM31" s="218"/>
      <c r="AHN31" s="218"/>
      <c r="AHO31" s="218"/>
      <c r="AHP31" s="218"/>
      <c r="AHQ31" s="218"/>
      <c r="AHR31" s="218"/>
      <c r="AHS31" s="218"/>
      <c r="AHT31" s="218"/>
      <c r="AHU31" s="218"/>
      <c r="AHV31" s="218"/>
      <c r="AHW31" s="218"/>
      <c r="AHX31" s="218"/>
      <c r="AHY31" s="218"/>
      <c r="AHZ31" s="218"/>
      <c r="AIA31" s="218"/>
      <c r="AIB31" s="218"/>
      <c r="AIC31" s="218"/>
      <c r="AID31" s="218"/>
      <c r="AIE31" s="218"/>
      <c r="AIF31" s="218"/>
      <c r="AIG31" s="218"/>
      <c r="AIH31" s="218"/>
      <c r="AII31" s="218"/>
      <c r="AIJ31" s="218"/>
      <c r="AIK31" s="218"/>
      <c r="AIL31" s="218"/>
      <c r="AIM31" s="218"/>
      <c r="AIN31" s="218"/>
      <c r="AIO31" s="218"/>
      <c r="AIP31" s="218"/>
      <c r="AIQ31" s="218"/>
      <c r="AIR31" s="218"/>
      <c r="AIS31" s="218"/>
      <c r="AIT31" s="218"/>
      <c r="AIU31" s="218"/>
      <c r="AIV31" s="218"/>
      <c r="AIW31" s="218"/>
      <c r="AIX31" s="218"/>
      <c r="AIY31" s="218"/>
      <c r="AIZ31" s="218"/>
      <c r="AJA31" s="218"/>
      <c r="AJB31" s="218"/>
      <c r="AJC31" s="218"/>
      <c r="AJD31" s="218"/>
      <c r="AJE31" s="218"/>
      <c r="AJF31" s="218"/>
      <c r="AJG31" s="218"/>
      <c r="AJH31" s="218"/>
      <c r="AJI31" s="218"/>
      <c r="AJJ31" s="218"/>
      <c r="AJK31" s="218"/>
      <c r="AJL31" s="218"/>
      <c r="AJM31" s="218"/>
      <c r="AJN31" s="218"/>
      <c r="AJO31" s="218"/>
      <c r="AJP31" s="218"/>
      <c r="AJQ31" s="218"/>
      <c r="AJR31" s="218"/>
      <c r="AJS31" s="218"/>
      <c r="AJT31" s="218"/>
      <c r="AJU31" s="218"/>
      <c r="AJV31" s="218"/>
      <c r="AJW31" s="218"/>
      <c r="AJX31" s="218"/>
      <c r="AJY31" s="218"/>
      <c r="AJZ31" s="218"/>
      <c r="AKA31" s="218"/>
      <c r="AKB31" s="218"/>
      <c r="AKC31" s="218"/>
      <c r="AKD31" s="218"/>
      <c r="AKE31" s="218"/>
      <c r="AKF31" s="218"/>
      <c r="AKG31" s="218"/>
      <c r="AKH31" s="218"/>
      <c r="AKI31" s="218"/>
      <c r="AKJ31" s="218"/>
      <c r="AKK31" s="218"/>
      <c r="AKL31" s="218"/>
      <c r="AKM31" s="218"/>
      <c r="AKN31" s="218"/>
      <c r="AKO31" s="218"/>
      <c r="AKP31" s="218"/>
      <c r="AKQ31" s="218"/>
      <c r="AKR31" s="218"/>
      <c r="AKS31" s="218"/>
      <c r="AKT31" s="218"/>
      <c r="AKU31" s="218"/>
      <c r="AKV31" s="218"/>
      <c r="AKW31" s="218"/>
      <c r="AKX31" s="218"/>
      <c r="AKY31" s="218"/>
      <c r="AKZ31" s="218"/>
      <c r="ALA31" s="218"/>
      <c r="ALB31" s="218"/>
      <c r="ALC31" s="218"/>
      <c r="ALD31" s="218"/>
      <c r="ALE31" s="218"/>
      <c r="ALF31" s="218"/>
      <c r="ALG31" s="218"/>
      <c r="ALH31" s="218"/>
      <c r="ALI31" s="218"/>
      <c r="ALJ31" s="218"/>
      <c r="ALK31" s="218"/>
      <c r="ALL31" s="218"/>
      <c r="ALM31" s="218"/>
      <c r="ALN31" s="218"/>
      <c r="ALO31" s="218"/>
      <c r="ALP31" s="218"/>
      <c r="ALQ31" s="218"/>
      <c r="ALR31" s="218"/>
      <c r="ALS31" s="218"/>
      <c r="ALT31" s="218"/>
      <c r="ALU31" s="218"/>
      <c r="ALV31" s="218"/>
      <c r="ALW31" s="218"/>
      <c r="ALX31" s="218"/>
      <c r="ALY31" s="218"/>
      <c r="ALZ31" s="218"/>
      <c r="AMA31" s="218"/>
      <c r="AMB31" s="218"/>
      <c r="AMC31" s="218"/>
      <c r="AMD31" s="218"/>
      <c r="AME31" s="218"/>
      <c r="AMF31" s="218"/>
      <c r="AMG31" s="218"/>
      <c r="AMH31" s="218"/>
      <c r="AMI31" s="218"/>
      <c r="AMJ31" s="218"/>
      <c r="AMK31" s="218"/>
      <c r="AML31" s="218"/>
      <c r="AMM31" s="218"/>
      <c r="AMN31" s="218"/>
      <c r="AMO31" s="218"/>
      <c r="AMP31" s="218"/>
      <c r="AMQ31" s="218"/>
      <c r="AMR31" s="218"/>
      <c r="AMS31" s="218"/>
      <c r="AMT31" s="218"/>
      <c r="AMU31" s="218"/>
      <c r="AMV31" s="218"/>
      <c r="AMW31" s="218"/>
      <c r="AMX31" s="218"/>
      <c r="AMY31" s="218"/>
      <c r="AMZ31" s="218"/>
      <c r="ANA31" s="218"/>
      <c r="ANB31" s="218"/>
      <c r="ANC31" s="218"/>
      <c r="AND31" s="218"/>
      <c r="ANE31" s="218"/>
      <c r="ANF31" s="218"/>
      <c r="ANG31" s="218"/>
      <c r="ANH31" s="218"/>
      <c r="ANI31" s="218"/>
      <c r="ANJ31" s="218"/>
      <c r="ANK31" s="218"/>
      <c r="ANL31" s="218"/>
      <c r="ANM31" s="218"/>
      <c r="ANN31" s="218"/>
      <c r="ANO31" s="218"/>
      <c r="ANP31" s="218"/>
      <c r="ANQ31" s="218"/>
      <c r="ANR31" s="218"/>
      <c r="ANS31" s="218"/>
      <c r="ANT31" s="218"/>
      <c r="ANU31" s="218"/>
      <c r="ANV31" s="218"/>
      <c r="ANW31" s="218"/>
      <c r="ANX31" s="218"/>
      <c r="ANY31" s="218"/>
      <c r="ANZ31" s="218"/>
      <c r="AOA31" s="218"/>
      <c r="AOB31" s="218"/>
      <c r="AOC31" s="218"/>
      <c r="AOD31" s="218"/>
      <c r="AOE31" s="218"/>
      <c r="AOF31" s="218"/>
      <c r="AOG31" s="218"/>
      <c r="AOH31" s="218"/>
      <c r="AOI31" s="218"/>
      <c r="AOJ31" s="218"/>
      <c r="AOK31" s="218"/>
      <c r="AOL31" s="218"/>
      <c r="AOM31" s="218"/>
      <c r="AON31" s="218"/>
      <c r="AOO31" s="218"/>
      <c r="AOP31" s="218"/>
      <c r="AOQ31" s="218"/>
      <c r="AOR31" s="218"/>
      <c r="AOS31" s="218"/>
      <c r="AOT31" s="218"/>
      <c r="AOU31" s="218"/>
      <c r="AOV31" s="218"/>
      <c r="AOW31" s="218"/>
      <c r="AOX31" s="218"/>
      <c r="AOY31" s="218"/>
      <c r="AOZ31" s="218"/>
      <c r="APA31" s="218"/>
      <c r="APB31" s="218"/>
      <c r="APC31" s="218"/>
      <c r="APD31" s="218"/>
      <c r="APE31" s="218"/>
      <c r="APF31" s="218"/>
      <c r="APG31" s="218"/>
      <c r="APH31" s="218"/>
      <c r="API31" s="218"/>
      <c r="APJ31" s="218"/>
      <c r="APK31" s="218"/>
      <c r="APL31" s="218"/>
      <c r="APM31" s="218"/>
      <c r="APN31" s="218"/>
      <c r="APO31" s="218"/>
      <c r="APP31" s="218"/>
      <c r="APQ31" s="218"/>
      <c r="APR31" s="218"/>
      <c r="APS31" s="218"/>
      <c r="APT31" s="218"/>
      <c r="APU31" s="218"/>
      <c r="APV31" s="218"/>
      <c r="APW31" s="218"/>
      <c r="APX31" s="218"/>
      <c r="APY31" s="218"/>
      <c r="APZ31" s="218"/>
      <c r="AQA31" s="218"/>
      <c r="AQB31" s="218"/>
      <c r="AQC31" s="218"/>
      <c r="AQD31" s="218"/>
      <c r="AQE31" s="218"/>
      <c r="AQF31" s="218"/>
      <c r="AQG31" s="218"/>
      <c r="AQH31" s="218"/>
      <c r="AQI31" s="218"/>
      <c r="AQJ31" s="218"/>
      <c r="AQK31" s="218"/>
      <c r="AQL31" s="218"/>
      <c r="AQM31" s="218"/>
      <c r="AQN31" s="218"/>
      <c r="AQO31" s="218"/>
      <c r="AQP31" s="218"/>
      <c r="AQQ31" s="218"/>
      <c r="AQR31" s="218"/>
      <c r="AQS31" s="218"/>
      <c r="AQT31" s="218"/>
      <c r="AQU31" s="218"/>
      <c r="AQV31" s="218"/>
      <c r="AQW31" s="218"/>
      <c r="AQX31" s="218"/>
      <c r="AQY31" s="218"/>
      <c r="AQZ31" s="218"/>
      <c r="ARA31" s="218"/>
      <c r="ARB31" s="218"/>
      <c r="ARC31" s="218"/>
      <c r="ARD31" s="218"/>
      <c r="ARE31" s="218"/>
      <c r="ARF31" s="218"/>
      <c r="ARG31" s="218"/>
      <c r="ARH31" s="218"/>
      <c r="ARI31" s="218"/>
      <c r="ARJ31" s="218"/>
      <c r="ARK31" s="218"/>
      <c r="ARL31" s="218"/>
      <c r="ARM31" s="218"/>
      <c r="ARN31" s="218"/>
      <c r="ARO31" s="218"/>
      <c r="ARP31" s="218"/>
      <c r="ARQ31" s="218"/>
      <c r="ARR31" s="218"/>
      <c r="ARS31" s="218"/>
      <c r="ART31" s="218"/>
      <c r="ARU31" s="218"/>
      <c r="ARV31" s="218"/>
      <c r="ARW31" s="218"/>
      <c r="ARX31" s="218"/>
      <c r="ARY31" s="218"/>
      <c r="ARZ31" s="218"/>
      <c r="ASA31" s="218"/>
      <c r="ASB31" s="218"/>
      <c r="ASC31" s="218"/>
      <c r="ASD31" s="218"/>
      <c r="ASE31" s="218"/>
      <c r="ASF31" s="218"/>
      <c r="ASG31" s="218"/>
      <c r="ASH31" s="218"/>
      <c r="ASI31" s="218"/>
      <c r="ASJ31" s="218"/>
      <c r="ASK31" s="218"/>
      <c r="ASL31" s="218"/>
      <c r="ASM31" s="218"/>
      <c r="ASN31" s="218"/>
      <c r="ASO31" s="218"/>
      <c r="ASP31" s="218"/>
      <c r="ASQ31" s="218"/>
      <c r="ASR31" s="218"/>
      <c r="ASS31" s="218"/>
      <c r="AST31" s="218"/>
      <c r="ASU31" s="218"/>
      <c r="ASV31" s="218"/>
      <c r="ASW31" s="218"/>
      <c r="ASX31" s="218"/>
      <c r="ASY31" s="218"/>
      <c r="ASZ31" s="218"/>
      <c r="ATA31" s="218"/>
      <c r="ATB31" s="218"/>
      <c r="ATC31" s="218"/>
      <c r="ATD31" s="218"/>
      <c r="ATE31" s="218"/>
      <c r="ATF31" s="218"/>
      <c r="ATG31" s="218"/>
      <c r="ATH31" s="218"/>
      <c r="ATI31" s="218"/>
      <c r="ATJ31" s="218"/>
      <c r="ATK31" s="218"/>
      <c r="ATL31" s="218"/>
      <c r="ATM31" s="218"/>
      <c r="ATN31" s="218"/>
      <c r="ATO31" s="218"/>
      <c r="ATP31" s="218"/>
      <c r="ATQ31" s="218"/>
      <c r="ATR31" s="218"/>
      <c r="ATS31" s="218"/>
      <c r="ATT31" s="218"/>
      <c r="ATU31" s="218"/>
      <c r="ATV31" s="218"/>
      <c r="ATW31" s="218"/>
      <c r="ATX31" s="218"/>
      <c r="ATY31" s="218"/>
      <c r="ATZ31" s="218"/>
      <c r="AUA31" s="218"/>
      <c r="AUB31" s="218"/>
      <c r="AUC31" s="218"/>
      <c r="AUD31" s="218"/>
      <c r="AUE31" s="218"/>
      <c r="AUF31" s="218"/>
      <c r="AUG31" s="218"/>
      <c r="AUH31" s="218"/>
      <c r="AUI31" s="218"/>
      <c r="AUJ31" s="218"/>
      <c r="AUK31" s="218"/>
      <c r="AUL31" s="218"/>
      <c r="AUM31" s="218"/>
      <c r="AUN31" s="218"/>
      <c r="AUO31" s="218"/>
      <c r="AUP31" s="218"/>
      <c r="AUQ31" s="218"/>
      <c r="AUR31" s="218"/>
      <c r="AUS31" s="218"/>
      <c r="AUT31" s="218"/>
      <c r="AUU31" s="218"/>
      <c r="AUV31" s="218"/>
      <c r="AUW31" s="218"/>
      <c r="AUX31" s="218"/>
      <c r="AUY31" s="218"/>
      <c r="AUZ31" s="218"/>
      <c r="AVA31" s="218"/>
      <c r="AVB31" s="218"/>
      <c r="AVC31" s="218"/>
      <c r="AVD31" s="218"/>
      <c r="AVE31" s="218"/>
      <c r="AVF31" s="218"/>
      <c r="AVG31" s="218"/>
      <c r="AVH31" s="218"/>
      <c r="AVI31" s="218"/>
      <c r="AVJ31" s="218"/>
      <c r="AVK31" s="218"/>
      <c r="AVL31" s="218"/>
      <c r="AVM31" s="218"/>
      <c r="AVN31" s="218"/>
      <c r="AVO31" s="218"/>
      <c r="AVP31" s="218"/>
      <c r="AVQ31" s="218"/>
      <c r="AVR31" s="218"/>
      <c r="AVS31" s="218"/>
      <c r="AVT31" s="218"/>
      <c r="AVU31" s="218"/>
      <c r="AVV31" s="218"/>
      <c r="AVW31" s="218"/>
      <c r="AVX31" s="218"/>
      <c r="AVY31" s="218"/>
      <c r="AVZ31" s="218"/>
      <c r="AWA31" s="218"/>
      <c r="AWB31" s="218"/>
      <c r="AWC31" s="218"/>
      <c r="AWD31" s="218"/>
      <c r="AWE31" s="218"/>
      <c r="AWF31" s="218"/>
      <c r="AWG31" s="218"/>
      <c r="AWH31" s="218"/>
      <c r="AWI31" s="218"/>
      <c r="AWJ31" s="218"/>
      <c r="AWK31" s="218"/>
      <c r="AWL31" s="218"/>
      <c r="AWM31" s="218"/>
      <c r="AWN31" s="218"/>
      <c r="AWO31" s="218"/>
      <c r="AWP31" s="218"/>
      <c r="AWQ31" s="218"/>
      <c r="AWR31" s="218"/>
      <c r="AWS31" s="218"/>
      <c r="AWT31" s="218"/>
      <c r="AWU31" s="218"/>
      <c r="AWV31" s="218"/>
      <c r="AWW31" s="218"/>
      <c r="AWX31" s="218"/>
      <c r="AWY31" s="218"/>
      <c r="AWZ31" s="218"/>
      <c r="AXA31" s="218"/>
      <c r="AXB31" s="218"/>
      <c r="AXC31" s="218"/>
      <c r="AXD31" s="218"/>
      <c r="AXE31" s="218"/>
      <c r="AXF31" s="218"/>
      <c r="AXG31" s="218"/>
      <c r="AXH31" s="218"/>
      <c r="AXI31" s="218"/>
      <c r="AXJ31" s="218"/>
      <c r="AXK31" s="218"/>
      <c r="AXL31" s="218"/>
      <c r="AXM31" s="218"/>
      <c r="AXN31" s="218"/>
      <c r="AXO31" s="218"/>
      <c r="AXP31" s="218"/>
      <c r="AXQ31" s="218"/>
      <c r="AXR31" s="218"/>
      <c r="AXS31" s="218"/>
      <c r="AXT31" s="218"/>
      <c r="AXU31" s="218"/>
      <c r="AXV31" s="218"/>
      <c r="AXW31" s="218"/>
      <c r="AXX31" s="218"/>
      <c r="AXY31" s="218"/>
      <c r="AXZ31" s="218"/>
      <c r="AYA31" s="218"/>
      <c r="AYB31" s="218"/>
      <c r="AYC31" s="218"/>
      <c r="AYD31" s="218"/>
      <c r="AYE31" s="218"/>
      <c r="AYF31" s="218"/>
      <c r="AYG31" s="218"/>
      <c r="AYH31" s="218"/>
      <c r="AYI31" s="218"/>
      <c r="AYJ31" s="218"/>
      <c r="AYK31" s="218"/>
      <c r="AYL31" s="218"/>
      <c r="AYM31" s="218"/>
      <c r="AYN31" s="218"/>
      <c r="AYO31" s="218"/>
      <c r="AYP31" s="218"/>
      <c r="AYQ31" s="218"/>
      <c r="AYR31" s="218"/>
      <c r="AYS31" s="218"/>
      <c r="AYT31" s="218"/>
      <c r="AYU31" s="218"/>
      <c r="AYV31" s="218"/>
      <c r="AYW31" s="218"/>
      <c r="AYX31" s="218"/>
      <c r="AYY31" s="218"/>
      <c r="AYZ31" s="218"/>
      <c r="AZA31" s="218"/>
      <c r="AZB31" s="218"/>
      <c r="AZC31" s="218"/>
      <c r="AZD31" s="218"/>
      <c r="AZE31" s="218"/>
      <c r="AZF31" s="218"/>
      <c r="AZG31" s="218"/>
      <c r="AZH31" s="218"/>
      <c r="AZI31" s="218"/>
      <c r="AZJ31" s="218"/>
      <c r="AZK31" s="218"/>
      <c r="AZL31" s="218"/>
      <c r="AZM31" s="218"/>
      <c r="AZN31" s="218"/>
      <c r="AZO31" s="218"/>
      <c r="AZP31" s="218"/>
      <c r="AZQ31" s="218"/>
      <c r="AZR31" s="218"/>
      <c r="AZS31" s="218"/>
      <c r="AZT31" s="218"/>
      <c r="AZU31" s="218"/>
      <c r="AZV31" s="218"/>
      <c r="AZW31" s="218"/>
      <c r="AZX31" s="218"/>
      <c r="AZY31" s="218"/>
      <c r="AZZ31" s="218"/>
      <c r="BAA31" s="218"/>
      <c r="BAB31" s="218"/>
      <c r="BAC31" s="218"/>
      <c r="BAD31" s="218"/>
      <c r="BAE31" s="218"/>
      <c r="BAF31" s="218"/>
      <c r="BAG31" s="218"/>
      <c r="BAH31" s="218"/>
      <c r="BAI31" s="218"/>
      <c r="BAJ31" s="218"/>
      <c r="BAK31" s="218"/>
      <c r="BAL31" s="218"/>
      <c r="BAM31" s="218"/>
      <c r="BAN31" s="218"/>
      <c r="BAO31" s="218"/>
      <c r="BAP31" s="218"/>
      <c r="BAQ31" s="218"/>
      <c r="BAR31" s="218"/>
      <c r="BAS31" s="218"/>
      <c r="BAT31" s="218"/>
      <c r="BAU31" s="218"/>
      <c r="BAV31" s="218"/>
      <c r="BAW31" s="218"/>
      <c r="BAX31" s="218"/>
      <c r="BAY31" s="218"/>
      <c r="BAZ31" s="218"/>
      <c r="BBA31" s="218"/>
      <c r="BBB31" s="218"/>
      <c r="BBC31" s="218"/>
      <c r="BBD31" s="218"/>
      <c r="BBE31" s="218"/>
      <c r="BBF31" s="218"/>
      <c r="BBG31" s="218"/>
      <c r="BBH31" s="218"/>
      <c r="BBI31" s="218"/>
      <c r="BBJ31" s="218"/>
      <c r="BBK31" s="218"/>
      <c r="BBL31" s="218"/>
      <c r="BBM31" s="218"/>
      <c r="BBN31" s="218"/>
      <c r="BBO31" s="218"/>
      <c r="BBP31" s="218"/>
      <c r="BBQ31" s="218"/>
      <c r="BBR31" s="218"/>
      <c r="BBS31" s="218"/>
      <c r="BBT31" s="218"/>
      <c r="BBU31" s="218"/>
      <c r="BBV31" s="218"/>
      <c r="BBW31" s="218"/>
      <c r="BBX31" s="218"/>
      <c r="BBY31" s="218"/>
      <c r="BBZ31" s="218"/>
      <c r="BCA31" s="218"/>
      <c r="BCB31" s="218"/>
      <c r="BCC31" s="218"/>
      <c r="BCD31" s="218"/>
      <c r="BCE31" s="218"/>
      <c r="BCF31" s="218"/>
      <c r="BCG31" s="218"/>
      <c r="BCH31" s="218"/>
      <c r="BCI31" s="218"/>
      <c r="BCJ31" s="218"/>
      <c r="BCK31" s="218"/>
      <c r="BCL31" s="218"/>
      <c r="BCM31" s="218"/>
      <c r="BCN31" s="218"/>
      <c r="BCO31" s="218"/>
      <c r="BCP31" s="218"/>
      <c r="BCQ31" s="218"/>
      <c r="BCR31" s="218"/>
      <c r="BCS31" s="218"/>
      <c r="BCT31" s="218"/>
      <c r="BCU31" s="218"/>
      <c r="BCV31" s="218"/>
      <c r="BCW31" s="218"/>
      <c r="BCX31" s="218"/>
      <c r="BCY31" s="218"/>
      <c r="BCZ31" s="218"/>
      <c r="BDA31" s="218"/>
      <c r="BDB31" s="218"/>
      <c r="BDC31" s="218"/>
      <c r="BDD31" s="218"/>
      <c r="BDE31" s="218"/>
      <c r="BDF31" s="218"/>
      <c r="BDG31" s="218"/>
      <c r="BDH31" s="218"/>
      <c r="BDI31" s="218"/>
      <c r="BDJ31" s="218"/>
      <c r="BDK31" s="218"/>
      <c r="BDL31" s="218"/>
      <c r="BDM31" s="218"/>
      <c r="BDN31" s="218"/>
      <c r="BDO31" s="218"/>
      <c r="BDP31" s="218"/>
      <c r="BDQ31" s="218"/>
      <c r="BDR31" s="218"/>
      <c r="BDS31" s="218"/>
      <c r="BDT31" s="218"/>
      <c r="BDU31" s="218"/>
      <c r="BDV31" s="218"/>
      <c r="BDW31" s="218"/>
      <c r="BDX31" s="218"/>
      <c r="BDY31" s="218"/>
      <c r="BDZ31" s="218"/>
      <c r="BEA31" s="218"/>
      <c r="BEB31" s="218"/>
      <c r="BEC31" s="218"/>
      <c r="BED31" s="218"/>
      <c r="BEE31" s="218"/>
      <c r="BEF31" s="218"/>
      <c r="BEG31" s="218"/>
      <c r="BEH31" s="218"/>
      <c r="BEI31" s="218"/>
      <c r="BEJ31" s="218"/>
      <c r="BEK31" s="218"/>
      <c r="BEL31" s="218"/>
      <c r="BEM31" s="218"/>
      <c r="BEN31" s="218"/>
      <c r="BEO31" s="218"/>
      <c r="BEP31" s="218"/>
      <c r="BEQ31" s="218"/>
      <c r="BER31" s="218"/>
      <c r="BES31" s="218"/>
      <c r="BET31" s="218"/>
      <c r="BEU31" s="218"/>
      <c r="BEV31" s="218"/>
      <c r="BEW31" s="218"/>
      <c r="BEX31" s="218"/>
      <c r="BEY31" s="218"/>
      <c r="BEZ31" s="218"/>
      <c r="BFA31" s="218"/>
      <c r="BFB31" s="218"/>
      <c r="BFC31" s="218"/>
      <c r="BFD31" s="218"/>
      <c r="BFE31" s="218"/>
      <c r="BFF31" s="218"/>
      <c r="BFG31" s="218"/>
      <c r="BFH31" s="218"/>
      <c r="BFI31" s="218"/>
      <c r="BFJ31" s="218"/>
      <c r="BFK31" s="218"/>
      <c r="BFL31" s="218"/>
      <c r="BFM31" s="218"/>
      <c r="BFN31" s="218"/>
      <c r="BFO31" s="218"/>
      <c r="BFP31" s="218"/>
      <c r="BFQ31" s="218"/>
      <c r="BFR31" s="218"/>
      <c r="BFS31" s="218"/>
      <c r="BFT31" s="218"/>
      <c r="BFU31" s="218"/>
      <c r="BFV31" s="218"/>
      <c r="BFW31" s="218"/>
      <c r="BFX31" s="218"/>
      <c r="BFY31" s="218"/>
      <c r="BFZ31" s="218"/>
      <c r="BGA31" s="218"/>
      <c r="BGB31" s="218"/>
      <c r="BGC31" s="218"/>
      <c r="BGD31" s="218"/>
      <c r="BGE31" s="218"/>
      <c r="BGF31" s="218"/>
      <c r="BGG31" s="218"/>
      <c r="BGH31" s="218"/>
      <c r="BGI31" s="218"/>
      <c r="BGJ31" s="218"/>
      <c r="BGK31" s="218"/>
      <c r="BGL31" s="218"/>
      <c r="BGM31" s="218"/>
      <c r="BGN31" s="218"/>
      <c r="BGO31" s="218"/>
      <c r="BGP31" s="218"/>
      <c r="BGQ31" s="218"/>
      <c r="BGR31" s="218"/>
      <c r="BGS31" s="218"/>
      <c r="BGT31" s="218"/>
      <c r="BGU31" s="218"/>
      <c r="BGV31" s="218"/>
      <c r="BGW31" s="218"/>
      <c r="BGX31" s="218"/>
      <c r="BGY31" s="218"/>
      <c r="BGZ31" s="218"/>
      <c r="BHA31" s="218"/>
      <c r="BHB31" s="218"/>
      <c r="BHC31" s="218"/>
      <c r="BHD31" s="218"/>
      <c r="BHE31" s="218"/>
      <c r="BHF31" s="218"/>
      <c r="BHG31" s="218"/>
      <c r="BHH31" s="218"/>
      <c r="BHI31" s="218"/>
      <c r="BHJ31" s="218"/>
      <c r="BHK31" s="218"/>
      <c r="BHL31" s="218"/>
      <c r="BHM31" s="218"/>
      <c r="BHN31" s="218"/>
      <c r="BHO31" s="218"/>
      <c r="BHP31" s="218"/>
      <c r="BHQ31" s="218"/>
      <c r="BHR31" s="218"/>
      <c r="BHS31" s="218"/>
      <c r="BHT31" s="218"/>
      <c r="BHU31" s="218"/>
      <c r="BHV31" s="218"/>
      <c r="BHW31" s="218"/>
    </row>
    <row r="32" spans="1:1583" s="220" customFormat="1">
      <c r="A32" s="110" t="s">
        <v>44</v>
      </c>
      <c r="B32" s="186" t="s">
        <v>360</v>
      </c>
      <c r="C32" s="416" t="s">
        <v>481</v>
      </c>
      <c r="D32" s="416" t="s">
        <v>481</v>
      </c>
      <c r="E32" s="440" t="s">
        <v>45</v>
      </c>
      <c r="F32" s="222">
        <v>100683.34</v>
      </c>
      <c r="G32" s="60" t="s">
        <v>686</v>
      </c>
      <c r="H32" s="473">
        <f>SUM(I32:AN32)</f>
        <v>0</v>
      </c>
      <c r="I32" s="95">
        <f>VLOOKUP($B32,'DCS Data'!$E$2:$AJ$100,MATCH('Daily Report'!I$1,'DCS Data'!$E$2:$AJ$2,0),0)</f>
        <v>0</v>
      </c>
      <c r="J32" s="255"/>
      <c r="K32" s="95">
        <f>VLOOKUP($B32,'DCS Data'!$E$2:$AJ$100,MATCH('Daily Report'!K$1,'DCS Data'!$E$2:$AJ$2,0),0)</f>
        <v>0</v>
      </c>
      <c r="L32" s="95">
        <f>VLOOKUP($B32,'DCS Data'!$E$2:$AJ$100,MATCH('Daily Report'!L$1,'DCS Data'!$E$2:$AJ$2,0),0)</f>
        <v>0</v>
      </c>
      <c r="M32" s="95">
        <f>VLOOKUP($B32,'DCS Data'!$E$2:$AJ$100,MATCH('Daily Report'!M$1,'DCS Data'!$E$2:$AJ$2,0),0)</f>
        <v>0</v>
      </c>
      <c r="N32" s="95">
        <f>VLOOKUP($B32,'DCS Data'!$E$2:$AJ$100,MATCH('Daily Report'!N$1,'DCS Data'!$E$2:$AJ$2,0),0)</f>
        <v>0</v>
      </c>
      <c r="O32" s="95">
        <f>VLOOKUP($B32,'DCS Data'!$E$2:$AJ$100,MATCH('Daily Report'!O$1,'DCS Data'!$E$2:$AJ$2,0),0)</f>
        <v>0</v>
      </c>
      <c r="P32" s="95">
        <f>VLOOKUP($B32,'DCS Data'!$E$2:$AJ$100,MATCH('Daily Report'!P$1,'DCS Data'!$E$2:$AJ$2,0),0)</f>
        <v>0</v>
      </c>
      <c r="Q32" s="95">
        <f>VLOOKUP($B32,'DCS Data'!$E$2:$AJ$100,MATCH('Daily Report'!Q$1,'DCS Data'!$E$2:$AJ$2,0),0)</f>
        <v>0</v>
      </c>
      <c r="R32" s="95">
        <f>VLOOKUP($B32,'DCS Data'!$E$2:$AJ$100,MATCH('Daily Report'!R$1,'DCS Data'!$E$2:$AJ$2,0),0)</f>
        <v>0</v>
      </c>
      <c r="S32" s="95">
        <f>VLOOKUP($B32,'DCS Data'!$E$2:$AJ$100,MATCH('Daily Report'!S$1,'DCS Data'!$E$2:$AJ$2,0),0)</f>
        <v>0</v>
      </c>
      <c r="T32" s="95">
        <f>VLOOKUP($B32,'DCS Data'!$E$2:$AJ$100,MATCH('Daily Report'!T$1,'DCS Data'!$E$2:$AJ$2,0),0)</f>
        <v>0</v>
      </c>
      <c r="U32" s="95">
        <f>VLOOKUP($B32,'DCS Data'!$E$2:$AJ$100,MATCH('Daily Report'!U$1,'DCS Data'!$E$2:$AJ$2,0),0)</f>
        <v>0</v>
      </c>
      <c r="V32" s="95">
        <f>VLOOKUP($B32,'DCS Data'!$E$2:$AJ$100,MATCH('Daily Report'!V$1,'DCS Data'!$E$2:$AJ$2,0),0)</f>
        <v>0</v>
      </c>
      <c r="W32" s="95">
        <f>VLOOKUP($B32,'DCS Data'!$E$2:$AJ$100,MATCH('Daily Report'!W$1,'DCS Data'!$E$2:$AJ$2,0),0)</f>
        <v>0</v>
      </c>
      <c r="X32" s="95">
        <f>VLOOKUP($B32,'DCS Data'!$E$2:$AJ$100,MATCH('Daily Report'!X$1,'DCS Data'!$E$2:$AJ$2,0),0)</f>
        <v>0</v>
      </c>
      <c r="Y32" s="95">
        <f>VLOOKUP($B32,'DCS Data'!$E$2:$AJ$100,MATCH('Daily Report'!Y$1,'DCS Data'!$E$2:$AJ$2,0),0)</f>
        <v>0</v>
      </c>
      <c r="Z32" s="95">
        <f>VLOOKUP($B32,'DCS Data'!$E$2:$AJ$100,MATCH('Daily Report'!Z$1,'DCS Data'!$E$2:$AJ$2,0),0)</f>
        <v>0</v>
      </c>
      <c r="AA32" s="95">
        <f>VLOOKUP($B32,'DCS Data'!$E$2:$AJ$100,MATCH('Daily Report'!AA$1,'DCS Data'!$E$2:$AJ$2,0),0)</f>
        <v>0</v>
      </c>
      <c r="AB32" s="95">
        <f>VLOOKUP($B32,'DCS Data'!$E$2:$AJ$100,MATCH('Daily Report'!AB$1,'DCS Data'!$E$2:$AJ$2,0),0)</f>
        <v>0</v>
      </c>
      <c r="AC32" s="95">
        <f>VLOOKUP($B32,'DCS Data'!$E$2:$AJ$100,MATCH('Daily Report'!AC$1,'DCS Data'!$E$2:$AJ$2,0),0)</f>
        <v>0</v>
      </c>
      <c r="AD32" s="95">
        <f>VLOOKUP($B32,'DCS Data'!$E$2:$AJ$100,MATCH('Daily Report'!AD$1,'DCS Data'!$E$2:$AJ$2,0),0)</f>
        <v>0</v>
      </c>
      <c r="AE32" s="95">
        <f>VLOOKUP($B32,'DCS Data'!$E$2:$AJ$100,MATCH('Daily Report'!AE$1,'DCS Data'!$E$2:$AJ$2,0),0)</f>
        <v>0</v>
      </c>
      <c r="AF32" s="95">
        <f>VLOOKUP($B32,'DCS Data'!$E$2:$AJ$100,MATCH('Daily Report'!AF$1,'DCS Data'!$E$2:$AJ$2,0),0)</f>
        <v>0</v>
      </c>
      <c r="AG32" s="95">
        <f>VLOOKUP($B32,'DCS Data'!$E$2:$AJ$100,MATCH('Daily Report'!AG$1,'DCS Data'!$E$2:$AJ$2,0),0)</f>
        <v>0</v>
      </c>
      <c r="AH32" s="95">
        <f>VLOOKUP($B32,'DCS Data'!$E$2:$AJ$100,MATCH('Daily Report'!AH$1,'DCS Data'!$E$2:$AJ$2,0),0)</f>
        <v>0</v>
      </c>
      <c r="AI32" s="95">
        <f>VLOOKUP($B32,'DCS Data'!$E$2:$AJ$100,MATCH('Daily Report'!AI$1,'DCS Data'!$E$2:$AJ$2,0),0)</f>
        <v>0</v>
      </c>
      <c r="AJ32" s="95">
        <f>VLOOKUP($B32,'DCS Data'!$E$2:$AJ$100,MATCH('Daily Report'!AJ$1,'DCS Data'!$E$2:$AJ$2,0),0)</f>
        <v>0</v>
      </c>
      <c r="AK32" s="95">
        <f>VLOOKUP($B32,'DCS Data'!$E$2:$AJ$100,MATCH('Daily Report'!AK$1,'DCS Data'!$E$2:$AJ$2,0),0)</f>
        <v>0</v>
      </c>
      <c r="AL32" s="95">
        <f>VLOOKUP($B32,'DCS Data'!$E$2:$AJ$100,MATCH('Daily Report'!AL$1,'DCS Data'!$E$2:$AJ$2,0),0)</f>
        <v>0</v>
      </c>
      <c r="AM32" s="95">
        <f>VLOOKUP($B32,'DCS Data'!$E$2:$AJ$100,MATCH('Daily Report'!AM$1,'DCS Data'!$E$2:$AJ$2,0),0)</f>
        <v>0</v>
      </c>
      <c r="AN32" s="95">
        <f>VLOOKUP($B32,'DCS Data'!$E$2:$AJ$100,MATCH('Daily Report'!AN$1,'DCS Data'!$E$2:$AJ$2,0),0)</f>
        <v>0</v>
      </c>
      <c r="AO32" s="214"/>
      <c r="AP32" s="214"/>
      <c r="AQ32" s="214"/>
      <c r="AR32" s="214"/>
      <c r="AS32" s="214"/>
      <c r="AT32" s="214"/>
      <c r="AU32" s="214"/>
      <c r="AV32" s="214"/>
      <c r="AW32" s="214"/>
      <c r="AX32" s="214"/>
      <c r="AY32" s="214"/>
      <c r="AZ32" s="214"/>
      <c r="BA32" s="214"/>
      <c r="BB32" s="214"/>
      <c r="BC32" s="214"/>
      <c r="BD32" s="214"/>
      <c r="BE32" s="214"/>
      <c r="BF32" s="214"/>
      <c r="BG32" s="214"/>
      <c r="BH32" s="214"/>
      <c r="BI32" s="214"/>
      <c r="BJ32" s="214"/>
      <c r="BK32" s="214"/>
      <c r="BL32" s="214"/>
      <c r="BM32" s="214"/>
      <c r="BN32" s="214"/>
      <c r="BO32" s="214"/>
      <c r="BP32" s="214"/>
      <c r="BQ32" s="214"/>
      <c r="BR32" s="214"/>
      <c r="BS32" s="214"/>
      <c r="BT32" s="214"/>
      <c r="BU32" s="214"/>
      <c r="BV32" s="214"/>
      <c r="BW32" s="214"/>
      <c r="BX32" s="214"/>
      <c r="BY32" s="214"/>
      <c r="BZ32" s="214"/>
      <c r="CA32" s="214"/>
      <c r="CB32" s="214"/>
      <c r="CC32" s="214"/>
      <c r="CD32" s="214"/>
      <c r="CE32" s="214"/>
      <c r="CF32" s="214"/>
      <c r="CG32" s="214"/>
      <c r="CH32" s="214"/>
      <c r="CI32" s="214"/>
      <c r="CJ32" s="214"/>
      <c r="CK32" s="214"/>
      <c r="CL32" s="214"/>
      <c r="CM32" s="214"/>
      <c r="CN32" s="214"/>
      <c r="CO32" s="214"/>
      <c r="CP32" s="214"/>
      <c r="CQ32" s="214"/>
      <c r="CR32" s="214"/>
      <c r="CS32" s="214"/>
      <c r="CT32" s="214"/>
      <c r="CU32" s="214"/>
      <c r="CV32" s="214"/>
      <c r="CW32" s="214"/>
      <c r="CX32" s="214"/>
      <c r="CY32" s="214"/>
      <c r="CZ32" s="214"/>
      <c r="DA32" s="214"/>
      <c r="DB32" s="214"/>
      <c r="DC32" s="214"/>
      <c r="DD32" s="214"/>
      <c r="DE32" s="214"/>
      <c r="DF32" s="214"/>
      <c r="DG32" s="214"/>
      <c r="DH32" s="214"/>
      <c r="DI32" s="214"/>
      <c r="DJ32" s="214"/>
      <c r="DK32" s="214"/>
      <c r="DL32" s="214"/>
      <c r="DM32" s="214"/>
      <c r="DN32" s="214"/>
      <c r="DO32" s="214"/>
      <c r="DP32" s="214"/>
      <c r="DQ32" s="214"/>
      <c r="DR32" s="214"/>
      <c r="DS32" s="214"/>
      <c r="DT32" s="214"/>
      <c r="DU32" s="214"/>
      <c r="DV32" s="214"/>
      <c r="DW32" s="214"/>
      <c r="DX32" s="214"/>
      <c r="DY32" s="214"/>
      <c r="DZ32" s="214"/>
      <c r="EA32" s="214"/>
      <c r="EB32" s="214"/>
      <c r="EC32" s="214"/>
      <c r="ED32" s="214"/>
      <c r="EE32" s="214"/>
      <c r="EF32" s="214"/>
      <c r="EG32" s="214"/>
      <c r="EH32" s="214"/>
      <c r="EI32" s="214"/>
      <c r="EJ32" s="214"/>
      <c r="EK32" s="214"/>
      <c r="EL32" s="214"/>
      <c r="EM32" s="214"/>
      <c r="EN32" s="214"/>
      <c r="EO32" s="214"/>
      <c r="EP32" s="214"/>
      <c r="EQ32" s="214"/>
      <c r="ER32" s="214"/>
      <c r="ES32" s="214"/>
      <c r="ET32" s="214"/>
      <c r="EU32" s="214"/>
      <c r="EV32" s="214"/>
      <c r="EW32" s="214"/>
      <c r="EX32" s="214"/>
      <c r="EY32" s="214"/>
      <c r="EZ32" s="214"/>
      <c r="FA32" s="214"/>
      <c r="FB32" s="214"/>
      <c r="FC32" s="214"/>
      <c r="FD32" s="214"/>
      <c r="FE32" s="214"/>
      <c r="FF32" s="214"/>
      <c r="FG32" s="214"/>
      <c r="FH32" s="214"/>
      <c r="FI32" s="214"/>
      <c r="FJ32" s="214"/>
      <c r="FK32" s="214"/>
      <c r="FL32" s="214"/>
      <c r="FM32" s="214"/>
      <c r="FN32" s="214"/>
      <c r="FO32" s="214"/>
      <c r="FP32" s="214"/>
      <c r="FQ32" s="214"/>
      <c r="FR32" s="214"/>
      <c r="FS32" s="214"/>
      <c r="FT32" s="214"/>
      <c r="FU32" s="214"/>
      <c r="FV32" s="214"/>
      <c r="FW32" s="214"/>
      <c r="FX32" s="214"/>
      <c r="FY32" s="214"/>
      <c r="FZ32" s="214"/>
      <c r="GA32" s="214"/>
      <c r="GB32" s="214"/>
      <c r="GC32" s="214"/>
      <c r="GD32" s="214"/>
      <c r="GE32" s="214"/>
      <c r="GF32" s="214"/>
      <c r="GG32" s="214"/>
      <c r="GH32" s="214"/>
      <c r="GI32" s="214"/>
      <c r="GJ32" s="214"/>
      <c r="GK32" s="214"/>
      <c r="GL32" s="214"/>
      <c r="GM32" s="214"/>
      <c r="GN32" s="214"/>
      <c r="GO32" s="214"/>
      <c r="GP32" s="214"/>
      <c r="GQ32" s="214"/>
      <c r="GR32" s="214"/>
      <c r="GS32" s="214"/>
      <c r="GT32" s="214"/>
      <c r="GU32" s="214"/>
      <c r="GV32" s="214"/>
      <c r="GW32" s="214"/>
      <c r="GX32" s="214"/>
      <c r="GY32" s="214"/>
      <c r="GZ32" s="214"/>
      <c r="HA32" s="214"/>
      <c r="HB32" s="214"/>
      <c r="HC32" s="214"/>
      <c r="HD32" s="214"/>
      <c r="HE32" s="214"/>
      <c r="HF32" s="214"/>
      <c r="HG32" s="214"/>
      <c r="HH32" s="214"/>
      <c r="HI32" s="214"/>
      <c r="HJ32" s="214"/>
      <c r="HK32" s="214"/>
      <c r="HL32" s="214"/>
      <c r="HM32" s="214"/>
      <c r="HN32" s="214"/>
      <c r="HO32" s="214"/>
      <c r="HP32" s="214"/>
      <c r="HQ32" s="214"/>
      <c r="HR32" s="214"/>
      <c r="HS32" s="214"/>
      <c r="HT32" s="214"/>
      <c r="HU32" s="214"/>
      <c r="HV32" s="214"/>
      <c r="HW32" s="214"/>
      <c r="HX32" s="214"/>
      <c r="HY32" s="214"/>
      <c r="HZ32" s="214"/>
      <c r="IA32" s="214"/>
      <c r="IB32" s="214"/>
      <c r="IC32" s="214"/>
      <c r="ID32" s="214"/>
      <c r="IE32" s="214"/>
      <c r="IF32" s="214"/>
      <c r="IG32" s="214"/>
      <c r="IH32" s="214"/>
      <c r="II32" s="214"/>
      <c r="IJ32" s="214"/>
      <c r="IK32" s="214"/>
      <c r="IL32" s="214"/>
      <c r="IM32" s="214"/>
      <c r="IN32" s="214"/>
      <c r="IO32" s="214"/>
      <c r="IP32" s="214"/>
      <c r="IQ32" s="214"/>
      <c r="IR32" s="214"/>
      <c r="IS32" s="214"/>
      <c r="IT32" s="214"/>
      <c r="IU32" s="214"/>
      <c r="IV32" s="214"/>
      <c r="IW32" s="214"/>
      <c r="IX32" s="214"/>
      <c r="IY32" s="214"/>
      <c r="IZ32" s="214"/>
      <c r="JA32" s="214"/>
      <c r="JB32" s="214"/>
      <c r="JC32" s="214"/>
      <c r="JD32" s="214"/>
      <c r="JE32" s="214"/>
      <c r="JF32" s="214"/>
      <c r="JG32" s="214"/>
      <c r="JH32" s="214"/>
      <c r="JI32" s="214"/>
      <c r="JJ32" s="214"/>
      <c r="JK32" s="214"/>
      <c r="JL32" s="214"/>
      <c r="JM32" s="214"/>
      <c r="JN32" s="214"/>
      <c r="JO32" s="214"/>
      <c r="JP32" s="214"/>
      <c r="JQ32" s="214"/>
      <c r="JR32" s="214"/>
      <c r="JS32" s="214"/>
      <c r="JT32" s="214"/>
      <c r="JU32" s="214"/>
      <c r="JV32" s="214"/>
      <c r="JW32" s="214"/>
      <c r="JX32" s="214"/>
      <c r="JY32" s="214"/>
      <c r="JZ32" s="214"/>
      <c r="KA32" s="214"/>
      <c r="KB32" s="214"/>
      <c r="KC32" s="214"/>
      <c r="KD32" s="214"/>
      <c r="KE32" s="214"/>
      <c r="KF32" s="214"/>
      <c r="KG32" s="214"/>
      <c r="KH32" s="214"/>
      <c r="KI32" s="214"/>
      <c r="KJ32" s="214"/>
      <c r="KK32" s="214"/>
      <c r="KL32" s="214"/>
      <c r="KM32" s="214"/>
      <c r="KN32" s="214"/>
      <c r="KO32" s="214"/>
      <c r="KP32" s="214"/>
      <c r="KQ32" s="214"/>
      <c r="KR32" s="214"/>
      <c r="KS32" s="214"/>
      <c r="KT32" s="214"/>
      <c r="KU32" s="214"/>
      <c r="KV32" s="214"/>
      <c r="KW32" s="214"/>
      <c r="KX32" s="214"/>
      <c r="KY32" s="214"/>
      <c r="KZ32" s="214"/>
      <c r="LA32" s="214"/>
      <c r="LB32" s="214"/>
      <c r="LC32" s="214"/>
      <c r="LD32" s="214"/>
      <c r="LE32" s="214"/>
      <c r="LF32" s="214"/>
      <c r="LG32" s="214"/>
      <c r="LH32" s="214"/>
      <c r="LI32" s="214"/>
      <c r="LJ32" s="214"/>
      <c r="LK32" s="214"/>
      <c r="LL32" s="214"/>
      <c r="LM32" s="214"/>
      <c r="LN32" s="214"/>
      <c r="LO32" s="214"/>
      <c r="LP32" s="214"/>
      <c r="LQ32" s="214"/>
      <c r="LR32" s="214"/>
      <c r="LS32" s="214"/>
      <c r="LT32" s="214"/>
      <c r="LU32" s="214"/>
      <c r="LV32" s="214"/>
      <c r="LW32" s="214"/>
      <c r="LX32" s="214"/>
      <c r="LY32" s="214"/>
      <c r="LZ32" s="214"/>
      <c r="MA32" s="214"/>
      <c r="MB32" s="214"/>
      <c r="MC32" s="214"/>
      <c r="MD32" s="214"/>
      <c r="ME32" s="214"/>
      <c r="MF32" s="214"/>
      <c r="MG32" s="214"/>
      <c r="MH32" s="214"/>
      <c r="MI32" s="214"/>
      <c r="MJ32" s="214"/>
      <c r="MK32" s="214"/>
      <c r="ML32" s="214"/>
      <c r="MM32" s="214"/>
      <c r="MN32" s="214"/>
      <c r="MO32" s="214"/>
      <c r="MP32" s="214"/>
      <c r="MQ32" s="214"/>
      <c r="MR32" s="214"/>
      <c r="MS32" s="214"/>
      <c r="MT32" s="214"/>
      <c r="MU32" s="214"/>
      <c r="MV32" s="214"/>
      <c r="MW32" s="214"/>
      <c r="MX32" s="214"/>
      <c r="MY32" s="214"/>
      <c r="MZ32" s="214"/>
      <c r="NA32" s="214"/>
      <c r="NB32" s="214"/>
      <c r="NC32" s="214"/>
      <c r="ND32" s="214"/>
      <c r="NE32" s="214"/>
      <c r="NF32" s="214"/>
      <c r="NG32" s="214"/>
      <c r="NH32" s="214"/>
      <c r="NI32" s="214"/>
      <c r="NJ32" s="214"/>
      <c r="NK32" s="214"/>
      <c r="NL32" s="214"/>
      <c r="NM32" s="214"/>
      <c r="NN32" s="214"/>
      <c r="NO32" s="214"/>
      <c r="NP32" s="214"/>
      <c r="NQ32" s="214"/>
      <c r="NR32" s="214"/>
      <c r="NS32" s="214"/>
      <c r="NT32" s="214"/>
      <c r="NU32" s="214"/>
      <c r="NV32" s="214"/>
      <c r="NW32" s="214"/>
      <c r="NX32" s="214"/>
      <c r="NY32" s="214"/>
      <c r="NZ32" s="214"/>
      <c r="OA32" s="214"/>
      <c r="OB32" s="214"/>
      <c r="OC32" s="214"/>
      <c r="OD32" s="214"/>
      <c r="OE32" s="214"/>
      <c r="OF32" s="214"/>
      <c r="OG32" s="214"/>
      <c r="OH32" s="214"/>
      <c r="OI32" s="214"/>
      <c r="OJ32" s="214"/>
      <c r="OK32" s="214"/>
      <c r="OL32" s="214"/>
      <c r="OM32" s="214"/>
      <c r="ON32" s="214"/>
      <c r="OO32" s="214"/>
      <c r="OP32" s="214"/>
      <c r="OQ32" s="214"/>
      <c r="OR32" s="214"/>
      <c r="OS32" s="214"/>
      <c r="OT32" s="214"/>
      <c r="OU32" s="214"/>
      <c r="OV32" s="214"/>
      <c r="OW32" s="214"/>
      <c r="OX32" s="214"/>
      <c r="OY32" s="214"/>
      <c r="OZ32" s="214"/>
      <c r="PA32" s="214"/>
      <c r="PB32" s="214"/>
      <c r="PC32" s="214"/>
      <c r="PD32" s="214"/>
      <c r="PE32" s="214"/>
      <c r="PF32" s="214"/>
      <c r="PG32" s="214"/>
      <c r="PH32" s="214"/>
      <c r="PI32" s="214"/>
      <c r="PJ32" s="214"/>
      <c r="PK32" s="214"/>
      <c r="PL32" s="214"/>
      <c r="PM32" s="214"/>
      <c r="PN32" s="214"/>
      <c r="PO32" s="214"/>
      <c r="PP32" s="214"/>
      <c r="PQ32" s="214"/>
      <c r="PR32" s="214"/>
      <c r="PS32" s="214"/>
      <c r="PT32" s="214"/>
      <c r="PU32" s="214"/>
      <c r="PV32" s="214"/>
      <c r="PW32" s="214"/>
      <c r="PX32" s="214"/>
      <c r="PY32" s="214"/>
      <c r="PZ32" s="214"/>
      <c r="QA32" s="214"/>
      <c r="QB32" s="214"/>
      <c r="QC32" s="214"/>
      <c r="QD32" s="214"/>
      <c r="QE32" s="214"/>
      <c r="QF32" s="214"/>
      <c r="QG32" s="214"/>
      <c r="QH32" s="214"/>
      <c r="QI32" s="214"/>
      <c r="QJ32" s="214"/>
      <c r="QK32" s="214"/>
      <c r="QL32" s="214"/>
      <c r="QM32" s="214"/>
      <c r="QN32" s="214"/>
      <c r="QO32" s="214"/>
      <c r="QP32" s="214"/>
      <c r="QQ32" s="214"/>
      <c r="QR32" s="214"/>
      <c r="QS32" s="214"/>
      <c r="QT32" s="214"/>
      <c r="QU32" s="214"/>
      <c r="QV32" s="214"/>
      <c r="QW32" s="214"/>
      <c r="QX32" s="214"/>
      <c r="QY32" s="214"/>
      <c r="QZ32" s="214"/>
      <c r="RA32" s="214"/>
      <c r="RB32" s="214"/>
      <c r="RC32" s="214"/>
      <c r="RD32" s="214"/>
      <c r="RE32" s="214"/>
      <c r="RF32" s="214"/>
      <c r="RG32" s="214"/>
      <c r="RH32" s="214"/>
      <c r="RI32" s="214"/>
      <c r="RJ32" s="214"/>
      <c r="RK32" s="214"/>
      <c r="RL32" s="214"/>
      <c r="RM32" s="214"/>
      <c r="RN32" s="214"/>
      <c r="RO32" s="214"/>
      <c r="RP32" s="214"/>
      <c r="RQ32" s="214"/>
      <c r="RR32" s="214"/>
      <c r="RS32" s="214"/>
      <c r="RT32" s="214"/>
      <c r="RU32" s="214"/>
      <c r="RV32" s="214"/>
      <c r="RW32" s="214"/>
      <c r="RX32" s="214"/>
      <c r="RY32" s="214"/>
      <c r="RZ32" s="214"/>
      <c r="SA32" s="214"/>
      <c r="SB32" s="214"/>
      <c r="SC32" s="214"/>
      <c r="SD32" s="214"/>
      <c r="SE32" s="214"/>
      <c r="SF32" s="214"/>
      <c r="SG32" s="214"/>
      <c r="SH32" s="214"/>
      <c r="SI32" s="214"/>
      <c r="SJ32" s="214"/>
      <c r="SK32" s="214"/>
      <c r="SL32" s="214"/>
      <c r="SM32" s="214"/>
      <c r="SN32" s="214"/>
      <c r="SO32" s="214"/>
      <c r="SP32" s="214"/>
      <c r="SQ32" s="214"/>
      <c r="SR32" s="214"/>
      <c r="SS32" s="214"/>
      <c r="ST32" s="214"/>
      <c r="SU32" s="214"/>
      <c r="SV32" s="214"/>
      <c r="SW32" s="214"/>
      <c r="SX32" s="214"/>
      <c r="SY32" s="214"/>
      <c r="SZ32" s="214"/>
      <c r="TA32" s="214"/>
      <c r="TB32" s="214"/>
      <c r="TC32" s="214"/>
      <c r="TD32" s="214"/>
      <c r="TE32" s="214"/>
      <c r="TF32" s="214"/>
      <c r="TG32" s="214"/>
      <c r="TH32" s="214"/>
      <c r="TI32" s="214"/>
      <c r="TJ32" s="214"/>
      <c r="TK32" s="214"/>
      <c r="TL32" s="214"/>
      <c r="TM32" s="214"/>
      <c r="TN32" s="214"/>
      <c r="TO32" s="214"/>
      <c r="TP32" s="214"/>
      <c r="TQ32" s="214"/>
      <c r="TR32" s="214"/>
      <c r="TS32" s="214"/>
      <c r="TT32" s="214"/>
      <c r="TU32" s="214"/>
      <c r="TV32" s="214"/>
      <c r="TW32" s="214"/>
      <c r="TX32" s="214"/>
      <c r="TY32" s="214"/>
      <c r="TZ32" s="214"/>
      <c r="UA32" s="214"/>
      <c r="UB32" s="214"/>
      <c r="UC32" s="214"/>
      <c r="UD32" s="214"/>
      <c r="UE32" s="214"/>
      <c r="UF32" s="214"/>
      <c r="UG32" s="214"/>
      <c r="UH32" s="214"/>
      <c r="UI32" s="214"/>
      <c r="UJ32" s="214"/>
      <c r="UK32" s="214"/>
      <c r="UL32" s="214"/>
      <c r="UM32" s="214"/>
      <c r="UN32" s="214"/>
      <c r="UO32" s="214"/>
      <c r="UP32" s="214"/>
      <c r="UQ32" s="214"/>
      <c r="UR32" s="214"/>
      <c r="US32" s="214"/>
      <c r="UT32" s="214"/>
      <c r="UU32" s="214"/>
      <c r="UV32" s="214"/>
      <c r="UW32" s="214"/>
      <c r="UX32" s="214"/>
      <c r="UY32" s="214"/>
      <c r="UZ32" s="214"/>
      <c r="VA32" s="214"/>
      <c r="VB32" s="214"/>
      <c r="VC32" s="214"/>
      <c r="VD32" s="214"/>
      <c r="VE32" s="214"/>
      <c r="VF32" s="214"/>
      <c r="VG32" s="214"/>
      <c r="VH32" s="214"/>
      <c r="VI32" s="214"/>
      <c r="VJ32" s="214"/>
      <c r="VK32" s="214"/>
      <c r="VL32" s="214"/>
      <c r="VM32" s="214"/>
      <c r="VN32" s="214"/>
      <c r="VO32" s="214"/>
      <c r="VP32" s="214"/>
      <c r="VQ32" s="214"/>
      <c r="VR32" s="214"/>
      <c r="VS32" s="214"/>
      <c r="VT32" s="214"/>
      <c r="VU32" s="214"/>
      <c r="VV32" s="214"/>
      <c r="VW32" s="214"/>
      <c r="VX32" s="214"/>
      <c r="VY32" s="214"/>
      <c r="VZ32" s="214"/>
      <c r="WA32" s="214"/>
      <c r="WB32" s="214"/>
      <c r="WC32" s="214"/>
      <c r="WD32" s="214"/>
      <c r="WE32" s="214"/>
      <c r="WF32" s="214"/>
      <c r="WG32" s="214"/>
      <c r="WH32" s="214"/>
      <c r="WI32" s="214"/>
      <c r="WJ32" s="214"/>
      <c r="WK32" s="214"/>
      <c r="WL32" s="214"/>
      <c r="WM32" s="214"/>
      <c r="WN32" s="214"/>
      <c r="WO32" s="214"/>
      <c r="WP32" s="214"/>
      <c r="WQ32" s="214"/>
      <c r="WR32" s="214"/>
      <c r="WS32" s="214"/>
      <c r="WT32" s="214"/>
      <c r="WU32" s="214"/>
      <c r="WV32" s="214"/>
      <c r="WW32" s="214"/>
      <c r="WX32" s="214"/>
      <c r="WY32" s="214"/>
      <c r="WZ32" s="214"/>
      <c r="XA32" s="214"/>
      <c r="XB32" s="214"/>
      <c r="XC32" s="214"/>
      <c r="XD32" s="214"/>
      <c r="XE32" s="214"/>
      <c r="XF32" s="214"/>
      <c r="XG32" s="214"/>
      <c r="XH32" s="214"/>
      <c r="XI32" s="214"/>
      <c r="XJ32" s="214"/>
      <c r="XK32" s="214"/>
      <c r="XL32" s="214"/>
      <c r="XM32" s="214"/>
      <c r="XN32" s="214"/>
      <c r="XO32" s="214"/>
      <c r="XP32" s="214"/>
      <c r="XQ32" s="214"/>
      <c r="XR32" s="214"/>
      <c r="XS32" s="214"/>
      <c r="XT32" s="214"/>
      <c r="XU32" s="214"/>
      <c r="XV32" s="214"/>
      <c r="XW32" s="214"/>
      <c r="XX32" s="214"/>
      <c r="XY32" s="214"/>
      <c r="XZ32" s="214"/>
      <c r="YA32" s="214"/>
      <c r="YB32" s="214"/>
      <c r="YC32" s="214"/>
      <c r="YD32" s="214"/>
      <c r="YE32" s="214"/>
      <c r="YF32" s="214"/>
      <c r="YG32" s="214"/>
      <c r="YH32" s="214"/>
      <c r="YI32" s="214"/>
      <c r="YJ32" s="214"/>
      <c r="YK32" s="214"/>
      <c r="YL32" s="214"/>
      <c r="YM32" s="214"/>
      <c r="YN32" s="214"/>
      <c r="YO32" s="214"/>
      <c r="YP32" s="214"/>
      <c r="YQ32" s="214"/>
      <c r="YR32" s="214"/>
      <c r="YS32" s="214"/>
      <c r="YT32" s="214"/>
      <c r="YU32" s="214"/>
      <c r="YV32" s="214"/>
      <c r="YW32" s="214"/>
      <c r="YX32" s="214"/>
      <c r="YY32" s="214"/>
      <c r="YZ32" s="214"/>
      <c r="ZA32" s="214"/>
      <c r="ZB32" s="214"/>
      <c r="ZC32" s="214"/>
      <c r="ZD32" s="214"/>
      <c r="ZE32" s="214"/>
      <c r="ZF32" s="214"/>
      <c r="ZG32" s="214"/>
      <c r="ZH32" s="214"/>
      <c r="ZI32" s="214"/>
      <c r="ZJ32" s="214"/>
      <c r="ZK32" s="214"/>
      <c r="ZL32" s="214"/>
      <c r="ZM32" s="214"/>
      <c r="ZN32" s="214"/>
      <c r="ZO32" s="214"/>
      <c r="ZP32" s="214"/>
      <c r="ZQ32" s="214"/>
      <c r="ZR32" s="214"/>
      <c r="ZS32" s="214"/>
      <c r="ZT32" s="214"/>
      <c r="ZU32" s="214"/>
      <c r="ZV32" s="214"/>
      <c r="ZW32" s="214"/>
      <c r="ZX32" s="214"/>
      <c r="ZY32" s="214"/>
      <c r="ZZ32" s="214"/>
      <c r="AAA32" s="214"/>
      <c r="AAB32" s="214"/>
      <c r="AAC32" s="214"/>
      <c r="AAD32" s="214"/>
      <c r="AAE32" s="214"/>
      <c r="AAF32" s="214"/>
      <c r="AAG32" s="214"/>
      <c r="AAH32" s="214"/>
      <c r="AAI32" s="214"/>
      <c r="AAJ32" s="214"/>
      <c r="AAK32" s="214"/>
      <c r="AAL32" s="214"/>
      <c r="AAM32" s="214"/>
      <c r="AAN32" s="214"/>
      <c r="AAO32" s="214"/>
      <c r="AAP32" s="214"/>
      <c r="AAQ32" s="214"/>
      <c r="AAR32" s="214"/>
      <c r="AAS32" s="214"/>
      <c r="AAT32" s="214"/>
      <c r="AAU32" s="214"/>
      <c r="AAV32" s="214"/>
      <c r="AAW32" s="214"/>
      <c r="AAX32" s="214"/>
      <c r="AAY32" s="214"/>
      <c r="AAZ32" s="214"/>
      <c r="ABA32" s="214"/>
      <c r="ABB32" s="214"/>
      <c r="ABC32" s="214"/>
      <c r="ABD32" s="214"/>
      <c r="ABE32" s="214"/>
      <c r="ABF32" s="214"/>
      <c r="ABG32" s="214"/>
      <c r="ABH32" s="214"/>
      <c r="ABI32" s="214"/>
      <c r="ABJ32" s="214"/>
      <c r="ABK32" s="214"/>
      <c r="ABL32" s="214"/>
      <c r="ABM32" s="214"/>
      <c r="ABN32" s="214"/>
      <c r="ABO32" s="214"/>
      <c r="ABP32" s="214"/>
      <c r="ABQ32" s="214"/>
      <c r="ABR32" s="214"/>
      <c r="ABS32" s="214"/>
      <c r="ABT32" s="214"/>
      <c r="ABU32" s="214"/>
      <c r="ABV32" s="214"/>
      <c r="ABW32" s="214"/>
      <c r="ABX32" s="214"/>
      <c r="ABY32" s="214"/>
      <c r="ABZ32" s="214"/>
      <c r="ACA32" s="214"/>
      <c r="ACB32" s="214"/>
      <c r="ACC32" s="214"/>
      <c r="ACD32" s="214"/>
      <c r="ACE32" s="214"/>
      <c r="ACF32" s="214"/>
      <c r="ACG32" s="214"/>
      <c r="ACH32" s="214"/>
      <c r="ACI32" s="214"/>
      <c r="ACJ32" s="214"/>
      <c r="ACK32" s="214"/>
      <c r="ACL32" s="214"/>
      <c r="ACM32" s="214"/>
      <c r="ACN32" s="214"/>
      <c r="ACO32" s="214"/>
      <c r="ACP32" s="214"/>
      <c r="ACQ32" s="214"/>
      <c r="ACR32" s="214"/>
      <c r="ACS32" s="214"/>
      <c r="ACT32" s="214"/>
      <c r="ACU32" s="214"/>
      <c r="ACV32" s="214"/>
      <c r="ACW32" s="214"/>
      <c r="ACX32" s="214"/>
      <c r="ACY32" s="214"/>
      <c r="ACZ32" s="214"/>
      <c r="ADA32" s="214"/>
      <c r="ADB32" s="214"/>
      <c r="ADC32" s="214"/>
      <c r="ADD32" s="214"/>
      <c r="ADE32" s="214"/>
      <c r="ADF32" s="214"/>
      <c r="ADG32" s="214"/>
      <c r="ADH32" s="214"/>
      <c r="ADI32" s="214"/>
      <c r="ADJ32" s="214"/>
      <c r="ADK32" s="214"/>
      <c r="ADL32" s="214"/>
      <c r="ADM32" s="214"/>
      <c r="ADN32" s="214"/>
      <c r="ADO32" s="214"/>
      <c r="ADP32" s="214"/>
      <c r="ADQ32" s="214"/>
      <c r="ADR32" s="214"/>
      <c r="ADS32" s="214"/>
      <c r="ADT32" s="214"/>
      <c r="ADU32" s="214"/>
      <c r="ADV32" s="214"/>
      <c r="ADW32" s="214"/>
      <c r="ADX32" s="214"/>
      <c r="ADY32" s="214"/>
      <c r="ADZ32" s="214"/>
      <c r="AEA32" s="214"/>
      <c r="AEB32" s="214"/>
      <c r="AEC32" s="214"/>
      <c r="AED32" s="214"/>
      <c r="AEE32" s="214"/>
      <c r="AEF32" s="214"/>
      <c r="AEG32" s="214"/>
      <c r="AEH32" s="214"/>
      <c r="AEI32" s="214"/>
      <c r="AEJ32" s="214"/>
      <c r="AEK32" s="214"/>
      <c r="AEL32" s="214"/>
      <c r="AEM32" s="214"/>
      <c r="AEN32" s="214"/>
      <c r="AEO32" s="214"/>
      <c r="AEP32" s="214"/>
      <c r="AEQ32" s="214"/>
      <c r="AER32" s="214"/>
      <c r="AES32" s="214"/>
      <c r="AET32" s="214"/>
      <c r="AEU32" s="214"/>
      <c r="AEV32" s="214"/>
      <c r="AEW32" s="214"/>
      <c r="AEX32" s="214"/>
      <c r="AEY32" s="214"/>
      <c r="AEZ32" s="214"/>
      <c r="AFA32" s="214"/>
      <c r="AFB32" s="214"/>
      <c r="AFC32" s="214"/>
      <c r="AFD32" s="214"/>
      <c r="AFE32" s="214"/>
      <c r="AFF32" s="214"/>
      <c r="AFG32" s="214"/>
      <c r="AFH32" s="214"/>
      <c r="AFI32" s="214"/>
      <c r="AFJ32" s="214"/>
      <c r="AFK32" s="214"/>
      <c r="AFL32" s="214"/>
      <c r="AFM32" s="214"/>
      <c r="AFN32" s="214"/>
      <c r="AFO32" s="214"/>
      <c r="AFP32" s="214"/>
      <c r="AFQ32" s="214"/>
      <c r="AFR32" s="214"/>
      <c r="AFS32" s="214"/>
      <c r="AFT32" s="214"/>
      <c r="AFU32" s="214"/>
      <c r="AFV32" s="214"/>
      <c r="AFW32" s="214"/>
      <c r="AFX32" s="214"/>
      <c r="AFY32" s="214"/>
      <c r="AFZ32" s="214"/>
      <c r="AGA32" s="214"/>
      <c r="AGB32" s="214"/>
      <c r="AGC32" s="214"/>
      <c r="AGD32" s="214"/>
      <c r="AGE32" s="214"/>
      <c r="AGF32" s="214"/>
      <c r="AGG32" s="214"/>
      <c r="AGH32" s="214"/>
      <c r="AGI32" s="214"/>
      <c r="AGJ32" s="214"/>
      <c r="AGK32" s="214"/>
      <c r="AGL32" s="214"/>
      <c r="AGM32" s="214"/>
      <c r="AGN32" s="214"/>
      <c r="AGO32" s="214"/>
      <c r="AGP32" s="214"/>
      <c r="AGQ32" s="214"/>
      <c r="AGR32" s="214"/>
      <c r="AGS32" s="214"/>
      <c r="AGT32" s="214"/>
      <c r="AGU32" s="214"/>
      <c r="AGV32" s="214"/>
      <c r="AGW32" s="214"/>
      <c r="AGX32" s="214"/>
      <c r="AGY32" s="214"/>
      <c r="AGZ32" s="214"/>
      <c r="AHA32" s="214"/>
      <c r="AHB32" s="214"/>
      <c r="AHC32" s="214"/>
      <c r="AHD32" s="214"/>
      <c r="AHE32" s="214"/>
      <c r="AHF32" s="214"/>
      <c r="AHG32" s="214"/>
      <c r="AHH32" s="214"/>
      <c r="AHI32" s="214"/>
      <c r="AHJ32" s="214"/>
      <c r="AHK32" s="214"/>
      <c r="AHL32" s="214"/>
      <c r="AHM32" s="214"/>
      <c r="AHN32" s="214"/>
      <c r="AHO32" s="214"/>
      <c r="AHP32" s="214"/>
      <c r="AHQ32" s="214"/>
      <c r="AHR32" s="214"/>
      <c r="AHS32" s="214"/>
      <c r="AHT32" s="214"/>
      <c r="AHU32" s="214"/>
      <c r="AHV32" s="214"/>
      <c r="AHW32" s="214"/>
      <c r="AHX32" s="214"/>
      <c r="AHY32" s="214"/>
      <c r="AHZ32" s="214"/>
      <c r="AIA32" s="214"/>
      <c r="AIB32" s="214"/>
      <c r="AIC32" s="214"/>
      <c r="AID32" s="214"/>
      <c r="AIE32" s="214"/>
      <c r="AIF32" s="214"/>
      <c r="AIG32" s="214"/>
      <c r="AIH32" s="214"/>
      <c r="AII32" s="214"/>
      <c r="AIJ32" s="214"/>
      <c r="AIK32" s="214"/>
      <c r="AIL32" s="214"/>
      <c r="AIM32" s="214"/>
      <c r="AIN32" s="214"/>
      <c r="AIO32" s="214"/>
      <c r="AIP32" s="214"/>
      <c r="AIQ32" s="214"/>
      <c r="AIR32" s="214"/>
      <c r="AIS32" s="214"/>
      <c r="AIT32" s="214"/>
      <c r="AIU32" s="214"/>
      <c r="AIV32" s="214"/>
      <c r="AIW32" s="214"/>
      <c r="AIX32" s="214"/>
      <c r="AIY32" s="214"/>
      <c r="AIZ32" s="214"/>
      <c r="AJA32" s="214"/>
      <c r="AJB32" s="214"/>
      <c r="AJC32" s="214"/>
      <c r="AJD32" s="214"/>
      <c r="AJE32" s="214"/>
      <c r="AJF32" s="214"/>
      <c r="AJG32" s="214"/>
      <c r="AJH32" s="214"/>
      <c r="AJI32" s="214"/>
      <c r="AJJ32" s="214"/>
      <c r="AJK32" s="214"/>
      <c r="AJL32" s="214"/>
      <c r="AJM32" s="214"/>
      <c r="AJN32" s="214"/>
      <c r="AJO32" s="214"/>
      <c r="AJP32" s="214"/>
      <c r="AJQ32" s="214"/>
      <c r="AJR32" s="214"/>
      <c r="AJS32" s="214"/>
      <c r="AJT32" s="214"/>
      <c r="AJU32" s="214"/>
      <c r="AJV32" s="214"/>
      <c r="AJW32" s="214"/>
      <c r="AJX32" s="214"/>
      <c r="AJY32" s="214"/>
      <c r="AJZ32" s="214"/>
      <c r="AKA32" s="214"/>
      <c r="AKB32" s="214"/>
      <c r="AKC32" s="214"/>
      <c r="AKD32" s="214"/>
      <c r="AKE32" s="214"/>
      <c r="AKF32" s="214"/>
      <c r="AKG32" s="214"/>
      <c r="AKH32" s="214"/>
      <c r="AKI32" s="214"/>
      <c r="AKJ32" s="214"/>
      <c r="AKK32" s="214"/>
      <c r="AKL32" s="214"/>
      <c r="AKM32" s="214"/>
      <c r="AKN32" s="214"/>
      <c r="AKO32" s="214"/>
      <c r="AKP32" s="214"/>
      <c r="AKQ32" s="214"/>
      <c r="AKR32" s="214"/>
      <c r="AKS32" s="214"/>
      <c r="AKT32" s="214"/>
      <c r="AKU32" s="214"/>
      <c r="AKV32" s="214"/>
      <c r="AKW32" s="214"/>
      <c r="AKX32" s="214"/>
      <c r="AKY32" s="214"/>
      <c r="AKZ32" s="214"/>
      <c r="ALA32" s="214"/>
      <c r="ALB32" s="214"/>
      <c r="ALC32" s="214"/>
      <c r="ALD32" s="214"/>
      <c r="ALE32" s="214"/>
      <c r="ALF32" s="214"/>
      <c r="ALG32" s="214"/>
      <c r="ALH32" s="214"/>
      <c r="ALI32" s="214"/>
      <c r="ALJ32" s="214"/>
      <c r="ALK32" s="214"/>
      <c r="ALL32" s="214"/>
      <c r="ALM32" s="214"/>
      <c r="ALN32" s="214"/>
      <c r="ALO32" s="214"/>
      <c r="ALP32" s="214"/>
      <c r="ALQ32" s="214"/>
      <c r="ALR32" s="214"/>
      <c r="ALS32" s="214"/>
      <c r="ALT32" s="214"/>
      <c r="ALU32" s="214"/>
      <c r="ALV32" s="214"/>
      <c r="ALW32" s="214"/>
      <c r="ALX32" s="214"/>
      <c r="ALY32" s="214"/>
      <c r="ALZ32" s="214"/>
      <c r="AMA32" s="214"/>
      <c r="AMB32" s="214"/>
      <c r="AMC32" s="214"/>
      <c r="AMD32" s="214"/>
      <c r="AME32" s="214"/>
      <c r="AMF32" s="214"/>
      <c r="AMG32" s="214"/>
      <c r="AMH32" s="214"/>
      <c r="AMI32" s="214"/>
      <c r="AMJ32" s="214"/>
      <c r="AMK32" s="214"/>
      <c r="AML32" s="214"/>
      <c r="AMM32" s="214"/>
      <c r="AMN32" s="214"/>
      <c r="AMO32" s="214"/>
      <c r="AMP32" s="214"/>
      <c r="AMQ32" s="214"/>
      <c r="AMR32" s="214"/>
      <c r="AMS32" s="214"/>
      <c r="AMT32" s="214"/>
      <c r="AMU32" s="214"/>
      <c r="AMV32" s="214"/>
      <c r="AMW32" s="214"/>
      <c r="AMX32" s="214"/>
      <c r="AMY32" s="214"/>
      <c r="AMZ32" s="214"/>
      <c r="ANA32" s="214"/>
      <c r="ANB32" s="214"/>
      <c r="ANC32" s="214"/>
      <c r="AND32" s="214"/>
      <c r="ANE32" s="214"/>
      <c r="ANF32" s="214"/>
      <c r="ANG32" s="214"/>
      <c r="ANH32" s="214"/>
      <c r="ANI32" s="214"/>
      <c r="ANJ32" s="214"/>
      <c r="ANK32" s="214"/>
      <c r="ANL32" s="214"/>
      <c r="ANM32" s="214"/>
      <c r="ANN32" s="214"/>
      <c r="ANO32" s="214"/>
      <c r="ANP32" s="214"/>
      <c r="ANQ32" s="214"/>
      <c r="ANR32" s="214"/>
      <c r="ANS32" s="214"/>
      <c r="ANT32" s="214"/>
      <c r="ANU32" s="214"/>
      <c r="ANV32" s="214"/>
      <c r="ANW32" s="214"/>
      <c r="ANX32" s="214"/>
      <c r="ANY32" s="214"/>
      <c r="ANZ32" s="214"/>
      <c r="AOA32" s="214"/>
      <c r="AOB32" s="214"/>
      <c r="AOC32" s="214"/>
      <c r="AOD32" s="214"/>
      <c r="AOE32" s="214"/>
      <c r="AOF32" s="214"/>
      <c r="AOG32" s="214"/>
      <c r="AOH32" s="214"/>
      <c r="AOI32" s="214"/>
      <c r="AOJ32" s="214"/>
      <c r="AOK32" s="214"/>
      <c r="AOL32" s="214"/>
      <c r="AOM32" s="214"/>
      <c r="AON32" s="214"/>
      <c r="AOO32" s="214"/>
      <c r="AOP32" s="214"/>
      <c r="AOQ32" s="214"/>
      <c r="AOR32" s="214"/>
      <c r="AOS32" s="214"/>
      <c r="AOT32" s="214"/>
      <c r="AOU32" s="214"/>
      <c r="AOV32" s="214"/>
      <c r="AOW32" s="214"/>
      <c r="AOX32" s="214"/>
      <c r="AOY32" s="214"/>
      <c r="AOZ32" s="214"/>
      <c r="APA32" s="214"/>
      <c r="APB32" s="214"/>
      <c r="APC32" s="214"/>
      <c r="APD32" s="214"/>
      <c r="APE32" s="214"/>
      <c r="APF32" s="214"/>
      <c r="APG32" s="214"/>
      <c r="APH32" s="214"/>
      <c r="API32" s="214"/>
      <c r="APJ32" s="214"/>
      <c r="APK32" s="214"/>
      <c r="APL32" s="214"/>
      <c r="APM32" s="214"/>
      <c r="APN32" s="214"/>
      <c r="APO32" s="214"/>
      <c r="APP32" s="214"/>
      <c r="APQ32" s="214"/>
      <c r="APR32" s="214"/>
      <c r="APS32" s="214"/>
      <c r="APT32" s="214"/>
      <c r="APU32" s="214"/>
      <c r="APV32" s="214"/>
      <c r="APW32" s="214"/>
      <c r="APX32" s="214"/>
      <c r="APY32" s="214"/>
      <c r="APZ32" s="214"/>
      <c r="AQA32" s="214"/>
      <c r="AQB32" s="214"/>
      <c r="AQC32" s="214"/>
      <c r="AQD32" s="214"/>
      <c r="AQE32" s="214"/>
      <c r="AQF32" s="214"/>
      <c r="AQG32" s="214"/>
      <c r="AQH32" s="214"/>
      <c r="AQI32" s="214"/>
      <c r="AQJ32" s="214"/>
      <c r="AQK32" s="214"/>
      <c r="AQL32" s="214"/>
      <c r="AQM32" s="214"/>
      <c r="AQN32" s="214"/>
      <c r="AQO32" s="214"/>
      <c r="AQP32" s="214"/>
      <c r="AQQ32" s="214"/>
      <c r="AQR32" s="214"/>
      <c r="AQS32" s="214"/>
      <c r="AQT32" s="214"/>
      <c r="AQU32" s="214"/>
      <c r="AQV32" s="214"/>
      <c r="AQW32" s="214"/>
      <c r="AQX32" s="214"/>
      <c r="AQY32" s="214"/>
      <c r="AQZ32" s="214"/>
      <c r="ARA32" s="214"/>
      <c r="ARB32" s="214"/>
      <c r="ARC32" s="214"/>
      <c r="ARD32" s="214"/>
      <c r="ARE32" s="214"/>
      <c r="ARF32" s="214"/>
      <c r="ARG32" s="214"/>
      <c r="ARH32" s="214"/>
      <c r="ARI32" s="214"/>
      <c r="ARJ32" s="214"/>
      <c r="ARK32" s="214"/>
      <c r="ARL32" s="214"/>
      <c r="ARM32" s="214"/>
      <c r="ARN32" s="214"/>
      <c r="ARO32" s="214"/>
      <c r="ARP32" s="214"/>
      <c r="ARQ32" s="214"/>
      <c r="ARR32" s="214"/>
      <c r="ARS32" s="214"/>
      <c r="ART32" s="214"/>
      <c r="ARU32" s="214"/>
      <c r="ARV32" s="214"/>
      <c r="ARW32" s="214"/>
      <c r="ARX32" s="214"/>
      <c r="ARY32" s="214"/>
      <c r="ARZ32" s="214"/>
      <c r="ASA32" s="214"/>
      <c r="ASB32" s="214"/>
      <c r="ASC32" s="214"/>
      <c r="ASD32" s="214"/>
      <c r="ASE32" s="214"/>
      <c r="ASF32" s="214"/>
      <c r="ASG32" s="214"/>
      <c r="ASH32" s="214"/>
      <c r="ASI32" s="214"/>
      <c r="ASJ32" s="214"/>
      <c r="ASK32" s="214"/>
      <c r="ASL32" s="214"/>
      <c r="ASM32" s="214"/>
      <c r="ASN32" s="214"/>
      <c r="ASO32" s="214"/>
      <c r="ASP32" s="214"/>
      <c r="ASQ32" s="214"/>
      <c r="ASR32" s="214"/>
      <c r="ASS32" s="214"/>
      <c r="AST32" s="214"/>
      <c r="ASU32" s="214"/>
      <c r="ASV32" s="214"/>
      <c r="ASW32" s="214"/>
      <c r="ASX32" s="214"/>
      <c r="ASY32" s="214"/>
      <c r="ASZ32" s="214"/>
      <c r="ATA32" s="214"/>
      <c r="ATB32" s="214"/>
      <c r="ATC32" s="214"/>
      <c r="ATD32" s="214"/>
      <c r="ATE32" s="214"/>
      <c r="ATF32" s="214"/>
      <c r="ATG32" s="214"/>
      <c r="ATH32" s="214"/>
      <c r="ATI32" s="214"/>
      <c r="ATJ32" s="214"/>
      <c r="ATK32" s="214"/>
      <c r="ATL32" s="214"/>
      <c r="ATM32" s="214"/>
      <c r="ATN32" s="214"/>
      <c r="ATO32" s="214"/>
      <c r="ATP32" s="214"/>
      <c r="ATQ32" s="214"/>
      <c r="ATR32" s="214"/>
      <c r="ATS32" s="214"/>
      <c r="ATT32" s="214"/>
      <c r="ATU32" s="214"/>
      <c r="ATV32" s="214"/>
      <c r="ATW32" s="214"/>
      <c r="ATX32" s="214"/>
      <c r="ATY32" s="214"/>
      <c r="ATZ32" s="214"/>
      <c r="AUA32" s="214"/>
      <c r="AUB32" s="214"/>
      <c r="AUC32" s="214"/>
      <c r="AUD32" s="214"/>
      <c r="AUE32" s="214"/>
      <c r="AUF32" s="214"/>
      <c r="AUG32" s="214"/>
      <c r="AUH32" s="214"/>
      <c r="AUI32" s="214"/>
      <c r="AUJ32" s="214"/>
      <c r="AUK32" s="214"/>
      <c r="AUL32" s="214"/>
      <c r="AUM32" s="214"/>
      <c r="AUN32" s="214"/>
      <c r="AUO32" s="214"/>
      <c r="AUP32" s="214"/>
      <c r="AUQ32" s="214"/>
      <c r="AUR32" s="214"/>
      <c r="AUS32" s="214"/>
      <c r="AUT32" s="214"/>
      <c r="AUU32" s="214"/>
      <c r="AUV32" s="214"/>
      <c r="AUW32" s="214"/>
      <c r="AUX32" s="214"/>
      <c r="AUY32" s="214"/>
      <c r="AUZ32" s="214"/>
      <c r="AVA32" s="214"/>
      <c r="AVB32" s="214"/>
      <c r="AVC32" s="214"/>
      <c r="AVD32" s="214"/>
      <c r="AVE32" s="214"/>
      <c r="AVF32" s="214"/>
      <c r="AVG32" s="214"/>
      <c r="AVH32" s="214"/>
      <c r="AVI32" s="214"/>
      <c r="AVJ32" s="214"/>
      <c r="AVK32" s="214"/>
      <c r="AVL32" s="214"/>
      <c r="AVM32" s="214"/>
      <c r="AVN32" s="214"/>
      <c r="AVO32" s="214"/>
      <c r="AVP32" s="214"/>
      <c r="AVQ32" s="214"/>
      <c r="AVR32" s="214"/>
      <c r="AVS32" s="214"/>
      <c r="AVT32" s="214"/>
      <c r="AVU32" s="214"/>
      <c r="AVV32" s="214"/>
      <c r="AVW32" s="214"/>
      <c r="AVX32" s="214"/>
      <c r="AVY32" s="214"/>
      <c r="AVZ32" s="214"/>
      <c r="AWA32" s="214"/>
      <c r="AWB32" s="214"/>
      <c r="AWC32" s="214"/>
      <c r="AWD32" s="214"/>
      <c r="AWE32" s="214"/>
      <c r="AWF32" s="214"/>
      <c r="AWG32" s="214"/>
      <c r="AWH32" s="214"/>
      <c r="AWI32" s="214"/>
      <c r="AWJ32" s="214"/>
      <c r="AWK32" s="214"/>
      <c r="AWL32" s="214"/>
      <c r="AWM32" s="214"/>
      <c r="AWN32" s="214"/>
      <c r="AWO32" s="214"/>
      <c r="AWP32" s="214"/>
      <c r="AWQ32" s="214"/>
      <c r="AWR32" s="214"/>
      <c r="AWS32" s="214"/>
      <c r="AWT32" s="214"/>
      <c r="AWU32" s="214"/>
      <c r="AWV32" s="214"/>
      <c r="AWW32" s="214"/>
      <c r="AWX32" s="214"/>
      <c r="AWY32" s="214"/>
      <c r="AWZ32" s="214"/>
      <c r="AXA32" s="214"/>
      <c r="AXB32" s="214"/>
      <c r="AXC32" s="214"/>
      <c r="AXD32" s="214"/>
      <c r="AXE32" s="214"/>
      <c r="AXF32" s="214"/>
      <c r="AXG32" s="214"/>
      <c r="AXH32" s="214"/>
      <c r="AXI32" s="214"/>
      <c r="AXJ32" s="214"/>
      <c r="AXK32" s="214"/>
      <c r="AXL32" s="214"/>
      <c r="AXM32" s="214"/>
      <c r="AXN32" s="214"/>
      <c r="AXO32" s="214"/>
      <c r="AXP32" s="214"/>
      <c r="AXQ32" s="214"/>
      <c r="AXR32" s="214"/>
      <c r="AXS32" s="214"/>
      <c r="AXT32" s="214"/>
      <c r="AXU32" s="214"/>
      <c r="AXV32" s="214"/>
      <c r="AXW32" s="214"/>
      <c r="AXX32" s="214"/>
      <c r="AXY32" s="214"/>
      <c r="AXZ32" s="214"/>
      <c r="AYA32" s="214"/>
      <c r="AYB32" s="214"/>
      <c r="AYC32" s="214"/>
      <c r="AYD32" s="214"/>
      <c r="AYE32" s="214"/>
      <c r="AYF32" s="214"/>
      <c r="AYG32" s="214"/>
      <c r="AYH32" s="214"/>
      <c r="AYI32" s="214"/>
      <c r="AYJ32" s="214"/>
      <c r="AYK32" s="214"/>
      <c r="AYL32" s="214"/>
      <c r="AYM32" s="214"/>
      <c r="AYN32" s="214"/>
      <c r="AYO32" s="214"/>
      <c r="AYP32" s="214"/>
      <c r="AYQ32" s="214"/>
      <c r="AYR32" s="214"/>
      <c r="AYS32" s="214"/>
      <c r="AYT32" s="214"/>
      <c r="AYU32" s="214"/>
      <c r="AYV32" s="214"/>
      <c r="AYW32" s="214"/>
      <c r="AYX32" s="214"/>
      <c r="AYY32" s="214"/>
      <c r="AYZ32" s="214"/>
      <c r="AZA32" s="214"/>
      <c r="AZB32" s="214"/>
      <c r="AZC32" s="214"/>
      <c r="AZD32" s="214"/>
      <c r="AZE32" s="214"/>
      <c r="AZF32" s="214"/>
      <c r="AZG32" s="214"/>
      <c r="AZH32" s="214"/>
      <c r="AZI32" s="214"/>
      <c r="AZJ32" s="214"/>
      <c r="AZK32" s="214"/>
      <c r="AZL32" s="214"/>
      <c r="AZM32" s="214"/>
      <c r="AZN32" s="214"/>
      <c r="AZO32" s="214"/>
      <c r="AZP32" s="214"/>
      <c r="AZQ32" s="214"/>
      <c r="AZR32" s="214"/>
      <c r="AZS32" s="214"/>
      <c r="AZT32" s="214"/>
      <c r="AZU32" s="214"/>
      <c r="AZV32" s="214"/>
      <c r="AZW32" s="214"/>
      <c r="AZX32" s="214"/>
      <c r="AZY32" s="214"/>
      <c r="AZZ32" s="214"/>
      <c r="BAA32" s="214"/>
      <c r="BAB32" s="214"/>
      <c r="BAC32" s="214"/>
      <c r="BAD32" s="214"/>
      <c r="BAE32" s="214"/>
      <c r="BAF32" s="214"/>
      <c r="BAG32" s="214"/>
      <c r="BAH32" s="214"/>
      <c r="BAI32" s="214"/>
      <c r="BAJ32" s="214"/>
      <c r="BAK32" s="214"/>
      <c r="BAL32" s="214"/>
      <c r="BAM32" s="214"/>
      <c r="BAN32" s="214"/>
      <c r="BAO32" s="214"/>
      <c r="BAP32" s="214"/>
      <c r="BAQ32" s="214"/>
      <c r="BAR32" s="214"/>
      <c r="BAS32" s="214"/>
      <c r="BAT32" s="214"/>
      <c r="BAU32" s="214"/>
      <c r="BAV32" s="214"/>
      <c r="BAW32" s="214"/>
      <c r="BAX32" s="214"/>
      <c r="BAY32" s="214"/>
      <c r="BAZ32" s="214"/>
      <c r="BBA32" s="214"/>
      <c r="BBB32" s="214"/>
      <c r="BBC32" s="214"/>
      <c r="BBD32" s="214"/>
      <c r="BBE32" s="214"/>
      <c r="BBF32" s="214"/>
      <c r="BBG32" s="214"/>
      <c r="BBH32" s="214"/>
      <c r="BBI32" s="214"/>
      <c r="BBJ32" s="214"/>
      <c r="BBK32" s="214"/>
      <c r="BBL32" s="214"/>
      <c r="BBM32" s="214"/>
      <c r="BBN32" s="214"/>
      <c r="BBO32" s="214"/>
      <c r="BBP32" s="214"/>
      <c r="BBQ32" s="214"/>
      <c r="BBR32" s="214"/>
      <c r="BBS32" s="214"/>
      <c r="BBT32" s="214"/>
      <c r="BBU32" s="214"/>
      <c r="BBV32" s="214"/>
      <c r="BBW32" s="214"/>
      <c r="BBX32" s="214"/>
      <c r="BBY32" s="214"/>
      <c r="BBZ32" s="214"/>
      <c r="BCA32" s="214"/>
      <c r="BCB32" s="214"/>
      <c r="BCC32" s="214"/>
      <c r="BCD32" s="214"/>
      <c r="BCE32" s="214"/>
      <c r="BCF32" s="214"/>
      <c r="BCG32" s="214"/>
      <c r="BCH32" s="214"/>
      <c r="BCI32" s="214"/>
      <c r="BCJ32" s="214"/>
      <c r="BCK32" s="214"/>
      <c r="BCL32" s="214"/>
      <c r="BCM32" s="214"/>
      <c r="BCN32" s="214"/>
      <c r="BCO32" s="214"/>
      <c r="BCP32" s="214"/>
      <c r="BCQ32" s="214"/>
      <c r="BCR32" s="214"/>
      <c r="BCS32" s="214"/>
      <c r="BCT32" s="214"/>
      <c r="BCU32" s="214"/>
      <c r="BCV32" s="214"/>
      <c r="BCW32" s="214"/>
      <c r="BCX32" s="214"/>
      <c r="BCY32" s="214"/>
      <c r="BCZ32" s="214"/>
      <c r="BDA32" s="214"/>
      <c r="BDB32" s="214"/>
      <c r="BDC32" s="214"/>
      <c r="BDD32" s="214"/>
      <c r="BDE32" s="214"/>
      <c r="BDF32" s="214"/>
      <c r="BDG32" s="214"/>
      <c r="BDH32" s="214"/>
      <c r="BDI32" s="214"/>
      <c r="BDJ32" s="214"/>
      <c r="BDK32" s="214"/>
      <c r="BDL32" s="214"/>
      <c r="BDM32" s="214"/>
      <c r="BDN32" s="214"/>
      <c r="BDO32" s="214"/>
      <c r="BDP32" s="214"/>
      <c r="BDQ32" s="214"/>
      <c r="BDR32" s="214"/>
      <c r="BDS32" s="214"/>
      <c r="BDT32" s="214"/>
      <c r="BDU32" s="214"/>
      <c r="BDV32" s="214"/>
      <c r="BDW32" s="214"/>
      <c r="BDX32" s="214"/>
      <c r="BDY32" s="214"/>
      <c r="BDZ32" s="214"/>
      <c r="BEA32" s="214"/>
      <c r="BEB32" s="214"/>
      <c r="BEC32" s="214"/>
      <c r="BED32" s="214"/>
      <c r="BEE32" s="214"/>
      <c r="BEF32" s="214"/>
      <c r="BEG32" s="214"/>
      <c r="BEH32" s="214"/>
      <c r="BEI32" s="214"/>
      <c r="BEJ32" s="214"/>
      <c r="BEK32" s="214"/>
      <c r="BEL32" s="214"/>
      <c r="BEM32" s="214"/>
      <c r="BEN32" s="214"/>
      <c r="BEO32" s="214"/>
      <c r="BEP32" s="214"/>
      <c r="BEQ32" s="214"/>
      <c r="BER32" s="214"/>
      <c r="BES32" s="214"/>
      <c r="BET32" s="214"/>
      <c r="BEU32" s="214"/>
      <c r="BEV32" s="214"/>
      <c r="BEW32" s="214"/>
      <c r="BEX32" s="214"/>
      <c r="BEY32" s="214"/>
      <c r="BEZ32" s="214"/>
      <c r="BFA32" s="214"/>
      <c r="BFB32" s="214"/>
      <c r="BFC32" s="214"/>
      <c r="BFD32" s="214"/>
      <c r="BFE32" s="214"/>
      <c r="BFF32" s="214"/>
      <c r="BFG32" s="214"/>
      <c r="BFH32" s="214"/>
      <c r="BFI32" s="214"/>
      <c r="BFJ32" s="214"/>
      <c r="BFK32" s="214"/>
      <c r="BFL32" s="214"/>
      <c r="BFM32" s="214"/>
      <c r="BFN32" s="214"/>
      <c r="BFO32" s="214"/>
      <c r="BFP32" s="214"/>
      <c r="BFQ32" s="214"/>
      <c r="BFR32" s="214"/>
      <c r="BFS32" s="214"/>
      <c r="BFT32" s="214"/>
      <c r="BFU32" s="214"/>
      <c r="BFV32" s="214"/>
      <c r="BFW32" s="214"/>
      <c r="BFX32" s="214"/>
      <c r="BFY32" s="214"/>
      <c r="BFZ32" s="214"/>
      <c r="BGA32" s="214"/>
      <c r="BGB32" s="214"/>
      <c r="BGC32" s="214"/>
      <c r="BGD32" s="214"/>
      <c r="BGE32" s="214"/>
      <c r="BGF32" s="214"/>
      <c r="BGG32" s="214"/>
      <c r="BGH32" s="214"/>
      <c r="BGI32" s="214"/>
      <c r="BGJ32" s="214"/>
      <c r="BGK32" s="214"/>
      <c r="BGL32" s="214"/>
      <c r="BGM32" s="214"/>
      <c r="BGN32" s="214"/>
      <c r="BGO32" s="214"/>
      <c r="BGP32" s="214"/>
      <c r="BGQ32" s="214"/>
      <c r="BGR32" s="214"/>
      <c r="BGS32" s="214"/>
      <c r="BGT32" s="214"/>
      <c r="BGU32" s="214"/>
      <c r="BGV32" s="214"/>
      <c r="BGW32" s="214"/>
      <c r="BGX32" s="214"/>
      <c r="BGY32" s="214"/>
      <c r="BGZ32" s="214"/>
      <c r="BHA32" s="214"/>
      <c r="BHB32" s="214"/>
      <c r="BHC32" s="214"/>
      <c r="BHD32" s="214"/>
      <c r="BHE32" s="214"/>
      <c r="BHF32" s="214"/>
      <c r="BHG32" s="214"/>
      <c r="BHH32" s="214"/>
      <c r="BHI32" s="214"/>
      <c r="BHJ32" s="214"/>
      <c r="BHK32" s="214"/>
      <c r="BHL32" s="214"/>
      <c r="BHM32" s="214"/>
      <c r="BHN32" s="214"/>
      <c r="BHO32" s="214"/>
      <c r="BHP32" s="214"/>
      <c r="BHQ32" s="214"/>
      <c r="BHR32" s="214"/>
      <c r="BHS32" s="214"/>
      <c r="BHT32" s="214"/>
      <c r="BHU32" s="214"/>
      <c r="BHV32" s="214"/>
      <c r="BHW32" s="214"/>
    </row>
    <row r="33" spans="1:1583" s="217" customFormat="1">
      <c r="A33" s="252"/>
      <c r="B33" s="188"/>
      <c r="C33" s="188"/>
      <c r="D33" s="188" t="s">
        <v>586</v>
      </c>
      <c r="E33" s="59" t="s">
        <v>9</v>
      </c>
      <c r="F33" s="132">
        <v>220</v>
      </c>
      <c r="G33" s="60" t="s">
        <v>687</v>
      </c>
      <c r="H33" s="473">
        <f>SUM(I33:AN33)</f>
        <v>0</v>
      </c>
      <c r="I33" s="96">
        <f>I32*2.01568*24/(22.414*1000)</f>
        <v>0</v>
      </c>
      <c r="J33" s="437"/>
      <c r="K33" s="96">
        <f t="shared" ref="K33:AN33" si="14">K32*2.01568*24/(22.414*1000)</f>
        <v>0</v>
      </c>
      <c r="L33" s="96">
        <f t="shared" si="14"/>
        <v>0</v>
      </c>
      <c r="M33" s="96">
        <f t="shared" si="14"/>
        <v>0</v>
      </c>
      <c r="N33" s="96">
        <f t="shared" si="14"/>
        <v>0</v>
      </c>
      <c r="O33" s="96">
        <f t="shared" si="14"/>
        <v>0</v>
      </c>
      <c r="P33" s="96">
        <f t="shared" si="14"/>
        <v>0</v>
      </c>
      <c r="Q33" s="96">
        <f t="shared" si="14"/>
        <v>0</v>
      </c>
      <c r="R33" s="96">
        <f t="shared" si="14"/>
        <v>0</v>
      </c>
      <c r="S33" s="96">
        <f t="shared" si="14"/>
        <v>0</v>
      </c>
      <c r="T33" s="96">
        <f t="shared" si="14"/>
        <v>0</v>
      </c>
      <c r="U33" s="96">
        <f t="shared" si="14"/>
        <v>0</v>
      </c>
      <c r="V33" s="96">
        <f t="shared" si="14"/>
        <v>0</v>
      </c>
      <c r="W33" s="96">
        <f t="shared" si="14"/>
        <v>0</v>
      </c>
      <c r="X33" s="96">
        <f t="shared" si="14"/>
        <v>0</v>
      </c>
      <c r="Y33" s="96">
        <f t="shared" si="14"/>
        <v>0</v>
      </c>
      <c r="Z33" s="96">
        <f t="shared" si="14"/>
        <v>0</v>
      </c>
      <c r="AA33" s="96">
        <f t="shared" si="14"/>
        <v>0</v>
      </c>
      <c r="AB33" s="96">
        <f t="shared" si="14"/>
        <v>0</v>
      </c>
      <c r="AC33" s="96">
        <f t="shared" si="14"/>
        <v>0</v>
      </c>
      <c r="AD33" s="96">
        <f t="shared" si="14"/>
        <v>0</v>
      </c>
      <c r="AE33" s="96">
        <f t="shared" si="14"/>
        <v>0</v>
      </c>
      <c r="AF33" s="96">
        <f t="shared" si="14"/>
        <v>0</v>
      </c>
      <c r="AG33" s="96">
        <f t="shared" si="14"/>
        <v>0</v>
      </c>
      <c r="AH33" s="96">
        <f t="shared" si="14"/>
        <v>0</v>
      </c>
      <c r="AI33" s="96">
        <f t="shared" si="14"/>
        <v>0</v>
      </c>
      <c r="AJ33" s="96">
        <f t="shared" si="14"/>
        <v>0</v>
      </c>
      <c r="AK33" s="96">
        <f t="shared" si="14"/>
        <v>0</v>
      </c>
      <c r="AL33" s="96">
        <f t="shared" si="14"/>
        <v>0</v>
      </c>
      <c r="AM33" s="96">
        <f t="shared" si="14"/>
        <v>0</v>
      </c>
      <c r="AN33" s="96">
        <f t="shared" si="14"/>
        <v>0</v>
      </c>
      <c r="AO33" s="214"/>
      <c r="AP33" s="214"/>
      <c r="AQ33" s="214"/>
      <c r="AR33" s="214"/>
      <c r="AS33" s="214"/>
      <c r="AT33" s="214"/>
      <c r="AU33" s="214"/>
      <c r="AV33" s="214"/>
      <c r="AW33" s="214"/>
      <c r="AX33" s="214"/>
      <c r="AY33" s="214"/>
      <c r="AZ33" s="214"/>
      <c r="BA33" s="214"/>
      <c r="BB33" s="214"/>
      <c r="BC33" s="214"/>
      <c r="BD33" s="214"/>
      <c r="BE33" s="214"/>
      <c r="BF33" s="214"/>
      <c r="BG33" s="214"/>
      <c r="BH33" s="214"/>
      <c r="BI33" s="214"/>
      <c r="BJ33" s="214"/>
      <c r="BK33" s="214"/>
      <c r="BL33" s="214"/>
      <c r="BM33" s="214"/>
      <c r="BN33" s="214"/>
      <c r="BO33" s="214"/>
      <c r="BP33" s="214"/>
      <c r="BQ33" s="214"/>
      <c r="BR33" s="214"/>
      <c r="BS33" s="214"/>
      <c r="BT33" s="214"/>
      <c r="BU33" s="214"/>
      <c r="BV33" s="214"/>
      <c r="BW33" s="214"/>
      <c r="BX33" s="214"/>
      <c r="BY33" s="214"/>
      <c r="BZ33" s="214"/>
      <c r="CA33" s="214"/>
      <c r="CB33" s="214"/>
      <c r="CC33" s="214"/>
      <c r="CD33" s="214"/>
      <c r="CE33" s="214"/>
      <c r="CF33" s="214"/>
      <c r="CG33" s="214"/>
      <c r="CH33" s="214"/>
      <c r="CI33" s="214"/>
      <c r="CJ33" s="214"/>
      <c r="CK33" s="214"/>
      <c r="CL33" s="214"/>
      <c r="CM33" s="214"/>
      <c r="CN33" s="214"/>
      <c r="CO33" s="214"/>
      <c r="CP33" s="214"/>
      <c r="CQ33" s="214"/>
      <c r="CR33" s="214"/>
      <c r="CS33" s="214"/>
      <c r="CT33" s="214"/>
      <c r="CU33" s="214"/>
      <c r="CV33" s="214"/>
      <c r="CW33" s="214"/>
      <c r="CX33" s="214"/>
      <c r="CY33" s="214"/>
      <c r="CZ33" s="214"/>
      <c r="DA33" s="214"/>
      <c r="DB33" s="214"/>
      <c r="DC33" s="214"/>
      <c r="DD33" s="214"/>
      <c r="DE33" s="214"/>
      <c r="DF33" s="214"/>
      <c r="DG33" s="214"/>
      <c r="DH33" s="214"/>
      <c r="DI33" s="214"/>
      <c r="DJ33" s="214"/>
      <c r="DK33" s="214"/>
      <c r="DL33" s="214"/>
      <c r="DM33" s="214"/>
      <c r="DN33" s="214"/>
      <c r="DO33" s="214"/>
      <c r="DP33" s="214"/>
      <c r="DQ33" s="214"/>
      <c r="DR33" s="214"/>
      <c r="DS33" s="214"/>
      <c r="DT33" s="214"/>
      <c r="DU33" s="214"/>
      <c r="DV33" s="214"/>
      <c r="DW33" s="214"/>
      <c r="DX33" s="214"/>
      <c r="DY33" s="214"/>
      <c r="DZ33" s="214"/>
      <c r="EA33" s="214"/>
      <c r="EB33" s="214"/>
      <c r="EC33" s="214"/>
      <c r="ED33" s="214"/>
      <c r="EE33" s="214"/>
      <c r="EF33" s="214"/>
      <c r="EG33" s="214"/>
      <c r="EH33" s="214"/>
      <c r="EI33" s="214"/>
      <c r="EJ33" s="214"/>
      <c r="EK33" s="214"/>
      <c r="EL33" s="214"/>
      <c r="EM33" s="214"/>
      <c r="EN33" s="214"/>
      <c r="EO33" s="214"/>
      <c r="EP33" s="214"/>
      <c r="EQ33" s="214"/>
      <c r="ER33" s="214"/>
      <c r="ES33" s="214"/>
      <c r="ET33" s="214"/>
      <c r="EU33" s="214"/>
      <c r="EV33" s="214"/>
      <c r="EW33" s="214"/>
      <c r="EX33" s="214"/>
      <c r="EY33" s="214"/>
      <c r="EZ33" s="214"/>
      <c r="FA33" s="214"/>
      <c r="FB33" s="214"/>
      <c r="FC33" s="214"/>
      <c r="FD33" s="214"/>
      <c r="FE33" s="214"/>
      <c r="FF33" s="214"/>
      <c r="FG33" s="214"/>
      <c r="FH33" s="214"/>
      <c r="FI33" s="214"/>
      <c r="FJ33" s="214"/>
      <c r="FK33" s="214"/>
      <c r="FL33" s="214"/>
      <c r="FM33" s="214"/>
      <c r="FN33" s="214"/>
      <c r="FO33" s="214"/>
      <c r="FP33" s="214"/>
      <c r="FQ33" s="214"/>
      <c r="FR33" s="214"/>
      <c r="FS33" s="214"/>
      <c r="FT33" s="214"/>
      <c r="FU33" s="214"/>
      <c r="FV33" s="214"/>
      <c r="FW33" s="214"/>
      <c r="FX33" s="214"/>
      <c r="FY33" s="214"/>
      <c r="FZ33" s="214"/>
      <c r="GA33" s="214"/>
      <c r="GB33" s="214"/>
      <c r="GC33" s="214"/>
      <c r="GD33" s="214"/>
      <c r="GE33" s="214"/>
      <c r="GF33" s="214"/>
      <c r="GG33" s="214"/>
      <c r="GH33" s="214"/>
      <c r="GI33" s="214"/>
      <c r="GJ33" s="214"/>
      <c r="GK33" s="214"/>
      <c r="GL33" s="214"/>
      <c r="GM33" s="214"/>
      <c r="GN33" s="214"/>
      <c r="GO33" s="214"/>
      <c r="GP33" s="214"/>
      <c r="GQ33" s="214"/>
      <c r="GR33" s="214"/>
      <c r="GS33" s="214"/>
      <c r="GT33" s="214"/>
      <c r="GU33" s="214"/>
      <c r="GV33" s="214"/>
      <c r="GW33" s="214"/>
      <c r="GX33" s="214"/>
      <c r="GY33" s="214"/>
      <c r="GZ33" s="214"/>
      <c r="HA33" s="214"/>
      <c r="HB33" s="214"/>
      <c r="HC33" s="214"/>
      <c r="HD33" s="214"/>
      <c r="HE33" s="214"/>
      <c r="HF33" s="214"/>
      <c r="HG33" s="214"/>
      <c r="HH33" s="214"/>
      <c r="HI33" s="214"/>
      <c r="HJ33" s="214"/>
      <c r="HK33" s="214"/>
      <c r="HL33" s="214"/>
      <c r="HM33" s="214"/>
      <c r="HN33" s="214"/>
      <c r="HO33" s="214"/>
      <c r="HP33" s="214"/>
      <c r="HQ33" s="214"/>
      <c r="HR33" s="214"/>
      <c r="HS33" s="214"/>
      <c r="HT33" s="214"/>
      <c r="HU33" s="214"/>
      <c r="HV33" s="214"/>
      <c r="HW33" s="214"/>
      <c r="HX33" s="214"/>
      <c r="HY33" s="214"/>
      <c r="HZ33" s="214"/>
      <c r="IA33" s="214"/>
      <c r="IB33" s="214"/>
      <c r="IC33" s="214"/>
      <c r="ID33" s="214"/>
      <c r="IE33" s="214"/>
      <c r="IF33" s="214"/>
      <c r="IG33" s="214"/>
      <c r="IH33" s="214"/>
      <c r="II33" s="214"/>
      <c r="IJ33" s="214"/>
      <c r="IK33" s="214"/>
      <c r="IL33" s="214"/>
      <c r="IM33" s="214"/>
      <c r="IN33" s="214"/>
      <c r="IO33" s="214"/>
      <c r="IP33" s="214"/>
      <c r="IQ33" s="214"/>
      <c r="IR33" s="214"/>
      <c r="IS33" s="214"/>
      <c r="IT33" s="214"/>
      <c r="IU33" s="214"/>
      <c r="IV33" s="214"/>
      <c r="IW33" s="214"/>
      <c r="IX33" s="214"/>
      <c r="IY33" s="214"/>
      <c r="IZ33" s="214"/>
      <c r="JA33" s="214"/>
      <c r="JB33" s="214"/>
      <c r="JC33" s="214"/>
      <c r="JD33" s="214"/>
      <c r="JE33" s="214"/>
      <c r="JF33" s="214"/>
      <c r="JG33" s="214"/>
      <c r="JH33" s="214"/>
      <c r="JI33" s="214"/>
      <c r="JJ33" s="214"/>
      <c r="JK33" s="214"/>
      <c r="JL33" s="214"/>
      <c r="JM33" s="214"/>
      <c r="JN33" s="214"/>
      <c r="JO33" s="214"/>
      <c r="JP33" s="214"/>
      <c r="JQ33" s="214"/>
      <c r="JR33" s="214"/>
      <c r="JS33" s="214"/>
      <c r="JT33" s="214"/>
      <c r="JU33" s="214"/>
      <c r="JV33" s="214"/>
      <c r="JW33" s="214"/>
      <c r="JX33" s="214"/>
      <c r="JY33" s="214"/>
      <c r="JZ33" s="214"/>
      <c r="KA33" s="214"/>
      <c r="KB33" s="214"/>
      <c r="KC33" s="214"/>
      <c r="KD33" s="214"/>
      <c r="KE33" s="214"/>
      <c r="KF33" s="214"/>
      <c r="KG33" s="214"/>
      <c r="KH33" s="214"/>
      <c r="KI33" s="214"/>
      <c r="KJ33" s="214"/>
      <c r="KK33" s="214"/>
      <c r="KL33" s="214"/>
      <c r="KM33" s="214"/>
      <c r="KN33" s="214"/>
      <c r="KO33" s="214"/>
      <c r="KP33" s="214"/>
      <c r="KQ33" s="214"/>
      <c r="KR33" s="214"/>
      <c r="KS33" s="214"/>
      <c r="KT33" s="214"/>
      <c r="KU33" s="214"/>
      <c r="KV33" s="214"/>
      <c r="KW33" s="214"/>
      <c r="KX33" s="214"/>
      <c r="KY33" s="214"/>
      <c r="KZ33" s="214"/>
      <c r="LA33" s="214"/>
      <c r="LB33" s="214"/>
      <c r="LC33" s="214"/>
      <c r="LD33" s="214"/>
      <c r="LE33" s="214"/>
      <c r="LF33" s="214"/>
      <c r="LG33" s="214"/>
      <c r="LH33" s="214"/>
      <c r="LI33" s="214"/>
      <c r="LJ33" s="214"/>
      <c r="LK33" s="214"/>
      <c r="LL33" s="214"/>
      <c r="LM33" s="214"/>
      <c r="LN33" s="214"/>
      <c r="LO33" s="214"/>
      <c r="LP33" s="214"/>
      <c r="LQ33" s="214"/>
      <c r="LR33" s="214"/>
      <c r="LS33" s="214"/>
      <c r="LT33" s="214"/>
      <c r="LU33" s="214"/>
      <c r="LV33" s="214"/>
      <c r="LW33" s="214"/>
      <c r="LX33" s="214"/>
      <c r="LY33" s="214"/>
      <c r="LZ33" s="214"/>
      <c r="MA33" s="214"/>
      <c r="MB33" s="214"/>
      <c r="MC33" s="214"/>
      <c r="MD33" s="214"/>
      <c r="ME33" s="214"/>
      <c r="MF33" s="214"/>
      <c r="MG33" s="214"/>
      <c r="MH33" s="214"/>
      <c r="MI33" s="214"/>
      <c r="MJ33" s="214"/>
      <c r="MK33" s="214"/>
      <c r="ML33" s="214"/>
      <c r="MM33" s="214"/>
      <c r="MN33" s="214"/>
      <c r="MO33" s="214"/>
      <c r="MP33" s="214"/>
      <c r="MQ33" s="214"/>
      <c r="MR33" s="214"/>
      <c r="MS33" s="214"/>
      <c r="MT33" s="214"/>
      <c r="MU33" s="214"/>
      <c r="MV33" s="214"/>
      <c r="MW33" s="214"/>
      <c r="MX33" s="214"/>
      <c r="MY33" s="214"/>
      <c r="MZ33" s="214"/>
      <c r="NA33" s="214"/>
      <c r="NB33" s="214"/>
      <c r="NC33" s="214"/>
      <c r="ND33" s="214"/>
      <c r="NE33" s="214"/>
      <c r="NF33" s="214"/>
      <c r="NG33" s="214"/>
      <c r="NH33" s="214"/>
      <c r="NI33" s="214"/>
      <c r="NJ33" s="214"/>
      <c r="NK33" s="214"/>
      <c r="NL33" s="214"/>
      <c r="NM33" s="214"/>
      <c r="NN33" s="214"/>
      <c r="NO33" s="214"/>
      <c r="NP33" s="214"/>
      <c r="NQ33" s="214"/>
      <c r="NR33" s="214"/>
      <c r="NS33" s="214"/>
      <c r="NT33" s="214"/>
      <c r="NU33" s="214"/>
      <c r="NV33" s="214"/>
      <c r="NW33" s="214"/>
      <c r="NX33" s="214"/>
      <c r="NY33" s="214"/>
      <c r="NZ33" s="214"/>
      <c r="OA33" s="214"/>
      <c r="OB33" s="214"/>
      <c r="OC33" s="214"/>
      <c r="OD33" s="214"/>
      <c r="OE33" s="214"/>
      <c r="OF33" s="214"/>
      <c r="OG33" s="214"/>
      <c r="OH33" s="214"/>
      <c r="OI33" s="214"/>
      <c r="OJ33" s="214"/>
      <c r="OK33" s="214"/>
      <c r="OL33" s="214"/>
      <c r="OM33" s="214"/>
      <c r="ON33" s="214"/>
      <c r="OO33" s="214"/>
      <c r="OP33" s="214"/>
      <c r="OQ33" s="214"/>
      <c r="OR33" s="214"/>
      <c r="OS33" s="214"/>
      <c r="OT33" s="214"/>
      <c r="OU33" s="214"/>
      <c r="OV33" s="214"/>
      <c r="OW33" s="214"/>
      <c r="OX33" s="214"/>
      <c r="OY33" s="214"/>
      <c r="OZ33" s="214"/>
      <c r="PA33" s="214"/>
      <c r="PB33" s="214"/>
      <c r="PC33" s="214"/>
      <c r="PD33" s="214"/>
      <c r="PE33" s="214"/>
      <c r="PF33" s="214"/>
      <c r="PG33" s="214"/>
      <c r="PH33" s="214"/>
      <c r="PI33" s="214"/>
      <c r="PJ33" s="214"/>
      <c r="PK33" s="214"/>
      <c r="PL33" s="214"/>
      <c r="PM33" s="214"/>
      <c r="PN33" s="214"/>
      <c r="PO33" s="214"/>
      <c r="PP33" s="214"/>
      <c r="PQ33" s="214"/>
      <c r="PR33" s="214"/>
      <c r="PS33" s="214"/>
      <c r="PT33" s="214"/>
      <c r="PU33" s="214"/>
      <c r="PV33" s="214"/>
      <c r="PW33" s="214"/>
      <c r="PX33" s="214"/>
      <c r="PY33" s="214"/>
      <c r="PZ33" s="214"/>
      <c r="QA33" s="214"/>
      <c r="QB33" s="214"/>
      <c r="QC33" s="214"/>
      <c r="QD33" s="214"/>
      <c r="QE33" s="214"/>
      <c r="QF33" s="214"/>
      <c r="QG33" s="214"/>
      <c r="QH33" s="214"/>
      <c r="QI33" s="214"/>
      <c r="QJ33" s="214"/>
      <c r="QK33" s="214"/>
      <c r="QL33" s="214"/>
      <c r="QM33" s="214"/>
      <c r="QN33" s="214"/>
      <c r="QO33" s="214"/>
      <c r="QP33" s="214"/>
      <c r="QQ33" s="214"/>
      <c r="QR33" s="214"/>
      <c r="QS33" s="214"/>
      <c r="QT33" s="214"/>
      <c r="QU33" s="214"/>
      <c r="QV33" s="214"/>
      <c r="QW33" s="214"/>
      <c r="QX33" s="214"/>
      <c r="QY33" s="214"/>
      <c r="QZ33" s="214"/>
      <c r="RA33" s="214"/>
      <c r="RB33" s="214"/>
      <c r="RC33" s="214"/>
      <c r="RD33" s="214"/>
      <c r="RE33" s="214"/>
      <c r="RF33" s="214"/>
      <c r="RG33" s="214"/>
      <c r="RH33" s="214"/>
      <c r="RI33" s="214"/>
      <c r="RJ33" s="214"/>
      <c r="RK33" s="214"/>
      <c r="RL33" s="214"/>
      <c r="RM33" s="214"/>
      <c r="RN33" s="214"/>
      <c r="RO33" s="214"/>
      <c r="RP33" s="214"/>
      <c r="RQ33" s="214"/>
      <c r="RR33" s="214"/>
      <c r="RS33" s="214"/>
      <c r="RT33" s="214"/>
      <c r="RU33" s="214"/>
      <c r="RV33" s="214"/>
      <c r="RW33" s="214"/>
      <c r="RX33" s="214"/>
      <c r="RY33" s="214"/>
      <c r="RZ33" s="214"/>
      <c r="SA33" s="214"/>
      <c r="SB33" s="214"/>
      <c r="SC33" s="214"/>
      <c r="SD33" s="214"/>
      <c r="SE33" s="214"/>
      <c r="SF33" s="214"/>
      <c r="SG33" s="214"/>
      <c r="SH33" s="214"/>
      <c r="SI33" s="214"/>
      <c r="SJ33" s="214"/>
      <c r="SK33" s="214"/>
      <c r="SL33" s="214"/>
      <c r="SM33" s="214"/>
      <c r="SN33" s="214"/>
      <c r="SO33" s="214"/>
      <c r="SP33" s="214"/>
      <c r="SQ33" s="214"/>
      <c r="SR33" s="214"/>
      <c r="SS33" s="214"/>
      <c r="ST33" s="214"/>
      <c r="SU33" s="214"/>
      <c r="SV33" s="214"/>
      <c r="SW33" s="214"/>
      <c r="SX33" s="214"/>
      <c r="SY33" s="214"/>
      <c r="SZ33" s="214"/>
      <c r="TA33" s="214"/>
      <c r="TB33" s="214"/>
      <c r="TC33" s="214"/>
      <c r="TD33" s="214"/>
      <c r="TE33" s="214"/>
      <c r="TF33" s="214"/>
      <c r="TG33" s="214"/>
      <c r="TH33" s="214"/>
      <c r="TI33" s="214"/>
      <c r="TJ33" s="214"/>
      <c r="TK33" s="214"/>
      <c r="TL33" s="214"/>
      <c r="TM33" s="214"/>
      <c r="TN33" s="214"/>
      <c r="TO33" s="214"/>
      <c r="TP33" s="214"/>
      <c r="TQ33" s="214"/>
      <c r="TR33" s="214"/>
      <c r="TS33" s="214"/>
      <c r="TT33" s="214"/>
      <c r="TU33" s="214"/>
      <c r="TV33" s="214"/>
      <c r="TW33" s="214"/>
      <c r="TX33" s="214"/>
      <c r="TY33" s="214"/>
      <c r="TZ33" s="214"/>
      <c r="UA33" s="214"/>
      <c r="UB33" s="214"/>
      <c r="UC33" s="214"/>
      <c r="UD33" s="214"/>
      <c r="UE33" s="214"/>
      <c r="UF33" s="214"/>
      <c r="UG33" s="214"/>
      <c r="UH33" s="214"/>
      <c r="UI33" s="214"/>
      <c r="UJ33" s="214"/>
      <c r="UK33" s="214"/>
      <c r="UL33" s="214"/>
      <c r="UM33" s="214"/>
      <c r="UN33" s="214"/>
      <c r="UO33" s="214"/>
      <c r="UP33" s="214"/>
      <c r="UQ33" s="214"/>
      <c r="UR33" s="214"/>
      <c r="US33" s="214"/>
      <c r="UT33" s="214"/>
      <c r="UU33" s="214"/>
      <c r="UV33" s="214"/>
      <c r="UW33" s="214"/>
      <c r="UX33" s="214"/>
      <c r="UY33" s="214"/>
      <c r="UZ33" s="214"/>
      <c r="VA33" s="214"/>
      <c r="VB33" s="214"/>
      <c r="VC33" s="214"/>
      <c r="VD33" s="214"/>
      <c r="VE33" s="214"/>
      <c r="VF33" s="214"/>
      <c r="VG33" s="214"/>
      <c r="VH33" s="214"/>
      <c r="VI33" s="214"/>
      <c r="VJ33" s="214"/>
      <c r="VK33" s="214"/>
      <c r="VL33" s="214"/>
      <c r="VM33" s="214"/>
      <c r="VN33" s="214"/>
      <c r="VO33" s="214"/>
      <c r="VP33" s="214"/>
      <c r="VQ33" s="214"/>
      <c r="VR33" s="214"/>
      <c r="VS33" s="214"/>
      <c r="VT33" s="214"/>
      <c r="VU33" s="214"/>
      <c r="VV33" s="214"/>
      <c r="VW33" s="214"/>
      <c r="VX33" s="214"/>
      <c r="VY33" s="214"/>
      <c r="VZ33" s="214"/>
      <c r="WA33" s="214"/>
      <c r="WB33" s="214"/>
      <c r="WC33" s="214"/>
      <c r="WD33" s="214"/>
      <c r="WE33" s="214"/>
      <c r="WF33" s="214"/>
      <c r="WG33" s="214"/>
      <c r="WH33" s="214"/>
      <c r="WI33" s="214"/>
      <c r="WJ33" s="214"/>
      <c r="WK33" s="214"/>
      <c r="WL33" s="214"/>
      <c r="WM33" s="214"/>
      <c r="WN33" s="214"/>
      <c r="WO33" s="214"/>
      <c r="WP33" s="214"/>
      <c r="WQ33" s="214"/>
      <c r="WR33" s="214"/>
      <c r="WS33" s="214"/>
      <c r="WT33" s="214"/>
      <c r="WU33" s="214"/>
      <c r="WV33" s="214"/>
      <c r="WW33" s="214"/>
      <c r="WX33" s="214"/>
      <c r="WY33" s="214"/>
      <c r="WZ33" s="214"/>
      <c r="XA33" s="214"/>
      <c r="XB33" s="214"/>
      <c r="XC33" s="214"/>
      <c r="XD33" s="214"/>
      <c r="XE33" s="214"/>
      <c r="XF33" s="214"/>
      <c r="XG33" s="214"/>
      <c r="XH33" s="214"/>
      <c r="XI33" s="214"/>
      <c r="XJ33" s="214"/>
      <c r="XK33" s="214"/>
      <c r="XL33" s="214"/>
      <c r="XM33" s="214"/>
      <c r="XN33" s="214"/>
      <c r="XO33" s="214"/>
      <c r="XP33" s="214"/>
      <c r="XQ33" s="214"/>
      <c r="XR33" s="214"/>
      <c r="XS33" s="214"/>
      <c r="XT33" s="214"/>
      <c r="XU33" s="214"/>
      <c r="XV33" s="214"/>
      <c r="XW33" s="214"/>
      <c r="XX33" s="214"/>
      <c r="XY33" s="214"/>
      <c r="XZ33" s="214"/>
      <c r="YA33" s="214"/>
      <c r="YB33" s="214"/>
      <c r="YC33" s="214"/>
      <c r="YD33" s="214"/>
      <c r="YE33" s="214"/>
      <c r="YF33" s="214"/>
      <c r="YG33" s="214"/>
      <c r="YH33" s="214"/>
      <c r="YI33" s="214"/>
      <c r="YJ33" s="214"/>
      <c r="YK33" s="214"/>
      <c r="YL33" s="214"/>
      <c r="YM33" s="214"/>
      <c r="YN33" s="214"/>
      <c r="YO33" s="214"/>
      <c r="YP33" s="214"/>
      <c r="YQ33" s="214"/>
      <c r="YR33" s="214"/>
      <c r="YS33" s="214"/>
      <c r="YT33" s="214"/>
      <c r="YU33" s="214"/>
      <c r="YV33" s="214"/>
      <c r="YW33" s="214"/>
      <c r="YX33" s="214"/>
      <c r="YY33" s="214"/>
      <c r="YZ33" s="214"/>
      <c r="ZA33" s="214"/>
      <c r="ZB33" s="214"/>
      <c r="ZC33" s="214"/>
      <c r="ZD33" s="214"/>
      <c r="ZE33" s="214"/>
      <c r="ZF33" s="214"/>
      <c r="ZG33" s="214"/>
      <c r="ZH33" s="214"/>
      <c r="ZI33" s="214"/>
      <c r="ZJ33" s="214"/>
      <c r="ZK33" s="214"/>
      <c r="ZL33" s="214"/>
      <c r="ZM33" s="214"/>
      <c r="ZN33" s="214"/>
      <c r="ZO33" s="214"/>
      <c r="ZP33" s="214"/>
      <c r="ZQ33" s="214"/>
      <c r="ZR33" s="214"/>
      <c r="ZS33" s="214"/>
      <c r="ZT33" s="214"/>
      <c r="ZU33" s="214"/>
      <c r="ZV33" s="214"/>
      <c r="ZW33" s="214"/>
      <c r="ZX33" s="214"/>
      <c r="ZY33" s="214"/>
      <c r="ZZ33" s="214"/>
      <c r="AAA33" s="214"/>
      <c r="AAB33" s="214"/>
      <c r="AAC33" s="214"/>
      <c r="AAD33" s="214"/>
      <c r="AAE33" s="214"/>
      <c r="AAF33" s="214"/>
      <c r="AAG33" s="214"/>
      <c r="AAH33" s="214"/>
      <c r="AAI33" s="214"/>
      <c r="AAJ33" s="214"/>
      <c r="AAK33" s="214"/>
      <c r="AAL33" s="214"/>
      <c r="AAM33" s="214"/>
      <c r="AAN33" s="214"/>
      <c r="AAO33" s="214"/>
      <c r="AAP33" s="214"/>
      <c r="AAQ33" s="214"/>
      <c r="AAR33" s="214"/>
      <c r="AAS33" s="214"/>
      <c r="AAT33" s="214"/>
      <c r="AAU33" s="214"/>
      <c r="AAV33" s="214"/>
      <c r="AAW33" s="214"/>
      <c r="AAX33" s="214"/>
      <c r="AAY33" s="214"/>
      <c r="AAZ33" s="214"/>
      <c r="ABA33" s="214"/>
      <c r="ABB33" s="214"/>
      <c r="ABC33" s="214"/>
      <c r="ABD33" s="214"/>
      <c r="ABE33" s="214"/>
      <c r="ABF33" s="214"/>
      <c r="ABG33" s="214"/>
      <c r="ABH33" s="214"/>
      <c r="ABI33" s="214"/>
      <c r="ABJ33" s="214"/>
      <c r="ABK33" s="214"/>
      <c r="ABL33" s="214"/>
      <c r="ABM33" s="214"/>
      <c r="ABN33" s="214"/>
      <c r="ABO33" s="214"/>
      <c r="ABP33" s="214"/>
      <c r="ABQ33" s="214"/>
      <c r="ABR33" s="214"/>
      <c r="ABS33" s="214"/>
      <c r="ABT33" s="214"/>
      <c r="ABU33" s="214"/>
      <c r="ABV33" s="214"/>
      <c r="ABW33" s="214"/>
      <c r="ABX33" s="214"/>
      <c r="ABY33" s="214"/>
      <c r="ABZ33" s="214"/>
      <c r="ACA33" s="214"/>
      <c r="ACB33" s="214"/>
      <c r="ACC33" s="214"/>
      <c r="ACD33" s="214"/>
      <c r="ACE33" s="214"/>
      <c r="ACF33" s="214"/>
      <c r="ACG33" s="214"/>
      <c r="ACH33" s="214"/>
      <c r="ACI33" s="214"/>
      <c r="ACJ33" s="214"/>
      <c r="ACK33" s="214"/>
      <c r="ACL33" s="214"/>
      <c r="ACM33" s="214"/>
      <c r="ACN33" s="214"/>
      <c r="ACO33" s="214"/>
      <c r="ACP33" s="214"/>
      <c r="ACQ33" s="214"/>
      <c r="ACR33" s="214"/>
      <c r="ACS33" s="214"/>
      <c r="ACT33" s="214"/>
      <c r="ACU33" s="214"/>
      <c r="ACV33" s="214"/>
      <c r="ACW33" s="214"/>
      <c r="ACX33" s="214"/>
      <c r="ACY33" s="214"/>
      <c r="ACZ33" s="214"/>
      <c r="ADA33" s="214"/>
      <c r="ADB33" s="214"/>
      <c r="ADC33" s="214"/>
      <c r="ADD33" s="214"/>
      <c r="ADE33" s="214"/>
      <c r="ADF33" s="214"/>
      <c r="ADG33" s="214"/>
      <c r="ADH33" s="214"/>
      <c r="ADI33" s="214"/>
      <c r="ADJ33" s="214"/>
      <c r="ADK33" s="214"/>
      <c r="ADL33" s="214"/>
      <c r="ADM33" s="214"/>
      <c r="ADN33" s="214"/>
      <c r="ADO33" s="214"/>
      <c r="ADP33" s="214"/>
      <c r="ADQ33" s="214"/>
      <c r="ADR33" s="214"/>
      <c r="ADS33" s="214"/>
      <c r="ADT33" s="214"/>
      <c r="ADU33" s="214"/>
      <c r="ADV33" s="214"/>
      <c r="ADW33" s="214"/>
      <c r="ADX33" s="214"/>
      <c r="ADY33" s="214"/>
      <c r="ADZ33" s="214"/>
      <c r="AEA33" s="214"/>
      <c r="AEB33" s="214"/>
      <c r="AEC33" s="214"/>
      <c r="AED33" s="214"/>
      <c r="AEE33" s="214"/>
      <c r="AEF33" s="214"/>
      <c r="AEG33" s="214"/>
      <c r="AEH33" s="214"/>
      <c r="AEI33" s="214"/>
      <c r="AEJ33" s="214"/>
      <c r="AEK33" s="214"/>
      <c r="AEL33" s="214"/>
      <c r="AEM33" s="214"/>
      <c r="AEN33" s="214"/>
      <c r="AEO33" s="214"/>
      <c r="AEP33" s="214"/>
      <c r="AEQ33" s="214"/>
      <c r="AER33" s="214"/>
      <c r="AES33" s="214"/>
      <c r="AET33" s="214"/>
      <c r="AEU33" s="214"/>
      <c r="AEV33" s="214"/>
      <c r="AEW33" s="214"/>
      <c r="AEX33" s="214"/>
      <c r="AEY33" s="214"/>
      <c r="AEZ33" s="214"/>
      <c r="AFA33" s="214"/>
      <c r="AFB33" s="214"/>
      <c r="AFC33" s="214"/>
      <c r="AFD33" s="214"/>
      <c r="AFE33" s="214"/>
      <c r="AFF33" s="214"/>
      <c r="AFG33" s="214"/>
      <c r="AFH33" s="214"/>
      <c r="AFI33" s="214"/>
      <c r="AFJ33" s="214"/>
      <c r="AFK33" s="214"/>
      <c r="AFL33" s="214"/>
      <c r="AFM33" s="214"/>
      <c r="AFN33" s="214"/>
      <c r="AFO33" s="214"/>
      <c r="AFP33" s="214"/>
      <c r="AFQ33" s="214"/>
      <c r="AFR33" s="214"/>
      <c r="AFS33" s="214"/>
      <c r="AFT33" s="214"/>
      <c r="AFU33" s="214"/>
      <c r="AFV33" s="214"/>
      <c r="AFW33" s="214"/>
      <c r="AFX33" s="214"/>
      <c r="AFY33" s="214"/>
      <c r="AFZ33" s="214"/>
      <c r="AGA33" s="214"/>
      <c r="AGB33" s="214"/>
      <c r="AGC33" s="214"/>
      <c r="AGD33" s="214"/>
      <c r="AGE33" s="214"/>
      <c r="AGF33" s="214"/>
      <c r="AGG33" s="214"/>
      <c r="AGH33" s="214"/>
      <c r="AGI33" s="214"/>
      <c r="AGJ33" s="214"/>
      <c r="AGK33" s="214"/>
      <c r="AGL33" s="214"/>
      <c r="AGM33" s="214"/>
      <c r="AGN33" s="214"/>
      <c r="AGO33" s="214"/>
      <c r="AGP33" s="214"/>
      <c r="AGQ33" s="214"/>
      <c r="AGR33" s="214"/>
      <c r="AGS33" s="214"/>
      <c r="AGT33" s="214"/>
      <c r="AGU33" s="214"/>
      <c r="AGV33" s="214"/>
      <c r="AGW33" s="214"/>
      <c r="AGX33" s="214"/>
      <c r="AGY33" s="214"/>
      <c r="AGZ33" s="214"/>
      <c r="AHA33" s="214"/>
      <c r="AHB33" s="214"/>
      <c r="AHC33" s="214"/>
      <c r="AHD33" s="214"/>
      <c r="AHE33" s="214"/>
      <c r="AHF33" s="214"/>
      <c r="AHG33" s="214"/>
      <c r="AHH33" s="214"/>
      <c r="AHI33" s="214"/>
      <c r="AHJ33" s="214"/>
      <c r="AHK33" s="214"/>
      <c r="AHL33" s="214"/>
      <c r="AHM33" s="214"/>
      <c r="AHN33" s="214"/>
      <c r="AHO33" s="214"/>
      <c r="AHP33" s="214"/>
      <c r="AHQ33" s="214"/>
      <c r="AHR33" s="214"/>
      <c r="AHS33" s="214"/>
      <c r="AHT33" s="214"/>
      <c r="AHU33" s="214"/>
      <c r="AHV33" s="214"/>
      <c r="AHW33" s="214"/>
      <c r="AHX33" s="214"/>
      <c r="AHY33" s="214"/>
      <c r="AHZ33" s="214"/>
      <c r="AIA33" s="214"/>
      <c r="AIB33" s="214"/>
      <c r="AIC33" s="214"/>
      <c r="AID33" s="214"/>
      <c r="AIE33" s="214"/>
      <c r="AIF33" s="214"/>
      <c r="AIG33" s="214"/>
      <c r="AIH33" s="214"/>
      <c r="AII33" s="214"/>
      <c r="AIJ33" s="214"/>
      <c r="AIK33" s="214"/>
      <c r="AIL33" s="214"/>
      <c r="AIM33" s="214"/>
      <c r="AIN33" s="214"/>
      <c r="AIO33" s="214"/>
      <c r="AIP33" s="214"/>
      <c r="AIQ33" s="214"/>
      <c r="AIR33" s="214"/>
      <c r="AIS33" s="214"/>
      <c r="AIT33" s="214"/>
      <c r="AIU33" s="214"/>
      <c r="AIV33" s="214"/>
      <c r="AIW33" s="214"/>
      <c r="AIX33" s="214"/>
      <c r="AIY33" s="214"/>
      <c r="AIZ33" s="214"/>
      <c r="AJA33" s="214"/>
      <c r="AJB33" s="214"/>
      <c r="AJC33" s="214"/>
      <c r="AJD33" s="214"/>
      <c r="AJE33" s="214"/>
      <c r="AJF33" s="214"/>
      <c r="AJG33" s="214"/>
      <c r="AJH33" s="214"/>
      <c r="AJI33" s="214"/>
      <c r="AJJ33" s="214"/>
      <c r="AJK33" s="214"/>
      <c r="AJL33" s="214"/>
      <c r="AJM33" s="214"/>
      <c r="AJN33" s="214"/>
      <c r="AJO33" s="214"/>
      <c r="AJP33" s="214"/>
      <c r="AJQ33" s="214"/>
      <c r="AJR33" s="214"/>
      <c r="AJS33" s="214"/>
      <c r="AJT33" s="214"/>
      <c r="AJU33" s="214"/>
      <c r="AJV33" s="214"/>
      <c r="AJW33" s="214"/>
      <c r="AJX33" s="214"/>
      <c r="AJY33" s="214"/>
      <c r="AJZ33" s="214"/>
      <c r="AKA33" s="214"/>
      <c r="AKB33" s="214"/>
      <c r="AKC33" s="214"/>
      <c r="AKD33" s="214"/>
      <c r="AKE33" s="214"/>
      <c r="AKF33" s="214"/>
      <c r="AKG33" s="214"/>
      <c r="AKH33" s="214"/>
      <c r="AKI33" s="214"/>
      <c r="AKJ33" s="214"/>
      <c r="AKK33" s="214"/>
      <c r="AKL33" s="214"/>
      <c r="AKM33" s="214"/>
      <c r="AKN33" s="214"/>
      <c r="AKO33" s="214"/>
      <c r="AKP33" s="214"/>
      <c r="AKQ33" s="214"/>
      <c r="AKR33" s="214"/>
      <c r="AKS33" s="214"/>
      <c r="AKT33" s="214"/>
      <c r="AKU33" s="214"/>
      <c r="AKV33" s="214"/>
      <c r="AKW33" s="214"/>
      <c r="AKX33" s="214"/>
      <c r="AKY33" s="214"/>
      <c r="AKZ33" s="214"/>
      <c r="ALA33" s="214"/>
      <c r="ALB33" s="214"/>
      <c r="ALC33" s="214"/>
      <c r="ALD33" s="214"/>
      <c r="ALE33" s="214"/>
      <c r="ALF33" s="214"/>
      <c r="ALG33" s="214"/>
      <c r="ALH33" s="214"/>
      <c r="ALI33" s="214"/>
      <c r="ALJ33" s="214"/>
      <c r="ALK33" s="214"/>
      <c r="ALL33" s="214"/>
      <c r="ALM33" s="214"/>
      <c r="ALN33" s="214"/>
      <c r="ALO33" s="214"/>
      <c r="ALP33" s="214"/>
      <c r="ALQ33" s="214"/>
      <c r="ALR33" s="214"/>
      <c r="ALS33" s="214"/>
      <c r="ALT33" s="214"/>
      <c r="ALU33" s="214"/>
      <c r="ALV33" s="214"/>
      <c r="ALW33" s="214"/>
      <c r="ALX33" s="214"/>
      <c r="ALY33" s="214"/>
      <c r="ALZ33" s="214"/>
      <c r="AMA33" s="214"/>
      <c r="AMB33" s="214"/>
      <c r="AMC33" s="214"/>
      <c r="AMD33" s="214"/>
      <c r="AME33" s="214"/>
      <c r="AMF33" s="214"/>
      <c r="AMG33" s="214"/>
      <c r="AMH33" s="214"/>
      <c r="AMI33" s="214"/>
      <c r="AMJ33" s="214"/>
      <c r="AMK33" s="214"/>
      <c r="AML33" s="214"/>
      <c r="AMM33" s="214"/>
      <c r="AMN33" s="214"/>
      <c r="AMO33" s="214"/>
      <c r="AMP33" s="214"/>
      <c r="AMQ33" s="214"/>
      <c r="AMR33" s="214"/>
      <c r="AMS33" s="214"/>
      <c r="AMT33" s="214"/>
      <c r="AMU33" s="214"/>
      <c r="AMV33" s="214"/>
      <c r="AMW33" s="214"/>
      <c r="AMX33" s="214"/>
      <c r="AMY33" s="214"/>
      <c r="AMZ33" s="214"/>
      <c r="ANA33" s="214"/>
      <c r="ANB33" s="214"/>
      <c r="ANC33" s="214"/>
      <c r="AND33" s="214"/>
      <c r="ANE33" s="214"/>
      <c r="ANF33" s="214"/>
      <c r="ANG33" s="214"/>
      <c r="ANH33" s="214"/>
      <c r="ANI33" s="214"/>
      <c r="ANJ33" s="214"/>
      <c r="ANK33" s="214"/>
      <c r="ANL33" s="214"/>
      <c r="ANM33" s="214"/>
      <c r="ANN33" s="214"/>
      <c r="ANO33" s="214"/>
      <c r="ANP33" s="214"/>
      <c r="ANQ33" s="214"/>
      <c r="ANR33" s="214"/>
      <c r="ANS33" s="214"/>
      <c r="ANT33" s="214"/>
      <c r="ANU33" s="214"/>
      <c r="ANV33" s="214"/>
      <c r="ANW33" s="214"/>
      <c r="ANX33" s="214"/>
      <c r="ANY33" s="214"/>
      <c r="ANZ33" s="214"/>
      <c r="AOA33" s="214"/>
      <c r="AOB33" s="214"/>
      <c r="AOC33" s="214"/>
      <c r="AOD33" s="214"/>
      <c r="AOE33" s="214"/>
      <c r="AOF33" s="214"/>
      <c r="AOG33" s="214"/>
      <c r="AOH33" s="214"/>
      <c r="AOI33" s="214"/>
      <c r="AOJ33" s="214"/>
      <c r="AOK33" s="214"/>
      <c r="AOL33" s="214"/>
      <c r="AOM33" s="214"/>
      <c r="AON33" s="214"/>
      <c r="AOO33" s="214"/>
      <c r="AOP33" s="214"/>
      <c r="AOQ33" s="214"/>
      <c r="AOR33" s="214"/>
      <c r="AOS33" s="214"/>
      <c r="AOT33" s="214"/>
      <c r="AOU33" s="214"/>
      <c r="AOV33" s="214"/>
      <c r="AOW33" s="214"/>
      <c r="AOX33" s="214"/>
      <c r="AOY33" s="214"/>
      <c r="AOZ33" s="214"/>
      <c r="APA33" s="214"/>
      <c r="APB33" s="214"/>
      <c r="APC33" s="214"/>
      <c r="APD33" s="214"/>
      <c r="APE33" s="214"/>
      <c r="APF33" s="214"/>
      <c r="APG33" s="214"/>
      <c r="APH33" s="214"/>
      <c r="API33" s="214"/>
      <c r="APJ33" s="214"/>
      <c r="APK33" s="214"/>
      <c r="APL33" s="214"/>
      <c r="APM33" s="214"/>
      <c r="APN33" s="214"/>
      <c r="APO33" s="214"/>
      <c r="APP33" s="214"/>
      <c r="APQ33" s="214"/>
      <c r="APR33" s="214"/>
      <c r="APS33" s="214"/>
      <c r="APT33" s="214"/>
      <c r="APU33" s="214"/>
      <c r="APV33" s="214"/>
      <c r="APW33" s="214"/>
      <c r="APX33" s="214"/>
      <c r="APY33" s="214"/>
      <c r="APZ33" s="214"/>
      <c r="AQA33" s="214"/>
      <c r="AQB33" s="214"/>
      <c r="AQC33" s="214"/>
      <c r="AQD33" s="214"/>
      <c r="AQE33" s="214"/>
      <c r="AQF33" s="214"/>
      <c r="AQG33" s="214"/>
      <c r="AQH33" s="214"/>
      <c r="AQI33" s="214"/>
      <c r="AQJ33" s="214"/>
      <c r="AQK33" s="214"/>
      <c r="AQL33" s="214"/>
      <c r="AQM33" s="214"/>
      <c r="AQN33" s="214"/>
      <c r="AQO33" s="214"/>
      <c r="AQP33" s="214"/>
      <c r="AQQ33" s="214"/>
      <c r="AQR33" s="214"/>
      <c r="AQS33" s="214"/>
      <c r="AQT33" s="214"/>
      <c r="AQU33" s="214"/>
      <c r="AQV33" s="214"/>
      <c r="AQW33" s="214"/>
      <c r="AQX33" s="214"/>
      <c r="AQY33" s="214"/>
      <c r="AQZ33" s="214"/>
      <c r="ARA33" s="214"/>
      <c r="ARB33" s="214"/>
      <c r="ARC33" s="214"/>
      <c r="ARD33" s="214"/>
      <c r="ARE33" s="214"/>
      <c r="ARF33" s="214"/>
      <c r="ARG33" s="214"/>
      <c r="ARH33" s="214"/>
      <c r="ARI33" s="214"/>
      <c r="ARJ33" s="214"/>
      <c r="ARK33" s="214"/>
      <c r="ARL33" s="214"/>
      <c r="ARM33" s="214"/>
      <c r="ARN33" s="214"/>
      <c r="ARO33" s="214"/>
      <c r="ARP33" s="214"/>
      <c r="ARQ33" s="214"/>
      <c r="ARR33" s="214"/>
      <c r="ARS33" s="214"/>
      <c r="ART33" s="214"/>
      <c r="ARU33" s="214"/>
      <c r="ARV33" s="214"/>
      <c r="ARW33" s="214"/>
      <c r="ARX33" s="214"/>
      <c r="ARY33" s="214"/>
      <c r="ARZ33" s="214"/>
      <c r="ASA33" s="214"/>
      <c r="ASB33" s="214"/>
      <c r="ASC33" s="214"/>
      <c r="ASD33" s="214"/>
      <c r="ASE33" s="214"/>
      <c r="ASF33" s="214"/>
      <c r="ASG33" s="214"/>
      <c r="ASH33" s="214"/>
      <c r="ASI33" s="214"/>
      <c r="ASJ33" s="214"/>
      <c r="ASK33" s="214"/>
      <c r="ASL33" s="214"/>
      <c r="ASM33" s="214"/>
      <c r="ASN33" s="214"/>
      <c r="ASO33" s="214"/>
      <c r="ASP33" s="214"/>
      <c r="ASQ33" s="214"/>
      <c r="ASR33" s="214"/>
      <c r="ASS33" s="214"/>
      <c r="AST33" s="214"/>
      <c r="ASU33" s="214"/>
      <c r="ASV33" s="214"/>
      <c r="ASW33" s="214"/>
      <c r="ASX33" s="214"/>
      <c r="ASY33" s="214"/>
      <c r="ASZ33" s="214"/>
      <c r="ATA33" s="214"/>
      <c r="ATB33" s="214"/>
      <c r="ATC33" s="214"/>
      <c r="ATD33" s="214"/>
      <c r="ATE33" s="214"/>
      <c r="ATF33" s="214"/>
      <c r="ATG33" s="214"/>
      <c r="ATH33" s="214"/>
      <c r="ATI33" s="214"/>
      <c r="ATJ33" s="214"/>
      <c r="ATK33" s="214"/>
      <c r="ATL33" s="214"/>
      <c r="ATM33" s="214"/>
      <c r="ATN33" s="214"/>
      <c r="ATO33" s="214"/>
      <c r="ATP33" s="214"/>
      <c r="ATQ33" s="214"/>
      <c r="ATR33" s="214"/>
      <c r="ATS33" s="214"/>
      <c r="ATT33" s="214"/>
      <c r="ATU33" s="214"/>
      <c r="ATV33" s="214"/>
      <c r="ATW33" s="214"/>
      <c r="ATX33" s="214"/>
      <c r="ATY33" s="214"/>
      <c r="ATZ33" s="214"/>
      <c r="AUA33" s="214"/>
      <c r="AUB33" s="214"/>
      <c r="AUC33" s="214"/>
      <c r="AUD33" s="214"/>
      <c r="AUE33" s="214"/>
      <c r="AUF33" s="214"/>
      <c r="AUG33" s="214"/>
      <c r="AUH33" s="214"/>
      <c r="AUI33" s="214"/>
      <c r="AUJ33" s="214"/>
      <c r="AUK33" s="214"/>
      <c r="AUL33" s="214"/>
      <c r="AUM33" s="214"/>
      <c r="AUN33" s="214"/>
      <c r="AUO33" s="214"/>
      <c r="AUP33" s="214"/>
      <c r="AUQ33" s="214"/>
      <c r="AUR33" s="214"/>
      <c r="AUS33" s="214"/>
      <c r="AUT33" s="214"/>
      <c r="AUU33" s="214"/>
      <c r="AUV33" s="214"/>
      <c r="AUW33" s="214"/>
      <c r="AUX33" s="214"/>
      <c r="AUY33" s="214"/>
      <c r="AUZ33" s="214"/>
      <c r="AVA33" s="214"/>
      <c r="AVB33" s="214"/>
      <c r="AVC33" s="214"/>
      <c r="AVD33" s="214"/>
      <c r="AVE33" s="214"/>
      <c r="AVF33" s="214"/>
      <c r="AVG33" s="214"/>
      <c r="AVH33" s="214"/>
      <c r="AVI33" s="214"/>
      <c r="AVJ33" s="214"/>
      <c r="AVK33" s="214"/>
      <c r="AVL33" s="214"/>
      <c r="AVM33" s="214"/>
      <c r="AVN33" s="214"/>
      <c r="AVO33" s="214"/>
      <c r="AVP33" s="214"/>
      <c r="AVQ33" s="214"/>
      <c r="AVR33" s="214"/>
      <c r="AVS33" s="214"/>
      <c r="AVT33" s="214"/>
      <c r="AVU33" s="214"/>
      <c r="AVV33" s="214"/>
      <c r="AVW33" s="214"/>
      <c r="AVX33" s="214"/>
      <c r="AVY33" s="214"/>
      <c r="AVZ33" s="214"/>
      <c r="AWA33" s="214"/>
      <c r="AWB33" s="214"/>
      <c r="AWC33" s="214"/>
      <c r="AWD33" s="214"/>
      <c r="AWE33" s="214"/>
      <c r="AWF33" s="214"/>
      <c r="AWG33" s="214"/>
      <c r="AWH33" s="214"/>
      <c r="AWI33" s="214"/>
      <c r="AWJ33" s="214"/>
      <c r="AWK33" s="214"/>
      <c r="AWL33" s="214"/>
      <c r="AWM33" s="214"/>
      <c r="AWN33" s="214"/>
      <c r="AWO33" s="214"/>
      <c r="AWP33" s="214"/>
      <c r="AWQ33" s="214"/>
      <c r="AWR33" s="214"/>
      <c r="AWS33" s="214"/>
      <c r="AWT33" s="214"/>
      <c r="AWU33" s="214"/>
      <c r="AWV33" s="214"/>
      <c r="AWW33" s="214"/>
      <c r="AWX33" s="214"/>
      <c r="AWY33" s="214"/>
      <c r="AWZ33" s="214"/>
      <c r="AXA33" s="214"/>
      <c r="AXB33" s="214"/>
      <c r="AXC33" s="214"/>
      <c r="AXD33" s="214"/>
      <c r="AXE33" s="214"/>
      <c r="AXF33" s="214"/>
      <c r="AXG33" s="214"/>
      <c r="AXH33" s="214"/>
      <c r="AXI33" s="214"/>
      <c r="AXJ33" s="214"/>
      <c r="AXK33" s="214"/>
      <c r="AXL33" s="214"/>
      <c r="AXM33" s="214"/>
      <c r="AXN33" s="214"/>
      <c r="AXO33" s="214"/>
      <c r="AXP33" s="214"/>
      <c r="AXQ33" s="214"/>
      <c r="AXR33" s="214"/>
      <c r="AXS33" s="214"/>
      <c r="AXT33" s="214"/>
      <c r="AXU33" s="214"/>
      <c r="AXV33" s="214"/>
      <c r="AXW33" s="214"/>
      <c r="AXX33" s="214"/>
      <c r="AXY33" s="214"/>
      <c r="AXZ33" s="214"/>
      <c r="AYA33" s="214"/>
      <c r="AYB33" s="214"/>
      <c r="AYC33" s="214"/>
      <c r="AYD33" s="214"/>
      <c r="AYE33" s="214"/>
      <c r="AYF33" s="214"/>
      <c r="AYG33" s="214"/>
      <c r="AYH33" s="214"/>
      <c r="AYI33" s="214"/>
      <c r="AYJ33" s="214"/>
      <c r="AYK33" s="214"/>
      <c r="AYL33" s="214"/>
      <c r="AYM33" s="214"/>
      <c r="AYN33" s="214"/>
      <c r="AYO33" s="214"/>
      <c r="AYP33" s="214"/>
      <c r="AYQ33" s="214"/>
      <c r="AYR33" s="214"/>
      <c r="AYS33" s="214"/>
      <c r="AYT33" s="214"/>
      <c r="AYU33" s="214"/>
      <c r="AYV33" s="214"/>
      <c r="AYW33" s="214"/>
      <c r="AYX33" s="214"/>
      <c r="AYY33" s="214"/>
      <c r="AYZ33" s="214"/>
      <c r="AZA33" s="214"/>
      <c r="AZB33" s="214"/>
      <c r="AZC33" s="214"/>
      <c r="AZD33" s="214"/>
      <c r="AZE33" s="214"/>
      <c r="AZF33" s="214"/>
      <c r="AZG33" s="214"/>
      <c r="AZH33" s="214"/>
      <c r="AZI33" s="214"/>
      <c r="AZJ33" s="214"/>
      <c r="AZK33" s="214"/>
      <c r="AZL33" s="214"/>
      <c r="AZM33" s="214"/>
      <c r="AZN33" s="214"/>
      <c r="AZO33" s="214"/>
      <c r="AZP33" s="214"/>
      <c r="AZQ33" s="214"/>
      <c r="AZR33" s="214"/>
      <c r="AZS33" s="214"/>
      <c r="AZT33" s="214"/>
      <c r="AZU33" s="214"/>
      <c r="AZV33" s="214"/>
      <c r="AZW33" s="214"/>
      <c r="AZX33" s="214"/>
      <c r="AZY33" s="214"/>
      <c r="AZZ33" s="214"/>
      <c r="BAA33" s="214"/>
      <c r="BAB33" s="214"/>
      <c r="BAC33" s="214"/>
      <c r="BAD33" s="214"/>
      <c r="BAE33" s="214"/>
      <c r="BAF33" s="214"/>
      <c r="BAG33" s="214"/>
      <c r="BAH33" s="214"/>
      <c r="BAI33" s="214"/>
      <c r="BAJ33" s="214"/>
      <c r="BAK33" s="214"/>
      <c r="BAL33" s="214"/>
      <c r="BAM33" s="214"/>
      <c r="BAN33" s="214"/>
      <c r="BAO33" s="214"/>
      <c r="BAP33" s="214"/>
      <c r="BAQ33" s="214"/>
      <c r="BAR33" s="214"/>
      <c r="BAS33" s="214"/>
      <c r="BAT33" s="214"/>
      <c r="BAU33" s="214"/>
      <c r="BAV33" s="214"/>
      <c r="BAW33" s="214"/>
      <c r="BAX33" s="214"/>
      <c r="BAY33" s="214"/>
      <c r="BAZ33" s="214"/>
      <c r="BBA33" s="214"/>
      <c r="BBB33" s="214"/>
      <c r="BBC33" s="214"/>
      <c r="BBD33" s="214"/>
      <c r="BBE33" s="214"/>
      <c r="BBF33" s="214"/>
      <c r="BBG33" s="214"/>
      <c r="BBH33" s="214"/>
      <c r="BBI33" s="214"/>
      <c r="BBJ33" s="214"/>
      <c r="BBK33" s="214"/>
      <c r="BBL33" s="214"/>
      <c r="BBM33" s="214"/>
      <c r="BBN33" s="214"/>
      <c r="BBO33" s="214"/>
      <c r="BBP33" s="214"/>
      <c r="BBQ33" s="214"/>
      <c r="BBR33" s="214"/>
      <c r="BBS33" s="214"/>
      <c r="BBT33" s="214"/>
      <c r="BBU33" s="214"/>
      <c r="BBV33" s="214"/>
      <c r="BBW33" s="214"/>
      <c r="BBX33" s="214"/>
      <c r="BBY33" s="214"/>
      <c r="BBZ33" s="214"/>
      <c r="BCA33" s="214"/>
      <c r="BCB33" s="214"/>
      <c r="BCC33" s="214"/>
      <c r="BCD33" s="214"/>
      <c r="BCE33" s="214"/>
      <c r="BCF33" s="214"/>
      <c r="BCG33" s="214"/>
      <c r="BCH33" s="214"/>
      <c r="BCI33" s="214"/>
      <c r="BCJ33" s="214"/>
      <c r="BCK33" s="214"/>
      <c r="BCL33" s="214"/>
      <c r="BCM33" s="214"/>
      <c r="BCN33" s="214"/>
      <c r="BCO33" s="214"/>
      <c r="BCP33" s="214"/>
      <c r="BCQ33" s="214"/>
      <c r="BCR33" s="214"/>
      <c r="BCS33" s="214"/>
      <c r="BCT33" s="214"/>
      <c r="BCU33" s="214"/>
      <c r="BCV33" s="214"/>
      <c r="BCW33" s="214"/>
      <c r="BCX33" s="214"/>
      <c r="BCY33" s="214"/>
      <c r="BCZ33" s="214"/>
      <c r="BDA33" s="214"/>
      <c r="BDB33" s="214"/>
      <c r="BDC33" s="214"/>
      <c r="BDD33" s="214"/>
      <c r="BDE33" s="214"/>
      <c r="BDF33" s="214"/>
      <c r="BDG33" s="214"/>
      <c r="BDH33" s="214"/>
      <c r="BDI33" s="214"/>
      <c r="BDJ33" s="214"/>
      <c r="BDK33" s="214"/>
      <c r="BDL33" s="214"/>
      <c r="BDM33" s="214"/>
      <c r="BDN33" s="214"/>
      <c r="BDO33" s="214"/>
      <c r="BDP33" s="214"/>
      <c r="BDQ33" s="214"/>
      <c r="BDR33" s="214"/>
      <c r="BDS33" s="214"/>
      <c r="BDT33" s="214"/>
      <c r="BDU33" s="214"/>
      <c r="BDV33" s="214"/>
      <c r="BDW33" s="214"/>
      <c r="BDX33" s="214"/>
      <c r="BDY33" s="214"/>
      <c r="BDZ33" s="214"/>
      <c r="BEA33" s="214"/>
      <c r="BEB33" s="214"/>
      <c r="BEC33" s="214"/>
      <c r="BED33" s="214"/>
      <c r="BEE33" s="214"/>
      <c r="BEF33" s="214"/>
      <c r="BEG33" s="214"/>
      <c r="BEH33" s="214"/>
      <c r="BEI33" s="214"/>
      <c r="BEJ33" s="214"/>
      <c r="BEK33" s="214"/>
      <c r="BEL33" s="214"/>
      <c r="BEM33" s="214"/>
      <c r="BEN33" s="214"/>
      <c r="BEO33" s="214"/>
      <c r="BEP33" s="214"/>
      <c r="BEQ33" s="214"/>
      <c r="BER33" s="214"/>
      <c r="BES33" s="214"/>
      <c r="BET33" s="214"/>
      <c r="BEU33" s="214"/>
      <c r="BEV33" s="214"/>
      <c r="BEW33" s="214"/>
      <c r="BEX33" s="214"/>
      <c r="BEY33" s="214"/>
      <c r="BEZ33" s="214"/>
      <c r="BFA33" s="214"/>
      <c r="BFB33" s="214"/>
      <c r="BFC33" s="214"/>
      <c r="BFD33" s="214"/>
      <c r="BFE33" s="214"/>
      <c r="BFF33" s="214"/>
      <c r="BFG33" s="214"/>
      <c r="BFH33" s="214"/>
      <c r="BFI33" s="214"/>
      <c r="BFJ33" s="214"/>
      <c r="BFK33" s="214"/>
      <c r="BFL33" s="214"/>
      <c r="BFM33" s="214"/>
      <c r="BFN33" s="214"/>
      <c r="BFO33" s="214"/>
      <c r="BFP33" s="214"/>
      <c r="BFQ33" s="214"/>
      <c r="BFR33" s="214"/>
      <c r="BFS33" s="214"/>
      <c r="BFT33" s="214"/>
      <c r="BFU33" s="214"/>
      <c r="BFV33" s="214"/>
      <c r="BFW33" s="214"/>
      <c r="BFX33" s="214"/>
      <c r="BFY33" s="214"/>
      <c r="BFZ33" s="214"/>
      <c r="BGA33" s="214"/>
      <c r="BGB33" s="214"/>
      <c r="BGC33" s="214"/>
      <c r="BGD33" s="214"/>
      <c r="BGE33" s="214"/>
      <c r="BGF33" s="214"/>
      <c r="BGG33" s="214"/>
      <c r="BGH33" s="214"/>
      <c r="BGI33" s="214"/>
      <c r="BGJ33" s="214"/>
      <c r="BGK33" s="214"/>
      <c r="BGL33" s="214"/>
      <c r="BGM33" s="214"/>
      <c r="BGN33" s="214"/>
      <c r="BGO33" s="214"/>
      <c r="BGP33" s="214"/>
      <c r="BGQ33" s="214"/>
      <c r="BGR33" s="214"/>
      <c r="BGS33" s="214"/>
      <c r="BGT33" s="214"/>
      <c r="BGU33" s="214"/>
      <c r="BGV33" s="214"/>
      <c r="BGW33" s="214"/>
      <c r="BGX33" s="214"/>
      <c r="BGY33" s="214"/>
      <c r="BGZ33" s="214"/>
      <c r="BHA33" s="214"/>
      <c r="BHB33" s="214"/>
      <c r="BHC33" s="214"/>
      <c r="BHD33" s="214"/>
      <c r="BHE33" s="214"/>
      <c r="BHF33" s="214"/>
      <c r="BHG33" s="214"/>
      <c r="BHH33" s="214"/>
      <c r="BHI33" s="214"/>
      <c r="BHJ33" s="214"/>
      <c r="BHK33" s="214"/>
      <c r="BHL33" s="214"/>
      <c r="BHM33" s="214"/>
      <c r="BHN33" s="214"/>
      <c r="BHO33" s="214"/>
      <c r="BHP33" s="214"/>
      <c r="BHQ33" s="214"/>
      <c r="BHR33" s="214"/>
      <c r="BHS33" s="214"/>
      <c r="BHT33" s="214"/>
      <c r="BHU33" s="214"/>
      <c r="BHV33" s="214"/>
      <c r="BHW33" s="214"/>
    </row>
    <row r="34" spans="1:1583" s="217" customFormat="1" ht="16.5">
      <c r="A34" s="252"/>
      <c r="B34" s="180" t="s">
        <v>362</v>
      </c>
      <c r="C34" s="420" t="s">
        <v>482</v>
      </c>
      <c r="D34" s="418" t="s">
        <v>660</v>
      </c>
      <c r="E34" s="59" t="s">
        <v>42</v>
      </c>
      <c r="F34" s="132">
        <v>50</v>
      </c>
      <c r="G34" s="60" t="s">
        <v>688</v>
      </c>
      <c r="H34" s="473">
        <f>AVERAGE(I34:AN34)</f>
        <v>32.54339048158333</v>
      </c>
      <c r="I34" s="92">
        <f>VLOOKUP($B34,'DCS Data'!$E$2:$AJ$100,MATCH('Daily Report'!I$1,'DCS Data'!$E$2:$AJ$2,0),0)</f>
        <v>35.699533340273646</v>
      </c>
      <c r="J34" s="255"/>
      <c r="K34" s="92">
        <f>VLOOKUP($B34,'DCS Data'!$E$2:$AJ$100,MATCH('Daily Report'!K$1,'DCS Data'!$E$2:$AJ$2,0),0)</f>
        <v>34.218016826127695</v>
      </c>
      <c r="L34" s="92">
        <f>VLOOKUP($B34,'DCS Data'!$E$2:$AJ$100,MATCH('Daily Report'!L$1,'DCS Data'!$E$2:$AJ$2,0),0)</f>
        <v>33.08319875018293</v>
      </c>
      <c r="M34" s="92">
        <f>VLOOKUP($B34,'DCS Data'!$E$2:$AJ$100,MATCH('Daily Report'!M$1,'DCS Data'!$E$2:$AJ$2,0),0)</f>
        <v>32.02184371493037</v>
      </c>
      <c r="N34" s="92">
        <f>VLOOKUP($B34,'DCS Data'!$E$2:$AJ$100,MATCH('Daily Report'!N$1,'DCS Data'!$E$2:$AJ$2,0),0)</f>
        <v>32.210174410865839</v>
      </c>
      <c r="O34" s="92">
        <f>VLOOKUP($B34,'DCS Data'!$E$2:$AJ$100,MATCH('Daily Report'!O$1,'DCS Data'!$E$2:$AJ$2,0),0)</f>
        <v>32.276262541877266</v>
      </c>
      <c r="P34" s="92">
        <f>VLOOKUP($B34,'DCS Data'!$E$2:$AJ$100,MATCH('Daily Report'!P$1,'DCS Data'!$E$2:$AJ$2,0),0)</f>
        <v>32.325022880227621</v>
      </c>
      <c r="Q34" s="92">
        <f>VLOOKUP($B34,'DCS Data'!$E$2:$AJ$100,MATCH('Daily Report'!Q$1,'DCS Data'!$E$2:$AJ$2,0),0)</f>
        <v>32.860623197549955</v>
      </c>
      <c r="R34" s="92">
        <f>VLOOKUP($B34,'DCS Data'!$E$2:$AJ$100,MATCH('Daily Report'!R$1,'DCS Data'!$E$2:$AJ$2,0),0)</f>
        <v>32.386852165057334</v>
      </c>
      <c r="S34" s="92">
        <f>VLOOKUP($B34,'DCS Data'!$E$2:$AJ$100,MATCH('Daily Report'!S$1,'DCS Data'!$E$2:$AJ$2,0),0)</f>
        <v>32.514521979758982</v>
      </c>
      <c r="T34" s="92">
        <f>VLOOKUP($B34,'DCS Data'!$E$2:$AJ$100,MATCH('Daily Report'!T$1,'DCS Data'!$E$2:$AJ$2,0),0)</f>
        <v>32.084796364145987</v>
      </c>
      <c r="U34" s="92">
        <f>VLOOKUP($B34,'DCS Data'!$E$2:$AJ$100,MATCH('Daily Report'!U$1,'DCS Data'!$E$2:$AJ$2,0),0)</f>
        <v>31.769090745647521</v>
      </c>
      <c r="V34" s="92">
        <f>VLOOKUP($B34,'DCS Data'!$E$2:$AJ$100,MATCH('Daily Report'!V$1,'DCS Data'!$E$2:$AJ$2,0),0)</f>
        <v>31.277299381132536</v>
      </c>
      <c r="W34" s="92">
        <f>VLOOKUP($B34,'DCS Data'!$E$2:$AJ$100,MATCH('Daily Report'!W$1,'DCS Data'!$E$2:$AJ$2,0),0)</f>
        <v>31.105049505044342</v>
      </c>
      <c r="X34" s="92">
        <f>VLOOKUP($B34,'DCS Data'!$E$2:$AJ$100,MATCH('Daily Report'!X$1,'DCS Data'!$E$2:$AJ$2,0),0)</f>
        <v>30.415613602550998</v>
      </c>
      <c r="Y34" s="92">
        <f>VLOOKUP($B34,'DCS Data'!$E$2:$AJ$100,MATCH('Daily Report'!Y$1,'DCS Data'!$E$2:$AJ$2,0),0)</f>
        <v>29.472775469729154</v>
      </c>
      <c r="Z34" s="92">
        <f>VLOOKUP($B34,'DCS Data'!$E$2:$AJ$100,MATCH('Daily Report'!Z$1,'DCS Data'!$E$2:$AJ$2,0),0)</f>
        <v>28.8545023777422</v>
      </c>
      <c r="AA34" s="92">
        <f>VLOOKUP($B34,'DCS Data'!$E$2:$AJ$100,MATCH('Daily Report'!AA$1,'DCS Data'!$E$2:$AJ$2,0),0)</f>
        <v>30.346150582210182</v>
      </c>
      <c r="AB34" s="92">
        <f>VLOOKUP($B34,'DCS Data'!$E$2:$AJ$100,MATCH('Daily Report'!AB$1,'DCS Data'!$E$2:$AJ$2,0),0)</f>
        <v>31.216799055598063</v>
      </c>
      <c r="AC34" s="92">
        <f>VLOOKUP($B34,'DCS Data'!$E$2:$AJ$100,MATCH('Daily Report'!AC$1,'DCS Data'!$E$2:$AJ$2,0),0)</f>
        <v>32.893785762588372</v>
      </c>
      <c r="AD34" s="92">
        <f>VLOOKUP($B34,'DCS Data'!$E$2:$AJ$100,MATCH('Daily Report'!AD$1,'DCS Data'!$E$2:$AJ$2,0),0)</f>
        <v>33.499515471389579</v>
      </c>
      <c r="AE34" s="92">
        <f>VLOOKUP($B34,'DCS Data'!$E$2:$AJ$100,MATCH('Daily Report'!AE$1,'DCS Data'!$E$2:$AJ$2,0),0)</f>
        <v>33.575397095080156</v>
      </c>
      <c r="AF34" s="92">
        <f>VLOOKUP($B34,'DCS Data'!$E$2:$AJ$100,MATCH('Daily Report'!AF$1,'DCS Data'!$E$2:$AJ$2,0),0)</f>
        <v>33.683300757878911</v>
      </c>
      <c r="AG34" s="92">
        <f>VLOOKUP($B34,'DCS Data'!$E$2:$AJ$100,MATCH('Daily Report'!AG$1,'DCS Data'!$E$2:$AJ$2,0),0)</f>
        <v>33.89660854142236</v>
      </c>
      <c r="AH34" s="92">
        <f>VLOOKUP($B34,'DCS Data'!$E$2:$AJ$100,MATCH('Daily Report'!AH$1,'DCS Data'!$E$2:$AJ$2,0),0)</f>
        <v>34.08165280318179</v>
      </c>
      <c r="AI34" s="92">
        <f>VLOOKUP($B34,'DCS Data'!$E$2:$AJ$100,MATCH('Daily Report'!AI$1,'DCS Data'!$E$2:$AJ$2,0),0)</f>
        <v>34.137107039072994</v>
      </c>
      <c r="AJ34" s="92">
        <f>VLOOKUP($B34,'DCS Data'!$E$2:$AJ$100,MATCH('Daily Report'!AJ$1,'DCS Data'!$E$2:$AJ$2,0),0)</f>
        <v>33.530558177816332</v>
      </c>
      <c r="AK34" s="92">
        <f>VLOOKUP($B34,'DCS Data'!$E$2:$AJ$100,MATCH('Daily Report'!AK$1,'DCS Data'!$E$2:$AJ$2,0),0)</f>
        <v>33.408085320665379</v>
      </c>
      <c r="AL34" s="92">
        <f>VLOOKUP($B34,'DCS Data'!$E$2:$AJ$100,MATCH('Daily Report'!AL$1,'DCS Data'!$E$2:$AJ$2,0),0)</f>
        <v>33.053017150265653</v>
      </c>
      <c r="AM34" s="92">
        <f>VLOOKUP($B34,'DCS Data'!$E$2:$AJ$100,MATCH('Daily Report'!AM$1,'DCS Data'!$E$2:$AJ$2,0),0)</f>
        <v>33.442721680406251</v>
      </c>
      <c r="AN34" s="92">
        <f>VLOOKUP($B34,'DCS Data'!$E$2:$AJ$100,MATCH('Daily Report'!AN$1,'DCS Data'!$E$2:$AJ$2,0),0)</f>
        <v>33.505228238662873</v>
      </c>
      <c r="AO34" s="214"/>
      <c r="AP34" s="214"/>
      <c r="AQ34" s="214"/>
      <c r="AR34" s="214"/>
      <c r="AS34" s="214"/>
      <c r="AT34" s="214"/>
      <c r="AU34" s="214"/>
      <c r="AV34" s="214"/>
      <c r="AW34" s="214"/>
      <c r="AX34" s="214"/>
      <c r="AY34" s="214"/>
      <c r="AZ34" s="214"/>
      <c r="BA34" s="214"/>
      <c r="BB34" s="214"/>
      <c r="BC34" s="214"/>
      <c r="BD34" s="214"/>
      <c r="BE34" s="214"/>
      <c r="BF34" s="214"/>
      <c r="BG34" s="214"/>
      <c r="BH34" s="214"/>
      <c r="BI34" s="214"/>
      <c r="BJ34" s="214"/>
      <c r="BK34" s="214"/>
      <c r="BL34" s="214"/>
      <c r="BM34" s="214"/>
      <c r="BN34" s="214"/>
      <c r="BO34" s="214"/>
      <c r="BP34" s="214"/>
      <c r="BQ34" s="214"/>
      <c r="BR34" s="214"/>
      <c r="BS34" s="214"/>
      <c r="BT34" s="214"/>
      <c r="BU34" s="214"/>
      <c r="BV34" s="214"/>
      <c r="BW34" s="214"/>
      <c r="BX34" s="214"/>
      <c r="BY34" s="214"/>
      <c r="BZ34" s="214"/>
      <c r="CA34" s="214"/>
      <c r="CB34" s="214"/>
      <c r="CC34" s="214"/>
      <c r="CD34" s="214"/>
      <c r="CE34" s="214"/>
      <c r="CF34" s="214"/>
      <c r="CG34" s="214"/>
      <c r="CH34" s="214"/>
      <c r="CI34" s="214"/>
      <c r="CJ34" s="214"/>
      <c r="CK34" s="214"/>
      <c r="CL34" s="214"/>
      <c r="CM34" s="214"/>
      <c r="CN34" s="214"/>
      <c r="CO34" s="214"/>
      <c r="CP34" s="214"/>
      <c r="CQ34" s="214"/>
      <c r="CR34" s="214"/>
      <c r="CS34" s="214"/>
      <c r="CT34" s="214"/>
      <c r="CU34" s="214"/>
      <c r="CV34" s="214"/>
      <c r="CW34" s="214"/>
      <c r="CX34" s="214"/>
      <c r="CY34" s="214"/>
      <c r="CZ34" s="214"/>
      <c r="DA34" s="214"/>
      <c r="DB34" s="214"/>
      <c r="DC34" s="214"/>
      <c r="DD34" s="214"/>
      <c r="DE34" s="214"/>
      <c r="DF34" s="214"/>
      <c r="DG34" s="214"/>
      <c r="DH34" s="214"/>
      <c r="DI34" s="214"/>
      <c r="DJ34" s="214"/>
      <c r="DK34" s="214"/>
      <c r="DL34" s="214"/>
      <c r="DM34" s="214"/>
      <c r="DN34" s="214"/>
      <c r="DO34" s="214"/>
      <c r="DP34" s="214"/>
      <c r="DQ34" s="214"/>
      <c r="DR34" s="214"/>
      <c r="DS34" s="214"/>
      <c r="DT34" s="214"/>
      <c r="DU34" s="214"/>
      <c r="DV34" s="214"/>
      <c r="DW34" s="214"/>
      <c r="DX34" s="214"/>
      <c r="DY34" s="214"/>
      <c r="DZ34" s="214"/>
      <c r="EA34" s="214"/>
      <c r="EB34" s="214"/>
      <c r="EC34" s="214"/>
      <c r="ED34" s="214"/>
      <c r="EE34" s="214"/>
      <c r="EF34" s="214"/>
      <c r="EG34" s="214"/>
      <c r="EH34" s="214"/>
      <c r="EI34" s="214"/>
      <c r="EJ34" s="214"/>
      <c r="EK34" s="214"/>
      <c r="EL34" s="214"/>
      <c r="EM34" s="214"/>
      <c r="EN34" s="214"/>
      <c r="EO34" s="214"/>
      <c r="EP34" s="214"/>
      <c r="EQ34" s="214"/>
      <c r="ER34" s="214"/>
      <c r="ES34" s="214"/>
      <c r="ET34" s="214"/>
      <c r="EU34" s="214"/>
      <c r="EV34" s="214"/>
      <c r="EW34" s="214"/>
      <c r="EX34" s="214"/>
      <c r="EY34" s="214"/>
      <c r="EZ34" s="214"/>
      <c r="FA34" s="214"/>
      <c r="FB34" s="214"/>
      <c r="FC34" s="214"/>
      <c r="FD34" s="214"/>
      <c r="FE34" s="214"/>
      <c r="FF34" s="214"/>
      <c r="FG34" s="214"/>
      <c r="FH34" s="214"/>
      <c r="FI34" s="214"/>
      <c r="FJ34" s="214"/>
      <c r="FK34" s="214"/>
      <c r="FL34" s="214"/>
      <c r="FM34" s="214"/>
      <c r="FN34" s="214"/>
      <c r="FO34" s="214"/>
      <c r="FP34" s="214"/>
      <c r="FQ34" s="214"/>
      <c r="FR34" s="214"/>
      <c r="FS34" s="214"/>
      <c r="FT34" s="214"/>
      <c r="FU34" s="214"/>
      <c r="FV34" s="214"/>
      <c r="FW34" s="214"/>
      <c r="FX34" s="214"/>
      <c r="FY34" s="214"/>
      <c r="FZ34" s="214"/>
      <c r="GA34" s="214"/>
      <c r="GB34" s="214"/>
      <c r="GC34" s="214"/>
      <c r="GD34" s="214"/>
      <c r="GE34" s="214"/>
      <c r="GF34" s="214"/>
      <c r="GG34" s="214"/>
      <c r="GH34" s="214"/>
      <c r="GI34" s="214"/>
      <c r="GJ34" s="214"/>
      <c r="GK34" s="214"/>
      <c r="GL34" s="214"/>
      <c r="GM34" s="214"/>
      <c r="GN34" s="214"/>
      <c r="GO34" s="214"/>
      <c r="GP34" s="214"/>
      <c r="GQ34" s="214"/>
      <c r="GR34" s="214"/>
      <c r="GS34" s="214"/>
      <c r="GT34" s="214"/>
      <c r="GU34" s="214"/>
      <c r="GV34" s="214"/>
      <c r="GW34" s="214"/>
      <c r="GX34" s="214"/>
      <c r="GY34" s="214"/>
      <c r="GZ34" s="214"/>
      <c r="HA34" s="214"/>
      <c r="HB34" s="214"/>
      <c r="HC34" s="214"/>
      <c r="HD34" s="214"/>
      <c r="HE34" s="214"/>
      <c r="HF34" s="214"/>
      <c r="HG34" s="214"/>
      <c r="HH34" s="214"/>
      <c r="HI34" s="214"/>
      <c r="HJ34" s="214"/>
      <c r="HK34" s="214"/>
      <c r="HL34" s="214"/>
      <c r="HM34" s="214"/>
      <c r="HN34" s="214"/>
      <c r="HO34" s="214"/>
      <c r="HP34" s="214"/>
      <c r="HQ34" s="214"/>
      <c r="HR34" s="214"/>
      <c r="HS34" s="214"/>
      <c r="HT34" s="214"/>
      <c r="HU34" s="214"/>
      <c r="HV34" s="214"/>
      <c r="HW34" s="214"/>
      <c r="HX34" s="214"/>
      <c r="HY34" s="214"/>
      <c r="HZ34" s="214"/>
      <c r="IA34" s="214"/>
      <c r="IB34" s="214"/>
      <c r="IC34" s="214"/>
      <c r="ID34" s="214"/>
      <c r="IE34" s="214"/>
      <c r="IF34" s="214"/>
      <c r="IG34" s="214"/>
      <c r="IH34" s="214"/>
      <c r="II34" s="214"/>
      <c r="IJ34" s="214"/>
      <c r="IK34" s="214"/>
      <c r="IL34" s="214"/>
      <c r="IM34" s="214"/>
      <c r="IN34" s="214"/>
      <c r="IO34" s="214"/>
      <c r="IP34" s="214"/>
      <c r="IQ34" s="214"/>
      <c r="IR34" s="214"/>
      <c r="IS34" s="214"/>
      <c r="IT34" s="214"/>
      <c r="IU34" s="214"/>
      <c r="IV34" s="214"/>
      <c r="IW34" s="214"/>
      <c r="IX34" s="214"/>
      <c r="IY34" s="214"/>
      <c r="IZ34" s="214"/>
      <c r="JA34" s="214"/>
      <c r="JB34" s="214"/>
      <c r="JC34" s="214"/>
      <c r="JD34" s="214"/>
      <c r="JE34" s="214"/>
      <c r="JF34" s="214"/>
      <c r="JG34" s="214"/>
      <c r="JH34" s="214"/>
      <c r="JI34" s="214"/>
      <c r="JJ34" s="214"/>
      <c r="JK34" s="214"/>
      <c r="JL34" s="214"/>
      <c r="JM34" s="214"/>
      <c r="JN34" s="214"/>
      <c r="JO34" s="214"/>
      <c r="JP34" s="214"/>
      <c r="JQ34" s="214"/>
      <c r="JR34" s="214"/>
      <c r="JS34" s="214"/>
      <c r="JT34" s="214"/>
      <c r="JU34" s="214"/>
      <c r="JV34" s="214"/>
      <c r="JW34" s="214"/>
      <c r="JX34" s="214"/>
      <c r="JY34" s="214"/>
      <c r="JZ34" s="214"/>
      <c r="KA34" s="214"/>
      <c r="KB34" s="214"/>
      <c r="KC34" s="214"/>
      <c r="KD34" s="214"/>
      <c r="KE34" s="214"/>
      <c r="KF34" s="214"/>
      <c r="KG34" s="214"/>
      <c r="KH34" s="214"/>
      <c r="KI34" s="214"/>
      <c r="KJ34" s="214"/>
      <c r="KK34" s="214"/>
      <c r="KL34" s="214"/>
      <c r="KM34" s="214"/>
      <c r="KN34" s="214"/>
      <c r="KO34" s="214"/>
      <c r="KP34" s="214"/>
      <c r="KQ34" s="214"/>
      <c r="KR34" s="214"/>
      <c r="KS34" s="214"/>
      <c r="KT34" s="214"/>
      <c r="KU34" s="214"/>
      <c r="KV34" s="214"/>
      <c r="KW34" s="214"/>
      <c r="KX34" s="214"/>
      <c r="KY34" s="214"/>
      <c r="KZ34" s="214"/>
      <c r="LA34" s="214"/>
      <c r="LB34" s="214"/>
      <c r="LC34" s="214"/>
      <c r="LD34" s="214"/>
      <c r="LE34" s="214"/>
      <c r="LF34" s="214"/>
      <c r="LG34" s="214"/>
      <c r="LH34" s="214"/>
      <c r="LI34" s="214"/>
      <c r="LJ34" s="214"/>
      <c r="LK34" s="214"/>
      <c r="LL34" s="214"/>
      <c r="LM34" s="214"/>
      <c r="LN34" s="214"/>
      <c r="LO34" s="214"/>
      <c r="LP34" s="214"/>
      <c r="LQ34" s="214"/>
      <c r="LR34" s="214"/>
      <c r="LS34" s="214"/>
      <c r="LT34" s="214"/>
      <c r="LU34" s="214"/>
      <c r="LV34" s="214"/>
      <c r="LW34" s="214"/>
      <c r="LX34" s="214"/>
      <c r="LY34" s="214"/>
      <c r="LZ34" s="214"/>
      <c r="MA34" s="214"/>
      <c r="MB34" s="214"/>
      <c r="MC34" s="214"/>
      <c r="MD34" s="214"/>
      <c r="ME34" s="214"/>
      <c r="MF34" s="214"/>
      <c r="MG34" s="214"/>
      <c r="MH34" s="214"/>
      <c r="MI34" s="214"/>
      <c r="MJ34" s="214"/>
      <c r="MK34" s="214"/>
      <c r="ML34" s="214"/>
      <c r="MM34" s="214"/>
      <c r="MN34" s="214"/>
      <c r="MO34" s="214"/>
      <c r="MP34" s="214"/>
      <c r="MQ34" s="214"/>
      <c r="MR34" s="214"/>
      <c r="MS34" s="214"/>
      <c r="MT34" s="214"/>
      <c r="MU34" s="214"/>
      <c r="MV34" s="214"/>
      <c r="MW34" s="214"/>
      <c r="MX34" s="214"/>
      <c r="MY34" s="214"/>
      <c r="MZ34" s="214"/>
      <c r="NA34" s="214"/>
      <c r="NB34" s="214"/>
      <c r="NC34" s="214"/>
      <c r="ND34" s="214"/>
      <c r="NE34" s="214"/>
      <c r="NF34" s="214"/>
      <c r="NG34" s="214"/>
      <c r="NH34" s="214"/>
      <c r="NI34" s="214"/>
      <c r="NJ34" s="214"/>
      <c r="NK34" s="214"/>
      <c r="NL34" s="214"/>
      <c r="NM34" s="214"/>
      <c r="NN34" s="214"/>
      <c r="NO34" s="214"/>
      <c r="NP34" s="214"/>
      <c r="NQ34" s="214"/>
      <c r="NR34" s="214"/>
      <c r="NS34" s="214"/>
      <c r="NT34" s="214"/>
      <c r="NU34" s="214"/>
      <c r="NV34" s="214"/>
      <c r="NW34" s="214"/>
      <c r="NX34" s="214"/>
      <c r="NY34" s="214"/>
      <c r="NZ34" s="214"/>
      <c r="OA34" s="214"/>
      <c r="OB34" s="214"/>
      <c r="OC34" s="214"/>
      <c r="OD34" s="214"/>
      <c r="OE34" s="214"/>
      <c r="OF34" s="214"/>
      <c r="OG34" s="214"/>
      <c r="OH34" s="214"/>
      <c r="OI34" s="214"/>
      <c r="OJ34" s="214"/>
      <c r="OK34" s="214"/>
      <c r="OL34" s="214"/>
      <c r="OM34" s="214"/>
      <c r="ON34" s="214"/>
      <c r="OO34" s="214"/>
      <c r="OP34" s="214"/>
      <c r="OQ34" s="214"/>
      <c r="OR34" s="214"/>
      <c r="OS34" s="214"/>
      <c r="OT34" s="214"/>
      <c r="OU34" s="214"/>
      <c r="OV34" s="214"/>
      <c r="OW34" s="214"/>
      <c r="OX34" s="214"/>
      <c r="OY34" s="214"/>
      <c r="OZ34" s="214"/>
      <c r="PA34" s="214"/>
      <c r="PB34" s="214"/>
      <c r="PC34" s="214"/>
      <c r="PD34" s="214"/>
      <c r="PE34" s="214"/>
      <c r="PF34" s="214"/>
      <c r="PG34" s="214"/>
      <c r="PH34" s="214"/>
      <c r="PI34" s="214"/>
      <c r="PJ34" s="214"/>
      <c r="PK34" s="214"/>
      <c r="PL34" s="214"/>
      <c r="PM34" s="214"/>
      <c r="PN34" s="214"/>
      <c r="PO34" s="214"/>
      <c r="PP34" s="214"/>
      <c r="PQ34" s="214"/>
      <c r="PR34" s="214"/>
      <c r="PS34" s="214"/>
      <c r="PT34" s="214"/>
      <c r="PU34" s="214"/>
      <c r="PV34" s="214"/>
      <c r="PW34" s="214"/>
      <c r="PX34" s="214"/>
      <c r="PY34" s="214"/>
      <c r="PZ34" s="214"/>
      <c r="QA34" s="214"/>
      <c r="QB34" s="214"/>
      <c r="QC34" s="214"/>
      <c r="QD34" s="214"/>
      <c r="QE34" s="214"/>
      <c r="QF34" s="214"/>
      <c r="QG34" s="214"/>
      <c r="QH34" s="214"/>
      <c r="QI34" s="214"/>
      <c r="QJ34" s="214"/>
      <c r="QK34" s="214"/>
      <c r="QL34" s="214"/>
      <c r="QM34" s="214"/>
      <c r="QN34" s="214"/>
      <c r="QO34" s="214"/>
      <c r="QP34" s="214"/>
      <c r="QQ34" s="214"/>
      <c r="QR34" s="214"/>
      <c r="QS34" s="214"/>
      <c r="QT34" s="214"/>
      <c r="QU34" s="214"/>
      <c r="QV34" s="214"/>
      <c r="QW34" s="214"/>
      <c r="QX34" s="214"/>
      <c r="QY34" s="214"/>
      <c r="QZ34" s="214"/>
      <c r="RA34" s="214"/>
      <c r="RB34" s="214"/>
      <c r="RC34" s="214"/>
      <c r="RD34" s="214"/>
      <c r="RE34" s="214"/>
      <c r="RF34" s="214"/>
      <c r="RG34" s="214"/>
      <c r="RH34" s="214"/>
      <c r="RI34" s="214"/>
      <c r="RJ34" s="214"/>
      <c r="RK34" s="214"/>
      <c r="RL34" s="214"/>
      <c r="RM34" s="214"/>
      <c r="RN34" s="214"/>
      <c r="RO34" s="214"/>
      <c r="RP34" s="214"/>
      <c r="RQ34" s="214"/>
      <c r="RR34" s="214"/>
      <c r="RS34" s="214"/>
      <c r="RT34" s="214"/>
      <c r="RU34" s="214"/>
      <c r="RV34" s="214"/>
      <c r="RW34" s="214"/>
      <c r="RX34" s="214"/>
      <c r="RY34" s="214"/>
      <c r="RZ34" s="214"/>
      <c r="SA34" s="214"/>
      <c r="SB34" s="214"/>
      <c r="SC34" s="214"/>
      <c r="SD34" s="214"/>
      <c r="SE34" s="214"/>
      <c r="SF34" s="214"/>
      <c r="SG34" s="214"/>
      <c r="SH34" s="214"/>
      <c r="SI34" s="214"/>
      <c r="SJ34" s="214"/>
      <c r="SK34" s="214"/>
      <c r="SL34" s="214"/>
      <c r="SM34" s="214"/>
      <c r="SN34" s="214"/>
      <c r="SO34" s="214"/>
      <c r="SP34" s="214"/>
      <c r="SQ34" s="214"/>
      <c r="SR34" s="214"/>
      <c r="SS34" s="214"/>
      <c r="ST34" s="214"/>
      <c r="SU34" s="214"/>
      <c r="SV34" s="214"/>
      <c r="SW34" s="214"/>
      <c r="SX34" s="214"/>
      <c r="SY34" s="214"/>
      <c r="SZ34" s="214"/>
      <c r="TA34" s="214"/>
      <c r="TB34" s="214"/>
      <c r="TC34" s="214"/>
      <c r="TD34" s="214"/>
      <c r="TE34" s="214"/>
      <c r="TF34" s="214"/>
      <c r="TG34" s="214"/>
      <c r="TH34" s="214"/>
      <c r="TI34" s="214"/>
      <c r="TJ34" s="214"/>
      <c r="TK34" s="214"/>
      <c r="TL34" s="214"/>
      <c r="TM34" s="214"/>
      <c r="TN34" s="214"/>
      <c r="TO34" s="214"/>
      <c r="TP34" s="214"/>
      <c r="TQ34" s="214"/>
      <c r="TR34" s="214"/>
      <c r="TS34" s="214"/>
      <c r="TT34" s="214"/>
      <c r="TU34" s="214"/>
      <c r="TV34" s="214"/>
      <c r="TW34" s="214"/>
      <c r="TX34" s="214"/>
      <c r="TY34" s="214"/>
      <c r="TZ34" s="214"/>
      <c r="UA34" s="214"/>
      <c r="UB34" s="214"/>
      <c r="UC34" s="214"/>
      <c r="UD34" s="214"/>
      <c r="UE34" s="214"/>
      <c r="UF34" s="214"/>
      <c r="UG34" s="214"/>
      <c r="UH34" s="214"/>
      <c r="UI34" s="214"/>
      <c r="UJ34" s="214"/>
      <c r="UK34" s="214"/>
      <c r="UL34" s="214"/>
      <c r="UM34" s="214"/>
      <c r="UN34" s="214"/>
      <c r="UO34" s="214"/>
      <c r="UP34" s="214"/>
      <c r="UQ34" s="214"/>
      <c r="UR34" s="214"/>
      <c r="US34" s="214"/>
      <c r="UT34" s="214"/>
      <c r="UU34" s="214"/>
      <c r="UV34" s="214"/>
      <c r="UW34" s="214"/>
      <c r="UX34" s="214"/>
      <c r="UY34" s="214"/>
      <c r="UZ34" s="214"/>
      <c r="VA34" s="214"/>
      <c r="VB34" s="214"/>
      <c r="VC34" s="214"/>
      <c r="VD34" s="214"/>
      <c r="VE34" s="214"/>
      <c r="VF34" s="214"/>
      <c r="VG34" s="214"/>
      <c r="VH34" s="214"/>
      <c r="VI34" s="214"/>
      <c r="VJ34" s="214"/>
      <c r="VK34" s="214"/>
      <c r="VL34" s="214"/>
      <c r="VM34" s="214"/>
      <c r="VN34" s="214"/>
      <c r="VO34" s="214"/>
      <c r="VP34" s="214"/>
      <c r="VQ34" s="214"/>
      <c r="VR34" s="214"/>
      <c r="VS34" s="214"/>
      <c r="VT34" s="214"/>
      <c r="VU34" s="214"/>
      <c r="VV34" s="214"/>
      <c r="VW34" s="214"/>
      <c r="VX34" s="214"/>
      <c r="VY34" s="214"/>
      <c r="VZ34" s="214"/>
      <c r="WA34" s="214"/>
      <c r="WB34" s="214"/>
      <c r="WC34" s="214"/>
      <c r="WD34" s="214"/>
      <c r="WE34" s="214"/>
      <c r="WF34" s="214"/>
      <c r="WG34" s="214"/>
      <c r="WH34" s="214"/>
      <c r="WI34" s="214"/>
      <c r="WJ34" s="214"/>
      <c r="WK34" s="214"/>
      <c r="WL34" s="214"/>
      <c r="WM34" s="214"/>
      <c r="WN34" s="214"/>
      <c r="WO34" s="214"/>
      <c r="WP34" s="214"/>
      <c r="WQ34" s="214"/>
      <c r="WR34" s="214"/>
      <c r="WS34" s="214"/>
      <c r="WT34" s="214"/>
      <c r="WU34" s="214"/>
      <c r="WV34" s="214"/>
      <c r="WW34" s="214"/>
      <c r="WX34" s="214"/>
      <c r="WY34" s="214"/>
      <c r="WZ34" s="214"/>
      <c r="XA34" s="214"/>
      <c r="XB34" s="214"/>
      <c r="XC34" s="214"/>
      <c r="XD34" s="214"/>
      <c r="XE34" s="214"/>
      <c r="XF34" s="214"/>
      <c r="XG34" s="214"/>
      <c r="XH34" s="214"/>
      <c r="XI34" s="214"/>
      <c r="XJ34" s="214"/>
      <c r="XK34" s="214"/>
      <c r="XL34" s="214"/>
      <c r="XM34" s="214"/>
      <c r="XN34" s="214"/>
      <c r="XO34" s="214"/>
      <c r="XP34" s="214"/>
      <c r="XQ34" s="214"/>
      <c r="XR34" s="214"/>
      <c r="XS34" s="214"/>
      <c r="XT34" s="214"/>
      <c r="XU34" s="214"/>
      <c r="XV34" s="214"/>
      <c r="XW34" s="214"/>
      <c r="XX34" s="214"/>
      <c r="XY34" s="214"/>
      <c r="XZ34" s="214"/>
      <c r="YA34" s="214"/>
      <c r="YB34" s="214"/>
      <c r="YC34" s="214"/>
      <c r="YD34" s="214"/>
      <c r="YE34" s="214"/>
      <c r="YF34" s="214"/>
      <c r="YG34" s="214"/>
      <c r="YH34" s="214"/>
      <c r="YI34" s="214"/>
      <c r="YJ34" s="214"/>
      <c r="YK34" s="214"/>
      <c r="YL34" s="214"/>
      <c r="YM34" s="214"/>
      <c r="YN34" s="214"/>
      <c r="YO34" s="214"/>
      <c r="YP34" s="214"/>
      <c r="YQ34" s="214"/>
      <c r="YR34" s="214"/>
      <c r="YS34" s="214"/>
      <c r="YT34" s="214"/>
      <c r="YU34" s="214"/>
      <c r="YV34" s="214"/>
      <c r="YW34" s="214"/>
      <c r="YX34" s="214"/>
      <c r="YY34" s="214"/>
      <c r="YZ34" s="214"/>
      <c r="ZA34" s="214"/>
      <c r="ZB34" s="214"/>
      <c r="ZC34" s="214"/>
      <c r="ZD34" s="214"/>
      <c r="ZE34" s="214"/>
      <c r="ZF34" s="214"/>
      <c r="ZG34" s="214"/>
      <c r="ZH34" s="214"/>
      <c r="ZI34" s="214"/>
      <c r="ZJ34" s="214"/>
      <c r="ZK34" s="214"/>
      <c r="ZL34" s="214"/>
      <c r="ZM34" s="214"/>
      <c r="ZN34" s="214"/>
      <c r="ZO34" s="214"/>
      <c r="ZP34" s="214"/>
      <c r="ZQ34" s="214"/>
      <c r="ZR34" s="214"/>
      <c r="ZS34" s="214"/>
      <c r="ZT34" s="214"/>
      <c r="ZU34" s="214"/>
      <c r="ZV34" s="214"/>
      <c r="ZW34" s="214"/>
      <c r="ZX34" s="214"/>
      <c r="ZY34" s="214"/>
      <c r="ZZ34" s="214"/>
      <c r="AAA34" s="214"/>
      <c r="AAB34" s="214"/>
      <c r="AAC34" s="214"/>
      <c r="AAD34" s="214"/>
      <c r="AAE34" s="214"/>
      <c r="AAF34" s="214"/>
      <c r="AAG34" s="214"/>
      <c r="AAH34" s="214"/>
      <c r="AAI34" s="214"/>
      <c r="AAJ34" s="214"/>
      <c r="AAK34" s="214"/>
      <c r="AAL34" s="214"/>
      <c r="AAM34" s="214"/>
      <c r="AAN34" s="214"/>
      <c r="AAO34" s="214"/>
      <c r="AAP34" s="214"/>
      <c r="AAQ34" s="214"/>
      <c r="AAR34" s="214"/>
      <c r="AAS34" s="214"/>
      <c r="AAT34" s="214"/>
      <c r="AAU34" s="214"/>
      <c r="AAV34" s="214"/>
      <c r="AAW34" s="214"/>
      <c r="AAX34" s="214"/>
      <c r="AAY34" s="214"/>
      <c r="AAZ34" s="214"/>
      <c r="ABA34" s="214"/>
      <c r="ABB34" s="214"/>
      <c r="ABC34" s="214"/>
      <c r="ABD34" s="214"/>
      <c r="ABE34" s="214"/>
      <c r="ABF34" s="214"/>
      <c r="ABG34" s="214"/>
      <c r="ABH34" s="214"/>
      <c r="ABI34" s="214"/>
      <c r="ABJ34" s="214"/>
      <c r="ABK34" s="214"/>
      <c r="ABL34" s="214"/>
      <c r="ABM34" s="214"/>
      <c r="ABN34" s="214"/>
      <c r="ABO34" s="214"/>
      <c r="ABP34" s="214"/>
      <c r="ABQ34" s="214"/>
      <c r="ABR34" s="214"/>
      <c r="ABS34" s="214"/>
      <c r="ABT34" s="214"/>
      <c r="ABU34" s="214"/>
      <c r="ABV34" s="214"/>
      <c r="ABW34" s="214"/>
      <c r="ABX34" s="214"/>
      <c r="ABY34" s="214"/>
      <c r="ABZ34" s="214"/>
      <c r="ACA34" s="214"/>
      <c r="ACB34" s="214"/>
      <c r="ACC34" s="214"/>
      <c r="ACD34" s="214"/>
      <c r="ACE34" s="214"/>
      <c r="ACF34" s="214"/>
      <c r="ACG34" s="214"/>
      <c r="ACH34" s="214"/>
      <c r="ACI34" s="214"/>
      <c r="ACJ34" s="214"/>
      <c r="ACK34" s="214"/>
      <c r="ACL34" s="214"/>
      <c r="ACM34" s="214"/>
      <c r="ACN34" s="214"/>
      <c r="ACO34" s="214"/>
      <c r="ACP34" s="214"/>
      <c r="ACQ34" s="214"/>
      <c r="ACR34" s="214"/>
      <c r="ACS34" s="214"/>
      <c r="ACT34" s="214"/>
      <c r="ACU34" s="214"/>
      <c r="ACV34" s="214"/>
      <c r="ACW34" s="214"/>
      <c r="ACX34" s="214"/>
      <c r="ACY34" s="214"/>
      <c r="ACZ34" s="214"/>
      <c r="ADA34" s="214"/>
      <c r="ADB34" s="214"/>
      <c r="ADC34" s="214"/>
      <c r="ADD34" s="214"/>
      <c r="ADE34" s="214"/>
      <c r="ADF34" s="214"/>
      <c r="ADG34" s="214"/>
      <c r="ADH34" s="214"/>
      <c r="ADI34" s="214"/>
      <c r="ADJ34" s="214"/>
      <c r="ADK34" s="214"/>
      <c r="ADL34" s="214"/>
      <c r="ADM34" s="214"/>
      <c r="ADN34" s="214"/>
      <c r="ADO34" s="214"/>
      <c r="ADP34" s="214"/>
      <c r="ADQ34" s="214"/>
      <c r="ADR34" s="214"/>
      <c r="ADS34" s="214"/>
      <c r="ADT34" s="214"/>
      <c r="ADU34" s="214"/>
      <c r="ADV34" s="214"/>
      <c r="ADW34" s="214"/>
      <c r="ADX34" s="214"/>
      <c r="ADY34" s="214"/>
      <c r="ADZ34" s="214"/>
      <c r="AEA34" s="214"/>
      <c r="AEB34" s="214"/>
      <c r="AEC34" s="214"/>
      <c r="AED34" s="214"/>
      <c r="AEE34" s="214"/>
      <c r="AEF34" s="214"/>
      <c r="AEG34" s="214"/>
      <c r="AEH34" s="214"/>
      <c r="AEI34" s="214"/>
      <c r="AEJ34" s="214"/>
      <c r="AEK34" s="214"/>
      <c r="AEL34" s="214"/>
      <c r="AEM34" s="214"/>
      <c r="AEN34" s="214"/>
      <c r="AEO34" s="214"/>
      <c r="AEP34" s="214"/>
      <c r="AEQ34" s="214"/>
      <c r="AER34" s="214"/>
      <c r="AES34" s="214"/>
      <c r="AET34" s="214"/>
      <c r="AEU34" s="214"/>
      <c r="AEV34" s="214"/>
      <c r="AEW34" s="214"/>
      <c r="AEX34" s="214"/>
      <c r="AEY34" s="214"/>
      <c r="AEZ34" s="214"/>
      <c r="AFA34" s="214"/>
      <c r="AFB34" s="214"/>
      <c r="AFC34" s="214"/>
      <c r="AFD34" s="214"/>
      <c r="AFE34" s="214"/>
      <c r="AFF34" s="214"/>
      <c r="AFG34" s="214"/>
      <c r="AFH34" s="214"/>
      <c r="AFI34" s="214"/>
      <c r="AFJ34" s="214"/>
      <c r="AFK34" s="214"/>
      <c r="AFL34" s="214"/>
      <c r="AFM34" s="214"/>
      <c r="AFN34" s="214"/>
      <c r="AFO34" s="214"/>
      <c r="AFP34" s="214"/>
      <c r="AFQ34" s="214"/>
      <c r="AFR34" s="214"/>
      <c r="AFS34" s="214"/>
      <c r="AFT34" s="214"/>
      <c r="AFU34" s="214"/>
      <c r="AFV34" s="214"/>
      <c r="AFW34" s="214"/>
      <c r="AFX34" s="214"/>
      <c r="AFY34" s="214"/>
      <c r="AFZ34" s="214"/>
      <c r="AGA34" s="214"/>
      <c r="AGB34" s="214"/>
      <c r="AGC34" s="214"/>
      <c r="AGD34" s="214"/>
      <c r="AGE34" s="214"/>
      <c r="AGF34" s="214"/>
      <c r="AGG34" s="214"/>
      <c r="AGH34" s="214"/>
      <c r="AGI34" s="214"/>
      <c r="AGJ34" s="214"/>
      <c r="AGK34" s="214"/>
      <c r="AGL34" s="214"/>
      <c r="AGM34" s="214"/>
      <c r="AGN34" s="214"/>
      <c r="AGO34" s="214"/>
      <c r="AGP34" s="214"/>
      <c r="AGQ34" s="214"/>
      <c r="AGR34" s="214"/>
      <c r="AGS34" s="214"/>
      <c r="AGT34" s="214"/>
      <c r="AGU34" s="214"/>
      <c r="AGV34" s="214"/>
      <c r="AGW34" s="214"/>
      <c r="AGX34" s="214"/>
      <c r="AGY34" s="214"/>
      <c r="AGZ34" s="214"/>
      <c r="AHA34" s="214"/>
      <c r="AHB34" s="214"/>
      <c r="AHC34" s="214"/>
      <c r="AHD34" s="214"/>
      <c r="AHE34" s="214"/>
      <c r="AHF34" s="214"/>
      <c r="AHG34" s="214"/>
      <c r="AHH34" s="214"/>
      <c r="AHI34" s="214"/>
      <c r="AHJ34" s="214"/>
      <c r="AHK34" s="214"/>
      <c r="AHL34" s="214"/>
      <c r="AHM34" s="214"/>
      <c r="AHN34" s="214"/>
      <c r="AHO34" s="214"/>
      <c r="AHP34" s="214"/>
      <c r="AHQ34" s="214"/>
      <c r="AHR34" s="214"/>
      <c r="AHS34" s="214"/>
      <c r="AHT34" s="214"/>
      <c r="AHU34" s="214"/>
      <c r="AHV34" s="214"/>
      <c r="AHW34" s="214"/>
      <c r="AHX34" s="214"/>
      <c r="AHY34" s="214"/>
      <c r="AHZ34" s="214"/>
      <c r="AIA34" s="214"/>
      <c r="AIB34" s="214"/>
      <c r="AIC34" s="214"/>
      <c r="AID34" s="214"/>
      <c r="AIE34" s="214"/>
      <c r="AIF34" s="214"/>
      <c r="AIG34" s="214"/>
      <c r="AIH34" s="214"/>
      <c r="AII34" s="214"/>
      <c r="AIJ34" s="214"/>
      <c r="AIK34" s="214"/>
      <c r="AIL34" s="214"/>
      <c r="AIM34" s="214"/>
      <c r="AIN34" s="214"/>
      <c r="AIO34" s="214"/>
      <c r="AIP34" s="214"/>
      <c r="AIQ34" s="214"/>
      <c r="AIR34" s="214"/>
      <c r="AIS34" s="214"/>
      <c r="AIT34" s="214"/>
      <c r="AIU34" s="214"/>
      <c r="AIV34" s="214"/>
      <c r="AIW34" s="214"/>
      <c r="AIX34" s="214"/>
      <c r="AIY34" s="214"/>
      <c r="AIZ34" s="214"/>
      <c r="AJA34" s="214"/>
      <c r="AJB34" s="214"/>
      <c r="AJC34" s="214"/>
      <c r="AJD34" s="214"/>
      <c r="AJE34" s="214"/>
      <c r="AJF34" s="214"/>
      <c r="AJG34" s="214"/>
      <c r="AJH34" s="214"/>
      <c r="AJI34" s="214"/>
      <c r="AJJ34" s="214"/>
      <c r="AJK34" s="214"/>
      <c r="AJL34" s="214"/>
      <c r="AJM34" s="214"/>
      <c r="AJN34" s="214"/>
      <c r="AJO34" s="214"/>
      <c r="AJP34" s="214"/>
      <c r="AJQ34" s="214"/>
      <c r="AJR34" s="214"/>
      <c r="AJS34" s="214"/>
      <c r="AJT34" s="214"/>
      <c r="AJU34" s="214"/>
      <c r="AJV34" s="214"/>
      <c r="AJW34" s="214"/>
      <c r="AJX34" s="214"/>
      <c r="AJY34" s="214"/>
      <c r="AJZ34" s="214"/>
      <c r="AKA34" s="214"/>
      <c r="AKB34" s="214"/>
      <c r="AKC34" s="214"/>
      <c r="AKD34" s="214"/>
      <c r="AKE34" s="214"/>
      <c r="AKF34" s="214"/>
      <c r="AKG34" s="214"/>
      <c r="AKH34" s="214"/>
      <c r="AKI34" s="214"/>
      <c r="AKJ34" s="214"/>
      <c r="AKK34" s="214"/>
      <c r="AKL34" s="214"/>
      <c r="AKM34" s="214"/>
      <c r="AKN34" s="214"/>
      <c r="AKO34" s="214"/>
      <c r="AKP34" s="214"/>
      <c r="AKQ34" s="214"/>
      <c r="AKR34" s="214"/>
      <c r="AKS34" s="214"/>
      <c r="AKT34" s="214"/>
      <c r="AKU34" s="214"/>
      <c r="AKV34" s="214"/>
      <c r="AKW34" s="214"/>
      <c r="AKX34" s="214"/>
      <c r="AKY34" s="214"/>
      <c r="AKZ34" s="214"/>
      <c r="ALA34" s="214"/>
      <c r="ALB34" s="214"/>
      <c r="ALC34" s="214"/>
      <c r="ALD34" s="214"/>
      <c r="ALE34" s="214"/>
      <c r="ALF34" s="214"/>
      <c r="ALG34" s="214"/>
      <c r="ALH34" s="214"/>
      <c r="ALI34" s="214"/>
      <c r="ALJ34" s="214"/>
      <c r="ALK34" s="214"/>
      <c r="ALL34" s="214"/>
      <c r="ALM34" s="214"/>
      <c r="ALN34" s="214"/>
      <c r="ALO34" s="214"/>
      <c r="ALP34" s="214"/>
      <c r="ALQ34" s="214"/>
      <c r="ALR34" s="214"/>
      <c r="ALS34" s="214"/>
      <c r="ALT34" s="214"/>
      <c r="ALU34" s="214"/>
      <c r="ALV34" s="214"/>
      <c r="ALW34" s="214"/>
      <c r="ALX34" s="214"/>
      <c r="ALY34" s="214"/>
      <c r="ALZ34" s="214"/>
      <c r="AMA34" s="214"/>
      <c r="AMB34" s="214"/>
      <c r="AMC34" s="214"/>
      <c r="AMD34" s="214"/>
      <c r="AME34" s="214"/>
      <c r="AMF34" s="214"/>
      <c r="AMG34" s="214"/>
      <c r="AMH34" s="214"/>
      <c r="AMI34" s="214"/>
      <c r="AMJ34" s="214"/>
      <c r="AMK34" s="214"/>
      <c r="AML34" s="214"/>
      <c r="AMM34" s="214"/>
      <c r="AMN34" s="214"/>
      <c r="AMO34" s="214"/>
      <c r="AMP34" s="214"/>
      <c r="AMQ34" s="214"/>
      <c r="AMR34" s="214"/>
      <c r="AMS34" s="214"/>
      <c r="AMT34" s="214"/>
      <c r="AMU34" s="214"/>
      <c r="AMV34" s="214"/>
      <c r="AMW34" s="214"/>
      <c r="AMX34" s="214"/>
      <c r="AMY34" s="214"/>
      <c r="AMZ34" s="214"/>
      <c r="ANA34" s="214"/>
      <c r="ANB34" s="214"/>
      <c r="ANC34" s="214"/>
      <c r="AND34" s="214"/>
      <c r="ANE34" s="214"/>
      <c r="ANF34" s="214"/>
      <c r="ANG34" s="214"/>
      <c r="ANH34" s="214"/>
      <c r="ANI34" s="214"/>
      <c r="ANJ34" s="214"/>
      <c r="ANK34" s="214"/>
      <c r="ANL34" s="214"/>
      <c r="ANM34" s="214"/>
      <c r="ANN34" s="214"/>
      <c r="ANO34" s="214"/>
      <c r="ANP34" s="214"/>
      <c r="ANQ34" s="214"/>
      <c r="ANR34" s="214"/>
      <c r="ANS34" s="214"/>
      <c r="ANT34" s="214"/>
      <c r="ANU34" s="214"/>
      <c r="ANV34" s="214"/>
      <c r="ANW34" s="214"/>
      <c r="ANX34" s="214"/>
      <c r="ANY34" s="214"/>
      <c r="ANZ34" s="214"/>
      <c r="AOA34" s="214"/>
      <c r="AOB34" s="214"/>
      <c r="AOC34" s="214"/>
      <c r="AOD34" s="214"/>
      <c r="AOE34" s="214"/>
      <c r="AOF34" s="214"/>
      <c r="AOG34" s="214"/>
      <c r="AOH34" s="214"/>
      <c r="AOI34" s="214"/>
      <c r="AOJ34" s="214"/>
      <c r="AOK34" s="214"/>
      <c r="AOL34" s="214"/>
      <c r="AOM34" s="214"/>
      <c r="AON34" s="214"/>
      <c r="AOO34" s="214"/>
      <c r="AOP34" s="214"/>
      <c r="AOQ34" s="214"/>
      <c r="AOR34" s="214"/>
      <c r="AOS34" s="214"/>
      <c r="AOT34" s="214"/>
      <c r="AOU34" s="214"/>
      <c r="AOV34" s="214"/>
      <c r="AOW34" s="214"/>
      <c r="AOX34" s="214"/>
      <c r="AOY34" s="214"/>
      <c r="AOZ34" s="214"/>
      <c r="APA34" s="214"/>
      <c r="APB34" s="214"/>
      <c r="APC34" s="214"/>
      <c r="APD34" s="214"/>
      <c r="APE34" s="214"/>
      <c r="APF34" s="214"/>
      <c r="APG34" s="214"/>
      <c r="APH34" s="214"/>
      <c r="API34" s="214"/>
      <c r="APJ34" s="214"/>
      <c r="APK34" s="214"/>
      <c r="APL34" s="214"/>
      <c r="APM34" s="214"/>
      <c r="APN34" s="214"/>
      <c r="APO34" s="214"/>
      <c r="APP34" s="214"/>
      <c r="APQ34" s="214"/>
      <c r="APR34" s="214"/>
      <c r="APS34" s="214"/>
      <c r="APT34" s="214"/>
      <c r="APU34" s="214"/>
      <c r="APV34" s="214"/>
      <c r="APW34" s="214"/>
      <c r="APX34" s="214"/>
      <c r="APY34" s="214"/>
      <c r="APZ34" s="214"/>
      <c r="AQA34" s="214"/>
      <c r="AQB34" s="214"/>
      <c r="AQC34" s="214"/>
      <c r="AQD34" s="214"/>
      <c r="AQE34" s="214"/>
      <c r="AQF34" s="214"/>
      <c r="AQG34" s="214"/>
      <c r="AQH34" s="214"/>
      <c r="AQI34" s="214"/>
      <c r="AQJ34" s="214"/>
      <c r="AQK34" s="214"/>
      <c r="AQL34" s="214"/>
      <c r="AQM34" s="214"/>
      <c r="AQN34" s="214"/>
      <c r="AQO34" s="214"/>
      <c r="AQP34" s="214"/>
      <c r="AQQ34" s="214"/>
      <c r="AQR34" s="214"/>
      <c r="AQS34" s="214"/>
      <c r="AQT34" s="214"/>
      <c r="AQU34" s="214"/>
      <c r="AQV34" s="214"/>
      <c r="AQW34" s="214"/>
      <c r="AQX34" s="214"/>
      <c r="AQY34" s="214"/>
      <c r="AQZ34" s="214"/>
      <c r="ARA34" s="214"/>
      <c r="ARB34" s="214"/>
      <c r="ARC34" s="214"/>
      <c r="ARD34" s="214"/>
      <c r="ARE34" s="214"/>
      <c r="ARF34" s="214"/>
      <c r="ARG34" s="214"/>
      <c r="ARH34" s="214"/>
      <c r="ARI34" s="214"/>
      <c r="ARJ34" s="214"/>
      <c r="ARK34" s="214"/>
      <c r="ARL34" s="214"/>
      <c r="ARM34" s="214"/>
      <c r="ARN34" s="214"/>
      <c r="ARO34" s="214"/>
      <c r="ARP34" s="214"/>
      <c r="ARQ34" s="214"/>
      <c r="ARR34" s="214"/>
      <c r="ARS34" s="214"/>
      <c r="ART34" s="214"/>
      <c r="ARU34" s="214"/>
      <c r="ARV34" s="214"/>
      <c r="ARW34" s="214"/>
      <c r="ARX34" s="214"/>
      <c r="ARY34" s="214"/>
      <c r="ARZ34" s="214"/>
      <c r="ASA34" s="214"/>
      <c r="ASB34" s="214"/>
      <c r="ASC34" s="214"/>
      <c r="ASD34" s="214"/>
      <c r="ASE34" s="214"/>
      <c r="ASF34" s="214"/>
      <c r="ASG34" s="214"/>
      <c r="ASH34" s="214"/>
      <c r="ASI34" s="214"/>
      <c r="ASJ34" s="214"/>
      <c r="ASK34" s="214"/>
      <c r="ASL34" s="214"/>
      <c r="ASM34" s="214"/>
      <c r="ASN34" s="214"/>
      <c r="ASO34" s="214"/>
      <c r="ASP34" s="214"/>
      <c r="ASQ34" s="214"/>
      <c r="ASR34" s="214"/>
      <c r="ASS34" s="214"/>
      <c r="AST34" s="214"/>
      <c r="ASU34" s="214"/>
      <c r="ASV34" s="214"/>
      <c r="ASW34" s="214"/>
      <c r="ASX34" s="214"/>
      <c r="ASY34" s="214"/>
      <c r="ASZ34" s="214"/>
      <c r="ATA34" s="214"/>
      <c r="ATB34" s="214"/>
      <c r="ATC34" s="214"/>
      <c r="ATD34" s="214"/>
      <c r="ATE34" s="214"/>
      <c r="ATF34" s="214"/>
      <c r="ATG34" s="214"/>
      <c r="ATH34" s="214"/>
      <c r="ATI34" s="214"/>
      <c r="ATJ34" s="214"/>
      <c r="ATK34" s="214"/>
      <c r="ATL34" s="214"/>
      <c r="ATM34" s="214"/>
      <c r="ATN34" s="214"/>
      <c r="ATO34" s="214"/>
      <c r="ATP34" s="214"/>
      <c r="ATQ34" s="214"/>
      <c r="ATR34" s="214"/>
      <c r="ATS34" s="214"/>
      <c r="ATT34" s="214"/>
      <c r="ATU34" s="214"/>
      <c r="ATV34" s="214"/>
      <c r="ATW34" s="214"/>
      <c r="ATX34" s="214"/>
      <c r="ATY34" s="214"/>
      <c r="ATZ34" s="214"/>
      <c r="AUA34" s="214"/>
      <c r="AUB34" s="214"/>
      <c r="AUC34" s="214"/>
      <c r="AUD34" s="214"/>
      <c r="AUE34" s="214"/>
      <c r="AUF34" s="214"/>
      <c r="AUG34" s="214"/>
      <c r="AUH34" s="214"/>
      <c r="AUI34" s="214"/>
      <c r="AUJ34" s="214"/>
      <c r="AUK34" s="214"/>
      <c r="AUL34" s="214"/>
      <c r="AUM34" s="214"/>
      <c r="AUN34" s="214"/>
      <c r="AUO34" s="214"/>
      <c r="AUP34" s="214"/>
      <c r="AUQ34" s="214"/>
      <c r="AUR34" s="214"/>
      <c r="AUS34" s="214"/>
      <c r="AUT34" s="214"/>
      <c r="AUU34" s="214"/>
      <c r="AUV34" s="214"/>
      <c r="AUW34" s="214"/>
      <c r="AUX34" s="214"/>
      <c r="AUY34" s="214"/>
      <c r="AUZ34" s="214"/>
      <c r="AVA34" s="214"/>
      <c r="AVB34" s="214"/>
      <c r="AVC34" s="214"/>
      <c r="AVD34" s="214"/>
      <c r="AVE34" s="214"/>
      <c r="AVF34" s="214"/>
      <c r="AVG34" s="214"/>
      <c r="AVH34" s="214"/>
      <c r="AVI34" s="214"/>
      <c r="AVJ34" s="214"/>
      <c r="AVK34" s="214"/>
      <c r="AVL34" s="214"/>
      <c r="AVM34" s="214"/>
      <c r="AVN34" s="214"/>
      <c r="AVO34" s="214"/>
      <c r="AVP34" s="214"/>
      <c r="AVQ34" s="214"/>
      <c r="AVR34" s="214"/>
      <c r="AVS34" s="214"/>
      <c r="AVT34" s="214"/>
      <c r="AVU34" s="214"/>
      <c r="AVV34" s="214"/>
      <c r="AVW34" s="214"/>
      <c r="AVX34" s="214"/>
      <c r="AVY34" s="214"/>
      <c r="AVZ34" s="214"/>
      <c r="AWA34" s="214"/>
      <c r="AWB34" s="214"/>
      <c r="AWC34" s="214"/>
      <c r="AWD34" s="214"/>
      <c r="AWE34" s="214"/>
      <c r="AWF34" s="214"/>
      <c r="AWG34" s="214"/>
      <c r="AWH34" s="214"/>
      <c r="AWI34" s="214"/>
      <c r="AWJ34" s="214"/>
      <c r="AWK34" s="214"/>
      <c r="AWL34" s="214"/>
      <c r="AWM34" s="214"/>
      <c r="AWN34" s="214"/>
      <c r="AWO34" s="214"/>
      <c r="AWP34" s="214"/>
      <c r="AWQ34" s="214"/>
      <c r="AWR34" s="214"/>
      <c r="AWS34" s="214"/>
      <c r="AWT34" s="214"/>
      <c r="AWU34" s="214"/>
      <c r="AWV34" s="214"/>
      <c r="AWW34" s="214"/>
      <c r="AWX34" s="214"/>
      <c r="AWY34" s="214"/>
      <c r="AWZ34" s="214"/>
      <c r="AXA34" s="214"/>
      <c r="AXB34" s="214"/>
      <c r="AXC34" s="214"/>
      <c r="AXD34" s="214"/>
      <c r="AXE34" s="214"/>
      <c r="AXF34" s="214"/>
      <c r="AXG34" s="214"/>
      <c r="AXH34" s="214"/>
      <c r="AXI34" s="214"/>
      <c r="AXJ34" s="214"/>
      <c r="AXK34" s="214"/>
      <c r="AXL34" s="214"/>
      <c r="AXM34" s="214"/>
      <c r="AXN34" s="214"/>
      <c r="AXO34" s="214"/>
      <c r="AXP34" s="214"/>
      <c r="AXQ34" s="214"/>
      <c r="AXR34" s="214"/>
      <c r="AXS34" s="214"/>
      <c r="AXT34" s="214"/>
      <c r="AXU34" s="214"/>
      <c r="AXV34" s="214"/>
      <c r="AXW34" s="214"/>
      <c r="AXX34" s="214"/>
      <c r="AXY34" s="214"/>
      <c r="AXZ34" s="214"/>
      <c r="AYA34" s="214"/>
      <c r="AYB34" s="214"/>
      <c r="AYC34" s="214"/>
      <c r="AYD34" s="214"/>
      <c r="AYE34" s="214"/>
      <c r="AYF34" s="214"/>
      <c r="AYG34" s="214"/>
      <c r="AYH34" s="214"/>
      <c r="AYI34" s="214"/>
      <c r="AYJ34" s="214"/>
      <c r="AYK34" s="214"/>
      <c r="AYL34" s="214"/>
      <c r="AYM34" s="214"/>
      <c r="AYN34" s="214"/>
      <c r="AYO34" s="214"/>
      <c r="AYP34" s="214"/>
      <c r="AYQ34" s="214"/>
      <c r="AYR34" s="214"/>
      <c r="AYS34" s="214"/>
      <c r="AYT34" s="214"/>
      <c r="AYU34" s="214"/>
      <c r="AYV34" s="214"/>
      <c r="AYW34" s="214"/>
      <c r="AYX34" s="214"/>
      <c r="AYY34" s="214"/>
      <c r="AYZ34" s="214"/>
      <c r="AZA34" s="214"/>
      <c r="AZB34" s="214"/>
      <c r="AZC34" s="214"/>
      <c r="AZD34" s="214"/>
      <c r="AZE34" s="214"/>
      <c r="AZF34" s="214"/>
      <c r="AZG34" s="214"/>
      <c r="AZH34" s="214"/>
      <c r="AZI34" s="214"/>
      <c r="AZJ34" s="214"/>
      <c r="AZK34" s="214"/>
      <c r="AZL34" s="214"/>
      <c r="AZM34" s="214"/>
      <c r="AZN34" s="214"/>
      <c r="AZO34" s="214"/>
      <c r="AZP34" s="214"/>
      <c r="AZQ34" s="214"/>
      <c r="AZR34" s="214"/>
      <c r="AZS34" s="214"/>
      <c r="AZT34" s="214"/>
      <c r="AZU34" s="214"/>
      <c r="AZV34" s="214"/>
      <c r="AZW34" s="214"/>
      <c r="AZX34" s="214"/>
      <c r="AZY34" s="214"/>
      <c r="AZZ34" s="214"/>
      <c r="BAA34" s="214"/>
      <c r="BAB34" s="214"/>
      <c r="BAC34" s="214"/>
      <c r="BAD34" s="214"/>
      <c r="BAE34" s="214"/>
      <c r="BAF34" s="214"/>
      <c r="BAG34" s="214"/>
      <c r="BAH34" s="214"/>
      <c r="BAI34" s="214"/>
      <c r="BAJ34" s="214"/>
      <c r="BAK34" s="214"/>
      <c r="BAL34" s="214"/>
      <c r="BAM34" s="214"/>
      <c r="BAN34" s="214"/>
      <c r="BAO34" s="214"/>
      <c r="BAP34" s="214"/>
      <c r="BAQ34" s="214"/>
      <c r="BAR34" s="214"/>
      <c r="BAS34" s="214"/>
      <c r="BAT34" s="214"/>
      <c r="BAU34" s="214"/>
      <c r="BAV34" s="214"/>
      <c r="BAW34" s="214"/>
      <c r="BAX34" s="214"/>
      <c r="BAY34" s="214"/>
      <c r="BAZ34" s="214"/>
      <c r="BBA34" s="214"/>
      <c r="BBB34" s="214"/>
      <c r="BBC34" s="214"/>
      <c r="BBD34" s="214"/>
      <c r="BBE34" s="214"/>
      <c r="BBF34" s="214"/>
      <c r="BBG34" s="214"/>
      <c r="BBH34" s="214"/>
      <c r="BBI34" s="214"/>
      <c r="BBJ34" s="214"/>
      <c r="BBK34" s="214"/>
      <c r="BBL34" s="214"/>
      <c r="BBM34" s="214"/>
      <c r="BBN34" s="214"/>
      <c r="BBO34" s="214"/>
      <c r="BBP34" s="214"/>
      <c r="BBQ34" s="214"/>
      <c r="BBR34" s="214"/>
      <c r="BBS34" s="214"/>
      <c r="BBT34" s="214"/>
      <c r="BBU34" s="214"/>
      <c r="BBV34" s="214"/>
      <c r="BBW34" s="214"/>
      <c r="BBX34" s="214"/>
      <c r="BBY34" s="214"/>
      <c r="BBZ34" s="214"/>
      <c r="BCA34" s="214"/>
      <c r="BCB34" s="214"/>
      <c r="BCC34" s="214"/>
      <c r="BCD34" s="214"/>
      <c r="BCE34" s="214"/>
      <c r="BCF34" s="214"/>
      <c r="BCG34" s="214"/>
      <c r="BCH34" s="214"/>
      <c r="BCI34" s="214"/>
      <c r="BCJ34" s="214"/>
      <c r="BCK34" s="214"/>
      <c r="BCL34" s="214"/>
      <c r="BCM34" s="214"/>
      <c r="BCN34" s="214"/>
      <c r="BCO34" s="214"/>
      <c r="BCP34" s="214"/>
      <c r="BCQ34" s="214"/>
      <c r="BCR34" s="214"/>
      <c r="BCS34" s="214"/>
      <c r="BCT34" s="214"/>
      <c r="BCU34" s="214"/>
      <c r="BCV34" s="214"/>
      <c r="BCW34" s="214"/>
      <c r="BCX34" s="214"/>
      <c r="BCY34" s="214"/>
      <c r="BCZ34" s="214"/>
      <c r="BDA34" s="214"/>
      <c r="BDB34" s="214"/>
      <c r="BDC34" s="214"/>
      <c r="BDD34" s="214"/>
      <c r="BDE34" s="214"/>
      <c r="BDF34" s="214"/>
      <c r="BDG34" s="214"/>
      <c r="BDH34" s="214"/>
      <c r="BDI34" s="214"/>
      <c r="BDJ34" s="214"/>
      <c r="BDK34" s="214"/>
      <c r="BDL34" s="214"/>
      <c r="BDM34" s="214"/>
      <c r="BDN34" s="214"/>
      <c r="BDO34" s="214"/>
      <c r="BDP34" s="214"/>
      <c r="BDQ34" s="214"/>
      <c r="BDR34" s="214"/>
      <c r="BDS34" s="214"/>
      <c r="BDT34" s="214"/>
      <c r="BDU34" s="214"/>
      <c r="BDV34" s="214"/>
      <c r="BDW34" s="214"/>
      <c r="BDX34" s="214"/>
      <c r="BDY34" s="214"/>
      <c r="BDZ34" s="214"/>
      <c r="BEA34" s="214"/>
      <c r="BEB34" s="214"/>
      <c r="BEC34" s="214"/>
      <c r="BED34" s="214"/>
      <c r="BEE34" s="214"/>
      <c r="BEF34" s="214"/>
      <c r="BEG34" s="214"/>
      <c r="BEH34" s="214"/>
      <c r="BEI34" s="214"/>
      <c r="BEJ34" s="214"/>
      <c r="BEK34" s="214"/>
      <c r="BEL34" s="214"/>
      <c r="BEM34" s="214"/>
      <c r="BEN34" s="214"/>
      <c r="BEO34" s="214"/>
      <c r="BEP34" s="214"/>
      <c r="BEQ34" s="214"/>
      <c r="BER34" s="214"/>
      <c r="BES34" s="214"/>
      <c r="BET34" s="214"/>
      <c r="BEU34" s="214"/>
      <c r="BEV34" s="214"/>
      <c r="BEW34" s="214"/>
      <c r="BEX34" s="214"/>
      <c r="BEY34" s="214"/>
      <c r="BEZ34" s="214"/>
      <c r="BFA34" s="214"/>
      <c r="BFB34" s="214"/>
      <c r="BFC34" s="214"/>
      <c r="BFD34" s="214"/>
      <c r="BFE34" s="214"/>
      <c r="BFF34" s="214"/>
      <c r="BFG34" s="214"/>
      <c r="BFH34" s="214"/>
      <c r="BFI34" s="214"/>
      <c r="BFJ34" s="214"/>
      <c r="BFK34" s="214"/>
      <c r="BFL34" s="214"/>
      <c r="BFM34" s="214"/>
      <c r="BFN34" s="214"/>
      <c r="BFO34" s="214"/>
      <c r="BFP34" s="214"/>
      <c r="BFQ34" s="214"/>
      <c r="BFR34" s="214"/>
      <c r="BFS34" s="214"/>
      <c r="BFT34" s="214"/>
      <c r="BFU34" s="214"/>
      <c r="BFV34" s="214"/>
      <c r="BFW34" s="214"/>
      <c r="BFX34" s="214"/>
      <c r="BFY34" s="214"/>
      <c r="BFZ34" s="214"/>
      <c r="BGA34" s="214"/>
      <c r="BGB34" s="214"/>
      <c r="BGC34" s="214"/>
      <c r="BGD34" s="214"/>
      <c r="BGE34" s="214"/>
      <c r="BGF34" s="214"/>
      <c r="BGG34" s="214"/>
      <c r="BGH34" s="214"/>
      <c r="BGI34" s="214"/>
      <c r="BGJ34" s="214"/>
      <c r="BGK34" s="214"/>
      <c r="BGL34" s="214"/>
      <c r="BGM34" s="214"/>
      <c r="BGN34" s="214"/>
      <c r="BGO34" s="214"/>
      <c r="BGP34" s="214"/>
      <c r="BGQ34" s="214"/>
      <c r="BGR34" s="214"/>
      <c r="BGS34" s="214"/>
      <c r="BGT34" s="214"/>
      <c r="BGU34" s="214"/>
      <c r="BGV34" s="214"/>
      <c r="BGW34" s="214"/>
      <c r="BGX34" s="214"/>
      <c r="BGY34" s="214"/>
      <c r="BGZ34" s="214"/>
      <c r="BHA34" s="214"/>
      <c r="BHB34" s="214"/>
      <c r="BHC34" s="214"/>
      <c r="BHD34" s="214"/>
      <c r="BHE34" s="214"/>
      <c r="BHF34" s="214"/>
      <c r="BHG34" s="214"/>
      <c r="BHH34" s="214"/>
      <c r="BHI34" s="214"/>
      <c r="BHJ34" s="214"/>
      <c r="BHK34" s="214"/>
      <c r="BHL34" s="214"/>
      <c r="BHM34" s="214"/>
      <c r="BHN34" s="214"/>
      <c r="BHO34" s="214"/>
      <c r="BHP34" s="214"/>
      <c r="BHQ34" s="214"/>
      <c r="BHR34" s="214"/>
      <c r="BHS34" s="214"/>
      <c r="BHT34" s="214"/>
      <c r="BHU34" s="214"/>
      <c r="BHV34" s="214"/>
      <c r="BHW34" s="214"/>
    </row>
    <row r="35" spans="1:1583" s="221" customFormat="1" ht="15.75" thickBot="1">
      <c r="A35" s="75"/>
      <c r="B35" s="189" t="s">
        <v>361</v>
      </c>
      <c r="C35" s="420" t="s">
        <v>483</v>
      </c>
      <c r="D35" s="418" t="s">
        <v>661</v>
      </c>
      <c r="E35" s="264" t="s">
        <v>46</v>
      </c>
      <c r="F35" s="136">
        <v>14.1</v>
      </c>
      <c r="G35" s="60" t="s">
        <v>689</v>
      </c>
      <c r="H35" s="473">
        <f>AVERAGE(I35:AN35)</f>
        <v>14.898909990090861</v>
      </c>
      <c r="I35" s="149">
        <f>VLOOKUP($B35,'DCS Data'!$E$2:$AJ$100,MATCH('Daily Report'!I$1,'DCS Data'!$E$2:$AJ$2,0),0)</f>
        <v>14.922634242755052</v>
      </c>
      <c r="J35" s="255"/>
      <c r="K35" s="149">
        <f>VLOOKUP($B35,'DCS Data'!$E$2:$AJ$100,MATCH('Daily Report'!K$1,'DCS Data'!$E$2:$AJ$2,0),0)</f>
        <v>14.961402860117721</v>
      </c>
      <c r="L35" s="149">
        <f>VLOOKUP($B35,'DCS Data'!$E$2:$AJ$100,MATCH('Daily Report'!L$1,'DCS Data'!$E$2:$AJ$2,0),0)</f>
        <v>14.889736943081173</v>
      </c>
      <c r="M35" s="149">
        <f>VLOOKUP($B35,'DCS Data'!$E$2:$AJ$100,MATCH('Daily Report'!M$1,'DCS Data'!$E$2:$AJ$2,0),0)</f>
        <v>14.944577828866896</v>
      </c>
      <c r="N35" s="149">
        <f>VLOOKUP($B35,'DCS Data'!$E$2:$AJ$100,MATCH('Daily Report'!N$1,'DCS Data'!$E$2:$AJ$2,0),0)</f>
        <v>14.974479792257448</v>
      </c>
      <c r="O35" s="149">
        <f>VLOOKUP($B35,'DCS Data'!$E$2:$AJ$100,MATCH('Daily Report'!O$1,'DCS Data'!$E$2:$AJ$2,0),0)</f>
        <v>14.998137737849046</v>
      </c>
      <c r="P35" s="149">
        <f>VLOOKUP($B35,'DCS Data'!$E$2:$AJ$100,MATCH('Daily Report'!P$1,'DCS Data'!$E$2:$AJ$2,0),0)</f>
        <v>14.979302333300252</v>
      </c>
      <c r="Q35" s="149">
        <f>VLOOKUP($B35,'DCS Data'!$E$2:$AJ$100,MATCH('Daily Report'!Q$1,'DCS Data'!$E$2:$AJ$2,0),0)</f>
        <v>14.934790436564437</v>
      </c>
      <c r="R35" s="149">
        <f>VLOOKUP($B35,'DCS Data'!$E$2:$AJ$100,MATCH('Daily Report'!R$1,'DCS Data'!$E$2:$AJ$2,0),0)</f>
        <v>14.973089902903405</v>
      </c>
      <c r="S35" s="149">
        <f>VLOOKUP($B35,'DCS Data'!$E$2:$AJ$100,MATCH('Daily Report'!S$1,'DCS Data'!$E$2:$AJ$2,0),0)</f>
        <v>14.991307224965707</v>
      </c>
      <c r="T35" s="149">
        <f>VLOOKUP($B35,'DCS Data'!$E$2:$AJ$100,MATCH('Daily Report'!T$1,'DCS Data'!$E$2:$AJ$2,0),0)</f>
        <v>14.987798576220262</v>
      </c>
      <c r="U35" s="149">
        <f>VLOOKUP($B35,'DCS Data'!$E$2:$AJ$100,MATCH('Daily Report'!U$1,'DCS Data'!$E$2:$AJ$2,0),0)</f>
        <v>14.988482118571898</v>
      </c>
      <c r="V35" s="149">
        <f>VLOOKUP($B35,'DCS Data'!$E$2:$AJ$100,MATCH('Daily Report'!V$1,'DCS Data'!$E$2:$AJ$2,0),0)</f>
        <v>14.946539190590958</v>
      </c>
      <c r="W35" s="149">
        <f>VLOOKUP($B35,'DCS Data'!$E$2:$AJ$100,MATCH('Daily Report'!W$1,'DCS Data'!$E$2:$AJ$2,0),0)</f>
        <v>14.903167463669535</v>
      </c>
      <c r="X35" s="149">
        <f>VLOOKUP($B35,'DCS Data'!$E$2:$AJ$100,MATCH('Daily Report'!X$1,'DCS Data'!$E$2:$AJ$2,0),0)</f>
        <v>14.838598165150827</v>
      </c>
      <c r="Y35" s="149">
        <f>VLOOKUP($B35,'DCS Data'!$E$2:$AJ$100,MATCH('Daily Report'!Y$1,'DCS Data'!$E$2:$AJ$2,0),0)</f>
        <v>14.960736112046959</v>
      </c>
      <c r="Z35" s="149">
        <f>VLOOKUP($B35,'DCS Data'!$E$2:$AJ$100,MATCH('Daily Report'!Z$1,'DCS Data'!$E$2:$AJ$2,0),0)</f>
        <v>14.938816545621529</v>
      </c>
      <c r="AA35" s="149">
        <f>VLOOKUP($B35,'DCS Data'!$E$2:$AJ$100,MATCH('Daily Report'!AA$1,'DCS Data'!$E$2:$AJ$2,0),0)</f>
        <v>14.919280768541627</v>
      </c>
      <c r="AB35" s="149">
        <f>VLOOKUP($B35,'DCS Data'!$E$2:$AJ$100,MATCH('Daily Report'!AB$1,'DCS Data'!$E$2:$AJ$2,0),0)</f>
        <v>14.913743632357017</v>
      </c>
      <c r="AC35" s="149">
        <f>VLOOKUP($B35,'DCS Data'!$E$2:$AJ$100,MATCH('Daily Report'!AC$1,'DCS Data'!$E$2:$AJ$2,0),0)</f>
        <v>14.907363449341474</v>
      </c>
      <c r="AD35" s="149">
        <f>VLOOKUP($B35,'DCS Data'!$E$2:$AJ$100,MATCH('Daily Report'!AD$1,'DCS Data'!$E$2:$AJ$2,0),0)</f>
        <v>14.853332195637023</v>
      </c>
      <c r="AE35" s="149">
        <f>VLOOKUP($B35,'DCS Data'!$E$2:$AJ$100,MATCH('Daily Report'!AE$1,'DCS Data'!$E$2:$AJ$2,0),0)</f>
        <v>14.84186919989949</v>
      </c>
      <c r="AF35" s="149">
        <f>VLOOKUP($B35,'DCS Data'!$E$2:$AJ$100,MATCH('Daily Report'!AF$1,'DCS Data'!$E$2:$AJ$2,0),0)</f>
        <v>14.809299236932981</v>
      </c>
      <c r="AG35" s="149">
        <f>VLOOKUP($B35,'DCS Data'!$E$2:$AJ$100,MATCH('Daily Report'!AG$1,'DCS Data'!$E$2:$AJ$2,0),0)</f>
        <v>14.828712595740669</v>
      </c>
      <c r="AH35" s="149">
        <f>VLOOKUP($B35,'DCS Data'!$E$2:$AJ$100,MATCH('Daily Report'!AH$1,'DCS Data'!$E$2:$AJ$2,0),0)</f>
        <v>14.834825701212774</v>
      </c>
      <c r="AI35" s="149">
        <f>VLOOKUP($B35,'DCS Data'!$E$2:$AJ$100,MATCH('Daily Report'!AI$1,'DCS Data'!$E$2:$AJ$2,0),0)</f>
        <v>14.783986917334509</v>
      </c>
      <c r="AJ35" s="149">
        <f>VLOOKUP($B35,'DCS Data'!$E$2:$AJ$100,MATCH('Daily Report'!AJ$1,'DCS Data'!$E$2:$AJ$2,0),0)</f>
        <v>14.839398956404684</v>
      </c>
      <c r="AK35" s="149">
        <f>VLOOKUP($B35,'DCS Data'!$E$2:$AJ$100,MATCH('Daily Report'!AK$1,'DCS Data'!$E$2:$AJ$2,0),0)</f>
        <v>14.839870115129818</v>
      </c>
      <c r="AL35" s="149">
        <f>VLOOKUP($B35,'DCS Data'!$E$2:$AJ$100,MATCH('Daily Report'!AL$1,'DCS Data'!$E$2:$AJ$2,0),0)</f>
        <v>14.788295731656975</v>
      </c>
      <c r="AM35" s="149">
        <f>VLOOKUP($B35,'DCS Data'!$E$2:$AJ$100,MATCH('Daily Report'!AM$1,'DCS Data'!$E$2:$AJ$2,0),0)</f>
        <v>14.788884364549284</v>
      </c>
      <c r="AN35" s="149">
        <f>VLOOKUP($B35,'DCS Data'!$E$2:$AJ$100,MATCH('Daily Report'!AN$1,'DCS Data'!$E$2:$AJ$2,0),0)</f>
        <v>14.783749353545215</v>
      </c>
      <c r="AO35" s="214"/>
      <c r="AP35" s="214"/>
      <c r="AQ35" s="214"/>
      <c r="AR35" s="214"/>
      <c r="AS35" s="214"/>
      <c r="AT35" s="214"/>
      <c r="AU35" s="214"/>
      <c r="AV35" s="214"/>
      <c r="AW35" s="214"/>
      <c r="AX35" s="214"/>
      <c r="AY35" s="214"/>
      <c r="AZ35" s="214"/>
      <c r="BA35" s="214"/>
      <c r="BB35" s="214"/>
      <c r="BC35" s="214"/>
      <c r="BD35" s="214"/>
      <c r="BE35" s="214"/>
      <c r="BF35" s="214"/>
      <c r="BG35" s="214"/>
      <c r="BH35" s="214"/>
      <c r="BI35" s="214"/>
      <c r="BJ35" s="214"/>
      <c r="BK35" s="214"/>
      <c r="BL35" s="214"/>
      <c r="BM35" s="214"/>
      <c r="BN35" s="214"/>
      <c r="BO35" s="214"/>
      <c r="BP35" s="214"/>
      <c r="BQ35" s="214"/>
      <c r="BR35" s="214"/>
      <c r="BS35" s="214"/>
      <c r="BT35" s="214"/>
      <c r="BU35" s="214"/>
      <c r="BV35" s="214"/>
      <c r="BW35" s="214"/>
      <c r="BX35" s="214"/>
      <c r="BY35" s="214"/>
      <c r="BZ35" s="214"/>
      <c r="CA35" s="214"/>
      <c r="CB35" s="214"/>
      <c r="CC35" s="214"/>
      <c r="CD35" s="214"/>
      <c r="CE35" s="214"/>
      <c r="CF35" s="214"/>
      <c r="CG35" s="214"/>
      <c r="CH35" s="214"/>
      <c r="CI35" s="214"/>
      <c r="CJ35" s="214"/>
      <c r="CK35" s="214"/>
      <c r="CL35" s="214"/>
      <c r="CM35" s="214"/>
      <c r="CN35" s="214"/>
      <c r="CO35" s="214"/>
      <c r="CP35" s="214"/>
      <c r="CQ35" s="214"/>
      <c r="CR35" s="214"/>
      <c r="CS35" s="214"/>
      <c r="CT35" s="214"/>
      <c r="CU35" s="214"/>
      <c r="CV35" s="214"/>
      <c r="CW35" s="214"/>
      <c r="CX35" s="214"/>
      <c r="CY35" s="214"/>
      <c r="CZ35" s="214"/>
      <c r="DA35" s="214"/>
      <c r="DB35" s="214"/>
      <c r="DC35" s="214"/>
      <c r="DD35" s="214"/>
      <c r="DE35" s="214"/>
      <c r="DF35" s="214"/>
      <c r="DG35" s="214"/>
      <c r="DH35" s="214"/>
      <c r="DI35" s="214"/>
      <c r="DJ35" s="214"/>
      <c r="DK35" s="214"/>
      <c r="DL35" s="214"/>
      <c r="DM35" s="214"/>
      <c r="DN35" s="214"/>
      <c r="DO35" s="214"/>
      <c r="DP35" s="214"/>
      <c r="DQ35" s="214"/>
      <c r="DR35" s="214"/>
      <c r="DS35" s="214"/>
      <c r="DT35" s="214"/>
      <c r="DU35" s="214"/>
      <c r="DV35" s="214"/>
      <c r="DW35" s="214"/>
      <c r="DX35" s="214"/>
      <c r="DY35" s="214"/>
      <c r="DZ35" s="214"/>
      <c r="EA35" s="214"/>
      <c r="EB35" s="214"/>
      <c r="EC35" s="214"/>
      <c r="ED35" s="214"/>
      <c r="EE35" s="214"/>
      <c r="EF35" s="214"/>
      <c r="EG35" s="214"/>
      <c r="EH35" s="214"/>
      <c r="EI35" s="214"/>
      <c r="EJ35" s="214"/>
      <c r="EK35" s="214"/>
      <c r="EL35" s="214"/>
      <c r="EM35" s="214"/>
      <c r="EN35" s="214"/>
      <c r="EO35" s="214"/>
      <c r="EP35" s="214"/>
      <c r="EQ35" s="214"/>
      <c r="ER35" s="214"/>
      <c r="ES35" s="214"/>
      <c r="ET35" s="214"/>
      <c r="EU35" s="214"/>
      <c r="EV35" s="214"/>
      <c r="EW35" s="214"/>
      <c r="EX35" s="214"/>
      <c r="EY35" s="214"/>
      <c r="EZ35" s="214"/>
      <c r="FA35" s="214"/>
      <c r="FB35" s="214"/>
      <c r="FC35" s="214"/>
      <c r="FD35" s="214"/>
      <c r="FE35" s="214"/>
      <c r="FF35" s="214"/>
      <c r="FG35" s="214"/>
      <c r="FH35" s="214"/>
      <c r="FI35" s="214"/>
      <c r="FJ35" s="214"/>
      <c r="FK35" s="214"/>
      <c r="FL35" s="214"/>
      <c r="FM35" s="214"/>
      <c r="FN35" s="214"/>
      <c r="FO35" s="214"/>
      <c r="FP35" s="214"/>
      <c r="FQ35" s="214"/>
      <c r="FR35" s="214"/>
      <c r="FS35" s="214"/>
      <c r="FT35" s="214"/>
      <c r="FU35" s="214"/>
      <c r="FV35" s="214"/>
      <c r="FW35" s="214"/>
      <c r="FX35" s="214"/>
      <c r="FY35" s="214"/>
      <c r="FZ35" s="214"/>
      <c r="GA35" s="214"/>
      <c r="GB35" s="214"/>
      <c r="GC35" s="214"/>
      <c r="GD35" s="214"/>
      <c r="GE35" s="214"/>
      <c r="GF35" s="214"/>
      <c r="GG35" s="214"/>
      <c r="GH35" s="214"/>
      <c r="GI35" s="214"/>
      <c r="GJ35" s="214"/>
      <c r="GK35" s="214"/>
      <c r="GL35" s="214"/>
      <c r="GM35" s="214"/>
      <c r="GN35" s="214"/>
      <c r="GO35" s="214"/>
      <c r="GP35" s="214"/>
      <c r="GQ35" s="214"/>
      <c r="GR35" s="214"/>
      <c r="GS35" s="214"/>
      <c r="GT35" s="214"/>
      <c r="GU35" s="214"/>
      <c r="GV35" s="214"/>
      <c r="GW35" s="214"/>
      <c r="GX35" s="214"/>
      <c r="GY35" s="214"/>
      <c r="GZ35" s="214"/>
      <c r="HA35" s="214"/>
      <c r="HB35" s="214"/>
      <c r="HC35" s="214"/>
      <c r="HD35" s="214"/>
      <c r="HE35" s="214"/>
      <c r="HF35" s="214"/>
      <c r="HG35" s="214"/>
      <c r="HH35" s="214"/>
      <c r="HI35" s="214"/>
      <c r="HJ35" s="214"/>
      <c r="HK35" s="214"/>
      <c r="HL35" s="214"/>
      <c r="HM35" s="214"/>
      <c r="HN35" s="214"/>
      <c r="HO35" s="214"/>
      <c r="HP35" s="214"/>
      <c r="HQ35" s="214"/>
      <c r="HR35" s="214"/>
      <c r="HS35" s="214"/>
      <c r="HT35" s="214"/>
      <c r="HU35" s="214"/>
      <c r="HV35" s="214"/>
      <c r="HW35" s="214"/>
      <c r="HX35" s="214"/>
      <c r="HY35" s="214"/>
      <c r="HZ35" s="214"/>
      <c r="IA35" s="214"/>
      <c r="IB35" s="214"/>
      <c r="IC35" s="214"/>
      <c r="ID35" s="214"/>
      <c r="IE35" s="214"/>
      <c r="IF35" s="214"/>
      <c r="IG35" s="214"/>
      <c r="IH35" s="214"/>
      <c r="II35" s="214"/>
      <c r="IJ35" s="214"/>
      <c r="IK35" s="214"/>
      <c r="IL35" s="214"/>
      <c r="IM35" s="214"/>
      <c r="IN35" s="214"/>
      <c r="IO35" s="214"/>
      <c r="IP35" s="214"/>
      <c r="IQ35" s="214"/>
      <c r="IR35" s="214"/>
      <c r="IS35" s="214"/>
      <c r="IT35" s="214"/>
      <c r="IU35" s="214"/>
      <c r="IV35" s="214"/>
      <c r="IW35" s="214"/>
      <c r="IX35" s="214"/>
      <c r="IY35" s="214"/>
      <c r="IZ35" s="214"/>
      <c r="JA35" s="214"/>
      <c r="JB35" s="214"/>
      <c r="JC35" s="214"/>
      <c r="JD35" s="214"/>
      <c r="JE35" s="214"/>
      <c r="JF35" s="214"/>
      <c r="JG35" s="214"/>
      <c r="JH35" s="214"/>
      <c r="JI35" s="214"/>
      <c r="JJ35" s="214"/>
      <c r="JK35" s="214"/>
      <c r="JL35" s="214"/>
      <c r="JM35" s="214"/>
      <c r="JN35" s="214"/>
      <c r="JO35" s="214"/>
      <c r="JP35" s="214"/>
      <c r="JQ35" s="214"/>
      <c r="JR35" s="214"/>
      <c r="JS35" s="214"/>
      <c r="JT35" s="214"/>
      <c r="JU35" s="214"/>
      <c r="JV35" s="214"/>
      <c r="JW35" s="214"/>
      <c r="JX35" s="214"/>
      <c r="JY35" s="214"/>
      <c r="JZ35" s="214"/>
      <c r="KA35" s="214"/>
      <c r="KB35" s="214"/>
      <c r="KC35" s="214"/>
      <c r="KD35" s="214"/>
      <c r="KE35" s="214"/>
      <c r="KF35" s="214"/>
      <c r="KG35" s="214"/>
      <c r="KH35" s="214"/>
      <c r="KI35" s="214"/>
      <c r="KJ35" s="214"/>
      <c r="KK35" s="214"/>
      <c r="KL35" s="214"/>
      <c r="KM35" s="214"/>
      <c r="KN35" s="214"/>
      <c r="KO35" s="214"/>
      <c r="KP35" s="214"/>
      <c r="KQ35" s="214"/>
      <c r="KR35" s="214"/>
      <c r="KS35" s="214"/>
      <c r="KT35" s="214"/>
      <c r="KU35" s="214"/>
      <c r="KV35" s="214"/>
      <c r="KW35" s="214"/>
      <c r="KX35" s="214"/>
      <c r="KY35" s="214"/>
      <c r="KZ35" s="214"/>
      <c r="LA35" s="214"/>
      <c r="LB35" s="214"/>
      <c r="LC35" s="214"/>
      <c r="LD35" s="214"/>
      <c r="LE35" s="214"/>
      <c r="LF35" s="214"/>
      <c r="LG35" s="214"/>
      <c r="LH35" s="214"/>
      <c r="LI35" s="214"/>
      <c r="LJ35" s="214"/>
      <c r="LK35" s="214"/>
      <c r="LL35" s="214"/>
      <c r="LM35" s="214"/>
      <c r="LN35" s="214"/>
      <c r="LO35" s="214"/>
      <c r="LP35" s="214"/>
      <c r="LQ35" s="214"/>
      <c r="LR35" s="214"/>
      <c r="LS35" s="214"/>
      <c r="LT35" s="214"/>
      <c r="LU35" s="214"/>
      <c r="LV35" s="214"/>
      <c r="LW35" s="214"/>
      <c r="LX35" s="214"/>
      <c r="LY35" s="214"/>
      <c r="LZ35" s="214"/>
      <c r="MA35" s="214"/>
      <c r="MB35" s="214"/>
      <c r="MC35" s="214"/>
      <c r="MD35" s="214"/>
      <c r="ME35" s="214"/>
      <c r="MF35" s="214"/>
      <c r="MG35" s="214"/>
      <c r="MH35" s="214"/>
      <c r="MI35" s="214"/>
      <c r="MJ35" s="214"/>
      <c r="MK35" s="214"/>
      <c r="ML35" s="214"/>
      <c r="MM35" s="214"/>
      <c r="MN35" s="214"/>
      <c r="MO35" s="214"/>
      <c r="MP35" s="214"/>
      <c r="MQ35" s="214"/>
      <c r="MR35" s="214"/>
      <c r="MS35" s="214"/>
      <c r="MT35" s="214"/>
      <c r="MU35" s="214"/>
      <c r="MV35" s="214"/>
      <c r="MW35" s="214"/>
      <c r="MX35" s="214"/>
      <c r="MY35" s="214"/>
      <c r="MZ35" s="214"/>
      <c r="NA35" s="214"/>
      <c r="NB35" s="214"/>
      <c r="NC35" s="214"/>
      <c r="ND35" s="214"/>
      <c r="NE35" s="214"/>
      <c r="NF35" s="214"/>
      <c r="NG35" s="214"/>
      <c r="NH35" s="214"/>
      <c r="NI35" s="214"/>
      <c r="NJ35" s="214"/>
      <c r="NK35" s="214"/>
      <c r="NL35" s="214"/>
      <c r="NM35" s="214"/>
      <c r="NN35" s="214"/>
      <c r="NO35" s="214"/>
      <c r="NP35" s="214"/>
      <c r="NQ35" s="214"/>
      <c r="NR35" s="214"/>
      <c r="NS35" s="214"/>
      <c r="NT35" s="214"/>
      <c r="NU35" s="214"/>
      <c r="NV35" s="214"/>
      <c r="NW35" s="214"/>
      <c r="NX35" s="214"/>
      <c r="NY35" s="214"/>
      <c r="NZ35" s="214"/>
      <c r="OA35" s="214"/>
      <c r="OB35" s="214"/>
      <c r="OC35" s="214"/>
      <c r="OD35" s="214"/>
      <c r="OE35" s="214"/>
      <c r="OF35" s="214"/>
      <c r="OG35" s="214"/>
      <c r="OH35" s="214"/>
      <c r="OI35" s="214"/>
      <c r="OJ35" s="214"/>
      <c r="OK35" s="214"/>
      <c r="OL35" s="214"/>
      <c r="OM35" s="214"/>
      <c r="ON35" s="214"/>
      <c r="OO35" s="214"/>
      <c r="OP35" s="214"/>
      <c r="OQ35" s="214"/>
      <c r="OR35" s="214"/>
      <c r="OS35" s="214"/>
      <c r="OT35" s="214"/>
      <c r="OU35" s="214"/>
      <c r="OV35" s="214"/>
      <c r="OW35" s="214"/>
      <c r="OX35" s="214"/>
      <c r="OY35" s="214"/>
      <c r="OZ35" s="214"/>
      <c r="PA35" s="214"/>
      <c r="PB35" s="214"/>
      <c r="PC35" s="214"/>
      <c r="PD35" s="214"/>
      <c r="PE35" s="214"/>
      <c r="PF35" s="214"/>
      <c r="PG35" s="214"/>
      <c r="PH35" s="214"/>
      <c r="PI35" s="214"/>
      <c r="PJ35" s="214"/>
      <c r="PK35" s="214"/>
      <c r="PL35" s="214"/>
      <c r="PM35" s="214"/>
      <c r="PN35" s="214"/>
      <c r="PO35" s="214"/>
      <c r="PP35" s="214"/>
      <c r="PQ35" s="214"/>
      <c r="PR35" s="214"/>
      <c r="PS35" s="214"/>
      <c r="PT35" s="214"/>
      <c r="PU35" s="214"/>
      <c r="PV35" s="214"/>
      <c r="PW35" s="214"/>
      <c r="PX35" s="214"/>
      <c r="PY35" s="214"/>
      <c r="PZ35" s="214"/>
      <c r="QA35" s="214"/>
      <c r="QB35" s="214"/>
      <c r="QC35" s="214"/>
      <c r="QD35" s="214"/>
      <c r="QE35" s="214"/>
      <c r="QF35" s="214"/>
      <c r="QG35" s="214"/>
      <c r="QH35" s="214"/>
      <c r="QI35" s="214"/>
      <c r="QJ35" s="214"/>
      <c r="QK35" s="214"/>
      <c r="QL35" s="214"/>
      <c r="QM35" s="214"/>
      <c r="QN35" s="214"/>
      <c r="QO35" s="214"/>
      <c r="QP35" s="214"/>
      <c r="QQ35" s="214"/>
      <c r="QR35" s="214"/>
      <c r="QS35" s="214"/>
      <c r="QT35" s="214"/>
      <c r="QU35" s="214"/>
      <c r="QV35" s="214"/>
      <c r="QW35" s="214"/>
      <c r="QX35" s="214"/>
      <c r="QY35" s="214"/>
      <c r="QZ35" s="214"/>
      <c r="RA35" s="214"/>
      <c r="RB35" s="214"/>
      <c r="RC35" s="214"/>
      <c r="RD35" s="214"/>
      <c r="RE35" s="214"/>
      <c r="RF35" s="214"/>
      <c r="RG35" s="214"/>
      <c r="RH35" s="214"/>
      <c r="RI35" s="214"/>
      <c r="RJ35" s="214"/>
      <c r="RK35" s="214"/>
      <c r="RL35" s="214"/>
      <c r="RM35" s="214"/>
      <c r="RN35" s="214"/>
      <c r="RO35" s="214"/>
      <c r="RP35" s="214"/>
      <c r="RQ35" s="214"/>
      <c r="RR35" s="214"/>
      <c r="RS35" s="214"/>
      <c r="RT35" s="214"/>
      <c r="RU35" s="214"/>
      <c r="RV35" s="214"/>
      <c r="RW35" s="214"/>
      <c r="RX35" s="214"/>
      <c r="RY35" s="214"/>
      <c r="RZ35" s="214"/>
      <c r="SA35" s="214"/>
      <c r="SB35" s="214"/>
      <c r="SC35" s="214"/>
      <c r="SD35" s="214"/>
      <c r="SE35" s="214"/>
      <c r="SF35" s="214"/>
      <c r="SG35" s="214"/>
      <c r="SH35" s="214"/>
      <c r="SI35" s="214"/>
      <c r="SJ35" s="214"/>
      <c r="SK35" s="214"/>
      <c r="SL35" s="214"/>
      <c r="SM35" s="214"/>
      <c r="SN35" s="214"/>
      <c r="SO35" s="214"/>
      <c r="SP35" s="214"/>
      <c r="SQ35" s="214"/>
      <c r="SR35" s="214"/>
      <c r="SS35" s="214"/>
      <c r="ST35" s="214"/>
      <c r="SU35" s="214"/>
      <c r="SV35" s="214"/>
      <c r="SW35" s="214"/>
      <c r="SX35" s="214"/>
      <c r="SY35" s="214"/>
      <c r="SZ35" s="214"/>
      <c r="TA35" s="214"/>
      <c r="TB35" s="214"/>
      <c r="TC35" s="214"/>
      <c r="TD35" s="214"/>
      <c r="TE35" s="214"/>
      <c r="TF35" s="214"/>
      <c r="TG35" s="214"/>
      <c r="TH35" s="214"/>
      <c r="TI35" s="214"/>
      <c r="TJ35" s="214"/>
      <c r="TK35" s="214"/>
      <c r="TL35" s="214"/>
      <c r="TM35" s="214"/>
      <c r="TN35" s="214"/>
      <c r="TO35" s="214"/>
      <c r="TP35" s="214"/>
      <c r="TQ35" s="214"/>
      <c r="TR35" s="214"/>
      <c r="TS35" s="214"/>
      <c r="TT35" s="214"/>
      <c r="TU35" s="214"/>
      <c r="TV35" s="214"/>
      <c r="TW35" s="214"/>
      <c r="TX35" s="214"/>
      <c r="TY35" s="214"/>
      <c r="TZ35" s="214"/>
      <c r="UA35" s="214"/>
      <c r="UB35" s="214"/>
      <c r="UC35" s="214"/>
      <c r="UD35" s="214"/>
      <c r="UE35" s="214"/>
      <c r="UF35" s="214"/>
      <c r="UG35" s="214"/>
      <c r="UH35" s="214"/>
      <c r="UI35" s="214"/>
      <c r="UJ35" s="214"/>
      <c r="UK35" s="214"/>
      <c r="UL35" s="214"/>
      <c r="UM35" s="214"/>
      <c r="UN35" s="214"/>
      <c r="UO35" s="214"/>
      <c r="UP35" s="214"/>
      <c r="UQ35" s="214"/>
      <c r="UR35" s="214"/>
      <c r="US35" s="214"/>
      <c r="UT35" s="214"/>
      <c r="UU35" s="214"/>
      <c r="UV35" s="214"/>
      <c r="UW35" s="214"/>
      <c r="UX35" s="214"/>
      <c r="UY35" s="214"/>
      <c r="UZ35" s="214"/>
      <c r="VA35" s="214"/>
      <c r="VB35" s="214"/>
      <c r="VC35" s="214"/>
      <c r="VD35" s="214"/>
      <c r="VE35" s="214"/>
      <c r="VF35" s="214"/>
      <c r="VG35" s="214"/>
      <c r="VH35" s="214"/>
      <c r="VI35" s="214"/>
      <c r="VJ35" s="214"/>
      <c r="VK35" s="214"/>
      <c r="VL35" s="214"/>
      <c r="VM35" s="214"/>
      <c r="VN35" s="214"/>
      <c r="VO35" s="214"/>
      <c r="VP35" s="214"/>
      <c r="VQ35" s="214"/>
      <c r="VR35" s="214"/>
      <c r="VS35" s="214"/>
      <c r="VT35" s="214"/>
      <c r="VU35" s="214"/>
      <c r="VV35" s="214"/>
      <c r="VW35" s="214"/>
      <c r="VX35" s="214"/>
      <c r="VY35" s="214"/>
      <c r="VZ35" s="214"/>
      <c r="WA35" s="214"/>
      <c r="WB35" s="214"/>
      <c r="WC35" s="214"/>
      <c r="WD35" s="214"/>
      <c r="WE35" s="214"/>
      <c r="WF35" s="214"/>
      <c r="WG35" s="214"/>
      <c r="WH35" s="214"/>
      <c r="WI35" s="214"/>
      <c r="WJ35" s="214"/>
      <c r="WK35" s="214"/>
      <c r="WL35" s="214"/>
      <c r="WM35" s="214"/>
      <c r="WN35" s="214"/>
      <c r="WO35" s="214"/>
      <c r="WP35" s="214"/>
      <c r="WQ35" s="214"/>
      <c r="WR35" s="214"/>
      <c r="WS35" s="214"/>
      <c r="WT35" s="214"/>
      <c r="WU35" s="214"/>
      <c r="WV35" s="214"/>
      <c r="WW35" s="214"/>
      <c r="WX35" s="214"/>
      <c r="WY35" s="214"/>
      <c r="WZ35" s="214"/>
      <c r="XA35" s="214"/>
      <c r="XB35" s="214"/>
      <c r="XC35" s="214"/>
      <c r="XD35" s="214"/>
      <c r="XE35" s="214"/>
      <c r="XF35" s="214"/>
      <c r="XG35" s="214"/>
      <c r="XH35" s="214"/>
      <c r="XI35" s="214"/>
      <c r="XJ35" s="214"/>
      <c r="XK35" s="214"/>
      <c r="XL35" s="214"/>
      <c r="XM35" s="214"/>
      <c r="XN35" s="214"/>
      <c r="XO35" s="214"/>
      <c r="XP35" s="214"/>
      <c r="XQ35" s="214"/>
      <c r="XR35" s="214"/>
      <c r="XS35" s="214"/>
      <c r="XT35" s="214"/>
      <c r="XU35" s="214"/>
      <c r="XV35" s="214"/>
      <c r="XW35" s="214"/>
      <c r="XX35" s="214"/>
      <c r="XY35" s="214"/>
      <c r="XZ35" s="214"/>
      <c r="YA35" s="214"/>
      <c r="YB35" s="214"/>
      <c r="YC35" s="214"/>
      <c r="YD35" s="214"/>
      <c r="YE35" s="214"/>
      <c r="YF35" s="214"/>
      <c r="YG35" s="214"/>
      <c r="YH35" s="214"/>
      <c r="YI35" s="214"/>
      <c r="YJ35" s="214"/>
      <c r="YK35" s="214"/>
      <c r="YL35" s="214"/>
      <c r="YM35" s="214"/>
      <c r="YN35" s="214"/>
      <c r="YO35" s="214"/>
      <c r="YP35" s="214"/>
      <c r="YQ35" s="214"/>
      <c r="YR35" s="214"/>
      <c r="YS35" s="214"/>
      <c r="YT35" s="214"/>
      <c r="YU35" s="214"/>
      <c r="YV35" s="214"/>
      <c r="YW35" s="214"/>
      <c r="YX35" s="214"/>
      <c r="YY35" s="214"/>
      <c r="YZ35" s="214"/>
      <c r="ZA35" s="214"/>
      <c r="ZB35" s="214"/>
      <c r="ZC35" s="214"/>
      <c r="ZD35" s="214"/>
      <c r="ZE35" s="214"/>
      <c r="ZF35" s="214"/>
      <c r="ZG35" s="214"/>
      <c r="ZH35" s="214"/>
      <c r="ZI35" s="214"/>
      <c r="ZJ35" s="214"/>
      <c r="ZK35" s="214"/>
      <c r="ZL35" s="214"/>
      <c r="ZM35" s="214"/>
      <c r="ZN35" s="214"/>
      <c r="ZO35" s="214"/>
      <c r="ZP35" s="214"/>
      <c r="ZQ35" s="214"/>
      <c r="ZR35" s="214"/>
      <c r="ZS35" s="214"/>
      <c r="ZT35" s="214"/>
      <c r="ZU35" s="214"/>
      <c r="ZV35" s="214"/>
      <c r="ZW35" s="214"/>
      <c r="ZX35" s="214"/>
      <c r="ZY35" s="214"/>
      <c r="ZZ35" s="214"/>
      <c r="AAA35" s="214"/>
      <c r="AAB35" s="214"/>
      <c r="AAC35" s="214"/>
      <c r="AAD35" s="214"/>
      <c r="AAE35" s="214"/>
      <c r="AAF35" s="214"/>
      <c r="AAG35" s="214"/>
      <c r="AAH35" s="214"/>
      <c r="AAI35" s="214"/>
      <c r="AAJ35" s="214"/>
      <c r="AAK35" s="214"/>
      <c r="AAL35" s="214"/>
      <c r="AAM35" s="214"/>
      <c r="AAN35" s="214"/>
      <c r="AAO35" s="214"/>
      <c r="AAP35" s="214"/>
      <c r="AAQ35" s="214"/>
      <c r="AAR35" s="214"/>
      <c r="AAS35" s="214"/>
      <c r="AAT35" s="214"/>
      <c r="AAU35" s="214"/>
      <c r="AAV35" s="214"/>
      <c r="AAW35" s="214"/>
      <c r="AAX35" s="214"/>
      <c r="AAY35" s="214"/>
      <c r="AAZ35" s="214"/>
      <c r="ABA35" s="214"/>
      <c r="ABB35" s="214"/>
      <c r="ABC35" s="214"/>
      <c r="ABD35" s="214"/>
      <c r="ABE35" s="214"/>
      <c r="ABF35" s="214"/>
      <c r="ABG35" s="214"/>
      <c r="ABH35" s="214"/>
      <c r="ABI35" s="214"/>
      <c r="ABJ35" s="214"/>
      <c r="ABK35" s="214"/>
      <c r="ABL35" s="214"/>
      <c r="ABM35" s="214"/>
      <c r="ABN35" s="214"/>
      <c r="ABO35" s="214"/>
      <c r="ABP35" s="214"/>
      <c r="ABQ35" s="214"/>
      <c r="ABR35" s="214"/>
      <c r="ABS35" s="214"/>
      <c r="ABT35" s="214"/>
      <c r="ABU35" s="214"/>
      <c r="ABV35" s="214"/>
      <c r="ABW35" s="214"/>
      <c r="ABX35" s="214"/>
      <c r="ABY35" s="214"/>
      <c r="ABZ35" s="214"/>
      <c r="ACA35" s="214"/>
      <c r="ACB35" s="214"/>
      <c r="ACC35" s="214"/>
      <c r="ACD35" s="214"/>
      <c r="ACE35" s="214"/>
      <c r="ACF35" s="214"/>
      <c r="ACG35" s="214"/>
      <c r="ACH35" s="214"/>
      <c r="ACI35" s="214"/>
      <c r="ACJ35" s="214"/>
      <c r="ACK35" s="214"/>
      <c r="ACL35" s="214"/>
      <c r="ACM35" s="214"/>
      <c r="ACN35" s="214"/>
      <c r="ACO35" s="214"/>
      <c r="ACP35" s="214"/>
      <c r="ACQ35" s="214"/>
      <c r="ACR35" s="214"/>
      <c r="ACS35" s="214"/>
      <c r="ACT35" s="214"/>
      <c r="ACU35" s="214"/>
      <c r="ACV35" s="214"/>
      <c r="ACW35" s="214"/>
      <c r="ACX35" s="214"/>
      <c r="ACY35" s="214"/>
      <c r="ACZ35" s="214"/>
      <c r="ADA35" s="214"/>
      <c r="ADB35" s="214"/>
      <c r="ADC35" s="214"/>
      <c r="ADD35" s="214"/>
      <c r="ADE35" s="214"/>
      <c r="ADF35" s="214"/>
      <c r="ADG35" s="214"/>
      <c r="ADH35" s="214"/>
      <c r="ADI35" s="214"/>
      <c r="ADJ35" s="214"/>
      <c r="ADK35" s="214"/>
      <c r="ADL35" s="214"/>
      <c r="ADM35" s="214"/>
      <c r="ADN35" s="214"/>
      <c r="ADO35" s="214"/>
      <c r="ADP35" s="214"/>
      <c r="ADQ35" s="214"/>
      <c r="ADR35" s="214"/>
      <c r="ADS35" s="214"/>
      <c r="ADT35" s="214"/>
      <c r="ADU35" s="214"/>
      <c r="ADV35" s="214"/>
      <c r="ADW35" s="214"/>
      <c r="ADX35" s="214"/>
      <c r="ADY35" s="214"/>
      <c r="ADZ35" s="214"/>
      <c r="AEA35" s="214"/>
      <c r="AEB35" s="214"/>
      <c r="AEC35" s="214"/>
      <c r="AED35" s="214"/>
      <c r="AEE35" s="214"/>
      <c r="AEF35" s="214"/>
      <c r="AEG35" s="214"/>
      <c r="AEH35" s="214"/>
      <c r="AEI35" s="214"/>
      <c r="AEJ35" s="214"/>
      <c r="AEK35" s="214"/>
      <c r="AEL35" s="214"/>
      <c r="AEM35" s="214"/>
      <c r="AEN35" s="214"/>
      <c r="AEO35" s="214"/>
      <c r="AEP35" s="214"/>
      <c r="AEQ35" s="214"/>
      <c r="AER35" s="214"/>
      <c r="AES35" s="214"/>
      <c r="AET35" s="214"/>
      <c r="AEU35" s="214"/>
      <c r="AEV35" s="214"/>
      <c r="AEW35" s="214"/>
      <c r="AEX35" s="214"/>
      <c r="AEY35" s="214"/>
      <c r="AEZ35" s="214"/>
      <c r="AFA35" s="214"/>
      <c r="AFB35" s="214"/>
      <c r="AFC35" s="214"/>
      <c r="AFD35" s="214"/>
      <c r="AFE35" s="214"/>
      <c r="AFF35" s="214"/>
      <c r="AFG35" s="214"/>
      <c r="AFH35" s="214"/>
      <c r="AFI35" s="214"/>
      <c r="AFJ35" s="214"/>
      <c r="AFK35" s="214"/>
      <c r="AFL35" s="214"/>
      <c r="AFM35" s="214"/>
      <c r="AFN35" s="214"/>
      <c r="AFO35" s="214"/>
      <c r="AFP35" s="214"/>
      <c r="AFQ35" s="214"/>
      <c r="AFR35" s="214"/>
      <c r="AFS35" s="214"/>
      <c r="AFT35" s="214"/>
      <c r="AFU35" s="214"/>
      <c r="AFV35" s="214"/>
      <c r="AFW35" s="214"/>
      <c r="AFX35" s="214"/>
      <c r="AFY35" s="214"/>
      <c r="AFZ35" s="214"/>
      <c r="AGA35" s="214"/>
      <c r="AGB35" s="214"/>
      <c r="AGC35" s="214"/>
      <c r="AGD35" s="214"/>
      <c r="AGE35" s="214"/>
      <c r="AGF35" s="214"/>
      <c r="AGG35" s="214"/>
      <c r="AGH35" s="214"/>
      <c r="AGI35" s="214"/>
      <c r="AGJ35" s="214"/>
      <c r="AGK35" s="214"/>
      <c r="AGL35" s="214"/>
      <c r="AGM35" s="214"/>
      <c r="AGN35" s="214"/>
      <c r="AGO35" s="214"/>
      <c r="AGP35" s="214"/>
      <c r="AGQ35" s="214"/>
      <c r="AGR35" s="214"/>
      <c r="AGS35" s="214"/>
      <c r="AGT35" s="214"/>
      <c r="AGU35" s="214"/>
      <c r="AGV35" s="214"/>
      <c r="AGW35" s="214"/>
      <c r="AGX35" s="214"/>
      <c r="AGY35" s="214"/>
      <c r="AGZ35" s="214"/>
      <c r="AHA35" s="214"/>
      <c r="AHB35" s="214"/>
      <c r="AHC35" s="214"/>
      <c r="AHD35" s="214"/>
      <c r="AHE35" s="214"/>
      <c r="AHF35" s="214"/>
      <c r="AHG35" s="214"/>
      <c r="AHH35" s="214"/>
      <c r="AHI35" s="214"/>
      <c r="AHJ35" s="214"/>
      <c r="AHK35" s="214"/>
      <c r="AHL35" s="214"/>
      <c r="AHM35" s="214"/>
      <c r="AHN35" s="214"/>
      <c r="AHO35" s="214"/>
      <c r="AHP35" s="214"/>
      <c r="AHQ35" s="214"/>
      <c r="AHR35" s="214"/>
      <c r="AHS35" s="214"/>
      <c r="AHT35" s="214"/>
      <c r="AHU35" s="214"/>
      <c r="AHV35" s="214"/>
      <c r="AHW35" s="214"/>
      <c r="AHX35" s="214"/>
      <c r="AHY35" s="214"/>
      <c r="AHZ35" s="214"/>
      <c r="AIA35" s="214"/>
      <c r="AIB35" s="214"/>
      <c r="AIC35" s="214"/>
      <c r="AID35" s="214"/>
      <c r="AIE35" s="214"/>
      <c r="AIF35" s="214"/>
      <c r="AIG35" s="214"/>
      <c r="AIH35" s="214"/>
      <c r="AII35" s="214"/>
      <c r="AIJ35" s="214"/>
      <c r="AIK35" s="214"/>
      <c r="AIL35" s="214"/>
      <c r="AIM35" s="214"/>
      <c r="AIN35" s="214"/>
      <c r="AIO35" s="214"/>
      <c r="AIP35" s="214"/>
      <c r="AIQ35" s="214"/>
      <c r="AIR35" s="214"/>
      <c r="AIS35" s="214"/>
      <c r="AIT35" s="214"/>
      <c r="AIU35" s="214"/>
      <c r="AIV35" s="214"/>
      <c r="AIW35" s="214"/>
      <c r="AIX35" s="214"/>
      <c r="AIY35" s="214"/>
      <c r="AIZ35" s="214"/>
      <c r="AJA35" s="214"/>
      <c r="AJB35" s="214"/>
      <c r="AJC35" s="214"/>
      <c r="AJD35" s="214"/>
      <c r="AJE35" s="214"/>
      <c r="AJF35" s="214"/>
      <c r="AJG35" s="214"/>
      <c r="AJH35" s="214"/>
      <c r="AJI35" s="214"/>
      <c r="AJJ35" s="214"/>
      <c r="AJK35" s="214"/>
      <c r="AJL35" s="214"/>
      <c r="AJM35" s="214"/>
      <c r="AJN35" s="214"/>
      <c r="AJO35" s="214"/>
      <c r="AJP35" s="214"/>
      <c r="AJQ35" s="214"/>
      <c r="AJR35" s="214"/>
      <c r="AJS35" s="214"/>
      <c r="AJT35" s="214"/>
      <c r="AJU35" s="214"/>
      <c r="AJV35" s="214"/>
      <c r="AJW35" s="214"/>
      <c r="AJX35" s="214"/>
      <c r="AJY35" s="214"/>
      <c r="AJZ35" s="214"/>
      <c r="AKA35" s="214"/>
      <c r="AKB35" s="214"/>
      <c r="AKC35" s="214"/>
      <c r="AKD35" s="214"/>
      <c r="AKE35" s="214"/>
      <c r="AKF35" s="214"/>
      <c r="AKG35" s="214"/>
      <c r="AKH35" s="214"/>
      <c r="AKI35" s="214"/>
      <c r="AKJ35" s="214"/>
      <c r="AKK35" s="214"/>
      <c r="AKL35" s="214"/>
      <c r="AKM35" s="214"/>
      <c r="AKN35" s="214"/>
      <c r="AKO35" s="214"/>
      <c r="AKP35" s="214"/>
      <c r="AKQ35" s="214"/>
      <c r="AKR35" s="214"/>
      <c r="AKS35" s="214"/>
      <c r="AKT35" s="214"/>
      <c r="AKU35" s="214"/>
      <c r="AKV35" s="214"/>
      <c r="AKW35" s="214"/>
      <c r="AKX35" s="214"/>
      <c r="AKY35" s="214"/>
      <c r="AKZ35" s="214"/>
      <c r="ALA35" s="214"/>
      <c r="ALB35" s="214"/>
      <c r="ALC35" s="214"/>
      <c r="ALD35" s="214"/>
      <c r="ALE35" s="214"/>
      <c r="ALF35" s="214"/>
      <c r="ALG35" s="214"/>
      <c r="ALH35" s="214"/>
      <c r="ALI35" s="214"/>
      <c r="ALJ35" s="214"/>
      <c r="ALK35" s="214"/>
      <c r="ALL35" s="214"/>
      <c r="ALM35" s="214"/>
      <c r="ALN35" s="214"/>
      <c r="ALO35" s="214"/>
      <c r="ALP35" s="214"/>
      <c r="ALQ35" s="214"/>
      <c r="ALR35" s="214"/>
      <c r="ALS35" s="214"/>
      <c r="ALT35" s="214"/>
      <c r="ALU35" s="214"/>
      <c r="ALV35" s="214"/>
      <c r="ALW35" s="214"/>
      <c r="ALX35" s="214"/>
      <c r="ALY35" s="214"/>
      <c r="ALZ35" s="214"/>
      <c r="AMA35" s="214"/>
      <c r="AMB35" s="214"/>
      <c r="AMC35" s="214"/>
      <c r="AMD35" s="214"/>
      <c r="AME35" s="214"/>
      <c r="AMF35" s="214"/>
      <c r="AMG35" s="214"/>
      <c r="AMH35" s="214"/>
      <c r="AMI35" s="214"/>
      <c r="AMJ35" s="214"/>
      <c r="AMK35" s="214"/>
      <c r="AML35" s="214"/>
      <c r="AMM35" s="214"/>
      <c r="AMN35" s="214"/>
      <c r="AMO35" s="214"/>
      <c r="AMP35" s="214"/>
      <c r="AMQ35" s="214"/>
      <c r="AMR35" s="214"/>
      <c r="AMS35" s="214"/>
      <c r="AMT35" s="214"/>
      <c r="AMU35" s="214"/>
      <c r="AMV35" s="214"/>
      <c r="AMW35" s="214"/>
      <c r="AMX35" s="214"/>
      <c r="AMY35" s="214"/>
      <c r="AMZ35" s="214"/>
      <c r="ANA35" s="214"/>
      <c r="ANB35" s="214"/>
      <c r="ANC35" s="214"/>
      <c r="AND35" s="214"/>
      <c r="ANE35" s="214"/>
      <c r="ANF35" s="214"/>
      <c r="ANG35" s="214"/>
      <c r="ANH35" s="214"/>
      <c r="ANI35" s="214"/>
      <c r="ANJ35" s="214"/>
      <c r="ANK35" s="214"/>
      <c r="ANL35" s="214"/>
      <c r="ANM35" s="214"/>
      <c r="ANN35" s="214"/>
      <c r="ANO35" s="214"/>
      <c r="ANP35" s="214"/>
      <c r="ANQ35" s="214"/>
      <c r="ANR35" s="214"/>
      <c r="ANS35" s="214"/>
      <c r="ANT35" s="214"/>
      <c r="ANU35" s="214"/>
      <c r="ANV35" s="214"/>
      <c r="ANW35" s="214"/>
      <c r="ANX35" s="214"/>
      <c r="ANY35" s="214"/>
      <c r="ANZ35" s="214"/>
      <c r="AOA35" s="214"/>
      <c r="AOB35" s="214"/>
      <c r="AOC35" s="214"/>
      <c r="AOD35" s="214"/>
      <c r="AOE35" s="214"/>
      <c r="AOF35" s="214"/>
      <c r="AOG35" s="214"/>
      <c r="AOH35" s="214"/>
      <c r="AOI35" s="214"/>
      <c r="AOJ35" s="214"/>
      <c r="AOK35" s="214"/>
      <c r="AOL35" s="214"/>
      <c r="AOM35" s="214"/>
      <c r="AON35" s="214"/>
      <c r="AOO35" s="214"/>
      <c r="AOP35" s="214"/>
      <c r="AOQ35" s="214"/>
      <c r="AOR35" s="214"/>
      <c r="AOS35" s="214"/>
      <c r="AOT35" s="214"/>
      <c r="AOU35" s="214"/>
      <c r="AOV35" s="214"/>
      <c r="AOW35" s="214"/>
      <c r="AOX35" s="214"/>
      <c r="AOY35" s="214"/>
      <c r="AOZ35" s="214"/>
      <c r="APA35" s="214"/>
      <c r="APB35" s="214"/>
      <c r="APC35" s="214"/>
      <c r="APD35" s="214"/>
      <c r="APE35" s="214"/>
      <c r="APF35" s="214"/>
      <c r="APG35" s="214"/>
      <c r="APH35" s="214"/>
      <c r="API35" s="214"/>
      <c r="APJ35" s="214"/>
      <c r="APK35" s="214"/>
      <c r="APL35" s="214"/>
      <c r="APM35" s="214"/>
      <c r="APN35" s="214"/>
      <c r="APO35" s="214"/>
      <c r="APP35" s="214"/>
      <c r="APQ35" s="214"/>
      <c r="APR35" s="214"/>
      <c r="APS35" s="214"/>
      <c r="APT35" s="214"/>
      <c r="APU35" s="214"/>
      <c r="APV35" s="214"/>
      <c r="APW35" s="214"/>
      <c r="APX35" s="214"/>
      <c r="APY35" s="214"/>
      <c r="APZ35" s="214"/>
      <c r="AQA35" s="214"/>
      <c r="AQB35" s="214"/>
      <c r="AQC35" s="214"/>
      <c r="AQD35" s="214"/>
      <c r="AQE35" s="214"/>
      <c r="AQF35" s="214"/>
      <c r="AQG35" s="214"/>
      <c r="AQH35" s="214"/>
      <c r="AQI35" s="214"/>
      <c r="AQJ35" s="214"/>
      <c r="AQK35" s="214"/>
      <c r="AQL35" s="214"/>
      <c r="AQM35" s="214"/>
      <c r="AQN35" s="214"/>
      <c r="AQO35" s="214"/>
      <c r="AQP35" s="214"/>
      <c r="AQQ35" s="214"/>
      <c r="AQR35" s="214"/>
      <c r="AQS35" s="214"/>
      <c r="AQT35" s="214"/>
      <c r="AQU35" s="214"/>
      <c r="AQV35" s="214"/>
      <c r="AQW35" s="214"/>
      <c r="AQX35" s="214"/>
      <c r="AQY35" s="214"/>
      <c r="AQZ35" s="214"/>
      <c r="ARA35" s="214"/>
      <c r="ARB35" s="214"/>
      <c r="ARC35" s="214"/>
      <c r="ARD35" s="214"/>
      <c r="ARE35" s="214"/>
      <c r="ARF35" s="214"/>
      <c r="ARG35" s="214"/>
      <c r="ARH35" s="214"/>
      <c r="ARI35" s="214"/>
      <c r="ARJ35" s="214"/>
      <c r="ARK35" s="214"/>
      <c r="ARL35" s="214"/>
      <c r="ARM35" s="214"/>
      <c r="ARN35" s="214"/>
      <c r="ARO35" s="214"/>
      <c r="ARP35" s="214"/>
      <c r="ARQ35" s="214"/>
      <c r="ARR35" s="214"/>
      <c r="ARS35" s="214"/>
      <c r="ART35" s="214"/>
      <c r="ARU35" s="214"/>
      <c r="ARV35" s="214"/>
      <c r="ARW35" s="214"/>
      <c r="ARX35" s="214"/>
      <c r="ARY35" s="214"/>
      <c r="ARZ35" s="214"/>
      <c r="ASA35" s="214"/>
      <c r="ASB35" s="214"/>
      <c r="ASC35" s="214"/>
      <c r="ASD35" s="214"/>
      <c r="ASE35" s="214"/>
      <c r="ASF35" s="214"/>
      <c r="ASG35" s="214"/>
      <c r="ASH35" s="214"/>
      <c r="ASI35" s="214"/>
      <c r="ASJ35" s="214"/>
      <c r="ASK35" s="214"/>
      <c r="ASL35" s="214"/>
      <c r="ASM35" s="214"/>
      <c r="ASN35" s="214"/>
      <c r="ASO35" s="214"/>
      <c r="ASP35" s="214"/>
      <c r="ASQ35" s="214"/>
      <c r="ASR35" s="214"/>
      <c r="ASS35" s="214"/>
      <c r="AST35" s="214"/>
      <c r="ASU35" s="214"/>
      <c r="ASV35" s="214"/>
      <c r="ASW35" s="214"/>
      <c r="ASX35" s="214"/>
      <c r="ASY35" s="214"/>
      <c r="ASZ35" s="214"/>
      <c r="ATA35" s="214"/>
      <c r="ATB35" s="214"/>
      <c r="ATC35" s="214"/>
      <c r="ATD35" s="214"/>
      <c r="ATE35" s="214"/>
      <c r="ATF35" s="214"/>
      <c r="ATG35" s="214"/>
      <c r="ATH35" s="214"/>
      <c r="ATI35" s="214"/>
      <c r="ATJ35" s="214"/>
      <c r="ATK35" s="214"/>
      <c r="ATL35" s="214"/>
      <c r="ATM35" s="214"/>
      <c r="ATN35" s="214"/>
      <c r="ATO35" s="214"/>
      <c r="ATP35" s="214"/>
      <c r="ATQ35" s="214"/>
      <c r="ATR35" s="214"/>
      <c r="ATS35" s="214"/>
      <c r="ATT35" s="214"/>
      <c r="ATU35" s="214"/>
      <c r="ATV35" s="214"/>
      <c r="ATW35" s="214"/>
      <c r="ATX35" s="214"/>
      <c r="ATY35" s="214"/>
      <c r="ATZ35" s="214"/>
      <c r="AUA35" s="214"/>
      <c r="AUB35" s="214"/>
      <c r="AUC35" s="214"/>
      <c r="AUD35" s="214"/>
      <c r="AUE35" s="214"/>
      <c r="AUF35" s="214"/>
      <c r="AUG35" s="214"/>
      <c r="AUH35" s="214"/>
      <c r="AUI35" s="214"/>
      <c r="AUJ35" s="214"/>
      <c r="AUK35" s="214"/>
      <c r="AUL35" s="214"/>
      <c r="AUM35" s="214"/>
      <c r="AUN35" s="214"/>
      <c r="AUO35" s="214"/>
      <c r="AUP35" s="214"/>
      <c r="AUQ35" s="214"/>
      <c r="AUR35" s="214"/>
      <c r="AUS35" s="214"/>
      <c r="AUT35" s="214"/>
      <c r="AUU35" s="214"/>
      <c r="AUV35" s="214"/>
      <c r="AUW35" s="214"/>
      <c r="AUX35" s="214"/>
      <c r="AUY35" s="214"/>
      <c r="AUZ35" s="214"/>
      <c r="AVA35" s="214"/>
      <c r="AVB35" s="214"/>
      <c r="AVC35" s="214"/>
      <c r="AVD35" s="214"/>
      <c r="AVE35" s="214"/>
      <c r="AVF35" s="214"/>
      <c r="AVG35" s="214"/>
      <c r="AVH35" s="214"/>
      <c r="AVI35" s="214"/>
      <c r="AVJ35" s="214"/>
      <c r="AVK35" s="214"/>
      <c r="AVL35" s="214"/>
      <c r="AVM35" s="214"/>
      <c r="AVN35" s="214"/>
      <c r="AVO35" s="214"/>
      <c r="AVP35" s="214"/>
      <c r="AVQ35" s="214"/>
      <c r="AVR35" s="214"/>
      <c r="AVS35" s="214"/>
      <c r="AVT35" s="214"/>
      <c r="AVU35" s="214"/>
      <c r="AVV35" s="214"/>
      <c r="AVW35" s="214"/>
      <c r="AVX35" s="214"/>
      <c r="AVY35" s="214"/>
      <c r="AVZ35" s="214"/>
      <c r="AWA35" s="214"/>
      <c r="AWB35" s="214"/>
      <c r="AWC35" s="214"/>
      <c r="AWD35" s="214"/>
      <c r="AWE35" s="214"/>
      <c r="AWF35" s="214"/>
      <c r="AWG35" s="214"/>
      <c r="AWH35" s="214"/>
      <c r="AWI35" s="214"/>
      <c r="AWJ35" s="214"/>
      <c r="AWK35" s="214"/>
      <c r="AWL35" s="214"/>
      <c r="AWM35" s="214"/>
      <c r="AWN35" s="214"/>
      <c r="AWO35" s="214"/>
      <c r="AWP35" s="214"/>
      <c r="AWQ35" s="214"/>
      <c r="AWR35" s="214"/>
      <c r="AWS35" s="214"/>
      <c r="AWT35" s="214"/>
      <c r="AWU35" s="214"/>
      <c r="AWV35" s="214"/>
      <c r="AWW35" s="214"/>
      <c r="AWX35" s="214"/>
      <c r="AWY35" s="214"/>
      <c r="AWZ35" s="214"/>
      <c r="AXA35" s="214"/>
      <c r="AXB35" s="214"/>
      <c r="AXC35" s="214"/>
      <c r="AXD35" s="214"/>
      <c r="AXE35" s="214"/>
      <c r="AXF35" s="214"/>
      <c r="AXG35" s="214"/>
      <c r="AXH35" s="214"/>
      <c r="AXI35" s="214"/>
      <c r="AXJ35" s="214"/>
      <c r="AXK35" s="214"/>
      <c r="AXL35" s="214"/>
      <c r="AXM35" s="214"/>
      <c r="AXN35" s="214"/>
      <c r="AXO35" s="214"/>
      <c r="AXP35" s="214"/>
      <c r="AXQ35" s="214"/>
      <c r="AXR35" s="214"/>
      <c r="AXS35" s="214"/>
      <c r="AXT35" s="214"/>
      <c r="AXU35" s="214"/>
      <c r="AXV35" s="214"/>
      <c r="AXW35" s="214"/>
      <c r="AXX35" s="214"/>
      <c r="AXY35" s="214"/>
      <c r="AXZ35" s="214"/>
      <c r="AYA35" s="214"/>
      <c r="AYB35" s="214"/>
      <c r="AYC35" s="214"/>
      <c r="AYD35" s="214"/>
      <c r="AYE35" s="214"/>
      <c r="AYF35" s="214"/>
      <c r="AYG35" s="214"/>
      <c r="AYH35" s="214"/>
      <c r="AYI35" s="214"/>
      <c r="AYJ35" s="214"/>
      <c r="AYK35" s="214"/>
      <c r="AYL35" s="214"/>
      <c r="AYM35" s="214"/>
      <c r="AYN35" s="214"/>
      <c r="AYO35" s="214"/>
      <c r="AYP35" s="214"/>
      <c r="AYQ35" s="214"/>
      <c r="AYR35" s="214"/>
      <c r="AYS35" s="214"/>
      <c r="AYT35" s="214"/>
      <c r="AYU35" s="214"/>
      <c r="AYV35" s="214"/>
      <c r="AYW35" s="214"/>
      <c r="AYX35" s="214"/>
      <c r="AYY35" s="214"/>
      <c r="AYZ35" s="214"/>
      <c r="AZA35" s="214"/>
      <c r="AZB35" s="214"/>
      <c r="AZC35" s="214"/>
      <c r="AZD35" s="214"/>
      <c r="AZE35" s="214"/>
      <c r="AZF35" s="214"/>
      <c r="AZG35" s="214"/>
      <c r="AZH35" s="214"/>
      <c r="AZI35" s="214"/>
      <c r="AZJ35" s="214"/>
      <c r="AZK35" s="214"/>
      <c r="AZL35" s="214"/>
      <c r="AZM35" s="214"/>
      <c r="AZN35" s="214"/>
      <c r="AZO35" s="214"/>
      <c r="AZP35" s="214"/>
      <c r="AZQ35" s="214"/>
      <c r="AZR35" s="214"/>
      <c r="AZS35" s="214"/>
      <c r="AZT35" s="214"/>
      <c r="AZU35" s="214"/>
      <c r="AZV35" s="214"/>
      <c r="AZW35" s="214"/>
      <c r="AZX35" s="214"/>
      <c r="AZY35" s="214"/>
      <c r="AZZ35" s="214"/>
      <c r="BAA35" s="214"/>
      <c r="BAB35" s="214"/>
      <c r="BAC35" s="214"/>
      <c r="BAD35" s="214"/>
      <c r="BAE35" s="214"/>
      <c r="BAF35" s="214"/>
      <c r="BAG35" s="214"/>
      <c r="BAH35" s="214"/>
      <c r="BAI35" s="214"/>
      <c r="BAJ35" s="214"/>
      <c r="BAK35" s="214"/>
      <c r="BAL35" s="214"/>
      <c r="BAM35" s="214"/>
      <c r="BAN35" s="214"/>
      <c r="BAO35" s="214"/>
      <c r="BAP35" s="214"/>
      <c r="BAQ35" s="214"/>
      <c r="BAR35" s="214"/>
      <c r="BAS35" s="214"/>
      <c r="BAT35" s="214"/>
      <c r="BAU35" s="214"/>
      <c r="BAV35" s="214"/>
      <c r="BAW35" s="214"/>
      <c r="BAX35" s="214"/>
      <c r="BAY35" s="214"/>
      <c r="BAZ35" s="214"/>
      <c r="BBA35" s="214"/>
      <c r="BBB35" s="214"/>
      <c r="BBC35" s="214"/>
      <c r="BBD35" s="214"/>
      <c r="BBE35" s="214"/>
      <c r="BBF35" s="214"/>
      <c r="BBG35" s="214"/>
      <c r="BBH35" s="214"/>
      <c r="BBI35" s="214"/>
      <c r="BBJ35" s="214"/>
      <c r="BBK35" s="214"/>
      <c r="BBL35" s="214"/>
      <c r="BBM35" s="214"/>
      <c r="BBN35" s="214"/>
      <c r="BBO35" s="214"/>
      <c r="BBP35" s="214"/>
      <c r="BBQ35" s="214"/>
      <c r="BBR35" s="214"/>
      <c r="BBS35" s="214"/>
      <c r="BBT35" s="214"/>
      <c r="BBU35" s="214"/>
      <c r="BBV35" s="214"/>
      <c r="BBW35" s="214"/>
      <c r="BBX35" s="214"/>
      <c r="BBY35" s="214"/>
      <c r="BBZ35" s="214"/>
      <c r="BCA35" s="214"/>
      <c r="BCB35" s="214"/>
      <c r="BCC35" s="214"/>
      <c r="BCD35" s="214"/>
      <c r="BCE35" s="214"/>
      <c r="BCF35" s="214"/>
      <c r="BCG35" s="214"/>
      <c r="BCH35" s="214"/>
      <c r="BCI35" s="214"/>
      <c r="BCJ35" s="214"/>
      <c r="BCK35" s="214"/>
      <c r="BCL35" s="214"/>
      <c r="BCM35" s="214"/>
      <c r="BCN35" s="214"/>
      <c r="BCO35" s="214"/>
      <c r="BCP35" s="214"/>
      <c r="BCQ35" s="214"/>
      <c r="BCR35" s="214"/>
      <c r="BCS35" s="214"/>
      <c r="BCT35" s="214"/>
      <c r="BCU35" s="214"/>
      <c r="BCV35" s="214"/>
      <c r="BCW35" s="214"/>
      <c r="BCX35" s="214"/>
      <c r="BCY35" s="214"/>
      <c r="BCZ35" s="214"/>
      <c r="BDA35" s="214"/>
      <c r="BDB35" s="214"/>
      <c r="BDC35" s="214"/>
      <c r="BDD35" s="214"/>
      <c r="BDE35" s="214"/>
      <c r="BDF35" s="214"/>
      <c r="BDG35" s="214"/>
      <c r="BDH35" s="214"/>
      <c r="BDI35" s="214"/>
      <c r="BDJ35" s="214"/>
      <c r="BDK35" s="214"/>
      <c r="BDL35" s="214"/>
      <c r="BDM35" s="214"/>
      <c r="BDN35" s="214"/>
      <c r="BDO35" s="214"/>
      <c r="BDP35" s="214"/>
      <c r="BDQ35" s="214"/>
      <c r="BDR35" s="214"/>
      <c r="BDS35" s="214"/>
      <c r="BDT35" s="214"/>
      <c r="BDU35" s="214"/>
      <c r="BDV35" s="214"/>
      <c r="BDW35" s="214"/>
      <c r="BDX35" s="214"/>
      <c r="BDY35" s="214"/>
      <c r="BDZ35" s="214"/>
      <c r="BEA35" s="214"/>
      <c r="BEB35" s="214"/>
      <c r="BEC35" s="214"/>
      <c r="BED35" s="214"/>
      <c r="BEE35" s="214"/>
      <c r="BEF35" s="214"/>
      <c r="BEG35" s="214"/>
      <c r="BEH35" s="214"/>
      <c r="BEI35" s="214"/>
      <c r="BEJ35" s="214"/>
      <c r="BEK35" s="214"/>
      <c r="BEL35" s="214"/>
      <c r="BEM35" s="214"/>
      <c r="BEN35" s="214"/>
      <c r="BEO35" s="214"/>
      <c r="BEP35" s="214"/>
      <c r="BEQ35" s="214"/>
      <c r="BER35" s="214"/>
      <c r="BES35" s="214"/>
      <c r="BET35" s="214"/>
      <c r="BEU35" s="214"/>
      <c r="BEV35" s="214"/>
      <c r="BEW35" s="214"/>
      <c r="BEX35" s="214"/>
      <c r="BEY35" s="214"/>
      <c r="BEZ35" s="214"/>
      <c r="BFA35" s="214"/>
      <c r="BFB35" s="214"/>
      <c r="BFC35" s="214"/>
      <c r="BFD35" s="214"/>
      <c r="BFE35" s="214"/>
      <c r="BFF35" s="214"/>
      <c r="BFG35" s="214"/>
      <c r="BFH35" s="214"/>
      <c r="BFI35" s="214"/>
      <c r="BFJ35" s="214"/>
      <c r="BFK35" s="214"/>
      <c r="BFL35" s="214"/>
      <c r="BFM35" s="214"/>
      <c r="BFN35" s="214"/>
      <c r="BFO35" s="214"/>
      <c r="BFP35" s="214"/>
      <c r="BFQ35" s="214"/>
      <c r="BFR35" s="214"/>
      <c r="BFS35" s="214"/>
      <c r="BFT35" s="214"/>
      <c r="BFU35" s="214"/>
      <c r="BFV35" s="214"/>
      <c r="BFW35" s="214"/>
      <c r="BFX35" s="214"/>
      <c r="BFY35" s="214"/>
      <c r="BFZ35" s="214"/>
      <c r="BGA35" s="214"/>
      <c r="BGB35" s="214"/>
      <c r="BGC35" s="214"/>
      <c r="BGD35" s="214"/>
      <c r="BGE35" s="214"/>
      <c r="BGF35" s="214"/>
      <c r="BGG35" s="214"/>
      <c r="BGH35" s="214"/>
      <c r="BGI35" s="214"/>
      <c r="BGJ35" s="214"/>
      <c r="BGK35" s="214"/>
      <c r="BGL35" s="214"/>
      <c r="BGM35" s="214"/>
      <c r="BGN35" s="214"/>
      <c r="BGO35" s="214"/>
      <c r="BGP35" s="214"/>
      <c r="BGQ35" s="214"/>
      <c r="BGR35" s="214"/>
      <c r="BGS35" s="214"/>
      <c r="BGT35" s="214"/>
      <c r="BGU35" s="214"/>
      <c r="BGV35" s="214"/>
      <c r="BGW35" s="214"/>
      <c r="BGX35" s="214"/>
      <c r="BGY35" s="214"/>
      <c r="BGZ35" s="214"/>
      <c r="BHA35" s="214"/>
      <c r="BHB35" s="214"/>
      <c r="BHC35" s="214"/>
      <c r="BHD35" s="214"/>
      <c r="BHE35" s="214"/>
      <c r="BHF35" s="214"/>
      <c r="BHG35" s="214"/>
      <c r="BHH35" s="214"/>
      <c r="BHI35" s="214"/>
      <c r="BHJ35" s="214"/>
      <c r="BHK35" s="214"/>
      <c r="BHL35" s="214"/>
      <c r="BHM35" s="214"/>
      <c r="BHN35" s="214"/>
      <c r="BHO35" s="214"/>
      <c r="BHP35" s="214"/>
      <c r="BHQ35" s="214"/>
      <c r="BHR35" s="214"/>
      <c r="BHS35" s="214"/>
      <c r="BHT35" s="214"/>
      <c r="BHU35" s="214"/>
      <c r="BHV35" s="214"/>
      <c r="BHW35" s="214"/>
    </row>
    <row r="36" spans="1:1583" s="216" customFormat="1" ht="21.75" customHeight="1">
      <c r="A36" s="251" t="s">
        <v>47</v>
      </c>
      <c r="B36" s="190" t="s">
        <v>358</v>
      </c>
      <c r="C36" s="190"/>
      <c r="D36" s="190" t="s">
        <v>590</v>
      </c>
      <c r="E36" s="63" t="s">
        <v>9</v>
      </c>
      <c r="F36" s="131">
        <v>50</v>
      </c>
      <c r="G36" s="60" t="s">
        <v>690</v>
      </c>
      <c r="H36" s="473">
        <f t="shared" ref="H36:H49" si="15">SUM(I36:AN36)</f>
        <v>8703.3800926429103</v>
      </c>
      <c r="I36" s="147">
        <f t="shared" ref="I36" si="16">I31-I33-I27</f>
        <v>287.63996601266894</v>
      </c>
      <c r="J36" s="437"/>
      <c r="K36" s="147">
        <f t="shared" ref="K36:AN36" si="17">K31-K33-K27</f>
        <v>323.4995358154481</v>
      </c>
      <c r="L36" s="147">
        <f t="shared" si="17"/>
        <v>321.73983657759607</v>
      </c>
      <c r="M36" s="147">
        <f t="shared" si="17"/>
        <v>319.41006859258516</v>
      </c>
      <c r="N36" s="147">
        <f t="shared" si="17"/>
        <v>321.9354611216902</v>
      </c>
      <c r="O36" s="147">
        <f t="shared" si="17"/>
        <v>329.64603033572786</v>
      </c>
      <c r="P36" s="147">
        <f t="shared" si="17"/>
        <v>328.99324805686956</v>
      </c>
      <c r="Q36" s="147">
        <f t="shared" si="17"/>
        <v>324.88238281752524</v>
      </c>
      <c r="R36" s="147">
        <f t="shared" si="17"/>
        <v>323.08770832482793</v>
      </c>
      <c r="S36" s="147">
        <f t="shared" si="17"/>
        <v>322.63053257855989</v>
      </c>
      <c r="T36" s="147">
        <f t="shared" si="17"/>
        <v>320.58273504400472</v>
      </c>
      <c r="U36" s="147">
        <f t="shared" si="17"/>
        <v>319.56781545154615</v>
      </c>
      <c r="V36" s="147">
        <f t="shared" si="17"/>
        <v>323.53582701429514</v>
      </c>
      <c r="W36" s="147">
        <f t="shared" si="17"/>
        <v>323.30368587196222</v>
      </c>
      <c r="X36" s="147">
        <f t="shared" si="17"/>
        <v>266.04137110362092</v>
      </c>
      <c r="Y36" s="147">
        <f t="shared" si="17"/>
        <v>183.27968105226472</v>
      </c>
      <c r="Z36" s="147">
        <f t="shared" si="17"/>
        <v>103.81092672504981</v>
      </c>
      <c r="AA36" s="147">
        <f t="shared" si="17"/>
        <v>59.241405983044729</v>
      </c>
      <c r="AB36" s="147">
        <f t="shared" si="17"/>
        <v>52.931046831369315</v>
      </c>
      <c r="AC36" s="147">
        <f t="shared" si="17"/>
        <v>193.82099530754965</v>
      </c>
      <c r="AD36" s="147">
        <f t="shared" si="17"/>
        <v>288.55841409233284</v>
      </c>
      <c r="AE36" s="147">
        <f t="shared" si="17"/>
        <v>304.31480578905484</v>
      </c>
      <c r="AF36" s="147">
        <f t="shared" si="17"/>
        <v>304.88763235299848</v>
      </c>
      <c r="AG36" s="147">
        <f t="shared" si="17"/>
        <v>301.64968525553076</v>
      </c>
      <c r="AH36" s="147">
        <f t="shared" si="17"/>
        <v>302.20308290667873</v>
      </c>
      <c r="AI36" s="147">
        <f t="shared" si="17"/>
        <v>303.8437002998885</v>
      </c>
      <c r="AJ36" s="147">
        <f t="shared" si="17"/>
        <v>309.62098104000506</v>
      </c>
      <c r="AK36" s="147">
        <f t="shared" si="17"/>
        <v>308.94373917256524</v>
      </c>
      <c r="AL36" s="147">
        <f t="shared" si="17"/>
        <v>309.61524278657896</v>
      </c>
      <c r="AM36" s="147">
        <f t="shared" si="17"/>
        <v>308.83825538980693</v>
      </c>
      <c r="AN36" s="147">
        <f t="shared" si="17"/>
        <v>311.32429293926401</v>
      </c>
      <c r="AO36" s="215"/>
      <c r="AP36" s="215"/>
      <c r="AQ36" s="215"/>
      <c r="AR36" s="215"/>
      <c r="AS36" s="215"/>
      <c r="AT36" s="215"/>
      <c r="AU36" s="215"/>
      <c r="AV36" s="215"/>
      <c r="AW36" s="215"/>
      <c r="AX36" s="215"/>
      <c r="AY36" s="215"/>
      <c r="AZ36" s="215"/>
      <c r="BA36" s="215"/>
      <c r="BB36" s="215"/>
      <c r="BC36" s="215"/>
      <c r="BD36" s="215"/>
      <c r="BE36" s="215"/>
      <c r="BF36" s="215"/>
      <c r="BG36" s="215"/>
      <c r="BH36" s="215"/>
      <c r="BI36" s="215"/>
      <c r="BJ36" s="215"/>
      <c r="BK36" s="215"/>
      <c r="BL36" s="215"/>
      <c r="BM36" s="215"/>
      <c r="BN36" s="215"/>
      <c r="BO36" s="215"/>
      <c r="BP36" s="215"/>
      <c r="BQ36" s="215"/>
      <c r="BR36" s="215"/>
      <c r="BS36" s="215"/>
      <c r="BT36" s="215"/>
      <c r="BU36" s="215"/>
      <c r="BV36" s="215"/>
      <c r="BW36" s="215"/>
      <c r="BX36" s="215"/>
      <c r="BY36" s="215"/>
      <c r="BZ36" s="215"/>
      <c r="CA36" s="215"/>
      <c r="CB36" s="215"/>
      <c r="CC36" s="215"/>
      <c r="CD36" s="215"/>
      <c r="CE36" s="215"/>
      <c r="CF36" s="215"/>
      <c r="CG36" s="215"/>
      <c r="CH36" s="215"/>
      <c r="CI36" s="215"/>
      <c r="CJ36" s="215"/>
      <c r="CK36" s="215"/>
      <c r="CL36" s="215"/>
      <c r="CM36" s="215"/>
      <c r="CN36" s="215"/>
      <c r="CO36" s="215"/>
      <c r="CP36" s="215"/>
      <c r="CQ36" s="215"/>
      <c r="CR36" s="215"/>
      <c r="CS36" s="215"/>
      <c r="CT36" s="215"/>
      <c r="CU36" s="215"/>
      <c r="CV36" s="215"/>
      <c r="CW36" s="215"/>
      <c r="CX36" s="215"/>
      <c r="CY36" s="215"/>
      <c r="CZ36" s="215"/>
      <c r="DA36" s="215"/>
      <c r="DB36" s="215"/>
      <c r="DC36" s="215"/>
      <c r="DD36" s="215"/>
      <c r="DE36" s="215"/>
      <c r="DF36" s="215"/>
      <c r="DG36" s="215"/>
      <c r="DH36" s="215"/>
      <c r="DI36" s="215"/>
      <c r="DJ36" s="215"/>
      <c r="DK36" s="215"/>
      <c r="DL36" s="215"/>
      <c r="DM36" s="215"/>
      <c r="DN36" s="215"/>
      <c r="DO36" s="215"/>
      <c r="DP36" s="215"/>
      <c r="DQ36" s="215"/>
      <c r="DR36" s="215"/>
      <c r="DS36" s="215"/>
      <c r="DT36" s="215"/>
      <c r="DU36" s="215"/>
      <c r="DV36" s="215"/>
      <c r="DW36" s="215"/>
      <c r="DX36" s="215"/>
      <c r="DY36" s="215"/>
      <c r="DZ36" s="215"/>
      <c r="EA36" s="215"/>
      <c r="EB36" s="215"/>
      <c r="EC36" s="215"/>
      <c r="ED36" s="215"/>
      <c r="EE36" s="215"/>
      <c r="EF36" s="215"/>
      <c r="EG36" s="215"/>
      <c r="EH36" s="215"/>
      <c r="EI36" s="215"/>
      <c r="EJ36" s="215"/>
      <c r="EK36" s="215"/>
      <c r="EL36" s="215"/>
      <c r="EM36" s="215"/>
      <c r="EN36" s="215"/>
      <c r="EO36" s="215"/>
      <c r="EP36" s="215"/>
      <c r="EQ36" s="215"/>
      <c r="ER36" s="215"/>
      <c r="ES36" s="215"/>
      <c r="ET36" s="215"/>
      <c r="EU36" s="215"/>
      <c r="EV36" s="215"/>
      <c r="EW36" s="215"/>
      <c r="EX36" s="215"/>
      <c r="EY36" s="215"/>
      <c r="EZ36" s="215"/>
      <c r="FA36" s="215"/>
      <c r="FB36" s="215"/>
      <c r="FC36" s="215"/>
      <c r="FD36" s="215"/>
      <c r="FE36" s="215"/>
      <c r="FF36" s="215"/>
      <c r="FG36" s="215"/>
      <c r="FH36" s="215"/>
      <c r="FI36" s="215"/>
      <c r="FJ36" s="215"/>
      <c r="FK36" s="215"/>
      <c r="FL36" s="215"/>
      <c r="FM36" s="215"/>
      <c r="FN36" s="215"/>
      <c r="FO36" s="215"/>
      <c r="FP36" s="215"/>
      <c r="FQ36" s="215"/>
      <c r="FR36" s="215"/>
      <c r="FS36" s="215"/>
      <c r="FT36" s="215"/>
      <c r="FU36" s="215"/>
      <c r="FV36" s="215"/>
      <c r="FW36" s="215"/>
      <c r="FX36" s="215"/>
      <c r="FY36" s="215"/>
      <c r="FZ36" s="215"/>
      <c r="GA36" s="215"/>
      <c r="GB36" s="215"/>
      <c r="GC36" s="215"/>
      <c r="GD36" s="215"/>
      <c r="GE36" s="215"/>
      <c r="GF36" s="215"/>
      <c r="GG36" s="215"/>
      <c r="GH36" s="215"/>
      <c r="GI36" s="215"/>
      <c r="GJ36" s="215"/>
      <c r="GK36" s="215"/>
      <c r="GL36" s="215"/>
      <c r="GM36" s="215"/>
      <c r="GN36" s="215"/>
      <c r="GO36" s="215"/>
      <c r="GP36" s="215"/>
      <c r="GQ36" s="215"/>
      <c r="GR36" s="215"/>
      <c r="GS36" s="215"/>
      <c r="GT36" s="215"/>
      <c r="GU36" s="215"/>
      <c r="GV36" s="215"/>
      <c r="GW36" s="215"/>
      <c r="GX36" s="215"/>
      <c r="GY36" s="215"/>
      <c r="GZ36" s="215"/>
      <c r="HA36" s="215"/>
      <c r="HB36" s="215"/>
      <c r="HC36" s="215"/>
      <c r="HD36" s="215"/>
      <c r="HE36" s="215"/>
      <c r="HF36" s="215"/>
      <c r="HG36" s="215"/>
      <c r="HH36" s="215"/>
      <c r="HI36" s="215"/>
      <c r="HJ36" s="215"/>
      <c r="HK36" s="215"/>
      <c r="HL36" s="215"/>
      <c r="HM36" s="215"/>
      <c r="HN36" s="215"/>
      <c r="HO36" s="215"/>
      <c r="HP36" s="215"/>
      <c r="HQ36" s="215"/>
      <c r="HR36" s="215"/>
      <c r="HS36" s="215"/>
      <c r="HT36" s="215"/>
      <c r="HU36" s="215"/>
      <c r="HV36" s="215"/>
      <c r="HW36" s="215"/>
      <c r="HX36" s="215"/>
      <c r="HY36" s="215"/>
      <c r="HZ36" s="215"/>
      <c r="IA36" s="215"/>
      <c r="IB36" s="215"/>
      <c r="IC36" s="215"/>
      <c r="ID36" s="215"/>
      <c r="IE36" s="215"/>
      <c r="IF36" s="215"/>
      <c r="IG36" s="215"/>
      <c r="IH36" s="215"/>
      <c r="II36" s="215"/>
      <c r="IJ36" s="215"/>
      <c r="IK36" s="215"/>
      <c r="IL36" s="215"/>
      <c r="IM36" s="215"/>
      <c r="IN36" s="215"/>
      <c r="IO36" s="215"/>
      <c r="IP36" s="215"/>
      <c r="IQ36" s="215"/>
      <c r="IR36" s="215"/>
      <c r="IS36" s="215"/>
      <c r="IT36" s="215"/>
      <c r="IU36" s="215"/>
      <c r="IV36" s="215"/>
      <c r="IW36" s="215"/>
      <c r="IX36" s="215"/>
      <c r="IY36" s="215"/>
      <c r="IZ36" s="215"/>
      <c r="JA36" s="215"/>
      <c r="JB36" s="215"/>
      <c r="JC36" s="215"/>
      <c r="JD36" s="215"/>
      <c r="JE36" s="215"/>
      <c r="JF36" s="215"/>
      <c r="JG36" s="215"/>
      <c r="JH36" s="215"/>
      <c r="JI36" s="215"/>
      <c r="JJ36" s="215"/>
      <c r="JK36" s="215"/>
      <c r="JL36" s="215"/>
      <c r="JM36" s="215"/>
      <c r="JN36" s="215"/>
      <c r="JO36" s="215"/>
      <c r="JP36" s="215"/>
      <c r="JQ36" s="215"/>
      <c r="JR36" s="215"/>
      <c r="JS36" s="215"/>
      <c r="JT36" s="215"/>
      <c r="JU36" s="215"/>
      <c r="JV36" s="215"/>
      <c r="JW36" s="215"/>
      <c r="JX36" s="215"/>
      <c r="JY36" s="215"/>
      <c r="JZ36" s="215"/>
      <c r="KA36" s="215"/>
      <c r="KB36" s="215"/>
      <c r="KC36" s="215"/>
      <c r="KD36" s="215"/>
      <c r="KE36" s="215"/>
      <c r="KF36" s="215"/>
      <c r="KG36" s="215"/>
      <c r="KH36" s="215"/>
      <c r="KI36" s="215"/>
      <c r="KJ36" s="215"/>
      <c r="KK36" s="215"/>
      <c r="KL36" s="215"/>
      <c r="KM36" s="215"/>
      <c r="KN36" s="215"/>
      <c r="KO36" s="215"/>
      <c r="KP36" s="215"/>
      <c r="KQ36" s="215"/>
      <c r="KR36" s="215"/>
      <c r="KS36" s="215"/>
      <c r="KT36" s="215"/>
      <c r="KU36" s="215"/>
      <c r="KV36" s="215"/>
      <c r="KW36" s="215"/>
      <c r="KX36" s="215"/>
      <c r="KY36" s="215"/>
      <c r="KZ36" s="215"/>
      <c r="LA36" s="215"/>
      <c r="LB36" s="215"/>
      <c r="LC36" s="215"/>
      <c r="LD36" s="215"/>
      <c r="LE36" s="215"/>
      <c r="LF36" s="215"/>
      <c r="LG36" s="215"/>
      <c r="LH36" s="215"/>
      <c r="LI36" s="215"/>
      <c r="LJ36" s="215"/>
      <c r="LK36" s="215"/>
      <c r="LL36" s="215"/>
      <c r="LM36" s="215"/>
      <c r="LN36" s="215"/>
      <c r="LO36" s="215"/>
      <c r="LP36" s="215"/>
      <c r="LQ36" s="215"/>
      <c r="LR36" s="215"/>
      <c r="LS36" s="215"/>
      <c r="LT36" s="215"/>
      <c r="LU36" s="215"/>
      <c r="LV36" s="215"/>
      <c r="LW36" s="215"/>
      <c r="LX36" s="215"/>
      <c r="LY36" s="215"/>
      <c r="LZ36" s="215"/>
      <c r="MA36" s="215"/>
      <c r="MB36" s="215"/>
      <c r="MC36" s="215"/>
      <c r="MD36" s="215"/>
      <c r="ME36" s="215"/>
      <c r="MF36" s="215"/>
      <c r="MG36" s="215"/>
      <c r="MH36" s="215"/>
      <c r="MI36" s="215"/>
      <c r="MJ36" s="215"/>
      <c r="MK36" s="215"/>
      <c r="ML36" s="215"/>
      <c r="MM36" s="215"/>
      <c r="MN36" s="215"/>
      <c r="MO36" s="215"/>
      <c r="MP36" s="215"/>
      <c r="MQ36" s="215"/>
      <c r="MR36" s="215"/>
      <c r="MS36" s="215"/>
      <c r="MT36" s="215"/>
      <c r="MU36" s="215"/>
      <c r="MV36" s="215"/>
      <c r="MW36" s="215"/>
      <c r="MX36" s="215"/>
      <c r="MY36" s="215"/>
      <c r="MZ36" s="215"/>
      <c r="NA36" s="215"/>
      <c r="NB36" s="215"/>
      <c r="NC36" s="215"/>
      <c r="ND36" s="215"/>
      <c r="NE36" s="215"/>
      <c r="NF36" s="215"/>
      <c r="NG36" s="215"/>
      <c r="NH36" s="215"/>
      <c r="NI36" s="215"/>
      <c r="NJ36" s="215"/>
      <c r="NK36" s="215"/>
      <c r="NL36" s="215"/>
      <c r="NM36" s="215"/>
      <c r="NN36" s="215"/>
      <c r="NO36" s="215"/>
      <c r="NP36" s="215"/>
      <c r="NQ36" s="215"/>
      <c r="NR36" s="215"/>
      <c r="NS36" s="215"/>
      <c r="NT36" s="215"/>
      <c r="NU36" s="215"/>
      <c r="NV36" s="215"/>
      <c r="NW36" s="215"/>
      <c r="NX36" s="215"/>
      <c r="NY36" s="215"/>
      <c r="NZ36" s="215"/>
      <c r="OA36" s="215"/>
      <c r="OB36" s="215"/>
      <c r="OC36" s="215"/>
      <c r="OD36" s="215"/>
      <c r="OE36" s="215"/>
      <c r="OF36" s="215"/>
      <c r="OG36" s="215"/>
      <c r="OH36" s="215"/>
      <c r="OI36" s="215"/>
      <c r="OJ36" s="215"/>
      <c r="OK36" s="215"/>
      <c r="OL36" s="215"/>
      <c r="OM36" s="215"/>
      <c r="ON36" s="215"/>
      <c r="OO36" s="215"/>
      <c r="OP36" s="215"/>
      <c r="OQ36" s="215"/>
      <c r="OR36" s="215"/>
      <c r="OS36" s="215"/>
      <c r="OT36" s="215"/>
      <c r="OU36" s="215"/>
      <c r="OV36" s="215"/>
      <c r="OW36" s="215"/>
      <c r="OX36" s="215"/>
      <c r="OY36" s="215"/>
      <c r="OZ36" s="215"/>
      <c r="PA36" s="215"/>
      <c r="PB36" s="215"/>
      <c r="PC36" s="215"/>
      <c r="PD36" s="215"/>
      <c r="PE36" s="215"/>
      <c r="PF36" s="215"/>
      <c r="PG36" s="215"/>
      <c r="PH36" s="215"/>
      <c r="PI36" s="215"/>
      <c r="PJ36" s="215"/>
      <c r="PK36" s="215"/>
      <c r="PL36" s="215"/>
      <c r="PM36" s="215"/>
      <c r="PN36" s="215"/>
      <c r="PO36" s="215"/>
      <c r="PP36" s="215"/>
      <c r="PQ36" s="215"/>
      <c r="PR36" s="215"/>
      <c r="PS36" s="215"/>
      <c r="PT36" s="215"/>
      <c r="PU36" s="215"/>
      <c r="PV36" s="215"/>
      <c r="PW36" s="215"/>
      <c r="PX36" s="215"/>
      <c r="PY36" s="215"/>
      <c r="PZ36" s="215"/>
      <c r="QA36" s="215"/>
      <c r="QB36" s="215"/>
      <c r="QC36" s="215"/>
      <c r="QD36" s="215"/>
      <c r="QE36" s="215"/>
      <c r="QF36" s="215"/>
      <c r="QG36" s="215"/>
      <c r="QH36" s="215"/>
      <c r="QI36" s="215"/>
      <c r="QJ36" s="215"/>
      <c r="QK36" s="215"/>
      <c r="QL36" s="215"/>
      <c r="QM36" s="215"/>
      <c r="QN36" s="215"/>
      <c r="QO36" s="215"/>
      <c r="QP36" s="215"/>
      <c r="QQ36" s="215"/>
      <c r="QR36" s="215"/>
      <c r="QS36" s="215"/>
      <c r="QT36" s="215"/>
      <c r="QU36" s="215"/>
      <c r="QV36" s="215"/>
      <c r="QW36" s="215"/>
      <c r="QX36" s="215"/>
      <c r="QY36" s="215"/>
      <c r="QZ36" s="215"/>
      <c r="RA36" s="215"/>
      <c r="RB36" s="215"/>
      <c r="RC36" s="215"/>
      <c r="RD36" s="215"/>
      <c r="RE36" s="215"/>
      <c r="RF36" s="215"/>
      <c r="RG36" s="215"/>
      <c r="RH36" s="215"/>
      <c r="RI36" s="215"/>
      <c r="RJ36" s="215"/>
      <c r="RK36" s="215"/>
      <c r="RL36" s="215"/>
      <c r="RM36" s="215"/>
      <c r="RN36" s="215"/>
      <c r="RO36" s="215"/>
      <c r="RP36" s="215"/>
      <c r="RQ36" s="215"/>
      <c r="RR36" s="215"/>
      <c r="RS36" s="215"/>
      <c r="RT36" s="215"/>
      <c r="RU36" s="215"/>
      <c r="RV36" s="215"/>
      <c r="RW36" s="215"/>
      <c r="RX36" s="215"/>
      <c r="RY36" s="215"/>
      <c r="RZ36" s="215"/>
      <c r="SA36" s="215"/>
      <c r="SB36" s="215"/>
      <c r="SC36" s="215"/>
      <c r="SD36" s="215"/>
      <c r="SE36" s="215"/>
      <c r="SF36" s="215"/>
      <c r="SG36" s="215"/>
      <c r="SH36" s="215"/>
      <c r="SI36" s="215"/>
      <c r="SJ36" s="215"/>
      <c r="SK36" s="215"/>
      <c r="SL36" s="215"/>
      <c r="SM36" s="215"/>
      <c r="SN36" s="215"/>
      <c r="SO36" s="215"/>
      <c r="SP36" s="215"/>
      <c r="SQ36" s="215"/>
      <c r="SR36" s="215"/>
      <c r="SS36" s="215"/>
      <c r="ST36" s="215"/>
      <c r="SU36" s="215"/>
      <c r="SV36" s="215"/>
      <c r="SW36" s="215"/>
      <c r="SX36" s="215"/>
      <c r="SY36" s="215"/>
      <c r="SZ36" s="215"/>
      <c r="TA36" s="215"/>
      <c r="TB36" s="215"/>
      <c r="TC36" s="215"/>
      <c r="TD36" s="215"/>
      <c r="TE36" s="215"/>
      <c r="TF36" s="215"/>
      <c r="TG36" s="215"/>
      <c r="TH36" s="215"/>
      <c r="TI36" s="215"/>
      <c r="TJ36" s="215"/>
      <c r="TK36" s="215"/>
      <c r="TL36" s="215"/>
      <c r="TM36" s="215"/>
      <c r="TN36" s="215"/>
      <c r="TO36" s="215"/>
      <c r="TP36" s="215"/>
      <c r="TQ36" s="215"/>
      <c r="TR36" s="215"/>
      <c r="TS36" s="215"/>
      <c r="TT36" s="215"/>
      <c r="TU36" s="215"/>
      <c r="TV36" s="215"/>
      <c r="TW36" s="215"/>
      <c r="TX36" s="215"/>
      <c r="TY36" s="215"/>
      <c r="TZ36" s="215"/>
      <c r="UA36" s="215"/>
      <c r="UB36" s="215"/>
      <c r="UC36" s="215"/>
      <c r="UD36" s="215"/>
      <c r="UE36" s="215"/>
      <c r="UF36" s="215"/>
      <c r="UG36" s="215"/>
      <c r="UH36" s="215"/>
      <c r="UI36" s="215"/>
      <c r="UJ36" s="215"/>
      <c r="UK36" s="215"/>
      <c r="UL36" s="215"/>
      <c r="UM36" s="215"/>
      <c r="UN36" s="215"/>
      <c r="UO36" s="215"/>
      <c r="UP36" s="215"/>
      <c r="UQ36" s="215"/>
      <c r="UR36" s="215"/>
      <c r="US36" s="215"/>
      <c r="UT36" s="215"/>
      <c r="UU36" s="215"/>
      <c r="UV36" s="215"/>
      <c r="UW36" s="215"/>
      <c r="UX36" s="215"/>
      <c r="UY36" s="215"/>
      <c r="UZ36" s="215"/>
      <c r="VA36" s="215"/>
      <c r="VB36" s="215"/>
      <c r="VC36" s="215"/>
      <c r="VD36" s="215"/>
      <c r="VE36" s="215"/>
      <c r="VF36" s="215"/>
      <c r="VG36" s="215"/>
      <c r="VH36" s="215"/>
      <c r="VI36" s="215"/>
      <c r="VJ36" s="215"/>
      <c r="VK36" s="215"/>
      <c r="VL36" s="215"/>
      <c r="VM36" s="215"/>
      <c r="VN36" s="215"/>
      <c r="VO36" s="215"/>
      <c r="VP36" s="215"/>
      <c r="VQ36" s="215"/>
      <c r="VR36" s="215"/>
      <c r="VS36" s="215"/>
      <c r="VT36" s="215"/>
      <c r="VU36" s="215"/>
      <c r="VV36" s="215"/>
      <c r="VW36" s="215"/>
      <c r="VX36" s="215"/>
      <c r="VY36" s="215"/>
      <c r="VZ36" s="215"/>
      <c r="WA36" s="215"/>
      <c r="WB36" s="215"/>
      <c r="WC36" s="215"/>
      <c r="WD36" s="215"/>
      <c r="WE36" s="215"/>
      <c r="WF36" s="215"/>
      <c r="WG36" s="215"/>
      <c r="WH36" s="215"/>
      <c r="WI36" s="215"/>
      <c r="WJ36" s="215"/>
      <c r="WK36" s="215"/>
      <c r="WL36" s="215"/>
      <c r="WM36" s="215"/>
      <c r="WN36" s="215"/>
      <c r="WO36" s="215"/>
      <c r="WP36" s="215"/>
      <c r="WQ36" s="215"/>
      <c r="WR36" s="215"/>
      <c r="WS36" s="215"/>
      <c r="WT36" s="215"/>
      <c r="WU36" s="215"/>
      <c r="WV36" s="215"/>
      <c r="WW36" s="215"/>
      <c r="WX36" s="215"/>
      <c r="WY36" s="215"/>
      <c r="WZ36" s="215"/>
      <c r="XA36" s="215"/>
      <c r="XB36" s="215"/>
      <c r="XC36" s="215"/>
      <c r="XD36" s="215"/>
      <c r="XE36" s="215"/>
      <c r="XF36" s="215"/>
      <c r="XG36" s="215"/>
      <c r="XH36" s="215"/>
      <c r="XI36" s="215"/>
      <c r="XJ36" s="215"/>
      <c r="XK36" s="215"/>
      <c r="XL36" s="215"/>
      <c r="XM36" s="215"/>
      <c r="XN36" s="215"/>
      <c r="XO36" s="215"/>
      <c r="XP36" s="215"/>
      <c r="XQ36" s="215"/>
      <c r="XR36" s="215"/>
      <c r="XS36" s="215"/>
      <c r="XT36" s="215"/>
      <c r="XU36" s="215"/>
      <c r="XV36" s="215"/>
      <c r="XW36" s="215"/>
      <c r="XX36" s="215"/>
      <c r="XY36" s="215"/>
      <c r="XZ36" s="215"/>
      <c r="YA36" s="215"/>
      <c r="YB36" s="215"/>
      <c r="YC36" s="215"/>
      <c r="YD36" s="215"/>
      <c r="YE36" s="215"/>
      <c r="YF36" s="215"/>
      <c r="YG36" s="215"/>
      <c r="YH36" s="215"/>
      <c r="YI36" s="215"/>
      <c r="YJ36" s="215"/>
      <c r="YK36" s="215"/>
      <c r="YL36" s="215"/>
      <c r="YM36" s="215"/>
      <c r="YN36" s="215"/>
      <c r="YO36" s="215"/>
      <c r="YP36" s="215"/>
      <c r="YQ36" s="215"/>
      <c r="YR36" s="215"/>
      <c r="YS36" s="215"/>
      <c r="YT36" s="215"/>
      <c r="YU36" s="215"/>
      <c r="YV36" s="215"/>
      <c r="YW36" s="215"/>
      <c r="YX36" s="215"/>
      <c r="YY36" s="215"/>
      <c r="YZ36" s="215"/>
      <c r="ZA36" s="215"/>
      <c r="ZB36" s="215"/>
      <c r="ZC36" s="215"/>
      <c r="ZD36" s="215"/>
      <c r="ZE36" s="215"/>
      <c r="ZF36" s="215"/>
      <c r="ZG36" s="215"/>
      <c r="ZH36" s="215"/>
      <c r="ZI36" s="215"/>
      <c r="ZJ36" s="215"/>
      <c r="ZK36" s="215"/>
      <c r="ZL36" s="215"/>
      <c r="ZM36" s="215"/>
      <c r="ZN36" s="215"/>
      <c r="ZO36" s="215"/>
      <c r="ZP36" s="215"/>
      <c r="ZQ36" s="215"/>
      <c r="ZR36" s="215"/>
      <c r="ZS36" s="215"/>
      <c r="ZT36" s="215"/>
      <c r="ZU36" s="215"/>
      <c r="ZV36" s="215"/>
      <c r="ZW36" s="215"/>
      <c r="ZX36" s="215"/>
      <c r="ZY36" s="215"/>
      <c r="ZZ36" s="215"/>
      <c r="AAA36" s="215"/>
      <c r="AAB36" s="215"/>
      <c r="AAC36" s="215"/>
      <c r="AAD36" s="215"/>
      <c r="AAE36" s="215"/>
      <c r="AAF36" s="215"/>
      <c r="AAG36" s="215"/>
      <c r="AAH36" s="215"/>
      <c r="AAI36" s="215"/>
      <c r="AAJ36" s="215"/>
      <c r="AAK36" s="215"/>
      <c r="AAL36" s="215"/>
      <c r="AAM36" s="215"/>
      <c r="AAN36" s="215"/>
      <c r="AAO36" s="215"/>
      <c r="AAP36" s="215"/>
      <c r="AAQ36" s="215"/>
      <c r="AAR36" s="215"/>
      <c r="AAS36" s="215"/>
      <c r="AAT36" s="215"/>
      <c r="AAU36" s="215"/>
      <c r="AAV36" s="215"/>
      <c r="AAW36" s="215"/>
      <c r="AAX36" s="215"/>
      <c r="AAY36" s="215"/>
      <c r="AAZ36" s="215"/>
      <c r="ABA36" s="215"/>
      <c r="ABB36" s="215"/>
      <c r="ABC36" s="215"/>
      <c r="ABD36" s="215"/>
      <c r="ABE36" s="215"/>
      <c r="ABF36" s="215"/>
      <c r="ABG36" s="215"/>
      <c r="ABH36" s="215"/>
      <c r="ABI36" s="215"/>
      <c r="ABJ36" s="215"/>
      <c r="ABK36" s="215"/>
      <c r="ABL36" s="215"/>
      <c r="ABM36" s="215"/>
      <c r="ABN36" s="215"/>
      <c r="ABO36" s="215"/>
      <c r="ABP36" s="215"/>
      <c r="ABQ36" s="215"/>
      <c r="ABR36" s="215"/>
      <c r="ABS36" s="215"/>
      <c r="ABT36" s="215"/>
      <c r="ABU36" s="215"/>
      <c r="ABV36" s="215"/>
      <c r="ABW36" s="215"/>
      <c r="ABX36" s="215"/>
      <c r="ABY36" s="215"/>
      <c r="ABZ36" s="215"/>
      <c r="ACA36" s="215"/>
      <c r="ACB36" s="215"/>
      <c r="ACC36" s="215"/>
      <c r="ACD36" s="215"/>
      <c r="ACE36" s="215"/>
      <c r="ACF36" s="215"/>
      <c r="ACG36" s="215"/>
      <c r="ACH36" s="215"/>
      <c r="ACI36" s="215"/>
      <c r="ACJ36" s="215"/>
      <c r="ACK36" s="215"/>
      <c r="ACL36" s="215"/>
      <c r="ACM36" s="215"/>
      <c r="ACN36" s="215"/>
      <c r="ACO36" s="215"/>
      <c r="ACP36" s="215"/>
      <c r="ACQ36" s="215"/>
      <c r="ACR36" s="215"/>
      <c r="ACS36" s="215"/>
      <c r="ACT36" s="215"/>
      <c r="ACU36" s="215"/>
      <c r="ACV36" s="215"/>
      <c r="ACW36" s="215"/>
      <c r="ACX36" s="215"/>
      <c r="ACY36" s="215"/>
      <c r="ACZ36" s="215"/>
      <c r="ADA36" s="215"/>
      <c r="ADB36" s="215"/>
      <c r="ADC36" s="215"/>
      <c r="ADD36" s="215"/>
      <c r="ADE36" s="215"/>
      <c r="ADF36" s="215"/>
      <c r="ADG36" s="215"/>
      <c r="ADH36" s="215"/>
      <c r="ADI36" s="215"/>
      <c r="ADJ36" s="215"/>
      <c r="ADK36" s="215"/>
      <c r="ADL36" s="215"/>
      <c r="ADM36" s="215"/>
      <c r="ADN36" s="215"/>
      <c r="ADO36" s="215"/>
      <c r="ADP36" s="215"/>
      <c r="ADQ36" s="215"/>
      <c r="ADR36" s="215"/>
      <c r="ADS36" s="215"/>
      <c r="ADT36" s="215"/>
      <c r="ADU36" s="215"/>
      <c r="ADV36" s="215"/>
      <c r="ADW36" s="215"/>
      <c r="ADX36" s="215"/>
      <c r="ADY36" s="215"/>
      <c r="ADZ36" s="215"/>
      <c r="AEA36" s="215"/>
      <c r="AEB36" s="215"/>
      <c r="AEC36" s="215"/>
      <c r="AED36" s="215"/>
      <c r="AEE36" s="215"/>
      <c r="AEF36" s="215"/>
      <c r="AEG36" s="215"/>
      <c r="AEH36" s="215"/>
      <c r="AEI36" s="215"/>
      <c r="AEJ36" s="215"/>
      <c r="AEK36" s="215"/>
      <c r="AEL36" s="215"/>
      <c r="AEM36" s="215"/>
      <c r="AEN36" s="215"/>
      <c r="AEO36" s="215"/>
      <c r="AEP36" s="215"/>
      <c r="AEQ36" s="215"/>
      <c r="AER36" s="215"/>
      <c r="AES36" s="215"/>
      <c r="AET36" s="215"/>
      <c r="AEU36" s="215"/>
      <c r="AEV36" s="215"/>
      <c r="AEW36" s="215"/>
      <c r="AEX36" s="215"/>
      <c r="AEY36" s="215"/>
      <c r="AEZ36" s="215"/>
      <c r="AFA36" s="215"/>
      <c r="AFB36" s="215"/>
      <c r="AFC36" s="215"/>
      <c r="AFD36" s="215"/>
      <c r="AFE36" s="215"/>
      <c r="AFF36" s="215"/>
      <c r="AFG36" s="215"/>
      <c r="AFH36" s="215"/>
      <c r="AFI36" s="215"/>
      <c r="AFJ36" s="215"/>
      <c r="AFK36" s="215"/>
      <c r="AFL36" s="215"/>
      <c r="AFM36" s="215"/>
      <c r="AFN36" s="215"/>
      <c r="AFO36" s="215"/>
      <c r="AFP36" s="215"/>
      <c r="AFQ36" s="215"/>
      <c r="AFR36" s="215"/>
      <c r="AFS36" s="215"/>
      <c r="AFT36" s="215"/>
      <c r="AFU36" s="215"/>
      <c r="AFV36" s="215"/>
      <c r="AFW36" s="215"/>
      <c r="AFX36" s="215"/>
      <c r="AFY36" s="215"/>
      <c r="AFZ36" s="215"/>
      <c r="AGA36" s="215"/>
      <c r="AGB36" s="215"/>
      <c r="AGC36" s="215"/>
      <c r="AGD36" s="215"/>
      <c r="AGE36" s="215"/>
      <c r="AGF36" s="215"/>
      <c r="AGG36" s="215"/>
      <c r="AGH36" s="215"/>
      <c r="AGI36" s="215"/>
      <c r="AGJ36" s="215"/>
      <c r="AGK36" s="215"/>
      <c r="AGL36" s="215"/>
      <c r="AGM36" s="215"/>
      <c r="AGN36" s="215"/>
      <c r="AGO36" s="215"/>
      <c r="AGP36" s="215"/>
      <c r="AGQ36" s="215"/>
      <c r="AGR36" s="215"/>
      <c r="AGS36" s="215"/>
      <c r="AGT36" s="215"/>
      <c r="AGU36" s="215"/>
      <c r="AGV36" s="215"/>
      <c r="AGW36" s="215"/>
      <c r="AGX36" s="215"/>
      <c r="AGY36" s="215"/>
      <c r="AGZ36" s="215"/>
      <c r="AHA36" s="215"/>
      <c r="AHB36" s="215"/>
      <c r="AHC36" s="215"/>
      <c r="AHD36" s="215"/>
      <c r="AHE36" s="215"/>
      <c r="AHF36" s="215"/>
      <c r="AHG36" s="215"/>
      <c r="AHH36" s="215"/>
      <c r="AHI36" s="215"/>
      <c r="AHJ36" s="215"/>
      <c r="AHK36" s="215"/>
      <c r="AHL36" s="215"/>
      <c r="AHM36" s="215"/>
      <c r="AHN36" s="215"/>
      <c r="AHO36" s="215"/>
      <c r="AHP36" s="215"/>
      <c r="AHQ36" s="215"/>
      <c r="AHR36" s="215"/>
      <c r="AHS36" s="215"/>
      <c r="AHT36" s="215"/>
      <c r="AHU36" s="215"/>
      <c r="AHV36" s="215"/>
      <c r="AHW36" s="215"/>
      <c r="AHX36" s="215"/>
      <c r="AHY36" s="215"/>
      <c r="AHZ36" s="215"/>
      <c r="AIA36" s="215"/>
      <c r="AIB36" s="215"/>
      <c r="AIC36" s="215"/>
      <c r="AID36" s="215"/>
      <c r="AIE36" s="215"/>
      <c r="AIF36" s="215"/>
      <c r="AIG36" s="215"/>
      <c r="AIH36" s="215"/>
      <c r="AII36" s="215"/>
      <c r="AIJ36" s="215"/>
      <c r="AIK36" s="215"/>
      <c r="AIL36" s="215"/>
      <c r="AIM36" s="215"/>
      <c r="AIN36" s="215"/>
      <c r="AIO36" s="215"/>
      <c r="AIP36" s="215"/>
      <c r="AIQ36" s="215"/>
      <c r="AIR36" s="215"/>
      <c r="AIS36" s="215"/>
      <c r="AIT36" s="215"/>
      <c r="AIU36" s="215"/>
      <c r="AIV36" s="215"/>
      <c r="AIW36" s="215"/>
      <c r="AIX36" s="215"/>
      <c r="AIY36" s="215"/>
      <c r="AIZ36" s="215"/>
      <c r="AJA36" s="215"/>
      <c r="AJB36" s="215"/>
      <c r="AJC36" s="215"/>
      <c r="AJD36" s="215"/>
      <c r="AJE36" s="215"/>
      <c r="AJF36" s="215"/>
      <c r="AJG36" s="215"/>
      <c r="AJH36" s="215"/>
      <c r="AJI36" s="215"/>
      <c r="AJJ36" s="215"/>
      <c r="AJK36" s="215"/>
      <c r="AJL36" s="215"/>
      <c r="AJM36" s="215"/>
      <c r="AJN36" s="215"/>
      <c r="AJO36" s="215"/>
      <c r="AJP36" s="215"/>
      <c r="AJQ36" s="215"/>
      <c r="AJR36" s="215"/>
      <c r="AJS36" s="215"/>
      <c r="AJT36" s="215"/>
      <c r="AJU36" s="215"/>
      <c r="AJV36" s="215"/>
      <c r="AJW36" s="215"/>
      <c r="AJX36" s="215"/>
      <c r="AJY36" s="215"/>
      <c r="AJZ36" s="215"/>
      <c r="AKA36" s="215"/>
      <c r="AKB36" s="215"/>
      <c r="AKC36" s="215"/>
      <c r="AKD36" s="215"/>
      <c r="AKE36" s="215"/>
      <c r="AKF36" s="215"/>
      <c r="AKG36" s="215"/>
      <c r="AKH36" s="215"/>
      <c r="AKI36" s="215"/>
      <c r="AKJ36" s="215"/>
      <c r="AKK36" s="215"/>
      <c r="AKL36" s="215"/>
      <c r="AKM36" s="215"/>
      <c r="AKN36" s="215"/>
      <c r="AKO36" s="215"/>
      <c r="AKP36" s="215"/>
      <c r="AKQ36" s="215"/>
      <c r="AKR36" s="215"/>
      <c r="AKS36" s="215"/>
      <c r="AKT36" s="215"/>
      <c r="AKU36" s="215"/>
      <c r="AKV36" s="215"/>
      <c r="AKW36" s="215"/>
      <c r="AKX36" s="215"/>
      <c r="AKY36" s="215"/>
      <c r="AKZ36" s="215"/>
      <c r="ALA36" s="215"/>
      <c r="ALB36" s="215"/>
      <c r="ALC36" s="215"/>
      <c r="ALD36" s="215"/>
      <c r="ALE36" s="215"/>
      <c r="ALF36" s="215"/>
      <c r="ALG36" s="215"/>
      <c r="ALH36" s="215"/>
      <c r="ALI36" s="215"/>
      <c r="ALJ36" s="215"/>
      <c r="ALK36" s="215"/>
      <c r="ALL36" s="215"/>
      <c r="ALM36" s="215"/>
      <c r="ALN36" s="215"/>
      <c r="ALO36" s="215"/>
      <c r="ALP36" s="215"/>
      <c r="ALQ36" s="215"/>
      <c r="ALR36" s="215"/>
      <c r="ALS36" s="215"/>
      <c r="ALT36" s="215"/>
      <c r="ALU36" s="215"/>
      <c r="ALV36" s="215"/>
      <c r="ALW36" s="215"/>
      <c r="ALX36" s="215"/>
      <c r="ALY36" s="215"/>
      <c r="ALZ36" s="215"/>
      <c r="AMA36" s="215"/>
      <c r="AMB36" s="215"/>
      <c r="AMC36" s="215"/>
      <c r="AMD36" s="215"/>
      <c r="AME36" s="215"/>
      <c r="AMF36" s="215"/>
      <c r="AMG36" s="215"/>
      <c r="AMH36" s="215"/>
      <c r="AMI36" s="215"/>
      <c r="AMJ36" s="215"/>
      <c r="AMK36" s="215"/>
      <c r="AML36" s="215"/>
      <c r="AMM36" s="215"/>
      <c r="AMN36" s="215"/>
      <c r="AMO36" s="215"/>
      <c r="AMP36" s="215"/>
      <c r="AMQ36" s="215"/>
      <c r="AMR36" s="215"/>
      <c r="AMS36" s="215"/>
      <c r="AMT36" s="215"/>
      <c r="AMU36" s="215"/>
      <c r="AMV36" s="215"/>
      <c r="AMW36" s="215"/>
      <c r="AMX36" s="215"/>
      <c r="AMY36" s="215"/>
      <c r="AMZ36" s="215"/>
      <c r="ANA36" s="215"/>
      <c r="ANB36" s="215"/>
      <c r="ANC36" s="215"/>
      <c r="AND36" s="215"/>
      <c r="ANE36" s="215"/>
      <c r="ANF36" s="215"/>
      <c r="ANG36" s="215"/>
      <c r="ANH36" s="215"/>
      <c r="ANI36" s="215"/>
      <c r="ANJ36" s="215"/>
      <c r="ANK36" s="215"/>
      <c r="ANL36" s="215"/>
      <c r="ANM36" s="215"/>
      <c r="ANN36" s="215"/>
      <c r="ANO36" s="215"/>
      <c r="ANP36" s="215"/>
      <c r="ANQ36" s="215"/>
      <c r="ANR36" s="215"/>
      <c r="ANS36" s="215"/>
      <c r="ANT36" s="215"/>
      <c r="ANU36" s="215"/>
      <c r="ANV36" s="215"/>
      <c r="ANW36" s="215"/>
      <c r="ANX36" s="215"/>
      <c r="ANY36" s="215"/>
      <c r="ANZ36" s="215"/>
      <c r="AOA36" s="215"/>
      <c r="AOB36" s="215"/>
      <c r="AOC36" s="215"/>
      <c r="AOD36" s="215"/>
      <c r="AOE36" s="215"/>
      <c r="AOF36" s="215"/>
      <c r="AOG36" s="215"/>
      <c r="AOH36" s="215"/>
      <c r="AOI36" s="215"/>
      <c r="AOJ36" s="215"/>
      <c r="AOK36" s="215"/>
      <c r="AOL36" s="215"/>
      <c r="AOM36" s="215"/>
      <c r="AON36" s="215"/>
      <c r="AOO36" s="215"/>
      <c r="AOP36" s="215"/>
      <c r="AOQ36" s="215"/>
      <c r="AOR36" s="215"/>
      <c r="AOS36" s="215"/>
      <c r="AOT36" s="215"/>
      <c r="AOU36" s="215"/>
      <c r="AOV36" s="215"/>
      <c r="AOW36" s="215"/>
      <c r="AOX36" s="215"/>
      <c r="AOY36" s="215"/>
      <c r="AOZ36" s="215"/>
      <c r="APA36" s="215"/>
      <c r="APB36" s="215"/>
      <c r="APC36" s="215"/>
      <c r="APD36" s="215"/>
      <c r="APE36" s="215"/>
      <c r="APF36" s="215"/>
      <c r="APG36" s="215"/>
      <c r="APH36" s="215"/>
      <c r="API36" s="215"/>
      <c r="APJ36" s="215"/>
      <c r="APK36" s="215"/>
      <c r="APL36" s="215"/>
      <c r="APM36" s="215"/>
      <c r="APN36" s="215"/>
      <c r="APO36" s="215"/>
      <c r="APP36" s="215"/>
      <c r="APQ36" s="215"/>
      <c r="APR36" s="215"/>
      <c r="APS36" s="215"/>
      <c r="APT36" s="215"/>
      <c r="APU36" s="215"/>
      <c r="APV36" s="215"/>
      <c r="APW36" s="215"/>
      <c r="APX36" s="215"/>
      <c r="APY36" s="215"/>
      <c r="APZ36" s="215"/>
      <c r="AQA36" s="215"/>
      <c r="AQB36" s="215"/>
      <c r="AQC36" s="215"/>
      <c r="AQD36" s="215"/>
      <c r="AQE36" s="215"/>
      <c r="AQF36" s="215"/>
      <c r="AQG36" s="215"/>
      <c r="AQH36" s="215"/>
      <c r="AQI36" s="215"/>
      <c r="AQJ36" s="215"/>
      <c r="AQK36" s="215"/>
      <c r="AQL36" s="215"/>
      <c r="AQM36" s="215"/>
      <c r="AQN36" s="215"/>
      <c r="AQO36" s="215"/>
      <c r="AQP36" s="215"/>
      <c r="AQQ36" s="215"/>
      <c r="AQR36" s="215"/>
      <c r="AQS36" s="215"/>
      <c r="AQT36" s="215"/>
      <c r="AQU36" s="215"/>
      <c r="AQV36" s="215"/>
      <c r="AQW36" s="215"/>
      <c r="AQX36" s="215"/>
      <c r="AQY36" s="215"/>
      <c r="AQZ36" s="215"/>
      <c r="ARA36" s="215"/>
      <c r="ARB36" s="215"/>
      <c r="ARC36" s="215"/>
      <c r="ARD36" s="215"/>
      <c r="ARE36" s="215"/>
      <c r="ARF36" s="215"/>
      <c r="ARG36" s="215"/>
      <c r="ARH36" s="215"/>
      <c r="ARI36" s="215"/>
      <c r="ARJ36" s="215"/>
      <c r="ARK36" s="215"/>
      <c r="ARL36" s="215"/>
      <c r="ARM36" s="215"/>
      <c r="ARN36" s="215"/>
      <c r="ARO36" s="215"/>
      <c r="ARP36" s="215"/>
      <c r="ARQ36" s="215"/>
      <c r="ARR36" s="215"/>
      <c r="ARS36" s="215"/>
      <c r="ART36" s="215"/>
      <c r="ARU36" s="215"/>
      <c r="ARV36" s="215"/>
      <c r="ARW36" s="215"/>
      <c r="ARX36" s="215"/>
      <c r="ARY36" s="215"/>
      <c r="ARZ36" s="215"/>
      <c r="ASA36" s="215"/>
      <c r="ASB36" s="215"/>
      <c r="ASC36" s="215"/>
      <c r="ASD36" s="215"/>
      <c r="ASE36" s="215"/>
      <c r="ASF36" s="215"/>
      <c r="ASG36" s="215"/>
      <c r="ASH36" s="215"/>
      <c r="ASI36" s="215"/>
      <c r="ASJ36" s="215"/>
      <c r="ASK36" s="215"/>
      <c r="ASL36" s="215"/>
      <c r="ASM36" s="215"/>
      <c r="ASN36" s="215"/>
      <c r="ASO36" s="215"/>
      <c r="ASP36" s="215"/>
      <c r="ASQ36" s="215"/>
      <c r="ASR36" s="215"/>
      <c r="ASS36" s="215"/>
      <c r="AST36" s="215"/>
      <c r="ASU36" s="215"/>
      <c r="ASV36" s="215"/>
      <c r="ASW36" s="215"/>
      <c r="ASX36" s="215"/>
      <c r="ASY36" s="215"/>
      <c r="ASZ36" s="215"/>
      <c r="ATA36" s="215"/>
      <c r="ATB36" s="215"/>
      <c r="ATC36" s="215"/>
      <c r="ATD36" s="215"/>
      <c r="ATE36" s="215"/>
      <c r="ATF36" s="215"/>
      <c r="ATG36" s="215"/>
      <c r="ATH36" s="215"/>
      <c r="ATI36" s="215"/>
      <c r="ATJ36" s="215"/>
      <c r="ATK36" s="215"/>
      <c r="ATL36" s="215"/>
      <c r="ATM36" s="215"/>
      <c r="ATN36" s="215"/>
      <c r="ATO36" s="215"/>
      <c r="ATP36" s="215"/>
      <c r="ATQ36" s="215"/>
      <c r="ATR36" s="215"/>
      <c r="ATS36" s="215"/>
      <c r="ATT36" s="215"/>
      <c r="ATU36" s="215"/>
      <c r="ATV36" s="215"/>
      <c r="ATW36" s="215"/>
      <c r="ATX36" s="215"/>
      <c r="ATY36" s="215"/>
      <c r="ATZ36" s="215"/>
      <c r="AUA36" s="215"/>
      <c r="AUB36" s="215"/>
      <c r="AUC36" s="215"/>
      <c r="AUD36" s="215"/>
      <c r="AUE36" s="215"/>
      <c r="AUF36" s="215"/>
      <c r="AUG36" s="215"/>
      <c r="AUH36" s="215"/>
      <c r="AUI36" s="215"/>
      <c r="AUJ36" s="215"/>
      <c r="AUK36" s="215"/>
      <c r="AUL36" s="215"/>
      <c r="AUM36" s="215"/>
      <c r="AUN36" s="215"/>
      <c r="AUO36" s="215"/>
      <c r="AUP36" s="215"/>
      <c r="AUQ36" s="215"/>
      <c r="AUR36" s="215"/>
      <c r="AUS36" s="215"/>
      <c r="AUT36" s="215"/>
      <c r="AUU36" s="215"/>
      <c r="AUV36" s="215"/>
      <c r="AUW36" s="215"/>
      <c r="AUX36" s="215"/>
      <c r="AUY36" s="215"/>
      <c r="AUZ36" s="215"/>
      <c r="AVA36" s="215"/>
      <c r="AVB36" s="215"/>
      <c r="AVC36" s="215"/>
      <c r="AVD36" s="215"/>
      <c r="AVE36" s="215"/>
      <c r="AVF36" s="215"/>
      <c r="AVG36" s="215"/>
      <c r="AVH36" s="215"/>
      <c r="AVI36" s="215"/>
      <c r="AVJ36" s="215"/>
      <c r="AVK36" s="215"/>
      <c r="AVL36" s="215"/>
      <c r="AVM36" s="215"/>
      <c r="AVN36" s="215"/>
      <c r="AVO36" s="215"/>
      <c r="AVP36" s="215"/>
      <c r="AVQ36" s="215"/>
      <c r="AVR36" s="215"/>
      <c r="AVS36" s="215"/>
      <c r="AVT36" s="215"/>
      <c r="AVU36" s="215"/>
      <c r="AVV36" s="215"/>
      <c r="AVW36" s="215"/>
      <c r="AVX36" s="215"/>
      <c r="AVY36" s="215"/>
      <c r="AVZ36" s="215"/>
      <c r="AWA36" s="215"/>
      <c r="AWB36" s="215"/>
      <c r="AWC36" s="215"/>
      <c r="AWD36" s="215"/>
      <c r="AWE36" s="215"/>
      <c r="AWF36" s="215"/>
      <c r="AWG36" s="215"/>
      <c r="AWH36" s="215"/>
      <c r="AWI36" s="215"/>
      <c r="AWJ36" s="215"/>
      <c r="AWK36" s="215"/>
      <c r="AWL36" s="215"/>
      <c r="AWM36" s="215"/>
      <c r="AWN36" s="215"/>
      <c r="AWO36" s="215"/>
      <c r="AWP36" s="215"/>
      <c r="AWQ36" s="215"/>
      <c r="AWR36" s="215"/>
      <c r="AWS36" s="215"/>
      <c r="AWT36" s="215"/>
      <c r="AWU36" s="215"/>
      <c r="AWV36" s="215"/>
      <c r="AWW36" s="215"/>
      <c r="AWX36" s="215"/>
      <c r="AWY36" s="215"/>
      <c r="AWZ36" s="215"/>
      <c r="AXA36" s="215"/>
      <c r="AXB36" s="215"/>
      <c r="AXC36" s="215"/>
      <c r="AXD36" s="215"/>
      <c r="AXE36" s="215"/>
      <c r="AXF36" s="215"/>
      <c r="AXG36" s="215"/>
      <c r="AXH36" s="215"/>
      <c r="AXI36" s="215"/>
      <c r="AXJ36" s="215"/>
      <c r="AXK36" s="215"/>
      <c r="AXL36" s="215"/>
      <c r="AXM36" s="215"/>
      <c r="AXN36" s="215"/>
      <c r="AXO36" s="215"/>
      <c r="AXP36" s="215"/>
      <c r="AXQ36" s="215"/>
      <c r="AXR36" s="215"/>
      <c r="AXS36" s="215"/>
      <c r="AXT36" s="215"/>
      <c r="AXU36" s="215"/>
      <c r="AXV36" s="215"/>
      <c r="AXW36" s="215"/>
      <c r="AXX36" s="215"/>
      <c r="AXY36" s="215"/>
      <c r="AXZ36" s="215"/>
      <c r="AYA36" s="215"/>
      <c r="AYB36" s="215"/>
      <c r="AYC36" s="215"/>
      <c r="AYD36" s="215"/>
      <c r="AYE36" s="215"/>
      <c r="AYF36" s="215"/>
      <c r="AYG36" s="215"/>
      <c r="AYH36" s="215"/>
      <c r="AYI36" s="215"/>
      <c r="AYJ36" s="215"/>
      <c r="AYK36" s="215"/>
      <c r="AYL36" s="215"/>
      <c r="AYM36" s="215"/>
      <c r="AYN36" s="215"/>
      <c r="AYO36" s="215"/>
      <c r="AYP36" s="215"/>
      <c r="AYQ36" s="215"/>
      <c r="AYR36" s="215"/>
      <c r="AYS36" s="215"/>
      <c r="AYT36" s="215"/>
      <c r="AYU36" s="215"/>
      <c r="AYV36" s="215"/>
      <c r="AYW36" s="215"/>
      <c r="AYX36" s="215"/>
      <c r="AYY36" s="215"/>
      <c r="AYZ36" s="215"/>
      <c r="AZA36" s="215"/>
      <c r="AZB36" s="215"/>
      <c r="AZC36" s="215"/>
      <c r="AZD36" s="215"/>
      <c r="AZE36" s="215"/>
      <c r="AZF36" s="215"/>
      <c r="AZG36" s="215"/>
      <c r="AZH36" s="215"/>
      <c r="AZI36" s="215"/>
      <c r="AZJ36" s="215"/>
      <c r="AZK36" s="215"/>
      <c r="AZL36" s="215"/>
      <c r="AZM36" s="215"/>
      <c r="AZN36" s="215"/>
      <c r="AZO36" s="215"/>
      <c r="AZP36" s="215"/>
      <c r="AZQ36" s="215"/>
      <c r="AZR36" s="215"/>
      <c r="AZS36" s="215"/>
      <c r="AZT36" s="215"/>
      <c r="AZU36" s="215"/>
      <c r="AZV36" s="215"/>
      <c r="AZW36" s="215"/>
      <c r="AZX36" s="215"/>
      <c r="AZY36" s="215"/>
      <c r="AZZ36" s="215"/>
      <c r="BAA36" s="215"/>
      <c r="BAB36" s="215"/>
      <c r="BAC36" s="215"/>
      <c r="BAD36" s="215"/>
      <c r="BAE36" s="215"/>
      <c r="BAF36" s="215"/>
      <c r="BAG36" s="215"/>
      <c r="BAH36" s="215"/>
      <c r="BAI36" s="215"/>
      <c r="BAJ36" s="215"/>
      <c r="BAK36" s="215"/>
      <c r="BAL36" s="215"/>
      <c r="BAM36" s="215"/>
      <c r="BAN36" s="215"/>
      <c r="BAO36" s="215"/>
      <c r="BAP36" s="215"/>
      <c r="BAQ36" s="215"/>
      <c r="BAR36" s="215"/>
      <c r="BAS36" s="215"/>
      <c r="BAT36" s="215"/>
      <c r="BAU36" s="215"/>
      <c r="BAV36" s="215"/>
      <c r="BAW36" s="215"/>
      <c r="BAX36" s="215"/>
      <c r="BAY36" s="215"/>
      <c r="BAZ36" s="215"/>
      <c r="BBA36" s="215"/>
      <c r="BBB36" s="215"/>
      <c r="BBC36" s="215"/>
      <c r="BBD36" s="215"/>
      <c r="BBE36" s="215"/>
      <c r="BBF36" s="215"/>
      <c r="BBG36" s="215"/>
      <c r="BBH36" s="215"/>
      <c r="BBI36" s="215"/>
      <c r="BBJ36" s="215"/>
      <c r="BBK36" s="215"/>
      <c r="BBL36" s="215"/>
      <c r="BBM36" s="215"/>
      <c r="BBN36" s="215"/>
      <c r="BBO36" s="215"/>
      <c r="BBP36" s="215"/>
      <c r="BBQ36" s="215"/>
      <c r="BBR36" s="215"/>
      <c r="BBS36" s="215"/>
      <c r="BBT36" s="215"/>
      <c r="BBU36" s="215"/>
      <c r="BBV36" s="215"/>
      <c r="BBW36" s="215"/>
      <c r="BBX36" s="215"/>
      <c r="BBY36" s="215"/>
      <c r="BBZ36" s="215"/>
      <c r="BCA36" s="215"/>
      <c r="BCB36" s="215"/>
      <c r="BCC36" s="215"/>
      <c r="BCD36" s="215"/>
      <c r="BCE36" s="215"/>
      <c r="BCF36" s="215"/>
      <c r="BCG36" s="215"/>
      <c r="BCH36" s="215"/>
      <c r="BCI36" s="215"/>
      <c r="BCJ36" s="215"/>
      <c r="BCK36" s="215"/>
      <c r="BCL36" s="215"/>
      <c r="BCM36" s="215"/>
      <c r="BCN36" s="215"/>
      <c r="BCO36" s="215"/>
      <c r="BCP36" s="215"/>
      <c r="BCQ36" s="215"/>
      <c r="BCR36" s="215"/>
      <c r="BCS36" s="215"/>
      <c r="BCT36" s="215"/>
      <c r="BCU36" s="215"/>
      <c r="BCV36" s="215"/>
      <c r="BCW36" s="215"/>
      <c r="BCX36" s="215"/>
      <c r="BCY36" s="215"/>
      <c r="BCZ36" s="215"/>
      <c r="BDA36" s="215"/>
      <c r="BDB36" s="215"/>
      <c r="BDC36" s="215"/>
      <c r="BDD36" s="215"/>
      <c r="BDE36" s="215"/>
      <c r="BDF36" s="215"/>
      <c r="BDG36" s="215"/>
      <c r="BDH36" s="215"/>
      <c r="BDI36" s="215"/>
      <c r="BDJ36" s="215"/>
      <c r="BDK36" s="215"/>
      <c r="BDL36" s="215"/>
      <c r="BDM36" s="215"/>
      <c r="BDN36" s="215"/>
      <c r="BDO36" s="215"/>
      <c r="BDP36" s="215"/>
      <c r="BDQ36" s="215"/>
      <c r="BDR36" s="215"/>
      <c r="BDS36" s="215"/>
      <c r="BDT36" s="215"/>
      <c r="BDU36" s="215"/>
      <c r="BDV36" s="215"/>
      <c r="BDW36" s="215"/>
      <c r="BDX36" s="215"/>
      <c r="BDY36" s="215"/>
      <c r="BDZ36" s="215"/>
      <c r="BEA36" s="215"/>
      <c r="BEB36" s="215"/>
      <c r="BEC36" s="215"/>
      <c r="BED36" s="215"/>
      <c r="BEE36" s="215"/>
      <c r="BEF36" s="215"/>
      <c r="BEG36" s="215"/>
      <c r="BEH36" s="215"/>
      <c r="BEI36" s="215"/>
      <c r="BEJ36" s="215"/>
      <c r="BEK36" s="215"/>
      <c r="BEL36" s="215"/>
      <c r="BEM36" s="215"/>
      <c r="BEN36" s="215"/>
      <c r="BEO36" s="215"/>
      <c r="BEP36" s="215"/>
      <c r="BEQ36" s="215"/>
      <c r="BER36" s="215"/>
      <c r="BES36" s="215"/>
      <c r="BET36" s="215"/>
      <c r="BEU36" s="215"/>
      <c r="BEV36" s="215"/>
      <c r="BEW36" s="215"/>
      <c r="BEX36" s="215"/>
      <c r="BEY36" s="215"/>
      <c r="BEZ36" s="215"/>
      <c r="BFA36" s="215"/>
      <c r="BFB36" s="215"/>
      <c r="BFC36" s="215"/>
      <c r="BFD36" s="215"/>
      <c r="BFE36" s="215"/>
      <c r="BFF36" s="215"/>
      <c r="BFG36" s="215"/>
      <c r="BFH36" s="215"/>
      <c r="BFI36" s="215"/>
      <c r="BFJ36" s="215"/>
      <c r="BFK36" s="215"/>
      <c r="BFL36" s="215"/>
      <c r="BFM36" s="215"/>
      <c r="BFN36" s="215"/>
      <c r="BFO36" s="215"/>
      <c r="BFP36" s="215"/>
      <c r="BFQ36" s="215"/>
      <c r="BFR36" s="215"/>
      <c r="BFS36" s="215"/>
      <c r="BFT36" s="215"/>
      <c r="BFU36" s="215"/>
      <c r="BFV36" s="215"/>
      <c r="BFW36" s="215"/>
      <c r="BFX36" s="215"/>
      <c r="BFY36" s="215"/>
      <c r="BFZ36" s="215"/>
      <c r="BGA36" s="215"/>
      <c r="BGB36" s="215"/>
      <c r="BGC36" s="215"/>
      <c r="BGD36" s="215"/>
      <c r="BGE36" s="215"/>
      <c r="BGF36" s="215"/>
      <c r="BGG36" s="215"/>
      <c r="BGH36" s="215"/>
      <c r="BGI36" s="215"/>
      <c r="BGJ36" s="215"/>
      <c r="BGK36" s="215"/>
      <c r="BGL36" s="215"/>
      <c r="BGM36" s="215"/>
      <c r="BGN36" s="215"/>
      <c r="BGO36" s="215"/>
      <c r="BGP36" s="215"/>
      <c r="BGQ36" s="215"/>
      <c r="BGR36" s="215"/>
      <c r="BGS36" s="215"/>
      <c r="BGT36" s="215"/>
      <c r="BGU36" s="215"/>
      <c r="BGV36" s="215"/>
      <c r="BGW36" s="215"/>
      <c r="BGX36" s="215"/>
      <c r="BGY36" s="215"/>
      <c r="BGZ36" s="215"/>
      <c r="BHA36" s="215"/>
      <c r="BHB36" s="215"/>
      <c r="BHC36" s="215"/>
      <c r="BHD36" s="215"/>
      <c r="BHE36" s="215"/>
      <c r="BHF36" s="215"/>
      <c r="BHG36" s="215"/>
      <c r="BHH36" s="215"/>
      <c r="BHI36" s="215"/>
      <c r="BHJ36" s="215"/>
      <c r="BHK36" s="215"/>
      <c r="BHL36" s="215"/>
      <c r="BHM36" s="215"/>
      <c r="BHN36" s="215"/>
      <c r="BHO36" s="215"/>
      <c r="BHP36" s="215"/>
      <c r="BHQ36" s="215"/>
      <c r="BHR36" s="215"/>
      <c r="BHS36" s="215"/>
      <c r="BHT36" s="215"/>
      <c r="BHU36" s="215"/>
      <c r="BHV36" s="215"/>
      <c r="BHW36" s="215"/>
    </row>
    <row r="37" spans="1:1583" s="219" customFormat="1" ht="29.25" thickBot="1">
      <c r="A37" s="253"/>
      <c r="B37" s="187" t="s">
        <v>359</v>
      </c>
      <c r="C37" s="187"/>
      <c r="D37" s="187" t="s">
        <v>597</v>
      </c>
      <c r="E37" s="265" t="s">
        <v>9</v>
      </c>
      <c r="F37" s="137">
        <v>50</v>
      </c>
      <c r="G37" s="60" t="s">
        <v>691</v>
      </c>
      <c r="H37" s="473">
        <f t="shared" si="15"/>
        <v>8664.3768971107311</v>
      </c>
      <c r="I37" s="148">
        <f>I19-I20-I21-I23</f>
        <v>283.00939607742401</v>
      </c>
      <c r="J37" s="437"/>
      <c r="K37" s="148">
        <f t="shared" ref="K37:AN37" si="18">K19-K20-K21-K23</f>
        <v>314.93415395372341</v>
      </c>
      <c r="L37" s="148">
        <f t="shared" si="18"/>
        <v>316.57695854544198</v>
      </c>
      <c r="M37" s="148">
        <f t="shared" si="18"/>
        <v>314.50734185039823</v>
      </c>
      <c r="N37" s="148">
        <f t="shared" si="18"/>
        <v>315.69967444174102</v>
      </c>
      <c r="O37" s="148">
        <f t="shared" si="18"/>
        <v>319.27041193354137</v>
      </c>
      <c r="P37" s="148">
        <f t="shared" si="18"/>
        <v>318.74870183359695</v>
      </c>
      <c r="Q37" s="148">
        <f t="shared" si="18"/>
        <v>316.2413314634216</v>
      </c>
      <c r="R37" s="148">
        <f t="shared" si="18"/>
        <v>312.11231707431648</v>
      </c>
      <c r="S37" s="148">
        <f t="shared" si="18"/>
        <v>310.33767537005508</v>
      </c>
      <c r="T37" s="148">
        <f t="shared" si="18"/>
        <v>309.33450287278009</v>
      </c>
      <c r="U37" s="148">
        <f t="shared" si="18"/>
        <v>311.11227834717687</v>
      </c>
      <c r="V37" s="148">
        <f t="shared" si="18"/>
        <v>315.46283313630181</v>
      </c>
      <c r="W37" s="148">
        <f t="shared" si="18"/>
        <v>319.07195936909375</v>
      </c>
      <c r="X37" s="148">
        <f t="shared" si="18"/>
        <v>263.76937372410691</v>
      </c>
      <c r="Y37" s="148">
        <f t="shared" si="18"/>
        <v>203.4364606965959</v>
      </c>
      <c r="Z37" s="148">
        <f t="shared" si="18"/>
        <v>170.57101726999932</v>
      </c>
      <c r="AA37" s="148">
        <f t="shared" si="18"/>
        <v>149.41846245349475</v>
      </c>
      <c r="AB37" s="148">
        <f t="shared" si="18"/>
        <v>147.96472478569166</v>
      </c>
      <c r="AC37" s="148">
        <f t="shared" si="18"/>
        <v>217.63397811262726</v>
      </c>
      <c r="AD37" s="148">
        <f t="shared" si="18"/>
        <v>271.70511024718274</v>
      </c>
      <c r="AE37" s="148">
        <f t="shared" si="18"/>
        <v>283.04231188519475</v>
      </c>
      <c r="AF37" s="148">
        <f t="shared" si="18"/>
        <v>284.43351051403442</v>
      </c>
      <c r="AG37" s="148">
        <f t="shared" si="18"/>
        <v>281.95454546145362</v>
      </c>
      <c r="AH37" s="148">
        <f t="shared" si="18"/>
        <v>282.10429397876982</v>
      </c>
      <c r="AI37" s="148">
        <f t="shared" si="18"/>
        <v>283.97012582063428</v>
      </c>
      <c r="AJ37" s="148">
        <f t="shared" si="18"/>
        <v>286.02450160896882</v>
      </c>
      <c r="AK37" s="148">
        <f t="shared" si="18"/>
        <v>286.57770953640608</v>
      </c>
      <c r="AL37" s="148">
        <f t="shared" si="18"/>
        <v>288.54494061429847</v>
      </c>
      <c r="AM37" s="148">
        <f t="shared" si="18"/>
        <v>291.39108100923823</v>
      </c>
      <c r="AN37" s="148">
        <f t="shared" si="18"/>
        <v>295.41521312302297</v>
      </c>
      <c r="AO37" s="218"/>
      <c r="AP37" s="218"/>
      <c r="AQ37" s="218"/>
      <c r="AR37" s="218"/>
      <c r="AS37" s="218"/>
      <c r="AT37" s="218"/>
      <c r="AU37" s="218"/>
      <c r="AV37" s="218"/>
      <c r="AW37" s="218"/>
      <c r="AX37" s="218"/>
      <c r="AY37" s="218"/>
      <c r="AZ37" s="218"/>
      <c r="BA37" s="218"/>
      <c r="BB37" s="218"/>
      <c r="BC37" s="218"/>
      <c r="BD37" s="218"/>
      <c r="BE37" s="218"/>
      <c r="BF37" s="218"/>
      <c r="BG37" s="218"/>
      <c r="BH37" s="218"/>
      <c r="BI37" s="218"/>
      <c r="BJ37" s="218"/>
      <c r="BK37" s="218"/>
      <c r="BL37" s="218"/>
      <c r="BM37" s="218"/>
      <c r="BN37" s="218"/>
      <c r="BO37" s="218"/>
      <c r="BP37" s="218"/>
      <c r="BQ37" s="218"/>
      <c r="BR37" s="218"/>
      <c r="BS37" s="218"/>
      <c r="BT37" s="218"/>
      <c r="BU37" s="218"/>
      <c r="BV37" s="218"/>
      <c r="BW37" s="218"/>
      <c r="BX37" s="218"/>
      <c r="BY37" s="218"/>
      <c r="BZ37" s="218"/>
      <c r="CA37" s="218"/>
      <c r="CB37" s="218"/>
      <c r="CC37" s="218"/>
      <c r="CD37" s="218"/>
      <c r="CE37" s="218"/>
      <c r="CF37" s="218"/>
      <c r="CG37" s="218"/>
      <c r="CH37" s="218"/>
      <c r="CI37" s="218"/>
      <c r="CJ37" s="218"/>
      <c r="CK37" s="218"/>
      <c r="CL37" s="218"/>
      <c r="CM37" s="218"/>
      <c r="CN37" s="218"/>
      <c r="CO37" s="218"/>
      <c r="CP37" s="218"/>
      <c r="CQ37" s="218"/>
      <c r="CR37" s="218"/>
      <c r="CS37" s="218"/>
      <c r="CT37" s="218"/>
      <c r="CU37" s="218"/>
      <c r="CV37" s="218"/>
      <c r="CW37" s="218"/>
      <c r="CX37" s="218"/>
      <c r="CY37" s="218"/>
      <c r="CZ37" s="218"/>
      <c r="DA37" s="218"/>
      <c r="DB37" s="218"/>
      <c r="DC37" s="218"/>
      <c r="DD37" s="218"/>
      <c r="DE37" s="218"/>
      <c r="DF37" s="218"/>
      <c r="DG37" s="218"/>
      <c r="DH37" s="218"/>
      <c r="DI37" s="218"/>
      <c r="DJ37" s="218"/>
      <c r="DK37" s="218"/>
      <c r="DL37" s="218"/>
      <c r="DM37" s="218"/>
      <c r="DN37" s="218"/>
      <c r="DO37" s="218"/>
      <c r="DP37" s="218"/>
      <c r="DQ37" s="218"/>
      <c r="DR37" s="218"/>
      <c r="DS37" s="218"/>
      <c r="DT37" s="218"/>
      <c r="DU37" s="218"/>
      <c r="DV37" s="218"/>
      <c r="DW37" s="218"/>
      <c r="DX37" s="218"/>
      <c r="DY37" s="218"/>
      <c r="DZ37" s="218"/>
      <c r="EA37" s="218"/>
      <c r="EB37" s="218"/>
      <c r="EC37" s="218"/>
      <c r="ED37" s="218"/>
      <c r="EE37" s="218"/>
      <c r="EF37" s="218"/>
      <c r="EG37" s="218"/>
      <c r="EH37" s="218"/>
      <c r="EI37" s="218"/>
      <c r="EJ37" s="218"/>
      <c r="EK37" s="218"/>
      <c r="EL37" s="218"/>
      <c r="EM37" s="218"/>
      <c r="EN37" s="218"/>
      <c r="EO37" s="218"/>
      <c r="EP37" s="218"/>
      <c r="EQ37" s="218"/>
      <c r="ER37" s="218"/>
      <c r="ES37" s="218"/>
      <c r="ET37" s="218"/>
      <c r="EU37" s="218"/>
      <c r="EV37" s="218"/>
      <c r="EW37" s="218"/>
      <c r="EX37" s="218"/>
      <c r="EY37" s="218"/>
      <c r="EZ37" s="218"/>
      <c r="FA37" s="218"/>
      <c r="FB37" s="218"/>
      <c r="FC37" s="218"/>
      <c r="FD37" s="218"/>
      <c r="FE37" s="218"/>
      <c r="FF37" s="218"/>
      <c r="FG37" s="218"/>
      <c r="FH37" s="218"/>
      <c r="FI37" s="218"/>
      <c r="FJ37" s="218"/>
      <c r="FK37" s="218"/>
      <c r="FL37" s="218"/>
      <c r="FM37" s="218"/>
      <c r="FN37" s="218"/>
      <c r="FO37" s="218"/>
      <c r="FP37" s="218"/>
      <c r="FQ37" s="218"/>
      <c r="FR37" s="218"/>
      <c r="FS37" s="218"/>
      <c r="FT37" s="218"/>
      <c r="FU37" s="218"/>
      <c r="FV37" s="218"/>
      <c r="FW37" s="218"/>
      <c r="FX37" s="218"/>
      <c r="FY37" s="218"/>
      <c r="FZ37" s="218"/>
      <c r="GA37" s="218"/>
      <c r="GB37" s="218"/>
      <c r="GC37" s="218"/>
      <c r="GD37" s="218"/>
      <c r="GE37" s="218"/>
      <c r="GF37" s="218"/>
      <c r="GG37" s="218"/>
      <c r="GH37" s="218"/>
      <c r="GI37" s="218"/>
      <c r="GJ37" s="218"/>
      <c r="GK37" s="218"/>
      <c r="GL37" s="218"/>
      <c r="GM37" s="218"/>
      <c r="GN37" s="218"/>
      <c r="GO37" s="218"/>
      <c r="GP37" s="218"/>
      <c r="GQ37" s="218"/>
      <c r="GR37" s="218"/>
      <c r="GS37" s="218"/>
      <c r="GT37" s="218"/>
      <c r="GU37" s="218"/>
      <c r="GV37" s="218"/>
      <c r="GW37" s="218"/>
      <c r="GX37" s="218"/>
      <c r="GY37" s="218"/>
      <c r="GZ37" s="218"/>
      <c r="HA37" s="218"/>
      <c r="HB37" s="218"/>
      <c r="HC37" s="218"/>
      <c r="HD37" s="218"/>
      <c r="HE37" s="218"/>
      <c r="HF37" s="218"/>
      <c r="HG37" s="218"/>
      <c r="HH37" s="218"/>
      <c r="HI37" s="218"/>
      <c r="HJ37" s="218"/>
      <c r="HK37" s="218"/>
      <c r="HL37" s="218"/>
      <c r="HM37" s="218"/>
      <c r="HN37" s="218"/>
      <c r="HO37" s="218"/>
      <c r="HP37" s="218"/>
      <c r="HQ37" s="218"/>
      <c r="HR37" s="218"/>
      <c r="HS37" s="218"/>
      <c r="HT37" s="218"/>
      <c r="HU37" s="218"/>
      <c r="HV37" s="218"/>
      <c r="HW37" s="218"/>
      <c r="HX37" s="218"/>
      <c r="HY37" s="218"/>
      <c r="HZ37" s="218"/>
      <c r="IA37" s="218"/>
      <c r="IB37" s="218"/>
      <c r="IC37" s="218"/>
      <c r="ID37" s="218"/>
      <c r="IE37" s="218"/>
      <c r="IF37" s="218"/>
      <c r="IG37" s="218"/>
      <c r="IH37" s="218"/>
      <c r="II37" s="218"/>
      <c r="IJ37" s="218"/>
      <c r="IK37" s="218"/>
      <c r="IL37" s="218"/>
      <c r="IM37" s="218"/>
      <c r="IN37" s="218"/>
      <c r="IO37" s="218"/>
      <c r="IP37" s="218"/>
      <c r="IQ37" s="218"/>
      <c r="IR37" s="218"/>
      <c r="IS37" s="218"/>
      <c r="IT37" s="218"/>
      <c r="IU37" s="218"/>
      <c r="IV37" s="218"/>
      <c r="IW37" s="218"/>
      <c r="IX37" s="218"/>
      <c r="IY37" s="218"/>
      <c r="IZ37" s="218"/>
      <c r="JA37" s="218"/>
      <c r="JB37" s="218"/>
      <c r="JC37" s="218"/>
      <c r="JD37" s="218"/>
      <c r="JE37" s="218"/>
      <c r="JF37" s="218"/>
      <c r="JG37" s="218"/>
      <c r="JH37" s="218"/>
      <c r="JI37" s="218"/>
      <c r="JJ37" s="218"/>
      <c r="JK37" s="218"/>
      <c r="JL37" s="218"/>
      <c r="JM37" s="218"/>
      <c r="JN37" s="218"/>
      <c r="JO37" s="218"/>
      <c r="JP37" s="218"/>
      <c r="JQ37" s="218"/>
      <c r="JR37" s="218"/>
      <c r="JS37" s="218"/>
      <c r="JT37" s="218"/>
      <c r="JU37" s="218"/>
      <c r="JV37" s="218"/>
      <c r="JW37" s="218"/>
      <c r="JX37" s="218"/>
      <c r="JY37" s="218"/>
      <c r="JZ37" s="218"/>
      <c r="KA37" s="218"/>
      <c r="KB37" s="218"/>
      <c r="KC37" s="218"/>
      <c r="KD37" s="218"/>
      <c r="KE37" s="218"/>
      <c r="KF37" s="218"/>
      <c r="KG37" s="218"/>
      <c r="KH37" s="218"/>
      <c r="KI37" s="218"/>
      <c r="KJ37" s="218"/>
      <c r="KK37" s="218"/>
      <c r="KL37" s="218"/>
      <c r="KM37" s="218"/>
      <c r="KN37" s="218"/>
      <c r="KO37" s="218"/>
      <c r="KP37" s="218"/>
      <c r="KQ37" s="218"/>
      <c r="KR37" s="218"/>
      <c r="KS37" s="218"/>
      <c r="KT37" s="218"/>
      <c r="KU37" s="218"/>
      <c r="KV37" s="218"/>
      <c r="KW37" s="218"/>
      <c r="KX37" s="218"/>
      <c r="KY37" s="218"/>
      <c r="KZ37" s="218"/>
      <c r="LA37" s="218"/>
      <c r="LB37" s="218"/>
      <c r="LC37" s="218"/>
      <c r="LD37" s="218"/>
      <c r="LE37" s="218"/>
      <c r="LF37" s="218"/>
      <c r="LG37" s="218"/>
      <c r="LH37" s="218"/>
      <c r="LI37" s="218"/>
      <c r="LJ37" s="218"/>
      <c r="LK37" s="218"/>
      <c r="LL37" s="218"/>
      <c r="LM37" s="218"/>
      <c r="LN37" s="218"/>
      <c r="LO37" s="218"/>
      <c r="LP37" s="218"/>
      <c r="LQ37" s="218"/>
      <c r="LR37" s="218"/>
      <c r="LS37" s="218"/>
      <c r="LT37" s="218"/>
      <c r="LU37" s="218"/>
      <c r="LV37" s="218"/>
      <c r="LW37" s="218"/>
      <c r="LX37" s="218"/>
      <c r="LY37" s="218"/>
      <c r="LZ37" s="218"/>
      <c r="MA37" s="218"/>
      <c r="MB37" s="218"/>
      <c r="MC37" s="218"/>
      <c r="MD37" s="218"/>
      <c r="ME37" s="218"/>
      <c r="MF37" s="218"/>
      <c r="MG37" s="218"/>
      <c r="MH37" s="218"/>
      <c r="MI37" s="218"/>
      <c r="MJ37" s="218"/>
      <c r="MK37" s="218"/>
      <c r="ML37" s="218"/>
      <c r="MM37" s="218"/>
      <c r="MN37" s="218"/>
      <c r="MO37" s="218"/>
      <c r="MP37" s="218"/>
      <c r="MQ37" s="218"/>
      <c r="MR37" s="218"/>
      <c r="MS37" s="218"/>
      <c r="MT37" s="218"/>
      <c r="MU37" s="218"/>
      <c r="MV37" s="218"/>
      <c r="MW37" s="218"/>
      <c r="MX37" s="218"/>
      <c r="MY37" s="218"/>
      <c r="MZ37" s="218"/>
      <c r="NA37" s="218"/>
      <c r="NB37" s="218"/>
      <c r="NC37" s="218"/>
      <c r="ND37" s="218"/>
      <c r="NE37" s="218"/>
      <c r="NF37" s="218"/>
      <c r="NG37" s="218"/>
      <c r="NH37" s="218"/>
      <c r="NI37" s="218"/>
      <c r="NJ37" s="218"/>
      <c r="NK37" s="218"/>
      <c r="NL37" s="218"/>
      <c r="NM37" s="218"/>
      <c r="NN37" s="218"/>
      <c r="NO37" s="218"/>
      <c r="NP37" s="218"/>
      <c r="NQ37" s="218"/>
      <c r="NR37" s="218"/>
      <c r="NS37" s="218"/>
      <c r="NT37" s="218"/>
      <c r="NU37" s="218"/>
      <c r="NV37" s="218"/>
      <c r="NW37" s="218"/>
      <c r="NX37" s="218"/>
      <c r="NY37" s="218"/>
      <c r="NZ37" s="218"/>
      <c r="OA37" s="218"/>
      <c r="OB37" s="218"/>
      <c r="OC37" s="218"/>
      <c r="OD37" s="218"/>
      <c r="OE37" s="218"/>
      <c r="OF37" s="218"/>
      <c r="OG37" s="218"/>
      <c r="OH37" s="218"/>
      <c r="OI37" s="218"/>
      <c r="OJ37" s="218"/>
      <c r="OK37" s="218"/>
      <c r="OL37" s="218"/>
      <c r="OM37" s="218"/>
      <c r="ON37" s="218"/>
      <c r="OO37" s="218"/>
      <c r="OP37" s="218"/>
      <c r="OQ37" s="218"/>
      <c r="OR37" s="218"/>
      <c r="OS37" s="218"/>
      <c r="OT37" s="218"/>
      <c r="OU37" s="218"/>
      <c r="OV37" s="218"/>
      <c r="OW37" s="218"/>
      <c r="OX37" s="218"/>
      <c r="OY37" s="218"/>
      <c r="OZ37" s="218"/>
      <c r="PA37" s="218"/>
      <c r="PB37" s="218"/>
      <c r="PC37" s="218"/>
      <c r="PD37" s="218"/>
      <c r="PE37" s="218"/>
      <c r="PF37" s="218"/>
      <c r="PG37" s="218"/>
      <c r="PH37" s="218"/>
      <c r="PI37" s="218"/>
      <c r="PJ37" s="218"/>
      <c r="PK37" s="218"/>
      <c r="PL37" s="218"/>
      <c r="PM37" s="218"/>
      <c r="PN37" s="218"/>
      <c r="PO37" s="218"/>
      <c r="PP37" s="218"/>
      <c r="PQ37" s="218"/>
      <c r="PR37" s="218"/>
      <c r="PS37" s="218"/>
      <c r="PT37" s="218"/>
      <c r="PU37" s="218"/>
      <c r="PV37" s="218"/>
      <c r="PW37" s="218"/>
      <c r="PX37" s="218"/>
      <c r="PY37" s="218"/>
      <c r="PZ37" s="218"/>
      <c r="QA37" s="218"/>
      <c r="QB37" s="218"/>
      <c r="QC37" s="218"/>
      <c r="QD37" s="218"/>
      <c r="QE37" s="218"/>
      <c r="QF37" s="218"/>
      <c r="QG37" s="218"/>
      <c r="QH37" s="218"/>
      <c r="QI37" s="218"/>
      <c r="QJ37" s="218"/>
      <c r="QK37" s="218"/>
      <c r="QL37" s="218"/>
      <c r="QM37" s="218"/>
      <c r="QN37" s="218"/>
      <c r="QO37" s="218"/>
      <c r="QP37" s="218"/>
      <c r="QQ37" s="218"/>
      <c r="QR37" s="218"/>
      <c r="QS37" s="218"/>
      <c r="QT37" s="218"/>
      <c r="QU37" s="218"/>
      <c r="QV37" s="218"/>
      <c r="QW37" s="218"/>
      <c r="QX37" s="218"/>
      <c r="QY37" s="218"/>
      <c r="QZ37" s="218"/>
      <c r="RA37" s="218"/>
      <c r="RB37" s="218"/>
      <c r="RC37" s="218"/>
      <c r="RD37" s="218"/>
      <c r="RE37" s="218"/>
      <c r="RF37" s="218"/>
      <c r="RG37" s="218"/>
      <c r="RH37" s="218"/>
      <c r="RI37" s="218"/>
      <c r="RJ37" s="218"/>
      <c r="RK37" s="218"/>
      <c r="RL37" s="218"/>
      <c r="RM37" s="218"/>
      <c r="RN37" s="218"/>
      <c r="RO37" s="218"/>
      <c r="RP37" s="218"/>
      <c r="RQ37" s="218"/>
      <c r="RR37" s="218"/>
      <c r="RS37" s="218"/>
      <c r="RT37" s="218"/>
      <c r="RU37" s="218"/>
      <c r="RV37" s="218"/>
      <c r="RW37" s="218"/>
      <c r="RX37" s="218"/>
      <c r="RY37" s="218"/>
      <c r="RZ37" s="218"/>
      <c r="SA37" s="218"/>
      <c r="SB37" s="218"/>
      <c r="SC37" s="218"/>
      <c r="SD37" s="218"/>
      <c r="SE37" s="218"/>
      <c r="SF37" s="218"/>
      <c r="SG37" s="218"/>
      <c r="SH37" s="218"/>
      <c r="SI37" s="218"/>
      <c r="SJ37" s="218"/>
      <c r="SK37" s="218"/>
      <c r="SL37" s="218"/>
      <c r="SM37" s="218"/>
      <c r="SN37" s="218"/>
      <c r="SO37" s="218"/>
      <c r="SP37" s="218"/>
      <c r="SQ37" s="218"/>
      <c r="SR37" s="218"/>
      <c r="SS37" s="218"/>
      <c r="ST37" s="218"/>
      <c r="SU37" s="218"/>
      <c r="SV37" s="218"/>
      <c r="SW37" s="218"/>
      <c r="SX37" s="218"/>
      <c r="SY37" s="218"/>
      <c r="SZ37" s="218"/>
      <c r="TA37" s="218"/>
      <c r="TB37" s="218"/>
      <c r="TC37" s="218"/>
      <c r="TD37" s="218"/>
      <c r="TE37" s="218"/>
      <c r="TF37" s="218"/>
      <c r="TG37" s="218"/>
      <c r="TH37" s="218"/>
      <c r="TI37" s="218"/>
      <c r="TJ37" s="218"/>
      <c r="TK37" s="218"/>
      <c r="TL37" s="218"/>
      <c r="TM37" s="218"/>
      <c r="TN37" s="218"/>
      <c r="TO37" s="218"/>
      <c r="TP37" s="218"/>
      <c r="TQ37" s="218"/>
      <c r="TR37" s="218"/>
      <c r="TS37" s="218"/>
      <c r="TT37" s="218"/>
      <c r="TU37" s="218"/>
      <c r="TV37" s="218"/>
      <c r="TW37" s="218"/>
      <c r="TX37" s="218"/>
      <c r="TY37" s="218"/>
      <c r="TZ37" s="218"/>
      <c r="UA37" s="218"/>
      <c r="UB37" s="218"/>
      <c r="UC37" s="218"/>
      <c r="UD37" s="218"/>
      <c r="UE37" s="218"/>
      <c r="UF37" s="218"/>
      <c r="UG37" s="218"/>
      <c r="UH37" s="218"/>
      <c r="UI37" s="218"/>
      <c r="UJ37" s="218"/>
      <c r="UK37" s="218"/>
      <c r="UL37" s="218"/>
      <c r="UM37" s="218"/>
      <c r="UN37" s="218"/>
      <c r="UO37" s="218"/>
      <c r="UP37" s="218"/>
      <c r="UQ37" s="218"/>
      <c r="UR37" s="218"/>
      <c r="US37" s="218"/>
      <c r="UT37" s="218"/>
      <c r="UU37" s="218"/>
      <c r="UV37" s="218"/>
      <c r="UW37" s="218"/>
      <c r="UX37" s="218"/>
      <c r="UY37" s="218"/>
      <c r="UZ37" s="218"/>
      <c r="VA37" s="218"/>
      <c r="VB37" s="218"/>
      <c r="VC37" s="218"/>
      <c r="VD37" s="218"/>
      <c r="VE37" s="218"/>
      <c r="VF37" s="218"/>
      <c r="VG37" s="218"/>
      <c r="VH37" s="218"/>
      <c r="VI37" s="218"/>
      <c r="VJ37" s="218"/>
      <c r="VK37" s="218"/>
      <c r="VL37" s="218"/>
      <c r="VM37" s="218"/>
      <c r="VN37" s="218"/>
      <c r="VO37" s="218"/>
      <c r="VP37" s="218"/>
      <c r="VQ37" s="218"/>
      <c r="VR37" s="218"/>
      <c r="VS37" s="218"/>
      <c r="VT37" s="218"/>
      <c r="VU37" s="218"/>
      <c r="VV37" s="218"/>
      <c r="VW37" s="218"/>
      <c r="VX37" s="218"/>
      <c r="VY37" s="218"/>
      <c r="VZ37" s="218"/>
      <c r="WA37" s="218"/>
      <c r="WB37" s="218"/>
      <c r="WC37" s="218"/>
      <c r="WD37" s="218"/>
      <c r="WE37" s="218"/>
      <c r="WF37" s="218"/>
      <c r="WG37" s="218"/>
      <c r="WH37" s="218"/>
      <c r="WI37" s="218"/>
      <c r="WJ37" s="218"/>
      <c r="WK37" s="218"/>
      <c r="WL37" s="218"/>
      <c r="WM37" s="218"/>
      <c r="WN37" s="218"/>
      <c r="WO37" s="218"/>
      <c r="WP37" s="218"/>
      <c r="WQ37" s="218"/>
      <c r="WR37" s="218"/>
      <c r="WS37" s="218"/>
      <c r="WT37" s="218"/>
      <c r="WU37" s="218"/>
      <c r="WV37" s="218"/>
      <c r="WW37" s="218"/>
      <c r="WX37" s="218"/>
      <c r="WY37" s="218"/>
      <c r="WZ37" s="218"/>
      <c r="XA37" s="218"/>
      <c r="XB37" s="218"/>
      <c r="XC37" s="218"/>
      <c r="XD37" s="218"/>
      <c r="XE37" s="218"/>
      <c r="XF37" s="218"/>
      <c r="XG37" s="218"/>
      <c r="XH37" s="218"/>
      <c r="XI37" s="218"/>
      <c r="XJ37" s="218"/>
      <c r="XK37" s="218"/>
      <c r="XL37" s="218"/>
      <c r="XM37" s="218"/>
      <c r="XN37" s="218"/>
      <c r="XO37" s="218"/>
      <c r="XP37" s="218"/>
      <c r="XQ37" s="218"/>
      <c r="XR37" s="218"/>
      <c r="XS37" s="218"/>
      <c r="XT37" s="218"/>
      <c r="XU37" s="218"/>
      <c r="XV37" s="218"/>
      <c r="XW37" s="218"/>
      <c r="XX37" s="218"/>
      <c r="XY37" s="218"/>
      <c r="XZ37" s="218"/>
      <c r="YA37" s="218"/>
      <c r="YB37" s="218"/>
      <c r="YC37" s="218"/>
      <c r="YD37" s="218"/>
      <c r="YE37" s="218"/>
      <c r="YF37" s="218"/>
      <c r="YG37" s="218"/>
      <c r="YH37" s="218"/>
      <c r="YI37" s="218"/>
      <c r="YJ37" s="218"/>
      <c r="YK37" s="218"/>
      <c r="YL37" s="218"/>
      <c r="YM37" s="218"/>
      <c r="YN37" s="218"/>
      <c r="YO37" s="218"/>
      <c r="YP37" s="218"/>
      <c r="YQ37" s="218"/>
      <c r="YR37" s="218"/>
      <c r="YS37" s="218"/>
      <c r="YT37" s="218"/>
      <c r="YU37" s="218"/>
      <c r="YV37" s="218"/>
      <c r="YW37" s="218"/>
      <c r="YX37" s="218"/>
      <c r="YY37" s="218"/>
      <c r="YZ37" s="218"/>
      <c r="ZA37" s="218"/>
      <c r="ZB37" s="218"/>
      <c r="ZC37" s="218"/>
      <c r="ZD37" s="218"/>
      <c r="ZE37" s="218"/>
      <c r="ZF37" s="218"/>
      <c r="ZG37" s="218"/>
      <c r="ZH37" s="218"/>
      <c r="ZI37" s="218"/>
      <c r="ZJ37" s="218"/>
      <c r="ZK37" s="218"/>
      <c r="ZL37" s="218"/>
      <c r="ZM37" s="218"/>
      <c r="ZN37" s="218"/>
      <c r="ZO37" s="218"/>
      <c r="ZP37" s="218"/>
      <c r="ZQ37" s="218"/>
      <c r="ZR37" s="218"/>
      <c r="ZS37" s="218"/>
      <c r="ZT37" s="218"/>
      <c r="ZU37" s="218"/>
      <c r="ZV37" s="218"/>
      <c r="ZW37" s="218"/>
      <c r="ZX37" s="218"/>
      <c r="ZY37" s="218"/>
      <c r="ZZ37" s="218"/>
      <c r="AAA37" s="218"/>
      <c r="AAB37" s="218"/>
      <c r="AAC37" s="218"/>
      <c r="AAD37" s="218"/>
      <c r="AAE37" s="218"/>
      <c r="AAF37" s="218"/>
      <c r="AAG37" s="218"/>
      <c r="AAH37" s="218"/>
      <c r="AAI37" s="218"/>
      <c r="AAJ37" s="218"/>
      <c r="AAK37" s="218"/>
      <c r="AAL37" s="218"/>
      <c r="AAM37" s="218"/>
      <c r="AAN37" s="218"/>
      <c r="AAO37" s="218"/>
      <c r="AAP37" s="218"/>
      <c r="AAQ37" s="218"/>
      <c r="AAR37" s="218"/>
      <c r="AAS37" s="218"/>
      <c r="AAT37" s="218"/>
      <c r="AAU37" s="218"/>
      <c r="AAV37" s="218"/>
      <c r="AAW37" s="218"/>
      <c r="AAX37" s="218"/>
      <c r="AAY37" s="218"/>
      <c r="AAZ37" s="218"/>
      <c r="ABA37" s="218"/>
      <c r="ABB37" s="218"/>
      <c r="ABC37" s="218"/>
      <c r="ABD37" s="218"/>
      <c r="ABE37" s="218"/>
      <c r="ABF37" s="218"/>
      <c r="ABG37" s="218"/>
      <c r="ABH37" s="218"/>
      <c r="ABI37" s="218"/>
      <c r="ABJ37" s="218"/>
      <c r="ABK37" s="218"/>
      <c r="ABL37" s="218"/>
      <c r="ABM37" s="218"/>
      <c r="ABN37" s="218"/>
      <c r="ABO37" s="218"/>
      <c r="ABP37" s="218"/>
      <c r="ABQ37" s="218"/>
      <c r="ABR37" s="218"/>
      <c r="ABS37" s="218"/>
      <c r="ABT37" s="218"/>
      <c r="ABU37" s="218"/>
      <c r="ABV37" s="218"/>
      <c r="ABW37" s="218"/>
      <c r="ABX37" s="218"/>
      <c r="ABY37" s="218"/>
      <c r="ABZ37" s="218"/>
      <c r="ACA37" s="218"/>
      <c r="ACB37" s="218"/>
      <c r="ACC37" s="218"/>
      <c r="ACD37" s="218"/>
      <c r="ACE37" s="218"/>
      <c r="ACF37" s="218"/>
      <c r="ACG37" s="218"/>
      <c r="ACH37" s="218"/>
      <c r="ACI37" s="218"/>
      <c r="ACJ37" s="218"/>
      <c r="ACK37" s="218"/>
      <c r="ACL37" s="218"/>
      <c r="ACM37" s="218"/>
      <c r="ACN37" s="218"/>
      <c r="ACO37" s="218"/>
      <c r="ACP37" s="218"/>
      <c r="ACQ37" s="218"/>
      <c r="ACR37" s="218"/>
      <c r="ACS37" s="218"/>
      <c r="ACT37" s="218"/>
      <c r="ACU37" s="218"/>
      <c r="ACV37" s="218"/>
      <c r="ACW37" s="218"/>
      <c r="ACX37" s="218"/>
      <c r="ACY37" s="218"/>
      <c r="ACZ37" s="218"/>
      <c r="ADA37" s="218"/>
      <c r="ADB37" s="218"/>
      <c r="ADC37" s="218"/>
      <c r="ADD37" s="218"/>
      <c r="ADE37" s="218"/>
      <c r="ADF37" s="218"/>
      <c r="ADG37" s="218"/>
      <c r="ADH37" s="218"/>
      <c r="ADI37" s="218"/>
      <c r="ADJ37" s="218"/>
      <c r="ADK37" s="218"/>
      <c r="ADL37" s="218"/>
      <c r="ADM37" s="218"/>
      <c r="ADN37" s="218"/>
      <c r="ADO37" s="218"/>
      <c r="ADP37" s="218"/>
      <c r="ADQ37" s="218"/>
      <c r="ADR37" s="218"/>
      <c r="ADS37" s="218"/>
      <c r="ADT37" s="218"/>
      <c r="ADU37" s="218"/>
      <c r="ADV37" s="218"/>
      <c r="ADW37" s="218"/>
      <c r="ADX37" s="218"/>
      <c r="ADY37" s="218"/>
      <c r="ADZ37" s="218"/>
      <c r="AEA37" s="218"/>
      <c r="AEB37" s="218"/>
      <c r="AEC37" s="218"/>
      <c r="AED37" s="218"/>
      <c r="AEE37" s="218"/>
      <c r="AEF37" s="218"/>
      <c r="AEG37" s="218"/>
      <c r="AEH37" s="218"/>
      <c r="AEI37" s="218"/>
      <c r="AEJ37" s="218"/>
      <c r="AEK37" s="218"/>
      <c r="AEL37" s="218"/>
      <c r="AEM37" s="218"/>
      <c r="AEN37" s="218"/>
      <c r="AEO37" s="218"/>
      <c r="AEP37" s="218"/>
      <c r="AEQ37" s="218"/>
      <c r="AER37" s="218"/>
      <c r="AES37" s="218"/>
      <c r="AET37" s="218"/>
      <c r="AEU37" s="218"/>
      <c r="AEV37" s="218"/>
      <c r="AEW37" s="218"/>
      <c r="AEX37" s="218"/>
      <c r="AEY37" s="218"/>
      <c r="AEZ37" s="218"/>
      <c r="AFA37" s="218"/>
      <c r="AFB37" s="218"/>
      <c r="AFC37" s="218"/>
      <c r="AFD37" s="218"/>
      <c r="AFE37" s="218"/>
      <c r="AFF37" s="218"/>
      <c r="AFG37" s="218"/>
      <c r="AFH37" s="218"/>
      <c r="AFI37" s="218"/>
      <c r="AFJ37" s="218"/>
      <c r="AFK37" s="218"/>
      <c r="AFL37" s="218"/>
      <c r="AFM37" s="218"/>
      <c r="AFN37" s="218"/>
      <c r="AFO37" s="218"/>
      <c r="AFP37" s="218"/>
      <c r="AFQ37" s="218"/>
      <c r="AFR37" s="218"/>
      <c r="AFS37" s="218"/>
      <c r="AFT37" s="218"/>
      <c r="AFU37" s="218"/>
      <c r="AFV37" s="218"/>
      <c r="AFW37" s="218"/>
      <c r="AFX37" s="218"/>
      <c r="AFY37" s="218"/>
      <c r="AFZ37" s="218"/>
      <c r="AGA37" s="218"/>
      <c r="AGB37" s="218"/>
      <c r="AGC37" s="218"/>
      <c r="AGD37" s="218"/>
      <c r="AGE37" s="218"/>
      <c r="AGF37" s="218"/>
      <c r="AGG37" s="218"/>
      <c r="AGH37" s="218"/>
      <c r="AGI37" s="218"/>
      <c r="AGJ37" s="218"/>
      <c r="AGK37" s="218"/>
      <c r="AGL37" s="218"/>
      <c r="AGM37" s="218"/>
      <c r="AGN37" s="218"/>
      <c r="AGO37" s="218"/>
      <c r="AGP37" s="218"/>
      <c r="AGQ37" s="218"/>
      <c r="AGR37" s="218"/>
      <c r="AGS37" s="218"/>
      <c r="AGT37" s="218"/>
      <c r="AGU37" s="218"/>
      <c r="AGV37" s="218"/>
      <c r="AGW37" s="218"/>
      <c r="AGX37" s="218"/>
      <c r="AGY37" s="218"/>
      <c r="AGZ37" s="218"/>
      <c r="AHA37" s="218"/>
      <c r="AHB37" s="218"/>
      <c r="AHC37" s="218"/>
      <c r="AHD37" s="218"/>
      <c r="AHE37" s="218"/>
      <c r="AHF37" s="218"/>
      <c r="AHG37" s="218"/>
      <c r="AHH37" s="218"/>
      <c r="AHI37" s="218"/>
      <c r="AHJ37" s="218"/>
      <c r="AHK37" s="218"/>
      <c r="AHL37" s="218"/>
      <c r="AHM37" s="218"/>
      <c r="AHN37" s="218"/>
      <c r="AHO37" s="218"/>
      <c r="AHP37" s="218"/>
      <c r="AHQ37" s="218"/>
      <c r="AHR37" s="218"/>
      <c r="AHS37" s="218"/>
      <c r="AHT37" s="218"/>
      <c r="AHU37" s="218"/>
      <c r="AHV37" s="218"/>
      <c r="AHW37" s="218"/>
      <c r="AHX37" s="218"/>
      <c r="AHY37" s="218"/>
      <c r="AHZ37" s="218"/>
      <c r="AIA37" s="218"/>
      <c r="AIB37" s="218"/>
      <c r="AIC37" s="218"/>
      <c r="AID37" s="218"/>
      <c r="AIE37" s="218"/>
      <c r="AIF37" s="218"/>
      <c r="AIG37" s="218"/>
      <c r="AIH37" s="218"/>
      <c r="AII37" s="218"/>
      <c r="AIJ37" s="218"/>
      <c r="AIK37" s="218"/>
      <c r="AIL37" s="218"/>
      <c r="AIM37" s="218"/>
      <c r="AIN37" s="218"/>
      <c r="AIO37" s="218"/>
      <c r="AIP37" s="218"/>
      <c r="AIQ37" s="218"/>
      <c r="AIR37" s="218"/>
      <c r="AIS37" s="218"/>
      <c r="AIT37" s="218"/>
      <c r="AIU37" s="218"/>
      <c r="AIV37" s="218"/>
      <c r="AIW37" s="218"/>
      <c r="AIX37" s="218"/>
      <c r="AIY37" s="218"/>
      <c r="AIZ37" s="218"/>
      <c r="AJA37" s="218"/>
      <c r="AJB37" s="218"/>
      <c r="AJC37" s="218"/>
      <c r="AJD37" s="218"/>
      <c r="AJE37" s="218"/>
      <c r="AJF37" s="218"/>
      <c r="AJG37" s="218"/>
      <c r="AJH37" s="218"/>
      <c r="AJI37" s="218"/>
      <c r="AJJ37" s="218"/>
      <c r="AJK37" s="218"/>
      <c r="AJL37" s="218"/>
      <c r="AJM37" s="218"/>
      <c r="AJN37" s="218"/>
      <c r="AJO37" s="218"/>
      <c r="AJP37" s="218"/>
      <c r="AJQ37" s="218"/>
      <c r="AJR37" s="218"/>
      <c r="AJS37" s="218"/>
      <c r="AJT37" s="218"/>
      <c r="AJU37" s="218"/>
      <c r="AJV37" s="218"/>
      <c r="AJW37" s="218"/>
      <c r="AJX37" s="218"/>
      <c r="AJY37" s="218"/>
      <c r="AJZ37" s="218"/>
      <c r="AKA37" s="218"/>
      <c r="AKB37" s="218"/>
      <c r="AKC37" s="218"/>
      <c r="AKD37" s="218"/>
      <c r="AKE37" s="218"/>
      <c r="AKF37" s="218"/>
      <c r="AKG37" s="218"/>
      <c r="AKH37" s="218"/>
      <c r="AKI37" s="218"/>
      <c r="AKJ37" s="218"/>
      <c r="AKK37" s="218"/>
      <c r="AKL37" s="218"/>
      <c r="AKM37" s="218"/>
      <c r="AKN37" s="218"/>
      <c r="AKO37" s="218"/>
      <c r="AKP37" s="218"/>
      <c r="AKQ37" s="218"/>
      <c r="AKR37" s="218"/>
      <c r="AKS37" s="218"/>
      <c r="AKT37" s="218"/>
      <c r="AKU37" s="218"/>
      <c r="AKV37" s="218"/>
      <c r="AKW37" s="218"/>
      <c r="AKX37" s="218"/>
      <c r="AKY37" s="218"/>
      <c r="AKZ37" s="218"/>
      <c r="ALA37" s="218"/>
      <c r="ALB37" s="218"/>
      <c r="ALC37" s="218"/>
      <c r="ALD37" s="218"/>
      <c r="ALE37" s="218"/>
      <c r="ALF37" s="218"/>
      <c r="ALG37" s="218"/>
      <c r="ALH37" s="218"/>
      <c r="ALI37" s="218"/>
      <c r="ALJ37" s="218"/>
      <c r="ALK37" s="218"/>
      <c r="ALL37" s="218"/>
      <c r="ALM37" s="218"/>
      <c r="ALN37" s="218"/>
      <c r="ALO37" s="218"/>
      <c r="ALP37" s="218"/>
      <c r="ALQ37" s="218"/>
      <c r="ALR37" s="218"/>
      <c r="ALS37" s="218"/>
      <c r="ALT37" s="218"/>
      <c r="ALU37" s="218"/>
      <c r="ALV37" s="218"/>
      <c r="ALW37" s="218"/>
      <c r="ALX37" s="218"/>
      <c r="ALY37" s="218"/>
      <c r="ALZ37" s="218"/>
      <c r="AMA37" s="218"/>
      <c r="AMB37" s="218"/>
      <c r="AMC37" s="218"/>
      <c r="AMD37" s="218"/>
      <c r="AME37" s="218"/>
      <c r="AMF37" s="218"/>
      <c r="AMG37" s="218"/>
      <c r="AMH37" s="218"/>
      <c r="AMI37" s="218"/>
      <c r="AMJ37" s="218"/>
      <c r="AMK37" s="218"/>
      <c r="AML37" s="218"/>
      <c r="AMM37" s="218"/>
      <c r="AMN37" s="218"/>
      <c r="AMO37" s="218"/>
      <c r="AMP37" s="218"/>
      <c r="AMQ37" s="218"/>
      <c r="AMR37" s="218"/>
      <c r="AMS37" s="218"/>
      <c r="AMT37" s="218"/>
      <c r="AMU37" s="218"/>
      <c r="AMV37" s="218"/>
      <c r="AMW37" s="218"/>
      <c r="AMX37" s="218"/>
      <c r="AMY37" s="218"/>
      <c r="AMZ37" s="218"/>
      <c r="ANA37" s="218"/>
      <c r="ANB37" s="218"/>
      <c r="ANC37" s="218"/>
      <c r="AND37" s="218"/>
      <c r="ANE37" s="218"/>
      <c r="ANF37" s="218"/>
      <c r="ANG37" s="218"/>
      <c r="ANH37" s="218"/>
      <c r="ANI37" s="218"/>
      <c r="ANJ37" s="218"/>
      <c r="ANK37" s="218"/>
      <c r="ANL37" s="218"/>
      <c r="ANM37" s="218"/>
      <c r="ANN37" s="218"/>
      <c r="ANO37" s="218"/>
      <c r="ANP37" s="218"/>
      <c r="ANQ37" s="218"/>
      <c r="ANR37" s="218"/>
      <c r="ANS37" s="218"/>
      <c r="ANT37" s="218"/>
      <c r="ANU37" s="218"/>
      <c r="ANV37" s="218"/>
      <c r="ANW37" s="218"/>
      <c r="ANX37" s="218"/>
      <c r="ANY37" s="218"/>
      <c r="ANZ37" s="218"/>
      <c r="AOA37" s="218"/>
      <c r="AOB37" s="218"/>
      <c r="AOC37" s="218"/>
      <c r="AOD37" s="218"/>
      <c r="AOE37" s="218"/>
      <c r="AOF37" s="218"/>
      <c r="AOG37" s="218"/>
      <c r="AOH37" s="218"/>
      <c r="AOI37" s="218"/>
      <c r="AOJ37" s="218"/>
      <c r="AOK37" s="218"/>
      <c r="AOL37" s="218"/>
      <c r="AOM37" s="218"/>
      <c r="AON37" s="218"/>
      <c r="AOO37" s="218"/>
      <c r="AOP37" s="218"/>
      <c r="AOQ37" s="218"/>
      <c r="AOR37" s="218"/>
      <c r="AOS37" s="218"/>
      <c r="AOT37" s="218"/>
      <c r="AOU37" s="218"/>
      <c r="AOV37" s="218"/>
      <c r="AOW37" s="218"/>
      <c r="AOX37" s="218"/>
      <c r="AOY37" s="218"/>
      <c r="AOZ37" s="218"/>
      <c r="APA37" s="218"/>
      <c r="APB37" s="218"/>
      <c r="APC37" s="218"/>
      <c r="APD37" s="218"/>
      <c r="APE37" s="218"/>
      <c r="APF37" s="218"/>
      <c r="APG37" s="218"/>
      <c r="APH37" s="218"/>
      <c r="API37" s="218"/>
      <c r="APJ37" s="218"/>
      <c r="APK37" s="218"/>
      <c r="APL37" s="218"/>
      <c r="APM37" s="218"/>
      <c r="APN37" s="218"/>
      <c r="APO37" s="218"/>
      <c r="APP37" s="218"/>
      <c r="APQ37" s="218"/>
      <c r="APR37" s="218"/>
      <c r="APS37" s="218"/>
      <c r="APT37" s="218"/>
      <c r="APU37" s="218"/>
      <c r="APV37" s="218"/>
      <c r="APW37" s="218"/>
      <c r="APX37" s="218"/>
      <c r="APY37" s="218"/>
      <c r="APZ37" s="218"/>
      <c r="AQA37" s="218"/>
      <c r="AQB37" s="218"/>
      <c r="AQC37" s="218"/>
      <c r="AQD37" s="218"/>
      <c r="AQE37" s="218"/>
      <c r="AQF37" s="218"/>
      <c r="AQG37" s="218"/>
      <c r="AQH37" s="218"/>
      <c r="AQI37" s="218"/>
      <c r="AQJ37" s="218"/>
      <c r="AQK37" s="218"/>
      <c r="AQL37" s="218"/>
      <c r="AQM37" s="218"/>
      <c r="AQN37" s="218"/>
      <c r="AQO37" s="218"/>
      <c r="AQP37" s="218"/>
      <c r="AQQ37" s="218"/>
      <c r="AQR37" s="218"/>
      <c r="AQS37" s="218"/>
      <c r="AQT37" s="218"/>
      <c r="AQU37" s="218"/>
      <c r="AQV37" s="218"/>
      <c r="AQW37" s="218"/>
      <c r="AQX37" s="218"/>
      <c r="AQY37" s="218"/>
      <c r="AQZ37" s="218"/>
      <c r="ARA37" s="218"/>
      <c r="ARB37" s="218"/>
      <c r="ARC37" s="218"/>
      <c r="ARD37" s="218"/>
      <c r="ARE37" s="218"/>
      <c r="ARF37" s="218"/>
      <c r="ARG37" s="218"/>
      <c r="ARH37" s="218"/>
      <c r="ARI37" s="218"/>
      <c r="ARJ37" s="218"/>
      <c r="ARK37" s="218"/>
      <c r="ARL37" s="218"/>
      <c r="ARM37" s="218"/>
      <c r="ARN37" s="218"/>
      <c r="ARO37" s="218"/>
      <c r="ARP37" s="218"/>
      <c r="ARQ37" s="218"/>
      <c r="ARR37" s="218"/>
      <c r="ARS37" s="218"/>
      <c r="ART37" s="218"/>
      <c r="ARU37" s="218"/>
      <c r="ARV37" s="218"/>
      <c r="ARW37" s="218"/>
      <c r="ARX37" s="218"/>
      <c r="ARY37" s="218"/>
      <c r="ARZ37" s="218"/>
      <c r="ASA37" s="218"/>
      <c r="ASB37" s="218"/>
      <c r="ASC37" s="218"/>
      <c r="ASD37" s="218"/>
      <c r="ASE37" s="218"/>
      <c r="ASF37" s="218"/>
      <c r="ASG37" s="218"/>
      <c r="ASH37" s="218"/>
      <c r="ASI37" s="218"/>
      <c r="ASJ37" s="218"/>
      <c r="ASK37" s="218"/>
      <c r="ASL37" s="218"/>
      <c r="ASM37" s="218"/>
      <c r="ASN37" s="218"/>
      <c r="ASO37" s="218"/>
      <c r="ASP37" s="218"/>
      <c r="ASQ37" s="218"/>
      <c r="ASR37" s="218"/>
      <c r="ASS37" s="218"/>
      <c r="AST37" s="218"/>
      <c r="ASU37" s="218"/>
      <c r="ASV37" s="218"/>
      <c r="ASW37" s="218"/>
      <c r="ASX37" s="218"/>
      <c r="ASY37" s="218"/>
      <c r="ASZ37" s="218"/>
      <c r="ATA37" s="218"/>
      <c r="ATB37" s="218"/>
      <c r="ATC37" s="218"/>
      <c r="ATD37" s="218"/>
      <c r="ATE37" s="218"/>
      <c r="ATF37" s="218"/>
      <c r="ATG37" s="218"/>
      <c r="ATH37" s="218"/>
      <c r="ATI37" s="218"/>
      <c r="ATJ37" s="218"/>
      <c r="ATK37" s="218"/>
      <c r="ATL37" s="218"/>
      <c r="ATM37" s="218"/>
      <c r="ATN37" s="218"/>
      <c r="ATO37" s="218"/>
      <c r="ATP37" s="218"/>
      <c r="ATQ37" s="218"/>
      <c r="ATR37" s="218"/>
      <c r="ATS37" s="218"/>
      <c r="ATT37" s="218"/>
      <c r="ATU37" s="218"/>
      <c r="ATV37" s="218"/>
      <c r="ATW37" s="218"/>
      <c r="ATX37" s="218"/>
      <c r="ATY37" s="218"/>
      <c r="ATZ37" s="218"/>
      <c r="AUA37" s="218"/>
      <c r="AUB37" s="218"/>
      <c r="AUC37" s="218"/>
      <c r="AUD37" s="218"/>
      <c r="AUE37" s="218"/>
      <c r="AUF37" s="218"/>
      <c r="AUG37" s="218"/>
      <c r="AUH37" s="218"/>
      <c r="AUI37" s="218"/>
      <c r="AUJ37" s="218"/>
      <c r="AUK37" s="218"/>
      <c r="AUL37" s="218"/>
      <c r="AUM37" s="218"/>
      <c r="AUN37" s="218"/>
      <c r="AUO37" s="218"/>
      <c r="AUP37" s="218"/>
      <c r="AUQ37" s="218"/>
      <c r="AUR37" s="218"/>
      <c r="AUS37" s="218"/>
      <c r="AUT37" s="218"/>
      <c r="AUU37" s="218"/>
      <c r="AUV37" s="218"/>
      <c r="AUW37" s="218"/>
      <c r="AUX37" s="218"/>
      <c r="AUY37" s="218"/>
      <c r="AUZ37" s="218"/>
      <c r="AVA37" s="218"/>
      <c r="AVB37" s="218"/>
      <c r="AVC37" s="218"/>
      <c r="AVD37" s="218"/>
      <c r="AVE37" s="218"/>
      <c r="AVF37" s="218"/>
      <c r="AVG37" s="218"/>
      <c r="AVH37" s="218"/>
      <c r="AVI37" s="218"/>
      <c r="AVJ37" s="218"/>
      <c r="AVK37" s="218"/>
      <c r="AVL37" s="218"/>
      <c r="AVM37" s="218"/>
      <c r="AVN37" s="218"/>
      <c r="AVO37" s="218"/>
      <c r="AVP37" s="218"/>
      <c r="AVQ37" s="218"/>
      <c r="AVR37" s="218"/>
      <c r="AVS37" s="218"/>
      <c r="AVT37" s="218"/>
      <c r="AVU37" s="218"/>
      <c r="AVV37" s="218"/>
      <c r="AVW37" s="218"/>
      <c r="AVX37" s="218"/>
      <c r="AVY37" s="218"/>
      <c r="AVZ37" s="218"/>
      <c r="AWA37" s="218"/>
      <c r="AWB37" s="218"/>
      <c r="AWC37" s="218"/>
      <c r="AWD37" s="218"/>
      <c r="AWE37" s="218"/>
      <c r="AWF37" s="218"/>
      <c r="AWG37" s="218"/>
      <c r="AWH37" s="218"/>
      <c r="AWI37" s="218"/>
      <c r="AWJ37" s="218"/>
      <c r="AWK37" s="218"/>
      <c r="AWL37" s="218"/>
      <c r="AWM37" s="218"/>
      <c r="AWN37" s="218"/>
      <c r="AWO37" s="218"/>
      <c r="AWP37" s="218"/>
      <c r="AWQ37" s="218"/>
      <c r="AWR37" s="218"/>
      <c r="AWS37" s="218"/>
      <c r="AWT37" s="218"/>
      <c r="AWU37" s="218"/>
      <c r="AWV37" s="218"/>
      <c r="AWW37" s="218"/>
      <c r="AWX37" s="218"/>
      <c r="AWY37" s="218"/>
      <c r="AWZ37" s="218"/>
      <c r="AXA37" s="218"/>
      <c r="AXB37" s="218"/>
      <c r="AXC37" s="218"/>
      <c r="AXD37" s="218"/>
      <c r="AXE37" s="218"/>
      <c r="AXF37" s="218"/>
      <c r="AXG37" s="218"/>
      <c r="AXH37" s="218"/>
      <c r="AXI37" s="218"/>
      <c r="AXJ37" s="218"/>
      <c r="AXK37" s="218"/>
      <c r="AXL37" s="218"/>
      <c r="AXM37" s="218"/>
      <c r="AXN37" s="218"/>
      <c r="AXO37" s="218"/>
      <c r="AXP37" s="218"/>
      <c r="AXQ37" s="218"/>
      <c r="AXR37" s="218"/>
      <c r="AXS37" s="218"/>
      <c r="AXT37" s="218"/>
      <c r="AXU37" s="218"/>
      <c r="AXV37" s="218"/>
      <c r="AXW37" s="218"/>
      <c r="AXX37" s="218"/>
      <c r="AXY37" s="218"/>
      <c r="AXZ37" s="218"/>
      <c r="AYA37" s="218"/>
      <c r="AYB37" s="218"/>
      <c r="AYC37" s="218"/>
      <c r="AYD37" s="218"/>
      <c r="AYE37" s="218"/>
      <c r="AYF37" s="218"/>
      <c r="AYG37" s="218"/>
      <c r="AYH37" s="218"/>
      <c r="AYI37" s="218"/>
      <c r="AYJ37" s="218"/>
      <c r="AYK37" s="218"/>
      <c r="AYL37" s="218"/>
      <c r="AYM37" s="218"/>
      <c r="AYN37" s="218"/>
      <c r="AYO37" s="218"/>
      <c r="AYP37" s="218"/>
      <c r="AYQ37" s="218"/>
      <c r="AYR37" s="218"/>
      <c r="AYS37" s="218"/>
      <c r="AYT37" s="218"/>
      <c r="AYU37" s="218"/>
      <c r="AYV37" s="218"/>
      <c r="AYW37" s="218"/>
      <c r="AYX37" s="218"/>
      <c r="AYY37" s="218"/>
      <c r="AYZ37" s="218"/>
      <c r="AZA37" s="218"/>
      <c r="AZB37" s="218"/>
      <c r="AZC37" s="218"/>
      <c r="AZD37" s="218"/>
      <c r="AZE37" s="218"/>
      <c r="AZF37" s="218"/>
      <c r="AZG37" s="218"/>
      <c r="AZH37" s="218"/>
      <c r="AZI37" s="218"/>
      <c r="AZJ37" s="218"/>
      <c r="AZK37" s="218"/>
      <c r="AZL37" s="218"/>
      <c r="AZM37" s="218"/>
      <c r="AZN37" s="218"/>
      <c r="AZO37" s="218"/>
      <c r="AZP37" s="218"/>
      <c r="AZQ37" s="218"/>
      <c r="AZR37" s="218"/>
      <c r="AZS37" s="218"/>
      <c r="AZT37" s="218"/>
      <c r="AZU37" s="218"/>
      <c r="AZV37" s="218"/>
      <c r="AZW37" s="218"/>
      <c r="AZX37" s="218"/>
      <c r="AZY37" s="218"/>
      <c r="AZZ37" s="218"/>
      <c r="BAA37" s="218"/>
      <c r="BAB37" s="218"/>
      <c r="BAC37" s="218"/>
      <c r="BAD37" s="218"/>
      <c r="BAE37" s="218"/>
      <c r="BAF37" s="218"/>
      <c r="BAG37" s="218"/>
      <c r="BAH37" s="218"/>
      <c r="BAI37" s="218"/>
      <c r="BAJ37" s="218"/>
      <c r="BAK37" s="218"/>
      <c r="BAL37" s="218"/>
      <c r="BAM37" s="218"/>
      <c r="BAN37" s="218"/>
      <c r="BAO37" s="218"/>
      <c r="BAP37" s="218"/>
      <c r="BAQ37" s="218"/>
      <c r="BAR37" s="218"/>
      <c r="BAS37" s="218"/>
      <c r="BAT37" s="218"/>
      <c r="BAU37" s="218"/>
      <c r="BAV37" s="218"/>
      <c r="BAW37" s="218"/>
      <c r="BAX37" s="218"/>
      <c r="BAY37" s="218"/>
      <c r="BAZ37" s="218"/>
      <c r="BBA37" s="218"/>
      <c r="BBB37" s="218"/>
      <c r="BBC37" s="218"/>
      <c r="BBD37" s="218"/>
      <c r="BBE37" s="218"/>
      <c r="BBF37" s="218"/>
      <c r="BBG37" s="218"/>
      <c r="BBH37" s="218"/>
      <c r="BBI37" s="218"/>
      <c r="BBJ37" s="218"/>
      <c r="BBK37" s="218"/>
      <c r="BBL37" s="218"/>
      <c r="BBM37" s="218"/>
      <c r="BBN37" s="218"/>
      <c r="BBO37" s="218"/>
      <c r="BBP37" s="218"/>
      <c r="BBQ37" s="218"/>
      <c r="BBR37" s="218"/>
      <c r="BBS37" s="218"/>
      <c r="BBT37" s="218"/>
      <c r="BBU37" s="218"/>
      <c r="BBV37" s="218"/>
      <c r="BBW37" s="218"/>
      <c r="BBX37" s="218"/>
      <c r="BBY37" s="218"/>
      <c r="BBZ37" s="218"/>
      <c r="BCA37" s="218"/>
      <c r="BCB37" s="218"/>
      <c r="BCC37" s="218"/>
      <c r="BCD37" s="218"/>
      <c r="BCE37" s="218"/>
      <c r="BCF37" s="218"/>
      <c r="BCG37" s="218"/>
      <c r="BCH37" s="218"/>
      <c r="BCI37" s="218"/>
      <c r="BCJ37" s="218"/>
      <c r="BCK37" s="218"/>
      <c r="BCL37" s="218"/>
      <c r="BCM37" s="218"/>
      <c r="BCN37" s="218"/>
      <c r="BCO37" s="218"/>
      <c r="BCP37" s="218"/>
      <c r="BCQ37" s="218"/>
      <c r="BCR37" s="218"/>
      <c r="BCS37" s="218"/>
      <c r="BCT37" s="218"/>
      <c r="BCU37" s="218"/>
      <c r="BCV37" s="218"/>
      <c r="BCW37" s="218"/>
      <c r="BCX37" s="218"/>
      <c r="BCY37" s="218"/>
      <c r="BCZ37" s="218"/>
      <c r="BDA37" s="218"/>
      <c r="BDB37" s="218"/>
      <c r="BDC37" s="218"/>
      <c r="BDD37" s="218"/>
      <c r="BDE37" s="218"/>
      <c r="BDF37" s="218"/>
      <c r="BDG37" s="218"/>
      <c r="BDH37" s="218"/>
      <c r="BDI37" s="218"/>
      <c r="BDJ37" s="218"/>
      <c r="BDK37" s="218"/>
      <c r="BDL37" s="218"/>
      <c r="BDM37" s="218"/>
      <c r="BDN37" s="218"/>
      <c r="BDO37" s="218"/>
      <c r="BDP37" s="218"/>
      <c r="BDQ37" s="218"/>
      <c r="BDR37" s="218"/>
      <c r="BDS37" s="218"/>
      <c r="BDT37" s="218"/>
      <c r="BDU37" s="218"/>
      <c r="BDV37" s="218"/>
      <c r="BDW37" s="218"/>
      <c r="BDX37" s="218"/>
      <c r="BDY37" s="218"/>
      <c r="BDZ37" s="218"/>
      <c r="BEA37" s="218"/>
      <c r="BEB37" s="218"/>
      <c r="BEC37" s="218"/>
      <c r="BED37" s="218"/>
      <c r="BEE37" s="218"/>
      <c r="BEF37" s="218"/>
      <c r="BEG37" s="218"/>
      <c r="BEH37" s="218"/>
      <c r="BEI37" s="218"/>
      <c r="BEJ37" s="218"/>
      <c r="BEK37" s="218"/>
      <c r="BEL37" s="218"/>
      <c r="BEM37" s="218"/>
      <c r="BEN37" s="218"/>
      <c r="BEO37" s="218"/>
      <c r="BEP37" s="218"/>
      <c r="BEQ37" s="218"/>
      <c r="BER37" s="218"/>
      <c r="BES37" s="218"/>
      <c r="BET37" s="218"/>
      <c r="BEU37" s="218"/>
      <c r="BEV37" s="218"/>
      <c r="BEW37" s="218"/>
      <c r="BEX37" s="218"/>
      <c r="BEY37" s="218"/>
      <c r="BEZ37" s="218"/>
      <c r="BFA37" s="218"/>
      <c r="BFB37" s="218"/>
      <c r="BFC37" s="218"/>
      <c r="BFD37" s="218"/>
      <c r="BFE37" s="218"/>
      <c r="BFF37" s="218"/>
      <c r="BFG37" s="218"/>
      <c r="BFH37" s="218"/>
      <c r="BFI37" s="218"/>
      <c r="BFJ37" s="218"/>
      <c r="BFK37" s="218"/>
      <c r="BFL37" s="218"/>
      <c r="BFM37" s="218"/>
      <c r="BFN37" s="218"/>
      <c r="BFO37" s="218"/>
      <c r="BFP37" s="218"/>
      <c r="BFQ37" s="218"/>
      <c r="BFR37" s="218"/>
      <c r="BFS37" s="218"/>
      <c r="BFT37" s="218"/>
      <c r="BFU37" s="218"/>
      <c r="BFV37" s="218"/>
      <c r="BFW37" s="218"/>
      <c r="BFX37" s="218"/>
      <c r="BFY37" s="218"/>
      <c r="BFZ37" s="218"/>
      <c r="BGA37" s="218"/>
      <c r="BGB37" s="218"/>
      <c r="BGC37" s="218"/>
      <c r="BGD37" s="218"/>
      <c r="BGE37" s="218"/>
      <c r="BGF37" s="218"/>
      <c r="BGG37" s="218"/>
      <c r="BGH37" s="218"/>
      <c r="BGI37" s="218"/>
      <c r="BGJ37" s="218"/>
      <c r="BGK37" s="218"/>
      <c r="BGL37" s="218"/>
      <c r="BGM37" s="218"/>
      <c r="BGN37" s="218"/>
      <c r="BGO37" s="218"/>
      <c r="BGP37" s="218"/>
      <c r="BGQ37" s="218"/>
      <c r="BGR37" s="218"/>
      <c r="BGS37" s="218"/>
      <c r="BGT37" s="218"/>
      <c r="BGU37" s="218"/>
      <c r="BGV37" s="218"/>
      <c r="BGW37" s="218"/>
      <c r="BGX37" s="218"/>
      <c r="BGY37" s="218"/>
      <c r="BGZ37" s="218"/>
      <c r="BHA37" s="218"/>
      <c r="BHB37" s="218"/>
      <c r="BHC37" s="218"/>
      <c r="BHD37" s="218"/>
      <c r="BHE37" s="218"/>
      <c r="BHF37" s="218"/>
      <c r="BHG37" s="218"/>
      <c r="BHH37" s="218"/>
      <c r="BHI37" s="218"/>
      <c r="BHJ37" s="218"/>
      <c r="BHK37" s="218"/>
      <c r="BHL37" s="218"/>
      <c r="BHM37" s="218"/>
      <c r="BHN37" s="218"/>
      <c r="BHO37" s="218"/>
      <c r="BHP37" s="218"/>
      <c r="BHQ37" s="218"/>
      <c r="BHR37" s="218"/>
      <c r="BHS37" s="218"/>
      <c r="BHT37" s="218"/>
      <c r="BHU37" s="218"/>
      <c r="BHV37" s="218"/>
      <c r="BHW37" s="218"/>
    </row>
    <row r="38" spans="1:1583" s="220" customFormat="1">
      <c r="A38" s="110" t="s">
        <v>48</v>
      </c>
      <c r="B38" s="186" t="s">
        <v>363</v>
      </c>
      <c r="C38" s="416" t="s">
        <v>484</v>
      </c>
      <c r="D38" s="418" t="s">
        <v>484</v>
      </c>
      <c r="E38" s="68" t="s">
        <v>9</v>
      </c>
      <c r="F38" s="138">
        <v>197</v>
      </c>
      <c r="G38" s="60" t="s">
        <v>692</v>
      </c>
      <c r="H38" s="473">
        <f t="shared" si="15"/>
        <v>132.41721935656446</v>
      </c>
      <c r="I38" s="103">
        <f>VLOOKUP($B38,'DCS Data'!$E$2:$AJ$100,MATCH('Daily Report'!I$1,'DCS Data'!$E$2:$AJ$2,0),0)</f>
        <v>3.0871785795619688</v>
      </c>
      <c r="J38" s="255"/>
      <c r="K38" s="103">
        <f>VLOOKUP($B38,'DCS Data'!$E$2:$AJ$100,MATCH('Daily Report'!K$1,'DCS Data'!$E$2:$AJ$2,0),0)</f>
        <v>2.71464866951615</v>
      </c>
      <c r="L38" s="103">
        <f>VLOOKUP($B38,'DCS Data'!$E$2:$AJ$100,MATCH('Daily Report'!L$1,'DCS Data'!$E$2:$AJ$2,0),0)</f>
        <v>3.6532281943229599</v>
      </c>
      <c r="M38" s="103">
        <f>VLOOKUP($B38,'DCS Data'!$E$2:$AJ$100,MATCH('Daily Report'!M$1,'DCS Data'!$E$2:$AJ$2,0),0)</f>
        <v>2.3064331669264453</v>
      </c>
      <c r="N38" s="103">
        <f>VLOOKUP($B38,'DCS Data'!$E$2:$AJ$100,MATCH('Daily Report'!N$1,'DCS Data'!$E$2:$AJ$2,0),0)</f>
        <v>4.076557494385928</v>
      </c>
      <c r="O38" s="103">
        <f>VLOOKUP($B38,'DCS Data'!$E$2:$AJ$100,MATCH('Daily Report'!O$1,'DCS Data'!$E$2:$AJ$2,0),0)</f>
        <v>4.4982553620323769</v>
      </c>
      <c r="P38" s="103">
        <f>VLOOKUP($B38,'DCS Data'!$E$2:$AJ$100,MATCH('Daily Report'!P$1,'DCS Data'!$E$2:$AJ$2,0),0)</f>
        <v>3.0833336426965392</v>
      </c>
      <c r="Q38" s="103">
        <f>VLOOKUP($B38,'DCS Data'!$E$2:$AJ$100,MATCH('Daily Report'!Q$1,'DCS Data'!$E$2:$AJ$2,0),0)</f>
        <v>4.7681144920232406</v>
      </c>
      <c r="R38" s="103">
        <f>VLOOKUP($B38,'DCS Data'!$E$2:$AJ$100,MATCH('Daily Report'!R$1,'DCS Data'!$E$2:$AJ$2,0),0)</f>
        <v>4.9386089706164666</v>
      </c>
      <c r="S38" s="103">
        <f>VLOOKUP($B38,'DCS Data'!$E$2:$AJ$100,MATCH('Daily Report'!S$1,'DCS Data'!$E$2:$AJ$2,0),0)</f>
        <v>3.2229352735404011</v>
      </c>
      <c r="T38" s="103">
        <f>VLOOKUP($B38,'DCS Data'!$E$2:$AJ$100,MATCH('Daily Report'!T$1,'DCS Data'!$E$2:$AJ$2,0),0)</f>
        <v>3.9762938422976197</v>
      </c>
      <c r="U38" s="103">
        <f>VLOOKUP($B38,'DCS Data'!$E$2:$AJ$100,MATCH('Daily Report'!U$1,'DCS Data'!$E$2:$AJ$2,0),0)</f>
        <v>3.6808536881694711</v>
      </c>
      <c r="V38" s="103">
        <f>VLOOKUP($B38,'DCS Data'!$E$2:$AJ$100,MATCH('Daily Report'!V$1,'DCS Data'!$E$2:$AJ$2,0),0)</f>
        <v>5.223049742975534</v>
      </c>
      <c r="W38" s="103">
        <f>VLOOKUP($B38,'DCS Data'!$E$2:$AJ$100,MATCH('Daily Report'!W$1,'DCS Data'!$E$2:$AJ$2,0),0)</f>
        <v>5.3124402153984578</v>
      </c>
      <c r="X38" s="103">
        <f>VLOOKUP($B38,'DCS Data'!$E$2:$AJ$100,MATCH('Daily Report'!X$1,'DCS Data'!$E$2:$AJ$2,0),0)</f>
        <v>3.8013143323995973</v>
      </c>
      <c r="Y38" s="103">
        <f>VLOOKUP($B38,'DCS Data'!$E$2:$AJ$100,MATCH('Daily Report'!Y$1,'DCS Data'!$E$2:$AJ$2,0),0)</f>
        <v>5.1770699258131403</v>
      </c>
      <c r="Z38" s="103">
        <f>VLOOKUP($B38,'DCS Data'!$E$2:$AJ$100,MATCH('Daily Report'!Z$1,'DCS Data'!$E$2:$AJ$2,0),0)</f>
        <v>4.8760733070308921</v>
      </c>
      <c r="AA38" s="103">
        <f>VLOOKUP($B38,'DCS Data'!$E$2:$AJ$100,MATCH('Daily Report'!AA$1,'DCS Data'!$E$2:$AJ$2,0),0)</f>
        <v>3.4629964376632354</v>
      </c>
      <c r="AB38" s="103">
        <f>VLOOKUP($B38,'DCS Data'!$E$2:$AJ$100,MATCH('Daily Report'!AB$1,'DCS Data'!$E$2:$AJ$2,0),0)</f>
        <v>3.3564982408986119</v>
      </c>
      <c r="AC38" s="103">
        <f>VLOOKUP($B38,'DCS Data'!$E$2:$AJ$100,MATCH('Daily Report'!AC$1,'DCS Data'!$E$2:$AJ$2,0),0)</f>
        <v>3.6666255847995566</v>
      </c>
      <c r="AD38" s="103">
        <f>VLOOKUP($B38,'DCS Data'!$E$2:$AJ$100,MATCH('Daily Report'!AD$1,'DCS Data'!$E$2:$AJ$2,0),0)</f>
        <v>5.6031458892268891</v>
      </c>
      <c r="AE38" s="103">
        <f>VLOOKUP($B38,'DCS Data'!$E$2:$AJ$100,MATCH('Daily Report'!AE$1,'DCS Data'!$E$2:$AJ$2,0),0)</f>
        <v>5.4325661971875032</v>
      </c>
      <c r="AF38" s="103">
        <f>VLOOKUP($B38,'DCS Data'!$E$2:$AJ$100,MATCH('Daily Report'!AF$1,'DCS Data'!$E$2:$AJ$2,0),0)</f>
        <v>3.5467049776858728</v>
      </c>
      <c r="AG38" s="103">
        <f>VLOOKUP($B38,'DCS Data'!$E$2:$AJ$100,MATCH('Daily Report'!AG$1,'DCS Data'!$E$2:$AJ$2,0),0)</f>
        <v>2.4319088759683023</v>
      </c>
      <c r="AH38" s="103">
        <f>VLOOKUP($B38,'DCS Data'!$E$2:$AJ$100,MATCH('Daily Report'!AH$1,'DCS Data'!$E$2:$AJ$2,0),0)</f>
        <v>4.5649790627802291</v>
      </c>
      <c r="AI38" s="103">
        <f>VLOOKUP($B38,'DCS Data'!$E$2:$AJ$100,MATCH('Daily Report'!AI$1,'DCS Data'!$E$2:$AJ$2,0),0)</f>
        <v>5.3802403261998704</v>
      </c>
      <c r="AJ38" s="103">
        <f>VLOOKUP($B38,'DCS Data'!$E$2:$AJ$100,MATCH('Daily Report'!AJ$1,'DCS Data'!$E$2:$AJ$2,0),0)</f>
        <v>3.8096495556908501</v>
      </c>
      <c r="AK38" s="103">
        <f>VLOOKUP($B38,'DCS Data'!$E$2:$AJ$100,MATCH('Daily Report'!AK$1,'DCS Data'!$E$2:$AJ$2,0),0)</f>
        <v>5.5141856067292325</v>
      </c>
      <c r="AL38" s="103">
        <f>VLOOKUP($B38,'DCS Data'!$E$2:$AJ$100,MATCH('Daily Report'!AL$1,'DCS Data'!$E$2:$AJ$2,0),0)</f>
        <v>6.0042393767336355</v>
      </c>
      <c r="AM38" s="103">
        <f>VLOOKUP($B38,'DCS Data'!$E$2:$AJ$100,MATCH('Daily Report'!AM$1,'DCS Data'!$E$2:$AJ$2,0),0)</f>
        <v>5.3021926547208382</v>
      </c>
      <c r="AN38" s="103">
        <f>VLOOKUP($B38,'DCS Data'!$E$2:$AJ$100,MATCH('Daily Report'!AN$1,'DCS Data'!$E$2:$AJ$2,0),0)</f>
        <v>5.9448976705726384</v>
      </c>
      <c r="AO38" s="214"/>
      <c r="AP38" s="214"/>
      <c r="AQ38" s="214"/>
      <c r="AR38" s="214"/>
      <c r="AS38" s="214"/>
      <c r="AT38" s="214"/>
      <c r="AU38" s="214"/>
      <c r="AV38" s="214"/>
      <c r="AW38" s="214"/>
      <c r="AX38" s="214"/>
      <c r="AY38" s="214"/>
      <c r="AZ38" s="214"/>
      <c r="BA38" s="214"/>
      <c r="BB38" s="214"/>
      <c r="BC38" s="214"/>
      <c r="BD38" s="214"/>
      <c r="BE38" s="214"/>
      <c r="BF38" s="214"/>
      <c r="BG38" s="214"/>
      <c r="BH38" s="214"/>
      <c r="BI38" s="214"/>
      <c r="BJ38" s="214"/>
      <c r="BK38" s="214"/>
      <c r="BL38" s="214"/>
      <c r="BM38" s="214"/>
      <c r="BN38" s="214"/>
      <c r="BO38" s="214"/>
      <c r="BP38" s="214"/>
      <c r="BQ38" s="214"/>
      <c r="BR38" s="214"/>
      <c r="BS38" s="214"/>
      <c r="BT38" s="214"/>
      <c r="BU38" s="214"/>
      <c r="BV38" s="214"/>
      <c r="BW38" s="214"/>
      <c r="BX38" s="214"/>
      <c r="BY38" s="214"/>
      <c r="BZ38" s="214"/>
      <c r="CA38" s="214"/>
      <c r="CB38" s="214"/>
      <c r="CC38" s="214"/>
      <c r="CD38" s="214"/>
      <c r="CE38" s="214"/>
      <c r="CF38" s="214"/>
      <c r="CG38" s="214"/>
      <c r="CH38" s="214"/>
      <c r="CI38" s="214"/>
      <c r="CJ38" s="214"/>
      <c r="CK38" s="214"/>
      <c r="CL38" s="214"/>
      <c r="CM38" s="214"/>
      <c r="CN38" s="214"/>
      <c r="CO38" s="214"/>
      <c r="CP38" s="214"/>
      <c r="CQ38" s="214"/>
      <c r="CR38" s="214"/>
      <c r="CS38" s="214"/>
      <c r="CT38" s="214"/>
      <c r="CU38" s="214"/>
      <c r="CV38" s="214"/>
      <c r="CW38" s="214"/>
      <c r="CX38" s="214"/>
      <c r="CY38" s="214"/>
      <c r="CZ38" s="214"/>
      <c r="DA38" s="214"/>
      <c r="DB38" s="214"/>
      <c r="DC38" s="214"/>
      <c r="DD38" s="214"/>
      <c r="DE38" s="214"/>
      <c r="DF38" s="214"/>
      <c r="DG38" s="214"/>
      <c r="DH38" s="214"/>
      <c r="DI38" s="214"/>
      <c r="DJ38" s="214"/>
      <c r="DK38" s="214"/>
      <c r="DL38" s="214"/>
      <c r="DM38" s="214"/>
      <c r="DN38" s="214"/>
      <c r="DO38" s="214"/>
      <c r="DP38" s="214"/>
      <c r="DQ38" s="214"/>
      <c r="DR38" s="214"/>
      <c r="DS38" s="214"/>
      <c r="DT38" s="214"/>
      <c r="DU38" s="214"/>
      <c r="DV38" s="214"/>
      <c r="DW38" s="214"/>
      <c r="DX38" s="214"/>
      <c r="DY38" s="214"/>
      <c r="DZ38" s="214"/>
      <c r="EA38" s="214"/>
      <c r="EB38" s="214"/>
      <c r="EC38" s="214"/>
      <c r="ED38" s="214"/>
      <c r="EE38" s="214"/>
      <c r="EF38" s="214"/>
      <c r="EG38" s="214"/>
      <c r="EH38" s="214"/>
      <c r="EI38" s="214"/>
      <c r="EJ38" s="214"/>
      <c r="EK38" s="214"/>
      <c r="EL38" s="214"/>
      <c r="EM38" s="214"/>
      <c r="EN38" s="214"/>
      <c r="EO38" s="214"/>
      <c r="EP38" s="214"/>
      <c r="EQ38" s="214"/>
      <c r="ER38" s="214"/>
      <c r="ES38" s="214"/>
      <c r="ET38" s="214"/>
      <c r="EU38" s="214"/>
      <c r="EV38" s="214"/>
      <c r="EW38" s="214"/>
      <c r="EX38" s="214"/>
      <c r="EY38" s="214"/>
      <c r="EZ38" s="214"/>
      <c r="FA38" s="214"/>
      <c r="FB38" s="214"/>
      <c r="FC38" s="214"/>
      <c r="FD38" s="214"/>
      <c r="FE38" s="214"/>
      <c r="FF38" s="214"/>
      <c r="FG38" s="214"/>
      <c r="FH38" s="214"/>
      <c r="FI38" s="214"/>
      <c r="FJ38" s="214"/>
      <c r="FK38" s="214"/>
      <c r="FL38" s="214"/>
      <c r="FM38" s="214"/>
      <c r="FN38" s="214"/>
      <c r="FO38" s="214"/>
      <c r="FP38" s="214"/>
      <c r="FQ38" s="214"/>
      <c r="FR38" s="214"/>
      <c r="FS38" s="214"/>
      <c r="FT38" s="214"/>
      <c r="FU38" s="214"/>
      <c r="FV38" s="214"/>
      <c r="FW38" s="214"/>
      <c r="FX38" s="214"/>
      <c r="FY38" s="214"/>
      <c r="FZ38" s="214"/>
      <c r="GA38" s="214"/>
      <c r="GB38" s="214"/>
      <c r="GC38" s="214"/>
      <c r="GD38" s="214"/>
      <c r="GE38" s="214"/>
      <c r="GF38" s="214"/>
      <c r="GG38" s="214"/>
      <c r="GH38" s="214"/>
      <c r="GI38" s="214"/>
      <c r="GJ38" s="214"/>
      <c r="GK38" s="214"/>
      <c r="GL38" s="214"/>
      <c r="GM38" s="214"/>
      <c r="GN38" s="214"/>
      <c r="GO38" s="214"/>
      <c r="GP38" s="214"/>
      <c r="GQ38" s="214"/>
      <c r="GR38" s="214"/>
      <c r="GS38" s="214"/>
      <c r="GT38" s="214"/>
      <c r="GU38" s="214"/>
      <c r="GV38" s="214"/>
      <c r="GW38" s="214"/>
      <c r="GX38" s="214"/>
      <c r="GY38" s="214"/>
      <c r="GZ38" s="214"/>
      <c r="HA38" s="214"/>
      <c r="HB38" s="214"/>
      <c r="HC38" s="214"/>
      <c r="HD38" s="214"/>
      <c r="HE38" s="214"/>
      <c r="HF38" s="214"/>
      <c r="HG38" s="214"/>
      <c r="HH38" s="214"/>
      <c r="HI38" s="214"/>
      <c r="HJ38" s="214"/>
      <c r="HK38" s="214"/>
      <c r="HL38" s="214"/>
      <c r="HM38" s="214"/>
      <c r="HN38" s="214"/>
      <c r="HO38" s="214"/>
      <c r="HP38" s="214"/>
      <c r="HQ38" s="214"/>
      <c r="HR38" s="214"/>
      <c r="HS38" s="214"/>
      <c r="HT38" s="214"/>
      <c r="HU38" s="214"/>
      <c r="HV38" s="214"/>
      <c r="HW38" s="214"/>
      <c r="HX38" s="214"/>
      <c r="HY38" s="214"/>
      <c r="HZ38" s="214"/>
      <c r="IA38" s="214"/>
      <c r="IB38" s="214"/>
      <c r="IC38" s="214"/>
      <c r="ID38" s="214"/>
      <c r="IE38" s="214"/>
      <c r="IF38" s="214"/>
      <c r="IG38" s="214"/>
      <c r="IH38" s="214"/>
      <c r="II38" s="214"/>
      <c r="IJ38" s="214"/>
      <c r="IK38" s="214"/>
      <c r="IL38" s="214"/>
      <c r="IM38" s="214"/>
      <c r="IN38" s="214"/>
      <c r="IO38" s="214"/>
      <c r="IP38" s="214"/>
      <c r="IQ38" s="214"/>
      <c r="IR38" s="214"/>
      <c r="IS38" s="214"/>
      <c r="IT38" s="214"/>
      <c r="IU38" s="214"/>
      <c r="IV38" s="214"/>
      <c r="IW38" s="214"/>
      <c r="IX38" s="214"/>
      <c r="IY38" s="214"/>
      <c r="IZ38" s="214"/>
      <c r="JA38" s="214"/>
      <c r="JB38" s="214"/>
      <c r="JC38" s="214"/>
      <c r="JD38" s="214"/>
      <c r="JE38" s="214"/>
      <c r="JF38" s="214"/>
      <c r="JG38" s="214"/>
      <c r="JH38" s="214"/>
      <c r="JI38" s="214"/>
      <c r="JJ38" s="214"/>
      <c r="JK38" s="214"/>
      <c r="JL38" s="214"/>
      <c r="JM38" s="214"/>
      <c r="JN38" s="214"/>
      <c r="JO38" s="214"/>
      <c r="JP38" s="214"/>
      <c r="JQ38" s="214"/>
      <c r="JR38" s="214"/>
      <c r="JS38" s="214"/>
      <c r="JT38" s="214"/>
      <c r="JU38" s="214"/>
      <c r="JV38" s="214"/>
      <c r="JW38" s="214"/>
      <c r="JX38" s="214"/>
      <c r="JY38" s="214"/>
      <c r="JZ38" s="214"/>
      <c r="KA38" s="214"/>
      <c r="KB38" s="214"/>
      <c r="KC38" s="214"/>
      <c r="KD38" s="214"/>
      <c r="KE38" s="214"/>
      <c r="KF38" s="214"/>
      <c r="KG38" s="214"/>
      <c r="KH38" s="214"/>
      <c r="KI38" s="214"/>
      <c r="KJ38" s="214"/>
      <c r="KK38" s="214"/>
      <c r="KL38" s="214"/>
      <c r="KM38" s="214"/>
      <c r="KN38" s="214"/>
      <c r="KO38" s="214"/>
      <c r="KP38" s="214"/>
      <c r="KQ38" s="214"/>
      <c r="KR38" s="214"/>
      <c r="KS38" s="214"/>
      <c r="KT38" s="214"/>
      <c r="KU38" s="214"/>
      <c r="KV38" s="214"/>
      <c r="KW38" s="214"/>
      <c r="KX38" s="214"/>
      <c r="KY38" s="214"/>
      <c r="KZ38" s="214"/>
      <c r="LA38" s="214"/>
      <c r="LB38" s="214"/>
      <c r="LC38" s="214"/>
      <c r="LD38" s="214"/>
      <c r="LE38" s="214"/>
      <c r="LF38" s="214"/>
      <c r="LG38" s="214"/>
      <c r="LH38" s="214"/>
      <c r="LI38" s="214"/>
      <c r="LJ38" s="214"/>
      <c r="LK38" s="214"/>
      <c r="LL38" s="214"/>
      <c r="LM38" s="214"/>
      <c r="LN38" s="214"/>
      <c r="LO38" s="214"/>
      <c r="LP38" s="214"/>
      <c r="LQ38" s="214"/>
      <c r="LR38" s="214"/>
      <c r="LS38" s="214"/>
      <c r="LT38" s="214"/>
      <c r="LU38" s="214"/>
      <c r="LV38" s="214"/>
      <c r="LW38" s="214"/>
      <c r="LX38" s="214"/>
      <c r="LY38" s="214"/>
      <c r="LZ38" s="214"/>
      <c r="MA38" s="214"/>
      <c r="MB38" s="214"/>
      <c r="MC38" s="214"/>
      <c r="MD38" s="214"/>
      <c r="ME38" s="214"/>
      <c r="MF38" s="214"/>
      <c r="MG38" s="214"/>
      <c r="MH38" s="214"/>
      <c r="MI38" s="214"/>
      <c r="MJ38" s="214"/>
      <c r="MK38" s="214"/>
      <c r="ML38" s="214"/>
      <c r="MM38" s="214"/>
      <c r="MN38" s="214"/>
      <c r="MO38" s="214"/>
      <c r="MP38" s="214"/>
      <c r="MQ38" s="214"/>
      <c r="MR38" s="214"/>
      <c r="MS38" s="214"/>
      <c r="MT38" s="214"/>
      <c r="MU38" s="214"/>
      <c r="MV38" s="214"/>
      <c r="MW38" s="214"/>
      <c r="MX38" s="214"/>
      <c r="MY38" s="214"/>
      <c r="MZ38" s="214"/>
      <c r="NA38" s="214"/>
      <c r="NB38" s="214"/>
      <c r="NC38" s="214"/>
      <c r="ND38" s="214"/>
      <c r="NE38" s="214"/>
      <c r="NF38" s="214"/>
      <c r="NG38" s="214"/>
      <c r="NH38" s="214"/>
      <c r="NI38" s="214"/>
      <c r="NJ38" s="214"/>
      <c r="NK38" s="214"/>
      <c r="NL38" s="214"/>
      <c r="NM38" s="214"/>
      <c r="NN38" s="214"/>
      <c r="NO38" s="214"/>
      <c r="NP38" s="214"/>
      <c r="NQ38" s="214"/>
      <c r="NR38" s="214"/>
      <c r="NS38" s="214"/>
      <c r="NT38" s="214"/>
      <c r="NU38" s="214"/>
      <c r="NV38" s="214"/>
      <c r="NW38" s="214"/>
      <c r="NX38" s="214"/>
      <c r="NY38" s="214"/>
      <c r="NZ38" s="214"/>
      <c r="OA38" s="214"/>
      <c r="OB38" s="214"/>
      <c r="OC38" s="214"/>
      <c r="OD38" s="214"/>
      <c r="OE38" s="214"/>
      <c r="OF38" s="214"/>
      <c r="OG38" s="214"/>
      <c r="OH38" s="214"/>
      <c r="OI38" s="214"/>
      <c r="OJ38" s="214"/>
      <c r="OK38" s="214"/>
      <c r="OL38" s="214"/>
      <c r="OM38" s="214"/>
      <c r="ON38" s="214"/>
      <c r="OO38" s="214"/>
      <c r="OP38" s="214"/>
      <c r="OQ38" s="214"/>
      <c r="OR38" s="214"/>
      <c r="OS38" s="214"/>
      <c r="OT38" s="214"/>
      <c r="OU38" s="214"/>
      <c r="OV38" s="214"/>
      <c r="OW38" s="214"/>
      <c r="OX38" s="214"/>
      <c r="OY38" s="214"/>
      <c r="OZ38" s="214"/>
      <c r="PA38" s="214"/>
      <c r="PB38" s="214"/>
      <c r="PC38" s="214"/>
      <c r="PD38" s="214"/>
      <c r="PE38" s="214"/>
      <c r="PF38" s="214"/>
      <c r="PG38" s="214"/>
      <c r="PH38" s="214"/>
      <c r="PI38" s="214"/>
      <c r="PJ38" s="214"/>
      <c r="PK38" s="214"/>
      <c r="PL38" s="214"/>
      <c r="PM38" s="214"/>
      <c r="PN38" s="214"/>
      <c r="PO38" s="214"/>
      <c r="PP38" s="214"/>
      <c r="PQ38" s="214"/>
      <c r="PR38" s="214"/>
      <c r="PS38" s="214"/>
      <c r="PT38" s="214"/>
      <c r="PU38" s="214"/>
      <c r="PV38" s="214"/>
      <c r="PW38" s="214"/>
      <c r="PX38" s="214"/>
      <c r="PY38" s="214"/>
      <c r="PZ38" s="214"/>
      <c r="QA38" s="214"/>
      <c r="QB38" s="214"/>
      <c r="QC38" s="214"/>
      <c r="QD38" s="214"/>
      <c r="QE38" s="214"/>
      <c r="QF38" s="214"/>
      <c r="QG38" s="214"/>
      <c r="QH38" s="214"/>
      <c r="QI38" s="214"/>
      <c r="QJ38" s="214"/>
      <c r="QK38" s="214"/>
      <c r="QL38" s="214"/>
      <c r="QM38" s="214"/>
      <c r="QN38" s="214"/>
      <c r="QO38" s="214"/>
      <c r="QP38" s="214"/>
      <c r="QQ38" s="214"/>
      <c r="QR38" s="214"/>
      <c r="QS38" s="214"/>
      <c r="QT38" s="214"/>
      <c r="QU38" s="214"/>
      <c r="QV38" s="214"/>
      <c r="QW38" s="214"/>
      <c r="QX38" s="214"/>
      <c r="QY38" s="214"/>
      <c r="QZ38" s="214"/>
      <c r="RA38" s="214"/>
      <c r="RB38" s="214"/>
      <c r="RC38" s="214"/>
      <c r="RD38" s="214"/>
      <c r="RE38" s="214"/>
      <c r="RF38" s="214"/>
      <c r="RG38" s="214"/>
      <c r="RH38" s="214"/>
      <c r="RI38" s="214"/>
      <c r="RJ38" s="214"/>
      <c r="RK38" s="214"/>
      <c r="RL38" s="214"/>
      <c r="RM38" s="214"/>
      <c r="RN38" s="214"/>
      <c r="RO38" s="214"/>
      <c r="RP38" s="214"/>
      <c r="RQ38" s="214"/>
      <c r="RR38" s="214"/>
      <c r="RS38" s="214"/>
      <c r="RT38" s="214"/>
      <c r="RU38" s="214"/>
      <c r="RV38" s="214"/>
      <c r="RW38" s="214"/>
      <c r="RX38" s="214"/>
      <c r="RY38" s="214"/>
      <c r="RZ38" s="214"/>
      <c r="SA38" s="214"/>
      <c r="SB38" s="214"/>
      <c r="SC38" s="214"/>
      <c r="SD38" s="214"/>
      <c r="SE38" s="214"/>
      <c r="SF38" s="214"/>
      <c r="SG38" s="214"/>
      <c r="SH38" s="214"/>
      <c r="SI38" s="214"/>
      <c r="SJ38" s="214"/>
      <c r="SK38" s="214"/>
      <c r="SL38" s="214"/>
      <c r="SM38" s="214"/>
      <c r="SN38" s="214"/>
      <c r="SO38" s="214"/>
      <c r="SP38" s="214"/>
      <c r="SQ38" s="214"/>
      <c r="SR38" s="214"/>
      <c r="SS38" s="214"/>
      <c r="ST38" s="214"/>
      <c r="SU38" s="214"/>
      <c r="SV38" s="214"/>
      <c r="SW38" s="214"/>
      <c r="SX38" s="214"/>
      <c r="SY38" s="214"/>
      <c r="SZ38" s="214"/>
      <c r="TA38" s="214"/>
      <c r="TB38" s="214"/>
      <c r="TC38" s="214"/>
      <c r="TD38" s="214"/>
      <c r="TE38" s="214"/>
      <c r="TF38" s="214"/>
      <c r="TG38" s="214"/>
      <c r="TH38" s="214"/>
      <c r="TI38" s="214"/>
      <c r="TJ38" s="214"/>
      <c r="TK38" s="214"/>
      <c r="TL38" s="214"/>
      <c r="TM38" s="214"/>
      <c r="TN38" s="214"/>
      <c r="TO38" s="214"/>
      <c r="TP38" s="214"/>
      <c r="TQ38" s="214"/>
      <c r="TR38" s="214"/>
      <c r="TS38" s="214"/>
      <c r="TT38" s="214"/>
      <c r="TU38" s="214"/>
      <c r="TV38" s="214"/>
      <c r="TW38" s="214"/>
      <c r="TX38" s="214"/>
      <c r="TY38" s="214"/>
      <c r="TZ38" s="214"/>
      <c r="UA38" s="214"/>
      <c r="UB38" s="214"/>
      <c r="UC38" s="214"/>
      <c r="UD38" s="214"/>
      <c r="UE38" s="214"/>
      <c r="UF38" s="214"/>
      <c r="UG38" s="214"/>
      <c r="UH38" s="214"/>
      <c r="UI38" s="214"/>
      <c r="UJ38" s="214"/>
      <c r="UK38" s="214"/>
      <c r="UL38" s="214"/>
      <c r="UM38" s="214"/>
      <c r="UN38" s="214"/>
      <c r="UO38" s="214"/>
      <c r="UP38" s="214"/>
      <c r="UQ38" s="214"/>
      <c r="UR38" s="214"/>
      <c r="US38" s="214"/>
      <c r="UT38" s="214"/>
      <c r="UU38" s="214"/>
      <c r="UV38" s="214"/>
      <c r="UW38" s="214"/>
      <c r="UX38" s="214"/>
      <c r="UY38" s="214"/>
      <c r="UZ38" s="214"/>
      <c r="VA38" s="214"/>
      <c r="VB38" s="214"/>
      <c r="VC38" s="214"/>
      <c r="VD38" s="214"/>
      <c r="VE38" s="214"/>
      <c r="VF38" s="214"/>
      <c r="VG38" s="214"/>
      <c r="VH38" s="214"/>
      <c r="VI38" s="214"/>
      <c r="VJ38" s="214"/>
      <c r="VK38" s="214"/>
      <c r="VL38" s="214"/>
      <c r="VM38" s="214"/>
      <c r="VN38" s="214"/>
      <c r="VO38" s="214"/>
      <c r="VP38" s="214"/>
      <c r="VQ38" s="214"/>
      <c r="VR38" s="214"/>
      <c r="VS38" s="214"/>
      <c r="VT38" s="214"/>
      <c r="VU38" s="214"/>
      <c r="VV38" s="214"/>
      <c r="VW38" s="214"/>
      <c r="VX38" s="214"/>
      <c r="VY38" s="214"/>
      <c r="VZ38" s="214"/>
      <c r="WA38" s="214"/>
      <c r="WB38" s="214"/>
      <c r="WC38" s="214"/>
      <c r="WD38" s="214"/>
      <c r="WE38" s="214"/>
      <c r="WF38" s="214"/>
      <c r="WG38" s="214"/>
      <c r="WH38" s="214"/>
      <c r="WI38" s="214"/>
      <c r="WJ38" s="214"/>
      <c r="WK38" s="214"/>
      <c r="WL38" s="214"/>
      <c r="WM38" s="214"/>
      <c r="WN38" s="214"/>
      <c r="WO38" s="214"/>
      <c r="WP38" s="214"/>
      <c r="WQ38" s="214"/>
      <c r="WR38" s="214"/>
      <c r="WS38" s="214"/>
      <c r="WT38" s="214"/>
      <c r="WU38" s="214"/>
      <c r="WV38" s="214"/>
      <c r="WW38" s="214"/>
      <c r="WX38" s="214"/>
      <c r="WY38" s="214"/>
      <c r="WZ38" s="214"/>
      <c r="XA38" s="214"/>
      <c r="XB38" s="214"/>
      <c r="XC38" s="214"/>
      <c r="XD38" s="214"/>
      <c r="XE38" s="214"/>
      <c r="XF38" s="214"/>
      <c r="XG38" s="214"/>
      <c r="XH38" s="214"/>
      <c r="XI38" s="214"/>
      <c r="XJ38" s="214"/>
      <c r="XK38" s="214"/>
      <c r="XL38" s="214"/>
      <c r="XM38" s="214"/>
      <c r="XN38" s="214"/>
      <c r="XO38" s="214"/>
      <c r="XP38" s="214"/>
      <c r="XQ38" s="214"/>
      <c r="XR38" s="214"/>
      <c r="XS38" s="214"/>
      <c r="XT38" s="214"/>
      <c r="XU38" s="214"/>
      <c r="XV38" s="214"/>
      <c r="XW38" s="214"/>
      <c r="XX38" s="214"/>
      <c r="XY38" s="214"/>
      <c r="XZ38" s="214"/>
      <c r="YA38" s="214"/>
      <c r="YB38" s="214"/>
      <c r="YC38" s="214"/>
      <c r="YD38" s="214"/>
      <c r="YE38" s="214"/>
      <c r="YF38" s="214"/>
      <c r="YG38" s="214"/>
      <c r="YH38" s="214"/>
      <c r="YI38" s="214"/>
      <c r="YJ38" s="214"/>
      <c r="YK38" s="214"/>
      <c r="YL38" s="214"/>
      <c r="YM38" s="214"/>
      <c r="YN38" s="214"/>
      <c r="YO38" s="214"/>
      <c r="YP38" s="214"/>
      <c r="YQ38" s="214"/>
      <c r="YR38" s="214"/>
      <c r="YS38" s="214"/>
      <c r="YT38" s="214"/>
      <c r="YU38" s="214"/>
      <c r="YV38" s="214"/>
      <c r="YW38" s="214"/>
      <c r="YX38" s="214"/>
      <c r="YY38" s="214"/>
      <c r="YZ38" s="214"/>
      <c r="ZA38" s="214"/>
      <c r="ZB38" s="214"/>
      <c r="ZC38" s="214"/>
      <c r="ZD38" s="214"/>
      <c r="ZE38" s="214"/>
      <c r="ZF38" s="214"/>
      <c r="ZG38" s="214"/>
      <c r="ZH38" s="214"/>
      <c r="ZI38" s="214"/>
      <c r="ZJ38" s="214"/>
      <c r="ZK38" s="214"/>
      <c r="ZL38" s="214"/>
      <c r="ZM38" s="214"/>
      <c r="ZN38" s="214"/>
      <c r="ZO38" s="214"/>
      <c r="ZP38" s="214"/>
      <c r="ZQ38" s="214"/>
      <c r="ZR38" s="214"/>
      <c r="ZS38" s="214"/>
      <c r="ZT38" s="214"/>
      <c r="ZU38" s="214"/>
      <c r="ZV38" s="214"/>
      <c r="ZW38" s="214"/>
      <c r="ZX38" s="214"/>
      <c r="ZY38" s="214"/>
      <c r="ZZ38" s="214"/>
      <c r="AAA38" s="214"/>
      <c r="AAB38" s="214"/>
      <c r="AAC38" s="214"/>
      <c r="AAD38" s="214"/>
      <c r="AAE38" s="214"/>
      <c r="AAF38" s="214"/>
      <c r="AAG38" s="214"/>
      <c r="AAH38" s="214"/>
      <c r="AAI38" s="214"/>
      <c r="AAJ38" s="214"/>
      <c r="AAK38" s="214"/>
      <c r="AAL38" s="214"/>
      <c r="AAM38" s="214"/>
      <c r="AAN38" s="214"/>
      <c r="AAO38" s="214"/>
      <c r="AAP38" s="214"/>
      <c r="AAQ38" s="214"/>
      <c r="AAR38" s="214"/>
      <c r="AAS38" s="214"/>
      <c r="AAT38" s="214"/>
      <c r="AAU38" s="214"/>
      <c r="AAV38" s="214"/>
      <c r="AAW38" s="214"/>
      <c r="AAX38" s="214"/>
      <c r="AAY38" s="214"/>
      <c r="AAZ38" s="214"/>
      <c r="ABA38" s="214"/>
      <c r="ABB38" s="214"/>
      <c r="ABC38" s="214"/>
      <c r="ABD38" s="214"/>
      <c r="ABE38" s="214"/>
      <c r="ABF38" s="214"/>
      <c r="ABG38" s="214"/>
      <c r="ABH38" s="214"/>
      <c r="ABI38" s="214"/>
      <c r="ABJ38" s="214"/>
      <c r="ABK38" s="214"/>
      <c r="ABL38" s="214"/>
      <c r="ABM38" s="214"/>
      <c r="ABN38" s="214"/>
      <c r="ABO38" s="214"/>
      <c r="ABP38" s="214"/>
      <c r="ABQ38" s="214"/>
      <c r="ABR38" s="214"/>
      <c r="ABS38" s="214"/>
      <c r="ABT38" s="214"/>
      <c r="ABU38" s="214"/>
      <c r="ABV38" s="214"/>
      <c r="ABW38" s="214"/>
      <c r="ABX38" s="214"/>
      <c r="ABY38" s="214"/>
      <c r="ABZ38" s="214"/>
      <c r="ACA38" s="214"/>
      <c r="ACB38" s="214"/>
      <c r="ACC38" s="214"/>
      <c r="ACD38" s="214"/>
      <c r="ACE38" s="214"/>
      <c r="ACF38" s="214"/>
      <c r="ACG38" s="214"/>
      <c r="ACH38" s="214"/>
      <c r="ACI38" s="214"/>
      <c r="ACJ38" s="214"/>
      <c r="ACK38" s="214"/>
      <c r="ACL38" s="214"/>
      <c r="ACM38" s="214"/>
      <c r="ACN38" s="214"/>
      <c r="ACO38" s="214"/>
      <c r="ACP38" s="214"/>
      <c r="ACQ38" s="214"/>
      <c r="ACR38" s="214"/>
      <c r="ACS38" s="214"/>
      <c r="ACT38" s="214"/>
      <c r="ACU38" s="214"/>
      <c r="ACV38" s="214"/>
      <c r="ACW38" s="214"/>
      <c r="ACX38" s="214"/>
      <c r="ACY38" s="214"/>
      <c r="ACZ38" s="214"/>
      <c r="ADA38" s="214"/>
      <c r="ADB38" s="214"/>
      <c r="ADC38" s="214"/>
      <c r="ADD38" s="214"/>
      <c r="ADE38" s="214"/>
      <c r="ADF38" s="214"/>
      <c r="ADG38" s="214"/>
      <c r="ADH38" s="214"/>
      <c r="ADI38" s="214"/>
      <c r="ADJ38" s="214"/>
      <c r="ADK38" s="214"/>
      <c r="ADL38" s="214"/>
      <c r="ADM38" s="214"/>
      <c r="ADN38" s="214"/>
      <c r="ADO38" s="214"/>
      <c r="ADP38" s="214"/>
      <c r="ADQ38" s="214"/>
      <c r="ADR38" s="214"/>
      <c r="ADS38" s="214"/>
      <c r="ADT38" s="214"/>
      <c r="ADU38" s="214"/>
      <c r="ADV38" s="214"/>
      <c r="ADW38" s="214"/>
      <c r="ADX38" s="214"/>
      <c r="ADY38" s="214"/>
      <c r="ADZ38" s="214"/>
      <c r="AEA38" s="214"/>
      <c r="AEB38" s="214"/>
      <c r="AEC38" s="214"/>
      <c r="AED38" s="214"/>
      <c r="AEE38" s="214"/>
      <c r="AEF38" s="214"/>
      <c r="AEG38" s="214"/>
      <c r="AEH38" s="214"/>
      <c r="AEI38" s="214"/>
      <c r="AEJ38" s="214"/>
      <c r="AEK38" s="214"/>
      <c r="AEL38" s="214"/>
      <c r="AEM38" s="214"/>
      <c r="AEN38" s="214"/>
      <c r="AEO38" s="214"/>
      <c r="AEP38" s="214"/>
      <c r="AEQ38" s="214"/>
      <c r="AER38" s="214"/>
      <c r="AES38" s="214"/>
      <c r="AET38" s="214"/>
      <c r="AEU38" s="214"/>
      <c r="AEV38" s="214"/>
      <c r="AEW38" s="214"/>
      <c r="AEX38" s="214"/>
      <c r="AEY38" s="214"/>
      <c r="AEZ38" s="214"/>
      <c r="AFA38" s="214"/>
      <c r="AFB38" s="214"/>
      <c r="AFC38" s="214"/>
      <c r="AFD38" s="214"/>
      <c r="AFE38" s="214"/>
      <c r="AFF38" s="214"/>
      <c r="AFG38" s="214"/>
      <c r="AFH38" s="214"/>
      <c r="AFI38" s="214"/>
      <c r="AFJ38" s="214"/>
      <c r="AFK38" s="214"/>
      <c r="AFL38" s="214"/>
      <c r="AFM38" s="214"/>
      <c r="AFN38" s="214"/>
      <c r="AFO38" s="214"/>
      <c r="AFP38" s="214"/>
      <c r="AFQ38" s="214"/>
      <c r="AFR38" s="214"/>
      <c r="AFS38" s="214"/>
      <c r="AFT38" s="214"/>
      <c r="AFU38" s="214"/>
      <c r="AFV38" s="214"/>
      <c r="AFW38" s="214"/>
      <c r="AFX38" s="214"/>
      <c r="AFY38" s="214"/>
      <c r="AFZ38" s="214"/>
      <c r="AGA38" s="214"/>
      <c r="AGB38" s="214"/>
      <c r="AGC38" s="214"/>
      <c r="AGD38" s="214"/>
      <c r="AGE38" s="214"/>
      <c r="AGF38" s="214"/>
      <c r="AGG38" s="214"/>
      <c r="AGH38" s="214"/>
      <c r="AGI38" s="214"/>
      <c r="AGJ38" s="214"/>
      <c r="AGK38" s="214"/>
      <c r="AGL38" s="214"/>
      <c r="AGM38" s="214"/>
      <c r="AGN38" s="214"/>
      <c r="AGO38" s="214"/>
      <c r="AGP38" s="214"/>
      <c r="AGQ38" s="214"/>
      <c r="AGR38" s="214"/>
      <c r="AGS38" s="214"/>
      <c r="AGT38" s="214"/>
      <c r="AGU38" s="214"/>
      <c r="AGV38" s="214"/>
      <c r="AGW38" s="214"/>
      <c r="AGX38" s="214"/>
      <c r="AGY38" s="214"/>
      <c r="AGZ38" s="214"/>
      <c r="AHA38" s="214"/>
      <c r="AHB38" s="214"/>
      <c r="AHC38" s="214"/>
      <c r="AHD38" s="214"/>
      <c r="AHE38" s="214"/>
      <c r="AHF38" s="214"/>
      <c r="AHG38" s="214"/>
      <c r="AHH38" s="214"/>
      <c r="AHI38" s="214"/>
      <c r="AHJ38" s="214"/>
      <c r="AHK38" s="214"/>
      <c r="AHL38" s="214"/>
      <c r="AHM38" s="214"/>
      <c r="AHN38" s="214"/>
      <c r="AHO38" s="214"/>
      <c r="AHP38" s="214"/>
      <c r="AHQ38" s="214"/>
      <c r="AHR38" s="214"/>
      <c r="AHS38" s="214"/>
      <c r="AHT38" s="214"/>
      <c r="AHU38" s="214"/>
      <c r="AHV38" s="214"/>
      <c r="AHW38" s="214"/>
      <c r="AHX38" s="214"/>
      <c r="AHY38" s="214"/>
      <c r="AHZ38" s="214"/>
      <c r="AIA38" s="214"/>
      <c r="AIB38" s="214"/>
      <c r="AIC38" s="214"/>
      <c r="AID38" s="214"/>
      <c r="AIE38" s="214"/>
      <c r="AIF38" s="214"/>
      <c r="AIG38" s="214"/>
      <c r="AIH38" s="214"/>
      <c r="AII38" s="214"/>
      <c r="AIJ38" s="214"/>
      <c r="AIK38" s="214"/>
      <c r="AIL38" s="214"/>
      <c r="AIM38" s="214"/>
      <c r="AIN38" s="214"/>
      <c r="AIO38" s="214"/>
      <c r="AIP38" s="214"/>
      <c r="AIQ38" s="214"/>
      <c r="AIR38" s="214"/>
      <c r="AIS38" s="214"/>
      <c r="AIT38" s="214"/>
      <c r="AIU38" s="214"/>
      <c r="AIV38" s="214"/>
      <c r="AIW38" s="214"/>
      <c r="AIX38" s="214"/>
      <c r="AIY38" s="214"/>
      <c r="AIZ38" s="214"/>
      <c r="AJA38" s="214"/>
      <c r="AJB38" s="214"/>
      <c r="AJC38" s="214"/>
      <c r="AJD38" s="214"/>
      <c r="AJE38" s="214"/>
      <c r="AJF38" s="214"/>
      <c r="AJG38" s="214"/>
      <c r="AJH38" s="214"/>
      <c r="AJI38" s="214"/>
      <c r="AJJ38" s="214"/>
      <c r="AJK38" s="214"/>
      <c r="AJL38" s="214"/>
      <c r="AJM38" s="214"/>
      <c r="AJN38" s="214"/>
      <c r="AJO38" s="214"/>
      <c r="AJP38" s="214"/>
      <c r="AJQ38" s="214"/>
      <c r="AJR38" s="214"/>
      <c r="AJS38" s="214"/>
      <c r="AJT38" s="214"/>
      <c r="AJU38" s="214"/>
      <c r="AJV38" s="214"/>
      <c r="AJW38" s="214"/>
      <c r="AJX38" s="214"/>
      <c r="AJY38" s="214"/>
      <c r="AJZ38" s="214"/>
      <c r="AKA38" s="214"/>
      <c r="AKB38" s="214"/>
      <c r="AKC38" s="214"/>
      <c r="AKD38" s="214"/>
      <c r="AKE38" s="214"/>
      <c r="AKF38" s="214"/>
      <c r="AKG38" s="214"/>
      <c r="AKH38" s="214"/>
      <c r="AKI38" s="214"/>
      <c r="AKJ38" s="214"/>
      <c r="AKK38" s="214"/>
      <c r="AKL38" s="214"/>
      <c r="AKM38" s="214"/>
      <c r="AKN38" s="214"/>
      <c r="AKO38" s="214"/>
      <c r="AKP38" s="214"/>
      <c r="AKQ38" s="214"/>
      <c r="AKR38" s="214"/>
      <c r="AKS38" s="214"/>
      <c r="AKT38" s="214"/>
      <c r="AKU38" s="214"/>
      <c r="AKV38" s="214"/>
      <c r="AKW38" s="214"/>
      <c r="AKX38" s="214"/>
      <c r="AKY38" s="214"/>
      <c r="AKZ38" s="214"/>
      <c r="ALA38" s="214"/>
      <c r="ALB38" s="214"/>
      <c r="ALC38" s="214"/>
      <c r="ALD38" s="214"/>
      <c r="ALE38" s="214"/>
      <c r="ALF38" s="214"/>
      <c r="ALG38" s="214"/>
      <c r="ALH38" s="214"/>
      <c r="ALI38" s="214"/>
      <c r="ALJ38" s="214"/>
      <c r="ALK38" s="214"/>
      <c r="ALL38" s="214"/>
      <c r="ALM38" s="214"/>
      <c r="ALN38" s="214"/>
      <c r="ALO38" s="214"/>
      <c r="ALP38" s="214"/>
      <c r="ALQ38" s="214"/>
      <c r="ALR38" s="214"/>
      <c r="ALS38" s="214"/>
      <c r="ALT38" s="214"/>
      <c r="ALU38" s="214"/>
      <c r="ALV38" s="214"/>
      <c r="ALW38" s="214"/>
      <c r="ALX38" s="214"/>
      <c r="ALY38" s="214"/>
      <c r="ALZ38" s="214"/>
      <c r="AMA38" s="214"/>
      <c r="AMB38" s="214"/>
      <c r="AMC38" s="214"/>
      <c r="AMD38" s="214"/>
      <c r="AME38" s="214"/>
      <c r="AMF38" s="214"/>
      <c r="AMG38" s="214"/>
      <c r="AMH38" s="214"/>
      <c r="AMI38" s="214"/>
      <c r="AMJ38" s="214"/>
      <c r="AMK38" s="214"/>
      <c r="AML38" s="214"/>
      <c r="AMM38" s="214"/>
      <c r="AMN38" s="214"/>
      <c r="AMO38" s="214"/>
      <c r="AMP38" s="214"/>
      <c r="AMQ38" s="214"/>
      <c r="AMR38" s="214"/>
      <c r="AMS38" s="214"/>
      <c r="AMT38" s="214"/>
      <c r="AMU38" s="214"/>
      <c r="AMV38" s="214"/>
      <c r="AMW38" s="214"/>
      <c r="AMX38" s="214"/>
      <c r="AMY38" s="214"/>
      <c r="AMZ38" s="214"/>
      <c r="ANA38" s="214"/>
      <c r="ANB38" s="214"/>
      <c r="ANC38" s="214"/>
      <c r="AND38" s="214"/>
      <c r="ANE38" s="214"/>
      <c r="ANF38" s="214"/>
      <c r="ANG38" s="214"/>
      <c r="ANH38" s="214"/>
      <c r="ANI38" s="214"/>
      <c r="ANJ38" s="214"/>
      <c r="ANK38" s="214"/>
      <c r="ANL38" s="214"/>
      <c r="ANM38" s="214"/>
      <c r="ANN38" s="214"/>
      <c r="ANO38" s="214"/>
      <c r="ANP38" s="214"/>
      <c r="ANQ38" s="214"/>
      <c r="ANR38" s="214"/>
      <c r="ANS38" s="214"/>
      <c r="ANT38" s="214"/>
      <c r="ANU38" s="214"/>
      <c r="ANV38" s="214"/>
      <c r="ANW38" s="214"/>
      <c r="ANX38" s="214"/>
      <c r="ANY38" s="214"/>
      <c r="ANZ38" s="214"/>
      <c r="AOA38" s="214"/>
      <c r="AOB38" s="214"/>
      <c r="AOC38" s="214"/>
      <c r="AOD38" s="214"/>
      <c r="AOE38" s="214"/>
      <c r="AOF38" s="214"/>
      <c r="AOG38" s="214"/>
      <c r="AOH38" s="214"/>
      <c r="AOI38" s="214"/>
      <c r="AOJ38" s="214"/>
      <c r="AOK38" s="214"/>
      <c r="AOL38" s="214"/>
      <c r="AOM38" s="214"/>
      <c r="AON38" s="214"/>
      <c r="AOO38" s="214"/>
      <c r="AOP38" s="214"/>
      <c r="AOQ38" s="214"/>
      <c r="AOR38" s="214"/>
      <c r="AOS38" s="214"/>
      <c r="AOT38" s="214"/>
      <c r="AOU38" s="214"/>
      <c r="AOV38" s="214"/>
      <c r="AOW38" s="214"/>
      <c r="AOX38" s="214"/>
      <c r="AOY38" s="214"/>
      <c r="AOZ38" s="214"/>
      <c r="APA38" s="214"/>
      <c r="APB38" s="214"/>
      <c r="APC38" s="214"/>
      <c r="APD38" s="214"/>
      <c r="APE38" s="214"/>
      <c r="APF38" s="214"/>
      <c r="APG38" s="214"/>
      <c r="APH38" s="214"/>
      <c r="API38" s="214"/>
      <c r="APJ38" s="214"/>
      <c r="APK38" s="214"/>
      <c r="APL38" s="214"/>
      <c r="APM38" s="214"/>
      <c r="APN38" s="214"/>
      <c r="APO38" s="214"/>
      <c r="APP38" s="214"/>
      <c r="APQ38" s="214"/>
      <c r="APR38" s="214"/>
      <c r="APS38" s="214"/>
      <c r="APT38" s="214"/>
      <c r="APU38" s="214"/>
      <c r="APV38" s="214"/>
      <c r="APW38" s="214"/>
      <c r="APX38" s="214"/>
      <c r="APY38" s="214"/>
      <c r="APZ38" s="214"/>
      <c r="AQA38" s="214"/>
      <c r="AQB38" s="214"/>
      <c r="AQC38" s="214"/>
      <c r="AQD38" s="214"/>
      <c r="AQE38" s="214"/>
      <c r="AQF38" s="214"/>
      <c r="AQG38" s="214"/>
      <c r="AQH38" s="214"/>
      <c r="AQI38" s="214"/>
      <c r="AQJ38" s="214"/>
      <c r="AQK38" s="214"/>
      <c r="AQL38" s="214"/>
      <c r="AQM38" s="214"/>
      <c r="AQN38" s="214"/>
      <c r="AQO38" s="214"/>
      <c r="AQP38" s="214"/>
      <c r="AQQ38" s="214"/>
      <c r="AQR38" s="214"/>
      <c r="AQS38" s="214"/>
      <c r="AQT38" s="214"/>
      <c r="AQU38" s="214"/>
      <c r="AQV38" s="214"/>
      <c r="AQW38" s="214"/>
      <c r="AQX38" s="214"/>
      <c r="AQY38" s="214"/>
      <c r="AQZ38" s="214"/>
      <c r="ARA38" s="214"/>
      <c r="ARB38" s="214"/>
      <c r="ARC38" s="214"/>
      <c r="ARD38" s="214"/>
      <c r="ARE38" s="214"/>
      <c r="ARF38" s="214"/>
      <c r="ARG38" s="214"/>
      <c r="ARH38" s="214"/>
      <c r="ARI38" s="214"/>
      <c r="ARJ38" s="214"/>
      <c r="ARK38" s="214"/>
      <c r="ARL38" s="214"/>
      <c r="ARM38" s="214"/>
      <c r="ARN38" s="214"/>
      <c r="ARO38" s="214"/>
      <c r="ARP38" s="214"/>
      <c r="ARQ38" s="214"/>
      <c r="ARR38" s="214"/>
      <c r="ARS38" s="214"/>
      <c r="ART38" s="214"/>
      <c r="ARU38" s="214"/>
      <c r="ARV38" s="214"/>
      <c r="ARW38" s="214"/>
      <c r="ARX38" s="214"/>
      <c r="ARY38" s="214"/>
      <c r="ARZ38" s="214"/>
      <c r="ASA38" s="214"/>
      <c r="ASB38" s="214"/>
      <c r="ASC38" s="214"/>
      <c r="ASD38" s="214"/>
      <c r="ASE38" s="214"/>
      <c r="ASF38" s="214"/>
      <c r="ASG38" s="214"/>
      <c r="ASH38" s="214"/>
      <c r="ASI38" s="214"/>
      <c r="ASJ38" s="214"/>
      <c r="ASK38" s="214"/>
      <c r="ASL38" s="214"/>
      <c r="ASM38" s="214"/>
      <c r="ASN38" s="214"/>
      <c r="ASO38" s="214"/>
      <c r="ASP38" s="214"/>
      <c r="ASQ38" s="214"/>
      <c r="ASR38" s="214"/>
      <c r="ASS38" s="214"/>
      <c r="AST38" s="214"/>
      <c r="ASU38" s="214"/>
      <c r="ASV38" s="214"/>
      <c r="ASW38" s="214"/>
      <c r="ASX38" s="214"/>
      <c r="ASY38" s="214"/>
      <c r="ASZ38" s="214"/>
      <c r="ATA38" s="214"/>
      <c r="ATB38" s="214"/>
      <c r="ATC38" s="214"/>
      <c r="ATD38" s="214"/>
      <c r="ATE38" s="214"/>
      <c r="ATF38" s="214"/>
      <c r="ATG38" s="214"/>
      <c r="ATH38" s="214"/>
      <c r="ATI38" s="214"/>
      <c r="ATJ38" s="214"/>
      <c r="ATK38" s="214"/>
      <c r="ATL38" s="214"/>
      <c r="ATM38" s="214"/>
      <c r="ATN38" s="214"/>
      <c r="ATO38" s="214"/>
      <c r="ATP38" s="214"/>
      <c r="ATQ38" s="214"/>
      <c r="ATR38" s="214"/>
      <c r="ATS38" s="214"/>
      <c r="ATT38" s="214"/>
      <c r="ATU38" s="214"/>
      <c r="ATV38" s="214"/>
      <c r="ATW38" s="214"/>
      <c r="ATX38" s="214"/>
      <c r="ATY38" s="214"/>
      <c r="ATZ38" s="214"/>
      <c r="AUA38" s="214"/>
      <c r="AUB38" s="214"/>
      <c r="AUC38" s="214"/>
      <c r="AUD38" s="214"/>
      <c r="AUE38" s="214"/>
      <c r="AUF38" s="214"/>
      <c r="AUG38" s="214"/>
      <c r="AUH38" s="214"/>
      <c r="AUI38" s="214"/>
      <c r="AUJ38" s="214"/>
      <c r="AUK38" s="214"/>
      <c r="AUL38" s="214"/>
      <c r="AUM38" s="214"/>
      <c r="AUN38" s="214"/>
      <c r="AUO38" s="214"/>
      <c r="AUP38" s="214"/>
      <c r="AUQ38" s="214"/>
      <c r="AUR38" s="214"/>
      <c r="AUS38" s="214"/>
      <c r="AUT38" s="214"/>
      <c r="AUU38" s="214"/>
      <c r="AUV38" s="214"/>
      <c r="AUW38" s="214"/>
      <c r="AUX38" s="214"/>
      <c r="AUY38" s="214"/>
      <c r="AUZ38" s="214"/>
      <c r="AVA38" s="214"/>
      <c r="AVB38" s="214"/>
      <c r="AVC38" s="214"/>
      <c r="AVD38" s="214"/>
      <c r="AVE38" s="214"/>
      <c r="AVF38" s="214"/>
      <c r="AVG38" s="214"/>
      <c r="AVH38" s="214"/>
      <c r="AVI38" s="214"/>
      <c r="AVJ38" s="214"/>
      <c r="AVK38" s="214"/>
      <c r="AVL38" s="214"/>
      <c r="AVM38" s="214"/>
      <c r="AVN38" s="214"/>
      <c r="AVO38" s="214"/>
      <c r="AVP38" s="214"/>
      <c r="AVQ38" s="214"/>
      <c r="AVR38" s="214"/>
      <c r="AVS38" s="214"/>
      <c r="AVT38" s="214"/>
      <c r="AVU38" s="214"/>
      <c r="AVV38" s="214"/>
      <c r="AVW38" s="214"/>
      <c r="AVX38" s="214"/>
      <c r="AVY38" s="214"/>
      <c r="AVZ38" s="214"/>
      <c r="AWA38" s="214"/>
      <c r="AWB38" s="214"/>
      <c r="AWC38" s="214"/>
      <c r="AWD38" s="214"/>
      <c r="AWE38" s="214"/>
      <c r="AWF38" s="214"/>
      <c r="AWG38" s="214"/>
      <c r="AWH38" s="214"/>
      <c r="AWI38" s="214"/>
      <c r="AWJ38" s="214"/>
      <c r="AWK38" s="214"/>
      <c r="AWL38" s="214"/>
      <c r="AWM38" s="214"/>
      <c r="AWN38" s="214"/>
      <c r="AWO38" s="214"/>
      <c r="AWP38" s="214"/>
      <c r="AWQ38" s="214"/>
      <c r="AWR38" s="214"/>
      <c r="AWS38" s="214"/>
      <c r="AWT38" s="214"/>
      <c r="AWU38" s="214"/>
      <c r="AWV38" s="214"/>
      <c r="AWW38" s="214"/>
      <c r="AWX38" s="214"/>
      <c r="AWY38" s="214"/>
      <c r="AWZ38" s="214"/>
      <c r="AXA38" s="214"/>
      <c r="AXB38" s="214"/>
      <c r="AXC38" s="214"/>
      <c r="AXD38" s="214"/>
      <c r="AXE38" s="214"/>
      <c r="AXF38" s="214"/>
      <c r="AXG38" s="214"/>
      <c r="AXH38" s="214"/>
      <c r="AXI38" s="214"/>
      <c r="AXJ38" s="214"/>
      <c r="AXK38" s="214"/>
      <c r="AXL38" s="214"/>
      <c r="AXM38" s="214"/>
      <c r="AXN38" s="214"/>
      <c r="AXO38" s="214"/>
      <c r="AXP38" s="214"/>
      <c r="AXQ38" s="214"/>
      <c r="AXR38" s="214"/>
      <c r="AXS38" s="214"/>
      <c r="AXT38" s="214"/>
      <c r="AXU38" s="214"/>
      <c r="AXV38" s="214"/>
      <c r="AXW38" s="214"/>
      <c r="AXX38" s="214"/>
      <c r="AXY38" s="214"/>
      <c r="AXZ38" s="214"/>
      <c r="AYA38" s="214"/>
      <c r="AYB38" s="214"/>
      <c r="AYC38" s="214"/>
      <c r="AYD38" s="214"/>
      <c r="AYE38" s="214"/>
      <c r="AYF38" s="214"/>
      <c r="AYG38" s="214"/>
      <c r="AYH38" s="214"/>
      <c r="AYI38" s="214"/>
      <c r="AYJ38" s="214"/>
      <c r="AYK38" s="214"/>
      <c r="AYL38" s="214"/>
      <c r="AYM38" s="214"/>
      <c r="AYN38" s="214"/>
      <c r="AYO38" s="214"/>
      <c r="AYP38" s="214"/>
      <c r="AYQ38" s="214"/>
      <c r="AYR38" s="214"/>
      <c r="AYS38" s="214"/>
      <c r="AYT38" s="214"/>
      <c r="AYU38" s="214"/>
      <c r="AYV38" s="214"/>
      <c r="AYW38" s="214"/>
      <c r="AYX38" s="214"/>
      <c r="AYY38" s="214"/>
      <c r="AYZ38" s="214"/>
      <c r="AZA38" s="214"/>
      <c r="AZB38" s="214"/>
      <c r="AZC38" s="214"/>
      <c r="AZD38" s="214"/>
      <c r="AZE38" s="214"/>
      <c r="AZF38" s="214"/>
      <c r="AZG38" s="214"/>
      <c r="AZH38" s="214"/>
      <c r="AZI38" s="214"/>
      <c r="AZJ38" s="214"/>
      <c r="AZK38" s="214"/>
      <c r="AZL38" s="214"/>
      <c r="AZM38" s="214"/>
      <c r="AZN38" s="214"/>
      <c r="AZO38" s="214"/>
      <c r="AZP38" s="214"/>
      <c r="AZQ38" s="214"/>
      <c r="AZR38" s="214"/>
      <c r="AZS38" s="214"/>
      <c r="AZT38" s="214"/>
      <c r="AZU38" s="214"/>
      <c r="AZV38" s="214"/>
      <c r="AZW38" s="214"/>
      <c r="AZX38" s="214"/>
      <c r="AZY38" s="214"/>
      <c r="AZZ38" s="214"/>
      <c r="BAA38" s="214"/>
      <c r="BAB38" s="214"/>
      <c r="BAC38" s="214"/>
      <c r="BAD38" s="214"/>
      <c r="BAE38" s="214"/>
      <c r="BAF38" s="214"/>
      <c r="BAG38" s="214"/>
      <c r="BAH38" s="214"/>
      <c r="BAI38" s="214"/>
      <c r="BAJ38" s="214"/>
      <c r="BAK38" s="214"/>
      <c r="BAL38" s="214"/>
      <c r="BAM38" s="214"/>
      <c r="BAN38" s="214"/>
      <c r="BAO38" s="214"/>
      <c r="BAP38" s="214"/>
      <c r="BAQ38" s="214"/>
      <c r="BAR38" s="214"/>
      <c r="BAS38" s="214"/>
      <c r="BAT38" s="214"/>
      <c r="BAU38" s="214"/>
      <c r="BAV38" s="214"/>
      <c r="BAW38" s="214"/>
      <c r="BAX38" s="214"/>
      <c r="BAY38" s="214"/>
      <c r="BAZ38" s="214"/>
      <c r="BBA38" s="214"/>
      <c r="BBB38" s="214"/>
      <c r="BBC38" s="214"/>
      <c r="BBD38" s="214"/>
      <c r="BBE38" s="214"/>
      <c r="BBF38" s="214"/>
      <c r="BBG38" s="214"/>
      <c r="BBH38" s="214"/>
      <c r="BBI38" s="214"/>
      <c r="BBJ38" s="214"/>
      <c r="BBK38" s="214"/>
      <c r="BBL38" s="214"/>
      <c r="BBM38" s="214"/>
      <c r="BBN38" s="214"/>
      <c r="BBO38" s="214"/>
      <c r="BBP38" s="214"/>
      <c r="BBQ38" s="214"/>
      <c r="BBR38" s="214"/>
      <c r="BBS38" s="214"/>
      <c r="BBT38" s="214"/>
      <c r="BBU38" s="214"/>
      <c r="BBV38" s="214"/>
      <c r="BBW38" s="214"/>
      <c r="BBX38" s="214"/>
      <c r="BBY38" s="214"/>
      <c r="BBZ38" s="214"/>
      <c r="BCA38" s="214"/>
      <c r="BCB38" s="214"/>
      <c r="BCC38" s="214"/>
      <c r="BCD38" s="214"/>
      <c r="BCE38" s="214"/>
      <c r="BCF38" s="214"/>
      <c r="BCG38" s="214"/>
      <c r="BCH38" s="214"/>
      <c r="BCI38" s="214"/>
      <c r="BCJ38" s="214"/>
      <c r="BCK38" s="214"/>
      <c r="BCL38" s="214"/>
      <c r="BCM38" s="214"/>
      <c r="BCN38" s="214"/>
      <c r="BCO38" s="214"/>
      <c r="BCP38" s="214"/>
      <c r="BCQ38" s="214"/>
      <c r="BCR38" s="214"/>
      <c r="BCS38" s="214"/>
      <c r="BCT38" s="214"/>
      <c r="BCU38" s="214"/>
      <c r="BCV38" s="214"/>
      <c r="BCW38" s="214"/>
      <c r="BCX38" s="214"/>
      <c r="BCY38" s="214"/>
      <c r="BCZ38" s="214"/>
      <c r="BDA38" s="214"/>
      <c r="BDB38" s="214"/>
      <c r="BDC38" s="214"/>
      <c r="BDD38" s="214"/>
      <c r="BDE38" s="214"/>
      <c r="BDF38" s="214"/>
      <c r="BDG38" s="214"/>
      <c r="BDH38" s="214"/>
      <c r="BDI38" s="214"/>
      <c r="BDJ38" s="214"/>
      <c r="BDK38" s="214"/>
      <c r="BDL38" s="214"/>
      <c r="BDM38" s="214"/>
      <c r="BDN38" s="214"/>
      <c r="BDO38" s="214"/>
      <c r="BDP38" s="214"/>
      <c r="BDQ38" s="214"/>
      <c r="BDR38" s="214"/>
      <c r="BDS38" s="214"/>
      <c r="BDT38" s="214"/>
      <c r="BDU38" s="214"/>
      <c r="BDV38" s="214"/>
      <c r="BDW38" s="214"/>
      <c r="BDX38" s="214"/>
      <c r="BDY38" s="214"/>
      <c r="BDZ38" s="214"/>
      <c r="BEA38" s="214"/>
      <c r="BEB38" s="214"/>
      <c r="BEC38" s="214"/>
      <c r="BED38" s="214"/>
      <c r="BEE38" s="214"/>
      <c r="BEF38" s="214"/>
      <c r="BEG38" s="214"/>
      <c r="BEH38" s="214"/>
      <c r="BEI38" s="214"/>
      <c r="BEJ38" s="214"/>
      <c r="BEK38" s="214"/>
      <c r="BEL38" s="214"/>
      <c r="BEM38" s="214"/>
      <c r="BEN38" s="214"/>
      <c r="BEO38" s="214"/>
      <c r="BEP38" s="214"/>
      <c r="BEQ38" s="214"/>
      <c r="BER38" s="214"/>
      <c r="BES38" s="214"/>
      <c r="BET38" s="214"/>
      <c r="BEU38" s="214"/>
      <c r="BEV38" s="214"/>
      <c r="BEW38" s="214"/>
      <c r="BEX38" s="214"/>
      <c r="BEY38" s="214"/>
      <c r="BEZ38" s="214"/>
      <c r="BFA38" s="214"/>
      <c r="BFB38" s="214"/>
      <c r="BFC38" s="214"/>
      <c r="BFD38" s="214"/>
      <c r="BFE38" s="214"/>
      <c r="BFF38" s="214"/>
      <c r="BFG38" s="214"/>
      <c r="BFH38" s="214"/>
      <c r="BFI38" s="214"/>
      <c r="BFJ38" s="214"/>
      <c r="BFK38" s="214"/>
      <c r="BFL38" s="214"/>
      <c r="BFM38" s="214"/>
      <c r="BFN38" s="214"/>
      <c r="BFO38" s="214"/>
      <c r="BFP38" s="214"/>
      <c r="BFQ38" s="214"/>
      <c r="BFR38" s="214"/>
      <c r="BFS38" s="214"/>
      <c r="BFT38" s="214"/>
      <c r="BFU38" s="214"/>
      <c r="BFV38" s="214"/>
      <c r="BFW38" s="214"/>
      <c r="BFX38" s="214"/>
      <c r="BFY38" s="214"/>
      <c r="BFZ38" s="214"/>
      <c r="BGA38" s="214"/>
      <c r="BGB38" s="214"/>
      <c r="BGC38" s="214"/>
      <c r="BGD38" s="214"/>
      <c r="BGE38" s="214"/>
      <c r="BGF38" s="214"/>
      <c r="BGG38" s="214"/>
      <c r="BGH38" s="214"/>
      <c r="BGI38" s="214"/>
      <c r="BGJ38" s="214"/>
      <c r="BGK38" s="214"/>
      <c r="BGL38" s="214"/>
      <c r="BGM38" s="214"/>
      <c r="BGN38" s="214"/>
      <c r="BGO38" s="214"/>
      <c r="BGP38" s="214"/>
      <c r="BGQ38" s="214"/>
      <c r="BGR38" s="214"/>
      <c r="BGS38" s="214"/>
      <c r="BGT38" s="214"/>
      <c r="BGU38" s="214"/>
      <c r="BGV38" s="214"/>
      <c r="BGW38" s="214"/>
      <c r="BGX38" s="214"/>
      <c r="BGY38" s="214"/>
      <c r="BGZ38" s="214"/>
      <c r="BHA38" s="214"/>
      <c r="BHB38" s="214"/>
      <c r="BHC38" s="214"/>
      <c r="BHD38" s="214"/>
      <c r="BHE38" s="214"/>
      <c r="BHF38" s="214"/>
      <c r="BHG38" s="214"/>
      <c r="BHH38" s="214"/>
      <c r="BHI38" s="214"/>
      <c r="BHJ38" s="214"/>
      <c r="BHK38" s="214"/>
      <c r="BHL38" s="214"/>
      <c r="BHM38" s="214"/>
      <c r="BHN38" s="214"/>
      <c r="BHO38" s="214"/>
      <c r="BHP38" s="214"/>
      <c r="BHQ38" s="214"/>
      <c r="BHR38" s="214"/>
      <c r="BHS38" s="214"/>
      <c r="BHT38" s="214"/>
      <c r="BHU38" s="214"/>
      <c r="BHV38" s="214"/>
      <c r="BHW38" s="214"/>
    </row>
    <row r="39" spans="1:1583" s="221" customFormat="1" ht="15.75" thickBot="1">
      <c r="A39" s="75"/>
      <c r="B39" s="191"/>
      <c r="C39" s="191"/>
      <c r="D39" s="191" t="s">
        <v>619</v>
      </c>
      <c r="E39" s="264" t="s">
        <v>45</v>
      </c>
      <c r="F39" s="136"/>
      <c r="G39" s="60" t="s">
        <v>693</v>
      </c>
      <c r="H39" s="473">
        <f t="shared" si="15"/>
        <v>19405.302618064154</v>
      </c>
      <c r="I39" s="94">
        <f>(I38/24*1000*22.414)/Analysis!J44</f>
        <v>452.41574217844044</v>
      </c>
      <c r="J39" s="437"/>
      <c r="K39" s="94">
        <f>(K38/24*1000*22.414)/Analysis!L44</f>
        <v>397.82272418692526</v>
      </c>
      <c r="L39" s="94">
        <f>(L38/24*1000*22.414)/Analysis!M44</f>
        <v>535.36842857867111</v>
      </c>
      <c r="M39" s="94">
        <f>(M38/24*1000*22.414)/Analysis!N44</f>
        <v>338.00010142207356</v>
      </c>
      <c r="N39" s="94">
        <f>(N38/24*1000*22.414)/Analysis!O44</f>
        <v>597.40592804235371</v>
      </c>
      <c r="O39" s="94">
        <f>(O38/24*1000*22.414)/Analysis!P44</f>
        <v>659.20434651719393</v>
      </c>
      <c r="P39" s="94">
        <f>(P38/24*1000*22.414)/Analysis!Q44</f>
        <v>451.8522794823985</v>
      </c>
      <c r="Q39" s="94">
        <f>(Q38/24*1000*22.414)/Analysis!R44</f>
        <v>698.7513035305351</v>
      </c>
      <c r="R39" s="94">
        <f>(R38/24*1000*22.414)/Analysis!S44</f>
        <v>723.736701712789</v>
      </c>
      <c r="S39" s="94">
        <f>(S38/24*1000*22.414)/Analysis!T44</f>
        <v>472.31043368367176</v>
      </c>
      <c r="T39" s="94">
        <f>(T38/24*1000*22.414)/Analysis!U44</f>
        <v>582.71262365324083</v>
      </c>
      <c r="U39" s="94">
        <f>(U38/24*1000*22.414)/Analysis!V44</f>
        <v>539.41685272373275</v>
      </c>
      <c r="V39" s="94">
        <f>(V38/24*1000*22.414)/Analysis!W44</f>
        <v>765.42054986610674</v>
      </c>
      <c r="W39" s="94">
        <f>(W38/24*1000*22.414)/Analysis!X44</f>
        <v>778.52042597714023</v>
      </c>
      <c r="X39" s="94">
        <f>(X38/24*1000*22.414)/Analysis!Y44</f>
        <v>557.06995906602879</v>
      </c>
      <c r="Y39" s="94">
        <f>(Y38/24*1000*22.414)/Analysis!Z44</f>
        <v>758.68236074919969</v>
      </c>
      <c r="Z39" s="94">
        <f>(Z38/24*1000*22.414)/Analysis!AA44</f>
        <v>714.5723084246938</v>
      </c>
      <c r="AA39" s="94">
        <f>(AA38/24*1000*22.414)/Analysis!AB44</f>
        <v>507.49059801036987</v>
      </c>
      <c r="AB39" s="94">
        <f>(AB38/24*1000*22.414)/Analysis!AC44</f>
        <v>491.88364185664807</v>
      </c>
      <c r="AC39" s="94">
        <f>(AC38/24*1000*22.414)/Analysis!AD44</f>
        <v>537.33177154685927</v>
      </c>
      <c r="AD39" s="94">
        <f>(AD38/24*1000*22.414)/Analysis!AE44</f>
        <v>821.12237458201639</v>
      </c>
      <c r="AE39" s="94">
        <f>(AE38/24*1000*22.414)/Analysis!AF44</f>
        <v>796.12448865294323</v>
      </c>
      <c r="AF39" s="94">
        <f>(AF38/24*1000*22.414)/Analysis!AG44</f>
        <v>519.7578058459427</v>
      </c>
      <c r="AG39" s="94">
        <f>(AG38/24*1000*22.414)/Analysis!AH44</f>
        <v>356.38814881504049</v>
      </c>
      <c r="AH39" s="94">
        <f>(AH38/24*1000*22.414)/Analysis!AI44</f>
        <v>668.98248270749332</v>
      </c>
      <c r="AI39" s="94">
        <f>(AI38/24*1000*22.414)/Analysis!AJ44</f>
        <v>788.45630647691814</v>
      </c>
      <c r="AJ39" s="94">
        <f>(AJ38/24*1000*22.414)/Analysis!AK44</f>
        <v>558.29145828751859</v>
      </c>
      <c r="AK39" s="94">
        <f>(AK38/24*1000*22.414)/Analysis!AL44</f>
        <v>808.08554137222791</v>
      </c>
      <c r="AL39" s="94">
        <f>(AL38/24*1000*22.414)/Analysis!AM44</f>
        <v>879.90128974896822</v>
      </c>
      <c r="AM39" s="94">
        <f>(AM38/24*1000*22.414)/Analysis!AN44</f>
        <v>777.01868007874077</v>
      </c>
      <c r="AN39" s="94">
        <f>(AN38/24*1000*22.414)/Analysis!AO44</f>
        <v>871.20496028727189</v>
      </c>
      <c r="AO39" s="214"/>
      <c r="AP39" s="214"/>
      <c r="AQ39" s="214"/>
      <c r="AR39" s="214"/>
      <c r="AS39" s="214"/>
      <c r="AT39" s="214"/>
      <c r="AU39" s="214"/>
      <c r="AV39" s="214"/>
      <c r="AW39" s="214"/>
      <c r="AX39" s="214"/>
      <c r="AY39" s="214"/>
      <c r="AZ39" s="214"/>
      <c r="BA39" s="214"/>
      <c r="BB39" s="214"/>
      <c r="BC39" s="214"/>
      <c r="BD39" s="214"/>
      <c r="BE39" s="214"/>
      <c r="BF39" s="214"/>
      <c r="BG39" s="214"/>
      <c r="BH39" s="214"/>
      <c r="BI39" s="214"/>
      <c r="BJ39" s="214"/>
      <c r="BK39" s="214"/>
      <c r="BL39" s="214"/>
      <c r="BM39" s="214"/>
      <c r="BN39" s="214"/>
      <c r="BO39" s="214"/>
      <c r="BP39" s="214"/>
      <c r="BQ39" s="214"/>
      <c r="BR39" s="214"/>
      <c r="BS39" s="214"/>
      <c r="BT39" s="214"/>
      <c r="BU39" s="214"/>
      <c r="BV39" s="214"/>
      <c r="BW39" s="214"/>
      <c r="BX39" s="214"/>
      <c r="BY39" s="214"/>
      <c r="BZ39" s="214"/>
      <c r="CA39" s="214"/>
      <c r="CB39" s="214"/>
      <c r="CC39" s="214"/>
      <c r="CD39" s="214"/>
      <c r="CE39" s="214"/>
      <c r="CF39" s="214"/>
      <c r="CG39" s="214"/>
      <c r="CH39" s="214"/>
      <c r="CI39" s="214"/>
      <c r="CJ39" s="214"/>
      <c r="CK39" s="214"/>
      <c r="CL39" s="214"/>
      <c r="CM39" s="214"/>
      <c r="CN39" s="214"/>
      <c r="CO39" s="214"/>
      <c r="CP39" s="214"/>
      <c r="CQ39" s="214"/>
      <c r="CR39" s="214"/>
      <c r="CS39" s="214"/>
      <c r="CT39" s="214"/>
      <c r="CU39" s="214"/>
      <c r="CV39" s="214"/>
      <c r="CW39" s="214"/>
      <c r="CX39" s="214"/>
      <c r="CY39" s="214"/>
      <c r="CZ39" s="214"/>
      <c r="DA39" s="214"/>
      <c r="DB39" s="214"/>
      <c r="DC39" s="214"/>
      <c r="DD39" s="214"/>
      <c r="DE39" s="214"/>
      <c r="DF39" s="214"/>
      <c r="DG39" s="214"/>
      <c r="DH39" s="214"/>
      <c r="DI39" s="214"/>
      <c r="DJ39" s="214"/>
      <c r="DK39" s="214"/>
      <c r="DL39" s="214"/>
      <c r="DM39" s="214"/>
      <c r="DN39" s="214"/>
      <c r="DO39" s="214"/>
      <c r="DP39" s="214"/>
      <c r="DQ39" s="214"/>
      <c r="DR39" s="214"/>
      <c r="DS39" s="214"/>
      <c r="DT39" s="214"/>
      <c r="DU39" s="214"/>
      <c r="DV39" s="214"/>
      <c r="DW39" s="214"/>
      <c r="DX39" s="214"/>
      <c r="DY39" s="214"/>
      <c r="DZ39" s="214"/>
      <c r="EA39" s="214"/>
      <c r="EB39" s="214"/>
      <c r="EC39" s="214"/>
      <c r="ED39" s="214"/>
      <c r="EE39" s="214"/>
      <c r="EF39" s="214"/>
      <c r="EG39" s="214"/>
      <c r="EH39" s="214"/>
      <c r="EI39" s="214"/>
      <c r="EJ39" s="214"/>
      <c r="EK39" s="214"/>
      <c r="EL39" s="214"/>
      <c r="EM39" s="214"/>
      <c r="EN39" s="214"/>
      <c r="EO39" s="214"/>
      <c r="EP39" s="214"/>
      <c r="EQ39" s="214"/>
      <c r="ER39" s="214"/>
      <c r="ES39" s="214"/>
      <c r="ET39" s="214"/>
      <c r="EU39" s="214"/>
      <c r="EV39" s="214"/>
      <c r="EW39" s="214"/>
      <c r="EX39" s="214"/>
      <c r="EY39" s="214"/>
      <c r="EZ39" s="214"/>
      <c r="FA39" s="214"/>
      <c r="FB39" s="214"/>
      <c r="FC39" s="214"/>
      <c r="FD39" s="214"/>
      <c r="FE39" s="214"/>
      <c r="FF39" s="214"/>
      <c r="FG39" s="214"/>
      <c r="FH39" s="214"/>
      <c r="FI39" s="214"/>
      <c r="FJ39" s="214"/>
      <c r="FK39" s="214"/>
      <c r="FL39" s="214"/>
      <c r="FM39" s="214"/>
      <c r="FN39" s="214"/>
      <c r="FO39" s="214"/>
      <c r="FP39" s="214"/>
      <c r="FQ39" s="214"/>
      <c r="FR39" s="214"/>
      <c r="FS39" s="214"/>
      <c r="FT39" s="214"/>
      <c r="FU39" s="214"/>
      <c r="FV39" s="214"/>
      <c r="FW39" s="214"/>
      <c r="FX39" s="214"/>
      <c r="FY39" s="214"/>
      <c r="FZ39" s="214"/>
      <c r="GA39" s="214"/>
      <c r="GB39" s="214"/>
      <c r="GC39" s="214"/>
      <c r="GD39" s="214"/>
      <c r="GE39" s="214"/>
      <c r="GF39" s="214"/>
      <c r="GG39" s="214"/>
      <c r="GH39" s="214"/>
      <c r="GI39" s="214"/>
      <c r="GJ39" s="214"/>
      <c r="GK39" s="214"/>
      <c r="GL39" s="214"/>
      <c r="GM39" s="214"/>
      <c r="GN39" s="214"/>
      <c r="GO39" s="214"/>
      <c r="GP39" s="214"/>
      <c r="GQ39" s="214"/>
      <c r="GR39" s="214"/>
      <c r="GS39" s="214"/>
      <c r="GT39" s="214"/>
      <c r="GU39" s="214"/>
      <c r="GV39" s="214"/>
      <c r="GW39" s="214"/>
      <c r="GX39" s="214"/>
      <c r="GY39" s="214"/>
      <c r="GZ39" s="214"/>
      <c r="HA39" s="214"/>
      <c r="HB39" s="214"/>
      <c r="HC39" s="214"/>
      <c r="HD39" s="214"/>
      <c r="HE39" s="214"/>
      <c r="HF39" s="214"/>
      <c r="HG39" s="214"/>
      <c r="HH39" s="214"/>
      <c r="HI39" s="214"/>
      <c r="HJ39" s="214"/>
      <c r="HK39" s="214"/>
      <c r="HL39" s="214"/>
      <c r="HM39" s="214"/>
      <c r="HN39" s="214"/>
      <c r="HO39" s="214"/>
      <c r="HP39" s="214"/>
      <c r="HQ39" s="214"/>
      <c r="HR39" s="214"/>
      <c r="HS39" s="214"/>
      <c r="HT39" s="214"/>
      <c r="HU39" s="214"/>
      <c r="HV39" s="214"/>
      <c r="HW39" s="214"/>
      <c r="HX39" s="214"/>
      <c r="HY39" s="214"/>
      <c r="HZ39" s="214"/>
      <c r="IA39" s="214"/>
      <c r="IB39" s="214"/>
      <c r="IC39" s="214"/>
      <c r="ID39" s="214"/>
      <c r="IE39" s="214"/>
      <c r="IF39" s="214"/>
      <c r="IG39" s="214"/>
      <c r="IH39" s="214"/>
      <c r="II39" s="214"/>
      <c r="IJ39" s="214"/>
      <c r="IK39" s="214"/>
      <c r="IL39" s="214"/>
      <c r="IM39" s="214"/>
      <c r="IN39" s="214"/>
      <c r="IO39" s="214"/>
      <c r="IP39" s="214"/>
      <c r="IQ39" s="214"/>
      <c r="IR39" s="214"/>
      <c r="IS39" s="214"/>
      <c r="IT39" s="214"/>
      <c r="IU39" s="214"/>
      <c r="IV39" s="214"/>
      <c r="IW39" s="214"/>
      <c r="IX39" s="214"/>
      <c r="IY39" s="214"/>
      <c r="IZ39" s="214"/>
      <c r="JA39" s="214"/>
      <c r="JB39" s="214"/>
      <c r="JC39" s="214"/>
      <c r="JD39" s="214"/>
      <c r="JE39" s="214"/>
      <c r="JF39" s="214"/>
      <c r="JG39" s="214"/>
      <c r="JH39" s="214"/>
      <c r="JI39" s="214"/>
      <c r="JJ39" s="214"/>
      <c r="JK39" s="214"/>
      <c r="JL39" s="214"/>
      <c r="JM39" s="214"/>
      <c r="JN39" s="214"/>
      <c r="JO39" s="214"/>
      <c r="JP39" s="214"/>
      <c r="JQ39" s="214"/>
      <c r="JR39" s="214"/>
      <c r="JS39" s="214"/>
      <c r="JT39" s="214"/>
      <c r="JU39" s="214"/>
      <c r="JV39" s="214"/>
      <c r="JW39" s="214"/>
      <c r="JX39" s="214"/>
      <c r="JY39" s="214"/>
      <c r="JZ39" s="214"/>
      <c r="KA39" s="214"/>
      <c r="KB39" s="214"/>
      <c r="KC39" s="214"/>
      <c r="KD39" s="214"/>
      <c r="KE39" s="214"/>
      <c r="KF39" s="214"/>
      <c r="KG39" s="214"/>
      <c r="KH39" s="214"/>
      <c r="KI39" s="214"/>
      <c r="KJ39" s="214"/>
      <c r="KK39" s="214"/>
      <c r="KL39" s="214"/>
      <c r="KM39" s="214"/>
      <c r="KN39" s="214"/>
      <c r="KO39" s="214"/>
      <c r="KP39" s="214"/>
      <c r="KQ39" s="214"/>
      <c r="KR39" s="214"/>
      <c r="KS39" s="214"/>
      <c r="KT39" s="214"/>
      <c r="KU39" s="214"/>
      <c r="KV39" s="214"/>
      <c r="KW39" s="214"/>
      <c r="KX39" s="214"/>
      <c r="KY39" s="214"/>
      <c r="KZ39" s="214"/>
      <c r="LA39" s="214"/>
      <c r="LB39" s="214"/>
      <c r="LC39" s="214"/>
      <c r="LD39" s="214"/>
      <c r="LE39" s="214"/>
      <c r="LF39" s="214"/>
      <c r="LG39" s="214"/>
      <c r="LH39" s="214"/>
      <c r="LI39" s="214"/>
      <c r="LJ39" s="214"/>
      <c r="LK39" s="214"/>
      <c r="LL39" s="214"/>
      <c r="LM39" s="214"/>
      <c r="LN39" s="214"/>
      <c r="LO39" s="214"/>
      <c r="LP39" s="214"/>
      <c r="LQ39" s="214"/>
      <c r="LR39" s="214"/>
      <c r="LS39" s="214"/>
      <c r="LT39" s="214"/>
      <c r="LU39" s="214"/>
      <c r="LV39" s="214"/>
      <c r="LW39" s="214"/>
      <c r="LX39" s="214"/>
      <c r="LY39" s="214"/>
      <c r="LZ39" s="214"/>
      <c r="MA39" s="214"/>
      <c r="MB39" s="214"/>
      <c r="MC39" s="214"/>
      <c r="MD39" s="214"/>
      <c r="ME39" s="214"/>
      <c r="MF39" s="214"/>
      <c r="MG39" s="214"/>
      <c r="MH39" s="214"/>
      <c r="MI39" s="214"/>
      <c r="MJ39" s="214"/>
      <c r="MK39" s="214"/>
      <c r="ML39" s="214"/>
      <c r="MM39" s="214"/>
      <c r="MN39" s="214"/>
      <c r="MO39" s="214"/>
      <c r="MP39" s="214"/>
      <c r="MQ39" s="214"/>
      <c r="MR39" s="214"/>
      <c r="MS39" s="214"/>
      <c r="MT39" s="214"/>
      <c r="MU39" s="214"/>
      <c r="MV39" s="214"/>
      <c r="MW39" s="214"/>
      <c r="MX39" s="214"/>
      <c r="MY39" s="214"/>
      <c r="MZ39" s="214"/>
      <c r="NA39" s="214"/>
      <c r="NB39" s="214"/>
      <c r="NC39" s="214"/>
      <c r="ND39" s="214"/>
      <c r="NE39" s="214"/>
      <c r="NF39" s="214"/>
      <c r="NG39" s="214"/>
      <c r="NH39" s="214"/>
      <c r="NI39" s="214"/>
      <c r="NJ39" s="214"/>
      <c r="NK39" s="214"/>
      <c r="NL39" s="214"/>
      <c r="NM39" s="214"/>
      <c r="NN39" s="214"/>
      <c r="NO39" s="214"/>
      <c r="NP39" s="214"/>
      <c r="NQ39" s="214"/>
      <c r="NR39" s="214"/>
      <c r="NS39" s="214"/>
      <c r="NT39" s="214"/>
      <c r="NU39" s="214"/>
      <c r="NV39" s="214"/>
      <c r="NW39" s="214"/>
      <c r="NX39" s="214"/>
      <c r="NY39" s="214"/>
      <c r="NZ39" s="214"/>
      <c r="OA39" s="214"/>
      <c r="OB39" s="214"/>
      <c r="OC39" s="214"/>
      <c r="OD39" s="214"/>
      <c r="OE39" s="214"/>
      <c r="OF39" s="214"/>
      <c r="OG39" s="214"/>
      <c r="OH39" s="214"/>
      <c r="OI39" s="214"/>
      <c r="OJ39" s="214"/>
      <c r="OK39" s="214"/>
      <c r="OL39" s="214"/>
      <c r="OM39" s="214"/>
      <c r="ON39" s="214"/>
      <c r="OO39" s="214"/>
      <c r="OP39" s="214"/>
      <c r="OQ39" s="214"/>
      <c r="OR39" s="214"/>
      <c r="OS39" s="214"/>
      <c r="OT39" s="214"/>
      <c r="OU39" s="214"/>
      <c r="OV39" s="214"/>
      <c r="OW39" s="214"/>
      <c r="OX39" s="214"/>
      <c r="OY39" s="214"/>
      <c r="OZ39" s="214"/>
      <c r="PA39" s="214"/>
      <c r="PB39" s="214"/>
      <c r="PC39" s="214"/>
      <c r="PD39" s="214"/>
      <c r="PE39" s="214"/>
      <c r="PF39" s="214"/>
      <c r="PG39" s="214"/>
      <c r="PH39" s="214"/>
      <c r="PI39" s="214"/>
      <c r="PJ39" s="214"/>
      <c r="PK39" s="214"/>
      <c r="PL39" s="214"/>
      <c r="PM39" s="214"/>
      <c r="PN39" s="214"/>
      <c r="PO39" s="214"/>
      <c r="PP39" s="214"/>
      <c r="PQ39" s="214"/>
      <c r="PR39" s="214"/>
      <c r="PS39" s="214"/>
      <c r="PT39" s="214"/>
      <c r="PU39" s="214"/>
      <c r="PV39" s="214"/>
      <c r="PW39" s="214"/>
      <c r="PX39" s="214"/>
      <c r="PY39" s="214"/>
      <c r="PZ39" s="214"/>
      <c r="QA39" s="214"/>
      <c r="QB39" s="214"/>
      <c r="QC39" s="214"/>
      <c r="QD39" s="214"/>
      <c r="QE39" s="214"/>
      <c r="QF39" s="214"/>
      <c r="QG39" s="214"/>
      <c r="QH39" s="214"/>
      <c r="QI39" s="214"/>
      <c r="QJ39" s="214"/>
      <c r="QK39" s="214"/>
      <c r="QL39" s="214"/>
      <c r="QM39" s="214"/>
      <c r="QN39" s="214"/>
      <c r="QO39" s="214"/>
      <c r="QP39" s="214"/>
      <c r="QQ39" s="214"/>
      <c r="QR39" s="214"/>
      <c r="QS39" s="214"/>
      <c r="QT39" s="214"/>
      <c r="QU39" s="214"/>
      <c r="QV39" s="214"/>
      <c r="QW39" s="214"/>
      <c r="QX39" s="214"/>
      <c r="QY39" s="214"/>
      <c r="QZ39" s="214"/>
      <c r="RA39" s="214"/>
      <c r="RB39" s="214"/>
      <c r="RC39" s="214"/>
      <c r="RD39" s="214"/>
      <c r="RE39" s="214"/>
      <c r="RF39" s="214"/>
      <c r="RG39" s="214"/>
      <c r="RH39" s="214"/>
      <c r="RI39" s="214"/>
      <c r="RJ39" s="214"/>
      <c r="RK39" s="214"/>
      <c r="RL39" s="214"/>
      <c r="RM39" s="214"/>
      <c r="RN39" s="214"/>
      <c r="RO39" s="214"/>
      <c r="RP39" s="214"/>
      <c r="RQ39" s="214"/>
      <c r="RR39" s="214"/>
      <c r="RS39" s="214"/>
      <c r="RT39" s="214"/>
      <c r="RU39" s="214"/>
      <c r="RV39" s="214"/>
      <c r="RW39" s="214"/>
      <c r="RX39" s="214"/>
      <c r="RY39" s="214"/>
      <c r="RZ39" s="214"/>
      <c r="SA39" s="214"/>
      <c r="SB39" s="214"/>
      <c r="SC39" s="214"/>
      <c r="SD39" s="214"/>
      <c r="SE39" s="214"/>
      <c r="SF39" s="214"/>
      <c r="SG39" s="214"/>
      <c r="SH39" s="214"/>
      <c r="SI39" s="214"/>
      <c r="SJ39" s="214"/>
      <c r="SK39" s="214"/>
      <c r="SL39" s="214"/>
      <c r="SM39" s="214"/>
      <c r="SN39" s="214"/>
      <c r="SO39" s="214"/>
      <c r="SP39" s="214"/>
      <c r="SQ39" s="214"/>
      <c r="SR39" s="214"/>
      <c r="SS39" s="214"/>
      <c r="ST39" s="214"/>
      <c r="SU39" s="214"/>
      <c r="SV39" s="214"/>
      <c r="SW39" s="214"/>
      <c r="SX39" s="214"/>
      <c r="SY39" s="214"/>
      <c r="SZ39" s="214"/>
      <c r="TA39" s="214"/>
      <c r="TB39" s="214"/>
      <c r="TC39" s="214"/>
      <c r="TD39" s="214"/>
      <c r="TE39" s="214"/>
      <c r="TF39" s="214"/>
      <c r="TG39" s="214"/>
      <c r="TH39" s="214"/>
      <c r="TI39" s="214"/>
      <c r="TJ39" s="214"/>
      <c r="TK39" s="214"/>
      <c r="TL39" s="214"/>
      <c r="TM39" s="214"/>
      <c r="TN39" s="214"/>
      <c r="TO39" s="214"/>
      <c r="TP39" s="214"/>
      <c r="TQ39" s="214"/>
      <c r="TR39" s="214"/>
      <c r="TS39" s="214"/>
      <c r="TT39" s="214"/>
      <c r="TU39" s="214"/>
      <c r="TV39" s="214"/>
      <c r="TW39" s="214"/>
      <c r="TX39" s="214"/>
      <c r="TY39" s="214"/>
      <c r="TZ39" s="214"/>
      <c r="UA39" s="214"/>
      <c r="UB39" s="214"/>
      <c r="UC39" s="214"/>
      <c r="UD39" s="214"/>
      <c r="UE39" s="214"/>
      <c r="UF39" s="214"/>
      <c r="UG39" s="214"/>
      <c r="UH39" s="214"/>
      <c r="UI39" s="214"/>
      <c r="UJ39" s="214"/>
      <c r="UK39" s="214"/>
      <c r="UL39" s="214"/>
      <c r="UM39" s="214"/>
      <c r="UN39" s="214"/>
      <c r="UO39" s="214"/>
      <c r="UP39" s="214"/>
      <c r="UQ39" s="214"/>
      <c r="UR39" s="214"/>
      <c r="US39" s="214"/>
      <c r="UT39" s="214"/>
      <c r="UU39" s="214"/>
      <c r="UV39" s="214"/>
      <c r="UW39" s="214"/>
      <c r="UX39" s="214"/>
      <c r="UY39" s="214"/>
      <c r="UZ39" s="214"/>
      <c r="VA39" s="214"/>
      <c r="VB39" s="214"/>
      <c r="VC39" s="214"/>
      <c r="VD39" s="214"/>
      <c r="VE39" s="214"/>
      <c r="VF39" s="214"/>
      <c r="VG39" s="214"/>
      <c r="VH39" s="214"/>
      <c r="VI39" s="214"/>
      <c r="VJ39" s="214"/>
      <c r="VK39" s="214"/>
      <c r="VL39" s="214"/>
      <c r="VM39" s="214"/>
      <c r="VN39" s="214"/>
      <c r="VO39" s="214"/>
      <c r="VP39" s="214"/>
      <c r="VQ39" s="214"/>
      <c r="VR39" s="214"/>
      <c r="VS39" s="214"/>
      <c r="VT39" s="214"/>
      <c r="VU39" s="214"/>
      <c r="VV39" s="214"/>
      <c r="VW39" s="214"/>
      <c r="VX39" s="214"/>
      <c r="VY39" s="214"/>
      <c r="VZ39" s="214"/>
      <c r="WA39" s="214"/>
      <c r="WB39" s="214"/>
      <c r="WC39" s="214"/>
      <c r="WD39" s="214"/>
      <c r="WE39" s="214"/>
      <c r="WF39" s="214"/>
      <c r="WG39" s="214"/>
      <c r="WH39" s="214"/>
      <c r="WI39" s="214"/>
      <c r="WJ39" s="214"/>
      <c r="WK39" s="214"/>
      <c r="WL39" s="214"/>
      <c r="WM39" s="214"/>
      <c r="WN39" s="214"/>
      <c r="WO39" s="214"/>
      <c r="WP39" s="214"/>
      <c r="WQ39" s="214"/>
      <c r="WR39" s="214"/>
      <c r="WS39" s="214"/>
      <c r="WT39" s="214"/>
      <c r="WU39" s="214"/>
      <c r="WV39" s="214"/>
      <c r="WW39" s="214"/>
      <c r="WX39" s="214"/>
      <c r="WY39" s="214"/>
      <c r="WZ39" s="214"/>
      <c r="XA39" s="214"/>
      <c r="XB39" s="214"/>
      <c r="XC39" s="214"/>
      <c r="XD39" s="214"/>
      <c r="XE39" s="214"/>
      <c r="XF39" s="214"/>
      <c r="XG39" s="214"/>
      <c r="XH39" s="214"/>
      <c r="XI39" s="214"/>
      <c r="XJ39" s="214"/>
      <c r="XK39" s="214"/>
      <c r="XL39" s="214"/>
      <c r="XM39" s="214"/>
      <c r="XN39" s="214"/>
      <c r="XO39" s="214"/>
      <c r="XP39" s="214"/>
      <c r="XQ39" s="214"/>
      <c r="XR39" s="214"/>
      <c r="XS39" s="214"/>
      <c r="XT39" s="214"/>
      <c r="XU39" s="214"/>
      <c r="XV39" s="214"/>
      <c r="XW39" s="214"/>
      <c r="XX39" s="214"/>
      <c r="XY39" s="214"/>
      <c r="XZ39" s="214"/>
      <c r="YA39" s="214"/>
      <c r="YB39" s="214"/>
      <c r="YC39" s="214"/>
      <c r="YD39" s="214"/>
      <c r="YE39" s="214"/>
      <c r="YF39" s="214"/>
      <c r="YG39" s="214"/>
      <c r="YH39" s="214"/>
      <c r="YI39" s="214"/>
      <c r="YJ39" s="214"/>
      <c r="YK39" s="214"/>
      <c r="YL39" s="214"/>
      <c r="YM39" s="214"/>
      <c r="YN39" s="214"/>
      <c r="YO39" s="214"/>
      <c r="YP39" s="214"/>
      <c r="YQ39" s="214"/>
      <c r="YR39" s="214"/>
      <c r="YS39" s="214"/>
      <c r="YT39" s="214"/>
      <c r="YU39" s="214"/>
      <c r="YV39" s="214"/>
      <c r="YW39" s="214"/>
      <c r="YX39" s="214"/>
      <c r="YY39" s="214"/>
      <c r="YZ39" s="214"/>
      <c r="ZA39" s="214"/>
      <c r="ZB39" s="214"/>
      <c r="ZC39" s="214"/>
      <c r="ZD39" s="214"/>
      <c r="ZE39" s="214"/>
      <c r="ZF39" s="214"/>
      <c r="ZG39" s="214"/>
      <c r="ZH39" s="214"/>
      <c r="ZI39" s="214"/>
      <c r="ZJ39" s="214"/>
      <c r="ZK39" s="214"/>
      <c r="ZL39" s="214"/>
      <c r="ZM39" s="214"/>
      <c r="ZN39" s="214"/>
      <c r="ZO39" s="214"/>
      <c r="ZP39" s="214"/>
      <c r="ZQ39" s="214"/>
      <c r="ZR39" s="214"/>
      <c r="ZS39" s="214"/>
      <c r="ZT39" s="214"/>
      <c r="ZU39" s="214"/>
      <c r="ZV39" s="214"/>
      <c r="ZW39" s="214"/>
      <c r="ZX39" s="214"/>
      <c r="ZY39" s="214"/>
      <c r="ZZ39" s="214"/>
      <c r="AAA39" s="214"/>
      <c r="AAB39" s="214"/>
      <c r="AAC39" s="214"/>
      <c r="AAD39" s="214"/>
      <c r="AAE39" s="214"/>
      <c r="AAF39" s="214"/>
      <c r="AAG39" s="214"/>
      <c r="AAH39" s="214"/>
      <c r="AAI39" s="214"/>
      <c r="AAJ39" s="214"/>
      <c r="AAK39" s="214"/>
      <c r="AAL39" s="214"/>
      <c r="AAM39" s="214"/>
      <c r="AAN39" s="214"/>
      <c r="AAO39" s="214"/>
      <c r="AAP39" s="214"/>
      <c r="AAQ39" s="214"/>
      <c r="AAR39" s="214"/>
      <c r="AAS39" s="214"/>
      <c r="AAT39" s="214"/>
      <c r="AAU39" s="214"/>
      <c r="AAV39" s="214"/>
      <c r="AAW39" s="214"/>
      <c r="AAX39" s="214"/>
      <c r="AAY39" s="214"/>
      <c r="AAZ39" s="214"/>
      <c r="ABA39" s="214"/>
      <c r="ABB39" s="214"/>
      <c r="ABC39" s="214"/>
      <c r="ABD39" s="214"/>
      <c r="ABE39" s="214"/>
      <c r="ABF39" s="214"/>
      <c r="ABG39" s="214"/>
      <c r="ABH39" s="214"/>
      <c r="ABI39" s="214"/>
      <c r="ABJ39" s="214"/>
      <c r="ABK39" s="214"/>
      <c r="ABL39" s="214"/>
      <c r="ABM39" s="214"/>
      <c r="ABN39" s="214"/>
      <c r="ABO39" s="214"/>
      <c r="ABP39" s="214"/>
      <c r="ABQ39" s="214"/>
      <c r="ABR39" s="214"/>
      <c r="ABS39" s="214"/>
      <c r="ABT39" s="214"/>
      <c r="ABU39" s="214"/>
      <c r="ABV39" s="214"/>
      <c r="ABW39" s="214"/>
      <c r="ABX39" s="214"/>
      <c r="ABY39" s="214"/>
      <c r="ABZ39" s="214"/>
      <c r="ACA39" s="214"/>
      <c r="ACB39" s="214"/>
      <c r="ACC39" s="214"/>
      <c r="ACD39" s="214"/>
      <c r="ACE39" s="214"/>
      <c r="ACF39" s="214"/>
      <c r="ACG39" s="214"/>
      <c r="ACH39" s="214"/>
      <c r="ACI39" s="214"/>
      <c r="ACJ39" s="214"/>
      <c r="ACK39" s="214"/>
      <c r="ACL39" s="214"/>
      <c r="ACM39" s="214"/>
      <c r="ACN39" s="214"/>
      <c r="ACO39" s="214"/>
      <c r="ACP39" s="214"/>
      <c r="ACQ39" s="214"/>
      <c r="ACR39" s="214"/>
      <c r="ACS39" s="214"/>
      <c r="ACT39" s="214"/>
      <c r="ACU39" s="214"/>
      <c r="ACV39" s="214"/>
      <c r="ACW39" s="214"/>
      <c r="ACX39" s="214"/>
      <c r="ACY39" s="214"/>
      <c r="ACZ39" s="214"/>
      <c r="ADA39" s="214"/>
      <c r="ADB39" s="214"/>
      <c r="ADC39" s="214"/>
      <c r="ADD39" s="214"/>
      <c r="ADE39" s="214"/>
      <c r="ADF39" s="214"/>
      <c r="ADG39" s="214"/>
      <c r="ADH39" s="214"/>
      <c r="ADI39" s="214"/>
      <c r="ADJ39" s="214"/>
      <c r="ADK39" s="214"/>
      <c r="ADL39" s="214"/>
      <c r="ADM39" s="214"/>
      <c r="ADN39" s="214"/>
      <c r="ADO39" s="214"/>
      <c r="ADP39" s="214"/>
      <c r="ADQ39" s="214"/>
      <c r="ADR39" s="214"/>
      <c r="ADS39" s="214"/>
      <c r="ADT39" s="214"/>
      <c r="ADU39" s="214"/>
      <c r="ADV39" s="214"/>
      <c r="ADW39" s="214"/>
      <c r="ADX39" s="214"/>
      <c r="ADY39" s="214"/>
      <c r="ADZ39" s="214"/>
      <c r="AEA39" s="214"/>
      <c r="AEB39" s="214"/>
      <c r="AEC39" s="214"/>
      <c r="AED39" s="214"/>
      <c r="AEE39" s="214"/>
      <c r="AEF39" s="214"/>
      <c r="AEG39" s="214"/>
      <c r="AEH39" s="214"/>
      <c r="AEI39" s="214"/>
      <c r="AEJ39" s="214"/>
      <c r="AEK39" s="214"/>
      <c r="AEL39" s="214"/>
      <c r="AEM39" s="214"/>
      <c r="AEN39" s="214"/>
      <c r="AEO39" s="214"/>
      <c r="AEP39" s="214"/>
      <c r="AEQ39" s="214"/>
      <c r="AER39" s="214"/>
      <c r="AES39" s="214"/>
      <c r="AET39" s="214"/>
      <c r="AEU39" s="214"/>
      <c r="AEV39" s="214"/>
      <c r="AEW39" s="214"/>
      <c r="AEX39" s="214"/>
      <c r="AEY39" s="214"/>
      <c r="AEZ39" s="214"/>
      <c r="AFA39" s="214"/>
      <c r="AFB39" s="214"/>
      <c r="AFC39" s="214"/>
      <c r="AFD39" s="214"/>
      <c r="AFE39" s="214"/>
      <c r="AFF39" s="214"/>
      <c r="AFG39" s="214"/>
      <c r="AFH39" s="214"/>
      <c r="AFI39" s="214"/>
      <c r="AFJ39" s="214"/>
      <c r="AFK39" s="214"/>
      <c r="AFL39" s="214"/>
      <c r="AFM39" s="214"/>
      <c r="AFN39" s="214"/>
      <c r="AFO39" s="214"/>
      <c r="AFP39" s="214"/>
      <c r="AFQ39" s="214"/>
      <c r="AFR39" s="214"/>
      <c r="AFS39" s="214"/>
      <c r="AFT39" s="214"/>
      <c r="AFU39" s="214"/>
      <c r="AFV39" s="214"/>
      <c r="AFW39" s="214"/>
      <c r="AFX39" s="214"/>
      <c r="AFY39" s="214"/>
      <c r="AFZ39" s="214"/>
      <c r="AGA39" s="214"/>
      <c r="AGB39" s="214"/>
      <c r="AGC39" s="214"/>
      <c r="AGD39" s="214"/>
      <c r="AGE39" s="214"/>
      <c r="AGF39" s="214"/>
      <c r="AGG39" s="214"/>
      <c r="AGH39" s="214"/>
      <c r="AGI39" s="214"/>
      <c r="AGJ39" s="214"/>
      <c r="AGK39" s="214"/>
      <c r="AGL39" s="214"/>
      <c r="AGM39" s="214"/>
      <c r="AGN39" s="214"/>
      <c r="AGO39" s="214"/>
      <c r="AGP39" s="214"/>
      <c r="AGQ39" s="214"/>
      <c r="AGR39" s="214"/>
      <c r="AGS39" s="214"/>
      <c r="AGT39" s="214"/>
      <c r="AGU39" s="214"/>
      <c r="AGV39" s="214"/>
      <c r="AGW39" s="214"/>
      <c r="AGX39" s="214"/>
      <c r="AGY39" s="214"/>
      <c r="AGZ39" s="214"/>
      <c r="AHA39" s="214"/>
      <c r="AHB39" s="214"/>
      <c r="AHC39" s="214"/>
      <c r="AHD39" s="214"/>
      <c r="AHE39" s="214"/>
      <c r="AHF39" s="214"/>
      <c r="AHG39" s="214"/>
      <c r="AHH39" s="214"/>
      <c r="AHI39" s="214"/>
      <c r="AHJ39" s="214"/>
      <c r="AHK39" s="214"/>
      <c r="AHL39" s="214"/>
      <c r="AHM39" s="214"/>
      <c r="AHN39" s="214"/>
      <c r="AHO39" s="214"/>
      <c r="AHP39" s="214"/>
      <c r="AHQ39" s="214"/>
      <c r="AHR39" s="214"/>
      <c r="AHS39" s="214"/>
      <c r="AHT39" s="214"/>
      <c r="AHU39" s="214"/>
      <c r="AHV39" s="214"/>
      <c r="AHW39" s="214"/>
      <c r="AHX39" s="214"/>
      <c r="AHY39" s="214"/>
      <c r="AHZ39" s="214"/>
      <c r="AIA39" s="214"/>
      <c r="AIB39" s="214"/>
      <c r="AIC39" s="214"/>
      <c r="AID39" s="214"/>
      <c r="AIE39" s="214"/>
      <c r="AIF39" s="214"/>
      <c r="AIG39" s="214"/>
      <c r="AIH39" s="214"/>
      <c r="AII39" s="214"/>
      <c r="AIJ39" s="214"/>
      <c r="AIK39" s="214"/>
      <c r="AIL39" s="214"/>
      <c r="AIM39" s="214"/>
      <c r="AIN39" s="214"/>
      <c r="AIO39" s="214"/>
      <c r="AIP39" s="214"/>
      <c r="AIQ39" s="214"/>
      <c r="AIR39" s="214"/>
      <c r="AIS39" s="214"/>
      <c r="AIT39" s="214"/>
      <c r="AIU39" s="214"/>
      <c r="AIV39" s="214"/>
      <c r="AIW39" s="214"/>
      <c r="AIX39" s="214"/>
      <c r="AIY39" s="214"/>
      <c r="AIZ39" s="214"/>
      <c r="AJA39" s="214"/>
      <c r="AJB39" s="214"/>
      <c r="AJC39" s="214"/>
      <c r="AJD39" s="214"/>
      <c r="AJE39" s="214"/>
      <c r="AJF39" s="214"/>
      <c r="AJG39" s="214"/>
      <c r="AJH39" s="214"/>
      <c r="AJI39" s="214"/>
      <c r="AJJ39" s="214"/>
      <c r="AJK39" s="214"/>
      <c r="AJL39" s="214"/>
      <c r="AJM39" s="214"/>
      <c r="AJN39" s="214"/>
      <c r="AJO39" s="214"/>
      <c r="AJP39" s="214"/>
      <c r="AJQ39" s="214"/>
      <c r="AJR39" s="214"/>
      <c r="AJS39" s="214"/>
      <c r="AJT39" s="214"/>
      <c r="AJU39" s="214"/>
      <c r="AJV39" s="214"/>
      <c r="AJW39" s="214"/>
      <c r="AJX39" s="214"/>
      <c r="AJY39" s="214"/>
      <c r="AJZ39" s="214"/>
      <c r="AKA39" s="214"/>
      <c r="AKB39" s="214"/>
      <c r="AKC39" s="214"/>
      <c r="AKD39" s="214"/>
      <c r="AKE39" s="214"/>
      <c r="AKF39" s="214"/>
      <c r="AKG39" s="214"/>
      <c r="AKH39" s="214"/>
      <c r="AKI39" s="214"/>
      <c r="AKJ39" s="214"/>
      <c r="AKK39" s="214"/>
      <c r="AKL39" s="214"/>
      <c r="AKM39" s="214"/>
      <c r="AKN39" s="214"/>
      <c r="AKO39" s="214"/>
      <c r="AKP39" s="214"/>
      <c r="AKQ39" s="214"/>
      <c r="AKR39" s="214"/>
      <c r="AKS39" s="214"/>
      <c r="AKT39" s="214"/>
      <c r="AKU39" s="214"/>
      <c r="AKV39" s="214"/>
      <c r="AKW39" s="214"/>
      <c r="AKX39" s="214"/>
      <c r="AKY39" s="214"/>
      <c r="AKZ39" s="214"/>
      <c r="ALA39" s="214"/>
      <c r="ALB39" s="214"/>
      <c r="ALC39" s="214"/>
      <c r="ALD39" s="214"/>
      <c r="ALE39" s="214"/>
      <c r="ALF39" s="214"/>
      <c r="ALG39" s="214"/>
      <c r="ALH39" s="214"/>
      <c r="ALI39" s="214"/>
      <c r="ALJ39" s="214"/>
      <c r="ALK39" s="214"/>
      <c r="ALL39" s="214"/>
      <c r="ALM39" s="214"/>
      <c r="ALN39" s="214"/>
      <c r="ALO39" s="214"/>
      <c r="ALP39" s="214"/>
      <c r="ALQ39" s="214"/>
      <c r="ALR39" s="214"/>
      <c r="ALS39" s="214"/>
      <c r="ALT39" s="214"/>
      <c r="ALU39" s="214"/>
      <c r="ALV39" s="214"/>
      <c r="ALW39" s="214"/>
      <c r="ALX39" s="214"/>
      <c r="ALY39" s="214"/>
      <c r="ALZ39" s="214"/>
      <c r="AMA39" s="214"/>
      <c r="AMB39" s="214"/>
      <c r="AMC39" s="214"/>
      <c r="AMD39" s="214"/>
      <c r="AME39" s="214"/>
      <c r="AMF39" s="214"/>
      <c r="AMG39" s="214"/>
      <c r="AMH39" s="214"/>
      <c r="AMI39" s="214"/>
      <c r="AMJ39" s="214"/>
      <c r="AMK39" s="214"/>
      <c r="AML39" s="214"/>
      <c r="AMM39" s="214"/>
      <c r="AMN39" s="214"/>
      <c r="AMO39" s="214"/>
      <c r="AMP39" s="214"/>
      <c r="AMQ39" s="214"/>
      <c r="AMR39" s="214"/>
      <c r="AMS39" s="214"/>
      <c r="AMT39" s="214"/>
      <c r="AMU39" s="214"/>
      <c r="AMV39" s="214"/>
      <c r="AMW39" s="214"/>
      <c r="AMX39" s="214"/>
      <c r="AMY39" s="214"/>
      <c r="AMZ39" s="214"/>
      <c r="ANA39" s="214"/>
      <c r="ANB39" s="214"/>
      <c r="ANC39" s="214"/>
      <c r="AND39" s="214"/>
      <c r="ANE39" s="214"/>
      <c r="ANF39" s="214"/>
      <c r="ANG39" s="214"/>
      <c r="ANH39" s="214"/>
      <c r="ANI39" s="214"/>
      <c r="ANJ39" s="214"/>
      <c r="ANK39" s="214"/>
      <c r="ANL39" s="214"/>
      <c r="ANM39" s="214"/>
      <c r="ANN39" s="214"/>
      <c r="ANO39" s="214"/>
      <c r="ANP39" s="214"/>
      <c r="ANQ39" s="214"/>
      <c r="ANR39" s="214"/>
      <c r="ANS39" s="214"/>
      <c r="ANT39" s="214"/>
      <c r="ANU39" s="214"/>
      <c r="ANV39" s="214"/>
      <c r="ANW39" s="214"/>
      <c r="ANX39" s="214"/>
      <c r="ANY39" s="214"/>
      <c r="ANZ39" s="214"/>
      <c r="AOA39" s="214"/>
      <c r="AOB39" s="214"/>
      <c r="AOC39" s="214"/>
      <c r="AOD39" s="214"/>
      <c r="AOE39" s="214"/>
      <c r="AOF39" s="214"/>
      <c r="AOG39" s="214"/>
      <c r="AOH39" s="214"/>
      <c r="AOI39" s="214"/>
      <c r="AOJ39" s="214"/>
      <c r="AOK39" s="214"/>
      <c r="AOL39" s="214"/>
      <c r="AOM39" s="214"/>
      <c r="AON39" s="214"/>
      <c r="AOO39" s="214"/>
      <c r="AOP39" s="214"/>
      <c r="AOQ39" s="214"/>
      <c r="AOR39" s="214"/>
      <c r="AOS39" s="214"/>
      <c r="AOT39" s="214"/>
      <c r="AOU39" s="214"/>
      <c r="AOV39" s="214"/>
      <c r="AOW39" s="214"/>
      <c r="AOX39" s="214"/>
      <c r="AOY39" s="214"/>
      <c r="AOZ39" s="214"/>
      <c r="APA39" s="214"/>
      <c r="APB39" s="214"/>
      <c r="APC39" s="214"/>
      <c r="APD39" s="214"/>
      <c r="APE39" s="214"/>
      <c r="APF39" s="214"/>
      <c r="APG39" s="214"/>
      <c r="APH39" s="214"/>
      <c r="API39" s="214"/>
      <c r="APJ39" s="214"/>
      <c r="APK39" s="214"/>
      <c r="APL39" s="214"/>
      <c r="APM39" s="214"/>
      <c r="APN39" s="214"/>
      <c r="APO39" s="214"/>
      <c r="APP39" s="214"/>
      <c r="APQ39" s="214"/>
      <c r="APR39" s="214"/>
      <c r="APS39" s="214"/>
      <c r="APT39" s="214"/>
      <c r="APU39" s="214"/>
      <c r="APV39" s="214"/>
      <c r="APW39" s="214"/>
      <c r="APX39" s="214"/>
      <c r="APY39" s="214"/>
      <c r="APZ39" s="214"/>
      <c r="AQA39" s="214"/>
      <c r="AQB39" s="214"/>
      <c r="AQC39" s="214"/>
      <c r="AQD39" s="214"/>
      <c r="AQE39" s="214"/>
      <c r="AQF39" s="214"/>
      <c r="AQG39" s="214"/>
      <c r="AQH39" s="214"/>
      <c r="AQI39" s="214"/>
      <c r="AQJ39" s="214"/>
      <c r="AQK39" s="214"/>
      <c r="AQL39" s="214"/>
      <c r="AQM39" s="214"/>
      <c r="AQN39" s="214"/>
      <c r="AQO39" s="214"/>
      <c r="AQP39" s="214"/>
      <c r="AQQ39" s="214"/>
      <c r="AQR39" s="214"/>
      <c r="AQS39" s="214"/>
      <c r="AQT39" s="214"/>
      <c r="AQU39" s="214"/>
      <c r="AQV39" s="214"/>
      <c r="AQW39" s="214"/>
      <c r="AQX39" s="214"/>
      <c r="AQY39" s="214"/>
      <c r="AQZ39" s="214"/>
      <c r="ARA39" s="214"/>
      <c r="ARB39" s="214"/>
      <c r="ARC39" s="214"/>
      <c r="ARD39" s="214"/>
      <c r="ARE39" s="214"/>
      <c r="ARF39" s="214"/>
      <c r="ARG39" s="214"/>
      <c r="ARH39" s="214"/>
      <c r="ARI39" s="214"/>
      <c r="ARJ39" s="214"/>
      <c r="ARK39" s="214"/>
      <c r="ARL39" s="214"/>
      <c r="ARM39" s="214"/>
      <c r="ARN39" s="214"/>
      <c r="ARO39" s="214"/>
      <c r="ARP39" s="214"/>
      <c r="ARQ39" s="214"/>
      <c r="ARR39" s="214"/>
      <c r="ARS39" s="214"/>
      <c r="ART39" s="214"/>
      <c r="ARU39" s="214"/>
      <c r="ARV39" s="214"/>
      <c r="ARW39" s="214"/>
      <c r="ARX39" s="214"/>
      <c r="ARY39" s="214"/>
      <c r="ARZ39" s="214"/>
      <c r="ASA39" s="214"/>
      <c r="ASB39" s="214"/>
      <c r="ASC39" s="214"/>
      <c r="ASD39" s="214"/>
      <c r="ASE39" s="214"/>
      <c r="ASF39" s="214"/>
      <c r="ASG39" s="214"/>
      <c r="ASH39" s="214"/>
      <c r="ASI39" s="214"/>
      <c r="ASJ39" s="214"/>
      <c r="ASK39" s="214"/>
      <c r="ASL39" s="214"/>
      <c r="ASM39" s="214"/>
      <c r="ASN39" s="214"/>
      <c r="ASO39" s="214"/>
      <c r="ASP39" s="214"/>
      <c r="ASQ39" s="214"/>
      <c r="ASR39" s="214"/>
      <c r="ASS39" s="214"/>
      <c r="AST39" s="214"/>
      <c r="ASU39" s="214"/>
      <c r="ASV39" s="214"/>
      <c r="ASW39" s="214"/>
      <c r="ASX39" s="214"/>
      <c r="ASY39" s="214"/>
      <c r="ASZ39" s="214"/>
      <c r="ATA39" s="214"/>
      <c r="ATB39" s="214"/>
      <c r="ATC39" s="214"/>
      <c r="ATD39" s="214"/>
      <c r="ATE39" s="214"/>
      <c r="ATF39" s="214"/>
      <c r="ATG39" s="214"/>
      <c r="ATH39" s="214"/>
      <c r="ATI39" s="214"/>
      <c r="ATJ39" s="214"/>
      <c r="ATK39" s="214"/>
      <c r="ATL39" s="214"/>
      <c r="ATM39" s="214"/>
      <c r="ATN39" s="214"/>
      <c r="ATO39" s="214"/>
      <c r="ATP39" s="214"/>
      <c r="ATQ39" s="214"/>
      <c r="ATR39" s="214"/>
      <c r="ATS39" s="214"/>
      <c r="ATT39" s="214"/>
      <c r="ATU39" s="214"/>
      <c r="ATV39" s="214"/>
      <c r="ATW39" s="214"/>
      <c r="ATX39" s="214"/>
      <c r="ATY39" s="214"/>
      <c r="ATZ39" s="214"/>
      <c r="AUA39" s="214"/>
      <c r="AUB39" s="214"/>
      <c r="AUC39" s="214"/>
      <c r="AUD39" s="214"/>
      <c r="AUE39" s="214"/>
      <c r="AUF39" s="214"/>
      <c r="AUG39" s="214"/>
      <c r="AUH39" s="214"/>
      <c r="AUI39" s="214"/>
      <c r="AUJ39" s="214"/>
      <c r="AUK39" s="214"/>
      <c r="AUL39" s="214"/>
      <c r="AUM39" s="214"/>
      <c r="AUN39" s="214"/>
      <c r="AUO39" s="214"/>
      <c r="AUP39" s="214"/>
      <c r="AUQ39" s="214"/>
      <c r="AUR39" s="214"/>
      <c r="AUS39" s="214"/>
      <c r="AUT39" s="214"/>
      <c r="AUU39" s="214"/>
      <c r="AUV39" s="214"/>
      <c r="AUW39" s="214"/>
      <c r="AUX39" s="214"/>
      <c r="AUY39" s="214"/>
      <c r="AUZ39" s="214"/>
      <c r="AVA39" s="214"/>
      <c r="AVB39" s="214"/>
      <c r="AVC39" s="214"/>
      <c r="AVD39" s="214"/>
      <c r="AVE39" s="214"/>
      <c r="AVF39" s="214"/>
      <c r="AVG39" s="214"/>
      <c r="AVH39" s="214"/>
      <c r="AVI39" s="214"/>
      <c r="AVJ39" s="214"/>
      <c r="AVK39" s="214"/>
      <c r="AVL39" s="214"/>
      <c r="AVM39" s="214"/>
      <c r="AVN39" s="214"/>
      <c r="AVO39" s="214"/>
      <c r="AVP39" s="214"/>
      <c r="AVQ39" s="214"/>
      <c r="AVR39" s="214"/>
      <c r="AVS39" s="214"/>
      <c r="AVT39" s="214"/>
      <c r="AVU39" s="214"/>
      <c r="AVV39" s="214"/>
      <c r="AVW39" s="214"/>
      <c r="AVX39" s="214"/>
      <c r="AVY39" s="214"/>
      <c r="AVZ39" s="214"/>
      <c r="AWA39" s="214"/>
      <c r="AWB39" s="214"/>
      <c r="AWC39" s="214"/>
      <c r="AWD39" s="214"/>
      <c r="AWE39" s="214"/>
      <c r="AWF39" s="214"/>
      <c r="AWG39" s="214"/>
      <c r="AWH39" s="214"/>
      <c r="AWI39" s="214"/>
      <c r="AWJ39" s="214"/>
      <c r="AWK39" s="214"/>
      <c r="AWL39" s="214"/>
      <c r="AWM39" s="214"/>
      <c r="AWN39" s="214"/>
      <c r="AWO39" s="214"/>
      <c r="AWP39" s="214"/>
      <c r="AWQ39" s="214"/>
      <c r="AWR39" s="214"/>
      <c r="AWS39" s="214"/>
      <c r="AWT39" s="214"/>
      <c r="AWU39" s="214"/>
      <c r="AWV39" s="214"/>
      <c r="AWW39" s="214"/>
      <c r="AWX39" s="214"/>
      <c r="AWY39" s="214"/>
      <c r="AWZ39" s="214"/>
      <c r="AXA39" s="214"/>
      <c r="AXB39" s="214"/>
      <c r="AXC39" s="214"/>
      <c r="AXD39" s="214"/>
      <c r="AXE39" s="214"/>
      <c r="AXF39" s="214"/>
      <c r="AXG39" s="214"/>
      <c r="AXH39" s="214"/>
      <c r="AXI39" s="214"/>
      <c r="AXJ39" s="214"/>
      <c r="AXK39" s="214"/>
      <c r="AXL39" s="214"/>
      <c r="AXM39" s="214"/>
      <c r="AXN39" s="214"/>
      <c r="AXO39" s="214"/>
      <c r="AXP39" s="214"/>
      <c r="AXQ39" s="214"/>
      <c r="AXR39" s="214"/>
      <c r="AXS39" s="214"/>
      <c r="AXT39" s="214"/>
      <c r="AXU39" s="214"/>
      <c r="AXV39" s="214"/>
      <c r="AXW39" s="214"/>
      <c r="AXX39" s="214"/>
      <c r="AXY39" s="214"/>
      <c r="AXZ39" s="214"/>
      <c r="AYA39" s="214"/>
      <c r="AYB39" s="214"/>
      <c r="AYC39" s="214"/>
      <c r="AYD39" s="214"/>
      <c r="AYE39" s="214"/>
      <c r="AYF39" s="214"/>
      <c r="AYG39" s="214"/>
      <c r="AYH39" s="214"/>
      <c r="AYI39" s="214"/>
      <c r="AYJ39" s="214"/>
      <c r="AYK39" s="214"/>
      <c r="AYL39" s="214"/>
      <c r="AYM39" s="214"/>
      <c r="AYN39" s="214"/>
      <c r="AYO39" s="214"/>
      <c r="AYP39" s="214"/>
      <c r="AYQ39" s="214"/>
      <c r="AYR39" s="214"/>
      <c r="AYS39" s="214"/>
      <c r="AYT39" s="214"/>
      <c r="AYU39" s="214"/>
      <c r="AYV39" s="214"/>
      <c r="AYW39" s="214"/>
      <c r="AYX39" s="214"/>
      <c r="AYY39" s="214"/>
      <c r="AYZ39" s="214"/>
      <c r="AZA39" s="214"/>
      <c r="AZB39" s="214"/>
      <c r="AZC39" s="214"/>
      <c r="AZD39" s="214"/>
      <c r="AZE39" s="214"/>
      <c r="AZF39" s="214"/>
      <c r="AZG39" s="214"/>
      <c r="AZH39" s="214"/>
      <c r="AZI39" s="214"/>
      <c r="AZJ39" s="214"/>
      <c r="AZK39" s="214"/>
      <c r="AZL39" s="214"/>
      <c r="AZM39" s="214"/>
      <c r="AZN39" s="214"/>
      <c r="AZO39" s="214"/>
      <c r="AZP39" s="214"/>
      <c r="AZQ39" s="214"/>
      <c r="AZR39" s="214"/>
      <c r="AZS39" s="214"/>
      <c r="AZT39" s="214"/>
      <c r="AZU39" s="214"/>
      <c r="AZV39" s="214"/>
      <c r="AZW39" s="214"/>
      <c r="AZX39" s="214"/>
      <c r="AZY39" s="214"/>
      <c r="AZZ39" s="214"/>
      <c r="BAA39" s="214"/>
      <c r="BAB39" s="214"/>
      <c r="BAC39" s="214"/>
      <c r="BAD39" s="214"/>
      <c r="BAE39" s="214"/>
      <c r="BAF39" s="214"/>
      <c r="BAG39" s="214"/>
      <c r="BAH39" s="214"/>
      <c r="BAI39" s="214"/>
      <c r="BAJ39" s="214"/>
      <c r="BAK39" s="214"/>
      <c r="BAL39" s="214"/>
      <c r="BAM39" s="214"/>
      <c r="BAN39" s="214"/>
      <c r="BAO39" s="214"/>
      <c r="BAP39" s="214"/>
      <c r="BAQ39" s="214"/>
      <c r="BAR39" s="214"/>
      <c r="BAS39" s="214"/>
      <c r="BAT39" s="214"/>
      <c r="BAU39" s="214"/>
      <c r="BAV39" s="214"/>
      <c r="BAW39" s="214"/>
      <c r="BAX39" s="214"/>
      <c r="BAY39" s="214"/>
      <c r="BAZ39" s="214"/>
      <c r="BBA39" s="214"/>
      <c r="BBB39" s="214"/>
      <c r="BBC39" s="214"/>
      <c r="BBD39" s="214"/>
      <c r="BBE39" s="214"/>
      <c r="BBF39" s="214"/>
      <c r="BBG39" s="214"/>
      <c r="BBH39" s="214"/>
      <c r="BBI39" s="214"/>
      <c r="BBJ39" s="214"/>
      <c r="BBK39" s="214"/>
      <c r="BBL39" s="214"/>
      <c r="BBM39" s="214"/>
      <c r="BBN39" s="214"/>
      <c r="BBO39" s="214"/>
      <c r="BBP39" s="214"/>
      <c r="BBQ39" s="214"/>
      <c r="BBR39" s="214"/>
      <c r="BBS39" s="214"/>
      <c r="BBT39" s="214"/>
      <c r="BBU39" s="214"/>
      <c r="BBV39" s="214"/>
      <c r="BBW39" s="214"/>
      <c r="BBX39" s="214"/>
      <c r="BBY39" s="214"/>
      <c r="BBZ39" s="214"/>
      <c r="BCA39" s="214"/>
      <c r="BCB39" s="214"/>
      <c r="BCC39" s="214"/>
      <c r="BCD39" s="214"/>
      <c r="BCE39" s="214"/>
      <c r="BCF39" s="214"/>
      <c r="BCG39" s="214"/>
      <c r="BCH39" s="214"/>
      <c r="BCI39" s="214"/>
      <c r="BCJ39" s="214"/>
      <c r="BCK39" s="214"/>
      <c r="BCL39" s="214"/>
      <c r="BCM39" s="214"/>
      <c r="BCN39" s="214"/>
      <c r="BCO39" s="214"/>
      <c r="BCP39" s="214"/>
      <c r="BCQ39" s="214"/>
      <c r="BCR39" s="214"/>
      <c r="BCS39" s="214"/>
      <c r="BCT39" s="214"/>
      <c r="BCU39" s="214"/>
      <c r="BCV39" s="214"/>
      <c r="BCW39" s="214"/>
      <c r="BCX39" s="214"/>
      <c r="BCY39" s="214"/>
      <c r="BCZ39" s="214"/>
      <c r="BDA39" s="214"/>
      <c r="BDB39" s="214"/>
      <c r="BDC39" s="214"/>
      <c r="BDD39" s="214"/>
      <c r="BDE39" s="214"/>
      <c r="BDF39" s="214"/>
      <c r="BDG39" s="214"/>
      <c r="BDH39" s="214"/>
      <c r="BDI39" s="214"/>
      <c r="BDJ39" s="214"/>
      <c r="BDK39" s="214"/>
      <c r="BDL39" s="214"/>
      <c r="BDM39" s="214"/>
      <c r="BDN39" s="214"/>
      <c r="BDO39" s="214"/>
      <c r="BDP39" s="214"/>
      <c r="BDQ39" s="214"/>
      <c r="BDR39" s="214"/>
      <c r="BDS39" s="214"/>
      <c r="BDT39" s="214"/>
      <c r="BDU39" s="214"/>
      <c r="BDV39" s="214"/>
      <c r="BDW39" s="214"/>
      <c r="BDX39" s="214"/>
      <c r="BDY39" s="214"/>
      <c r="BDZ39" s="214"/>
      <c r="BEA39" s="214"/>
      <c r="BEB39" s="214"/>
      <c r="BEC39" s="214"/>
      <c r="BED39" s="214"/>
      <c r="BEE39" s="214"/>
      <c r="BEF39" s="214"/>
      <c r="BEG39" s="214"/>
      <c r="BEH39" s="214"/>
      <c r="BEI39" s="214"/>
      <c r="BEJ39" s="214"/>
      <c r="BEK39" s="214"/>
      <c r="BEL39" s="214"/>
      <c r="BEM39" s="214"/>
      <c r="BEN39" s="214"/>
      <c r="BEO39" s="214"/>
      <c r="BEP39" s="214"/>
      <c r="BEQ39" s="214"/>
      <c r="BER39" s="214"/>
      <c r="BES39" s="214"/>
      <c r="BET39" s="214"/>
      <c r="BEU39" s="214"/>
      <c r="BEV39" s="214"/>
      <c r="BEW39" s="214"/>
      <c r="BEX39" s="214"/>
      <c r="BEY39" s="214"/>
      <c r="BEZ39" s="214"/>
      <c r="BFA39" s="214"/>
      <c r="BFB39" s="214"/>
      <c r="BFC39" s="214"/>
      <c r="BFD39" s="214"/>
      <c r="BFE39" s="214"/>
      <c r="BFF39" s="214"/>
      <c r="BFG39" s="214"/>
      <c r="BFH39" s="214"/>
      <c r="BFI39" s="214"/>
      <c r="BFJ39" s="214"/>
      <c r="BFK39" s="214"/>
      <c r="BFL39" s="214"/>
      <c r="BFM39" s="214"/>
      <c r="BFN39" s="214"/>
      <c r="BFO39" s="214"/>
      <c r="BFP39" s="214"/>
      <c r="BFQ39" s="214"/>
      <c r="BFR39" s="214"/>
      <c r="BFS39" s="214"/>
      <c r="BFT39" s="214"/>
      <c r="BFU39" s="214"/>
      <c r="BFV39" s="214"/>
      <c r="BFW39" s="214"/>
      <c r="BFX39" s="214"/>
      <c r="BFY39" s="214"/>
      <c r="BFZ39" s="214"/>
      <c r="BGA39" s="214"/>
      <c r="BGB39" s="214"/>
      <c r="BGC39" s="214"/>
      <c r="BGD39" s="214"/>
      <c r="BGE39" s="214"/>
      <c r="BGF39" s="214"/>
      <c r="BGG39" s="214"/>
      <c r="BGH39" s="214"/>
      <c r="BGI39" s="214"/>
      <c r="BGJ39" s="214"/>
      <c r="BGK39" s="214"/>
      <c r="BGL39" s="214"/>
      <c r="BGM39" s="214"/>
      <c r="BGN39" s="214"/>
      <c r="BGO39" s="214"/>
      <c r="BGP39" s="214"/>
      <c r="BGQ39" s="214"/>
      <c r="BGR39" s="214"/>
      <c r="BGS39" s="214"/>
      <c r="BGT39" s="214"/>
      <c r="BGU39" s="214"/>
      <c r="BGV39" s="214"/>
      <c r="BGW39" s="214"/>
      <c r="BGX39" s="214"/>
      <c r="BGY39" s="214"/>
      <c r="BGZ39" s="214"/>
      <c r="BHA39" s="214"/>
      <c r="BHB39" s="214"/>
      <c r="BHC39" s="214"/>
      <c r="BHD39" s="214"/>
      <c r="BHE39" s="214"/>
      <c r="BHF39" s="214"/>
      <c r="BHG39" s="214"/>
      <c r="BHH39" s="214"/>
      <c r="BHI39" s="214"/>
      <c r="BHJ39" s="214"/>
      <c r="BHK39" s="214"/>
      <c r="BHL39" s="214"/>
      <c r="BHM39" s="214"/>
      <c r="BHN39" s="214"/>
      <c r="BHO39" s="214"/>
      <c r="BHP39" s="214"/>
      <c r="BHQ39" s="214"/>
      <c r="BHR39" s="214"/>
      <c r="BHS39" s="214"/>
      <c r="BHT39" s="214"/>
      <c r="BHU39" s="214"/>
      <c r="BHV39" s="214"/>
      <c r="BHW39" s="214"/>
    </row>
    <row r="40" spans="1:1583" s="216" customFormat="1" ht="18.75">
      <c r="A40" s="251" t="s">
        <v>49</v>
      </c>
      <c r="B40" s="73"/>
      <c r="C40" s="73"/>
      <c r="D40" s="73" t="s">
        <v>620</v>
      </c>
      <c r="E40" s="63" t="s">
        <v>45</v>
      </c>
      <c r="F40" s="131"/>
      <c r="G40" s="60" t="s">
        <v>694</v>
      </c>
      <c r="H40" s="473">
        <f t="shared" si="15"/>
        <v>459317.35547229828</v>
      </c>
      <c r="I40" s="147">
        <f>(I41/24*1000*22.414)/Analysis!J71</f>
        <v>14168.941785382827</v>
      </c>
      <c r="J40" s="437"/>
      <c r="K40" s="147">
        <f>(K41/24*1000*22.414)/Analysis!L71</f>
        <v>14949.400263830583</v>
      </c>
      <c r="L40" s="147">
        <f>(L41/24*1000*22.414)/Analysis!M71</f>
        <v>15778.034276511959</v>
      </c>
      <c r="M40" s="147">
        <f>(M41/24*1000*22.414)/Analysis!N71</f>
        <v>14985.4932966531</v>
      </c>
      <c r="N40" s="147">
        <f>(N41/24*1000*22.414)/Analysis!O71</f>
        <v>15684.72210141984</v>
      </c>
      <c r="O40" s="147">
        <f>(O41/24*1000*22.414)/Analysis!P71</f>
        <v>14111.704048074982</v>
      </c>
      <c r="P40" s="147">
        <f>(P41/24*1000*22.414)/Analysis!Q71</f>
        <v>13302.533636289789</v>
      </c>
      <c r="Q40" s="147">
        <f>(Q41/24*1000*22.414)/Analysis!R71</f>
        <v>14121.021370914659</v>
      </c>
      <c r="R40" s="147">
        <f>(R41/24*1000*22.414)/Analysis!S71</f>
        <v>14345.395836161617</v>
      </c>
      <c r="S40" s="147">
        <f>(S41/24*1000*22.414)/Analysis!T71</f>
        <v>13460.96431268842</v>
      </c>
      <c r="T40" s="147">
        <f>(T41/24*1000*22.414)/Analysis!U71</f>
        <v>14873.883157213508</v>
      </c>
      <c r="U40" s="147">
        <f>(U41/24*1000*22.414)/Analysis!V71</f>
        <v>15981.541626903232</v>
      </c>
      <c r="V40" s="147">
        <f>(V41/24*1000*22.414)/Analysis!W71</f>
        <v>13784.639659738139</v>
      </c>
      <c r="W40" s="147">
        <f>(W41/24*1000*22.414)/Analysis!X71</f>
        <v>13046.975815936294</v>
      </c>
      <c r="X40" s="147">
        <f>(X41/24*1000*22.414)/Analysis!Y71</f>
        <v>14560.572950836899</v>
      </c>
      <c r="Y40" s="147">
        <f>(Y41/24*1000*22.414)/Analysis!Z71</f>
        <v>16238.880594682656</v>
      </c>
      <c r="Z40" s="147">
        <f>(Z41/24*1000*22.414)/Analysis!AA71</f>
        <v>13002.431914806135</v>
      </c>
      <c r="AA40" s="147">
        <f>(AA41/24*1000*22.414)/Analysis!AB71</f>
        <v>11264.792838539381</v>
      </c>
      <c r="AB40" s="147">
        <f>(AB41/24*1000*22.414)/Analysis!AC71</f>
        <v>13918.186386435525</v>
      </c>
      <c r="AC40" s="147">
        <f>(AC41/24*1000*22.414)/Analysis!AD71</f>
        <v>14544.038003765647</v>
      </c>
      <c r="AD40" s="147">
        <f>(AD41/24*1000*22.414)/Analysis!AE71</f>
        <v>15438.261356589299</v>
      </c>
      <c r="AE40" s="147">
        <f>(AE41/24*1000*22.414)/Analysis!AF71</f>
        <v>15188.831069280137</v>
      </c>
      <c r="AF40" s="147">
        <f>(AF41/24*1000*22.414)/Analysis!AG71</f>
        <v>15464.745568941151</v>
      </c>
      <c r="AG40" s="147">
        <f>(AG41/24*1000*22.414)/Analysis!AH71</f>
        <v>15545.554332627347</v>
      </c>
      <c r="AH40" s="147">
        <f>(AH41/24*1000*22.414)/Analysis!AI71</f>
        <v>15374.591839189843</v>
      </c>
      <c r="AI40" s="147">
        <f>(AI41/24*1000*22.414)/Analysis!AJ71</f>
        <v>14710.789524752236</v>
      </c>
      <c r="AJ40" s="147">
        <f>(AJ41/24*1000*22.414)/Analysis!AK71</f>
        <v>15461.68273003584</v>
      </c>
      <c r="AK40" s="147">
        <f>(AK41/24*1000*22.414)/Analysis!AL71</f>
        <v>16377.105499853575</v>
      </c>
      <c r="AL40" s="147">
        <f>(AL41/24*1000*22.414)/Analysis!AM71</f>
        <v>16471.599143503787</v>
      </c>
      <c r="AM40" s="147">
        <f>(AM41/24*1000*22.414)/Analysis!AN71</f>
        <v>16100.413921528385</v>
      </c>
      <c r="AN40" s="147">
        <f>(AN41/24*1000*22.414)/Analysis!AO71</f>
        <v>17059.626609211522</v>
      </c>
      <c r="AO40" s="215"/>
      <c r="AP40" s="215"/>
      <c r="AQ40" s="215"/>
      <c r="AR40" s="215"/>
      <c r="AS40" s="215"/>
      <c r="AT40" s="215"/>
      <c r="AU40" s="215"/>
      <c r="AV40" s="215"/>
      <c r="AW40" s="215"/>
      <c r="AX40" s="215"/>
      <c r="AY40" s="215"/>
      <c r="AZ40" s="215"/>
      <c r="BA40" s="215"/>
      <c r="BB40" s="215"/>
      <c r="BC40" s="215"/>
      <c r="BD40" s="215"/>
      <c r="BE40" s="215"/>
      <c r="BF40" s="215"/>
      <c r="BG40" s="215"/>
      <c r="BH40" s="215"/>
      <c r="BI40" s="215"/>
      <c r="BJ40" s="215"/>
      <c r="BK40" s="215"/>
      <c r="BL40" s="215"/>
      <c r="BM40" s="215"/>
      <c r="BN40" s="215"/>
      <c r="BO40" s="215"/>
      <c r="BP40" s="215"/>
      <c r="BQ40" s="215"/>
      <c r="BR40" s="215"/>
      <c r="BS40" s="215"/>
      <c r="BT40" s="215"/>
      <c r="BU40" s="215"/>
      <c r="BV40" s="215"/>
      <c r="BW40" s="215"/>
      <c r="BX40" s="215"/>
      <c r="BY40" s="215"/>
      <c r="BZ40" s="215"/>
      <c r="CA40" s="215"/>
      <c r="CB40" s="215"/>
      <c r="CC40" s="215"/>
      <c r="CD40" s="215"/>
      <c r="CE40" s="215"/>
      <c r="CF40" s="215"/>
      <c r="CG40" s="215"/>
      <c r="CH40" s="215"/>
      <c r="CI40" s="215"/>
      <c r="CJ40" s="215"/>
      <c r="CK40" s="215"/>
      <c r="CL40" s="215"/>
      <c r="CM40" s="215"/>
      <c r="CN40" s="215"/>
      <c r="CO40" s="215"/>
      <c r="CP40" s="215"/>
      <c r="CQ40" s="215"/>
      <c r="CR40" s="215"/>
      <c r="CS40" s="215"/>
      <c r="CT40" s="215"/>
      <c r="CU40" s="215"/>
      <c r="CV40" s="215"/>
      <c r="CW40" s="215"/>
      <c r="CX40" s="215"/>
      <c r="CY40" s="215"/>
      <c r="CZ40" s="215"/>
      <c r="DA40" s="215"/>
      <c r="DB40" s="215"/>
      <c r="DC40" s="215"/>
      <c r="DD40" s="215"/>
      <c r="DE40" s="215"/>
      <c r="DF40" s="215"/>
      <c r="DG40" s="215"/>
      <c r="DH40" s="215"/>
      <c r="DI40" s="215"/>
      <c r="DJ40" s="215"/>
      <c r="DK40" s="215"/>
      <c r="DL40" s="215"/>
      <c r="DM40" s="215"/>
      <c r="DN40" s="215"/>
      <c r="DO40" s="215"/>
      <c r="DP40" s="215"/>
      <c r="DQ40" s="215"/>
      <c r="DR40" s="215"/>
      <c r="DS40" s="215"/>
      <c r="DT40" s="215"/>
      <c r="DU40" s="215"/>
      <c r="DV40" s="215"/>
      <c r="DW40" s="215"/>
      <c r="DX40" s="215"/>
      <c r="DY40" s="215"/>
      <c r="DZ40" s="215"/>
      <c r="EA40" s="215"/>
      <c r="EB40" s="215"/>
      <c r="EC40" s="215"/>
      <c r="ED40" s="215"/>
      <c r="EE40" s="215"/>
      <c r="EF40" s="215"/>
      <c r="EG40" s="215"/>
      <c r="EH40" s="215"/>
      <c r="EI40" s="215"/>
      <c r="EJ40" s="215"/>
      <c r="EK40" s="215"/>
      <c r="EL40" s="215"/>
      <c r="EM40" s="215"/>
      <c r="EN40" s="215"/>
      <c r="EO40" s="215"/>
      <c r="EP40" s="215"/>
      <c r="EQ40" s="215"/>
      <c r="ER40" s="215"/>
      <c r="ES40" s="215"/>
      <c r="ET40" s="215"/>
      <c r="EU40" s="215"/>
      <c r="EV40" s="215"/>
      <c r="EW40" s="215"/>
      <c r="EX40" s="215"/>
      <c r="EY40" s="215"/>
      <c r="EZ40" s="215"/>
      <c r="FA40" s="215"/>
      <c r="FB40" s="215"/>
      <c r="FC40" s="215"/>
      <c r="FD40" s="215"/>
      <c r="FE40" s="215"/>
      <c r="FF40" s="215"/>
      <c r="FG40" s="215"/>
      <c r="FH40" s="215"/>
      <c r="FI40" s="215"/>
      <c r="FJ40" s="215"/>
      <c r="FK40" s="215"/>
      <c r="FL40" s="215"/>
      <c r="FM40" s="215"/>
      <c r="FN40" s="215"/>
      <c r="FO40" s="215"/>
      <c r="FP40" s="215"/>
      <c r="FQ40" s="215"/>
      <c r="FR40" s="215"/>
      <c r="FS40" s="215"/>
      <c r="FT40" s="215"/>
      <c r="FU40" s="215"/>
      <c r="FV40" s="215"/>
      <c r="FW40" s="215"/>
      <c r="FX40" s="215"/>
      <c r="FY40" s="215"/>
      <c r="FZ40" s="215"/>
      <c r="GA40" s="215"/>
      <c r="GB40" s="215"/>
      <c r="GC40" s="215"/>
      <c r="GD40" s="215"/>
      <c r="GE40" s="215"/>
      <c r="GF40" s="215"/>
      <c r="GG40" s="215"/>
      <c r="GH40" s="215"/>
      <c r="GI40" s="215"/>
      <c r="GJ40" s="215"/>
      <c r="GK40" s="215"/>
      <c r="GL40" s="215"/>
      <c r="GM40" s="215"/>
      <c r="GN40" s="215"/>
      <c r="GO40" s="215"/>
      <c r="GP40" s="215"/>
      <c r="GQ40" s="215"/>
      <c r="GR40" s="215"/>
      <c r="GS40" s="215"/>
      <c r="GT40" s="215"/>
      <c r="GU40" s="215"/>
      <c r="GV40" s="215"/>
      <c r="GW40" s="215"/>
      <c r="GX40" s="215"/>
      <c r="GY40" s="215"/>
      <c r="GZ40" s="215"/>
      <c r="HA40" s="215"/>
      <c r="HB40" s="215"/>
      <c r="HC40" s="215"/>
      <c r="HD40" s="215"/>
      <c r="HE40" s="215"/>
      <c r="HF40" s="215"/>
      <c r="HG40" s="215"/>
      <c r="HH40" s="215"/>
      <c r="HI40" s="215"/>
      <c r="HJ40" s="215"/>
      <c r="HK40" s="215"/>
      <c r="HL40" s="215"/>
      <c r="HM40" s="215"/>
      <c r="HN40" s="215"/>
      <c r="HO40" s="215"/>
      <c r="HP40" s="215"/>
      <c r="HQ40" s="215"/>
      <c r="HR40" s="215"/>
      <c r="HS40" s="215"/>
      <c r="HT40" s="215"/>
      <c r="HU40" s="215"/>
      <c r="HV40" s="215"/>
      <c r="HW40" s="215"/>
      <c r="HX40" s="215"/>
      <c r="HY40" s="215"/>
      <c r="HZ40" s="215"/>
      <c r="IA40" s="215"/>
      <c r="IB40" s="215"/>
      <c r="IC40" s="215"/>
      <c r="ID40" s="215"/>
      <c r="IE40" s="215"/>
      <c r="IF40" s="215"/>
      <c r="IG40" s="215"/>
      <c r="IH40" s="215"/>
      <c r="II40" s="215"/>
      <c r="IJ40" s="215"/>
      <c r="IK40" s="215"/>
      <c r="IL40" s="215"/>
      <c r="IM40" s="215"/>
      <c r="IN40" s="215"/>
      <c r="IO40" s="215"/>
      <c r="IP40" s="215"/>
      <c r="IQ40" s="215"/>
      <c r="IR40" s="215"/>
      <c r="IS40" s="215"/>
      <c r="IT40" s="215"/>
      <c r="IU40" s="215"/>
      <c r="IV40" s="215"/>
      <c r="IW40" s="215"/>
      <c r="IX40" s="215"/>
      <c r="IY40" s="215"/>
      <c r="IZ40" s="215"/>
      <c r="JA40" s="215"/>
      <c r="JB40" s="215"/>
      <c r="JC40" s="215"/>
      <c r="JD40" s="215"/>
      <c r="JE40" s="215"/>
      <c r="JF40" s="215"/>
      <c r="JG40" s="215"/>
      <c r="JH40" s="215"/>
      <c r="JI40" s="215"/>
      <c r="JJ40" s="215"/>
      <c r="JK40" s="215"/>
      <c r="JL40" s="215"/>
      <c r="JM40" s="215"/>
      <c r="JN40" s="215"/>
      <c r="JO40" s="215"/>
      <c r="JP40" s="215"/>
      <c r="JQ40" s="215"/>
      <c r="JR40" s="215"/>
      <c r="JS40" s="215"/>
      <c r="JT40" s="215"/>
      <c r="JU40" s="215"/>
      <c r="JV40" s="215"/>
      <c r="JW40" s="215"/>
      <c r="JX40" s="215"/>
      <c r="JY40" s="215"/>
      <c r="JZ40" s="215"/>
      <c r="KA40" s="215"/>
      <c r="KB40" s="215"/>
      <c r="KC40" s="215"/>
      <c r="KD40" s="215"/>
      <c r="KE40" s="215"/>
      <c r="KF40" s="215"/>
      <c r="KG40" s="215"/>
      <c r="KH40" s="215"/>
      <c r="KI40" s="215"/>
      <c r="KJ40" s="215"/>
      <c r="KK40" s="215"/>
      <c r="KL40" s="215"/>
      <c r="KM40" s="215"/>
      <c r="KN40" s="215"/>
      <c r="KO40" s="215"/>
      <c r="KP40" s="215"/>
      <c r="KQ40" s="215"/>
      <c r="KR40" s="215"/>
      <c r="KS40" s="215"/>
      <c r="KT40" s="215"/>
      <c r="KU40" s="215"/>
      <c r="KV40" s="215"/>
      <c r="KW40" s="215"/>
      <c r="KX40" s="215"/>
      <c r="KY40" s="215"/>
      <c r="KZ40" s="215"/>
      <c r="LA40" s="215"/>
      <c r="LB40" s="215"/>
      <c r="LC40" s="215"/>
      <c r="LD40" s="215"/>
      <c r="LE40" s="215"/>
      <c r="LF40" s="215"/>
      <c r="LG40" s="215"/>
      <c r="LH40" s="215"/>
      <c r="LI40" s="215"/>
      <c r="LJ40" s="215"/>
      <c r="LK40" s="215"/>
      <c r="LL40" s="215"/>
      <c r="LM40" s="215"/>
      <c r="LN40" s="215"/>
      <c r="LO40" s="215"/>
      <c r="LP40" s="215"/>
      <c r="LQ40" s="215"/>
      <c r="LR40" s="215"/>
      <c r="LS40" s="215"/>
      <c r="LT40" s="215"/>
      <c r="LU40" s="215"/>
      <c r="LV40" s="215"/>
      <c r="LW40" s="215"/>
      <c r="LX40" s="215"/>
      <c r="LY40" s="215"/>
      <c r="LZ40" s="215"/>
      <c r="MA40" s="215"/>
      <c r="MB40" s="215"/>
      <c r="MC40" s="215"/>
      <c r="MD40" s="215"/>
      <c r="ME40" s="215"/>
      <c r="MF40" s="215"/>
      <c r="MG40" s="215"/>
      <c r="MH40" s="215"/>
      <c r="MI40" s="215"/>
      <c r="MJ40" s="215"/>
      <c r="MK40" s="215"/>
      <c r="ML40" s="215"/>
      <c r="MM40" s="215"/>
      <c r="MN40" s="215"/>
      <c r="MO40" s="215"/>
      <c r="MP40" s="215"/>
      <c r="MQ40" s="215"/>
      <c r="MR40" s="215"/>
      <c r="MS40" s="215"/>
      <c r="MT40" s="215"/>
      <c r="MU40" s="215"/>
      <c r="MV40" s="215"/>
      <c r="MW40" s="215"/>
      <c r="MX40" s="215"/>
      <c r="MY40" s="215"/>
      <c r="MZ40" s="215"/>
      <c r="NA40" s="215"/>
      <c r="NB40" s="215"/>
      <c r="NC40" s="215"/>
      <c r="ND40" s="215"/>
      <c r="NE40" s="215"/>
      <c r="NF40" s="215"/>
      <c r="NG40" s="215"/>
      <c r="NH40" s="215"/>
      <c r="NI40" s="215"/>
      <c r="NJ40" s="215"/>
      <c r="NK40" s="215"/>
      <c r="NL40" s="215"/>
      <c r="NM40" s="215"/>
      <c r="NN40" s="215"/>
      <c r="NO40" s="215"/>
      <c r="NP40" s="215"/>
      <c r="NQ40" s="215"/>
      <c r="NR40" s="215"/>
      <c r="NS40" s="215"/>
      <c r="NT40" s="215"/>
      <c r="NU40" s="215"/>
      <c r="NV40" s="215"/>
      <c r="NW40" s="215"/>
      <c r="NX40" s="215"/>
      <c r="NY40" s="215"/>
      <c r="NZ40" s="215"/>
      <c r="OA40" s="215"/>
      <c r="OB40" s="215"/>
      <c r="OC40" s="215"/>
      <c r="OD40" s="215"/>
      <c r="OE40" s="215"/>
      <c r="OF40" s="215"/>
      <c r="OG40" s="215"/>
      <c r="OH40" s="215"/>
      <c r="OI40" s="215"/>
      <c r="OJ40" s="215"/>
      <c r="OK40" s="215"/>
      <c r="OL40" s="215"/>
      <c r="OM40" s="215"/>
      <c r="ON40" s="215"/>
      <c r="OO40" s="215"/>
      <c r="OP40" s="215"/>
      <c r="OQ40" s="215"/>
      <c r="OR40" s="215"/>
      <c r="OS40" s="215"/>
      <c r="OT40" s="215"/>
      <c r="OU40" s="215"/>
      <c r="OV40" s="215"/>
      <c r="OW40" s="215"/>
      <c r="OX40" s="215"/>
      <c r="OY40" s="215"/>
      <c r="OZ40" s="215"/>
      <c r="PA40" s="215"/>
      <c r="PB40" s="215"/>
      <c r="PC40" s="215"/>
      <c r="PD40" s="215"/>
      <c r="PE40" s="215"/>
      <c r="PF40" s="215"/>
      <c r="PG40" s="215"/>
      <c r="PH40" s="215"/>
      <c r="PI40" s="215"/>
      <c r="PJ40" s="215"/>
      <c r="PK40" s="215"/>
      <c r="PL40" s="215"/>
      <c r="PM40" s="215"/>
      <c r="PN40" s="215"/>
      <c r="PO40" s="215"/>
      <c r="PP40" s="215"/>
      <c r="PQ40" s="215"/>
      <c r="PR40" s="215"/>
      <c r="PS40" s="215"/>
      <c r="PT40" s="215"/>
      <c r="PU40" s="215"/>
      <c r="PV40" s="215"/>
      <c r="PW40" s="215"/>
      <c r="PX40" s="215"/>
      <c r="PY40" s="215"/>
      <c r="PZ40" s="215"/>
      <c r="QA40" s="215"/>
      <c r="QB40" s="215"/>
      <c r="QC40" s="215"/>
      <c r="QD40" s="215"/>
      <c r="QE40" s="215"/>
      <c r="QF40" s="215"/>
      <c r="QG40" s="215"/>
      <c r="QH40" s="215"/>
      <c r="QI40" s="215"/>
      <c r="QJ40" s="215"/>
      <c r="QK40" s="215"/>
      <c r="QL40" s="215"/>
      <c r="QM40" s="215"/>
      <c r="QN40" s="215"/>
      <c r="QO40" s="215"/>
      <c r="QP40" s="215"/>
      <c r="QQ40" s="215"/>
      <c r="QR40" s="215"/>
      <c r="QS40" s="215"/>
      <c r="QT40" s="215"/>
      <c r="QU40" s="215"/>
      <c r="QV40" s="215"/>
      <c r="QW40" s="215"/>
      <c r="QX40" s="215"/>
      <c r="QY40" s="215"/>
      <c r="QZ40" s="215"/>
      <c r="RA40" s="215"/>
      <c r="RB40" s="215"/>
      <c r="RC40" s="215"/>
      <c r="RD40" s="215"/>
      <c r="RE40" s="215"/>
      <c r="RF40" s="215"/>
      <c r="RG40" s="215"/>
      <c r="RH40" s="215"/>
      <c r="RI40" s="215"/>
      <c r="RJ40" s="215"/>
      <c r="RK40" s="215"/>
      <c r="RL40" s="215"/>
      <c r="RM40" s="215"/>
      <c r="RN40" s="215"/>
      <c r="RO40" s="215"/>
      <c r="RP40" s="215"/>
      <c r="RQ40" s="215"/>
      <c r="RR40" s="215"/>
      <c r="RS40" s="215"/>
      <c r="RT40" s="215"/>
      <c r="RU40" s="215"/>
      <c r="RV40" s="215"/>
      <c r="RW40" s="215"/>
      <c r="RX40" s="215"/>
      <c r="RY40" s="215"/>
      <c r="RZ40" s="215"/>
      <c r="SA40" s="215"/>
      <c r="SB40" s="215"/>
      <c r="SC40" s="215"/>
      <c r="SD40" s="215"/>
      <c r="SE40" s="215"/>
      <c r="SF40" s="215"/>
      <c r="SG40" s="215"/>
      <c r="SH40" s="215"/>
      <c r="SI40" s="215"/>
      <c r="SJ40" s="215"/>
      <c r="SK40" s="215"/>
      <c r="SL40" s="215"/>
      <c r="SM40" s="215"/>
      <c r="SN40" s="215"/>
      <c r="SO40" s="215"/>
      <c r="SP40" s="215"/>
      <c r="SQ40" s="215"/>
      <c r="SR40" s="215"/>
      <c r="SS40" s="215"/>
      <c r="ST40" s="215"/>
      <c r="SU40" s="215"/>
      <c r="SV40" s="215"/>
      <c r="SW40" s="215"/>
      <c r="SX40" s="215"/>
      <c r="SY40" s="215"/>
      <c r="SZ40" s="215"/>
      <c r="TA40" s="215"/>
      <c r="TB40" s="215"/>
      <c r="TC40" s="215"/>
      <c r="TD40" s="215"/>
      <c r="TE40" s="215"/>
      <c r="TF40" s="215"/>
      <c r="TG40" s="215"/>
      <c r="TH40" s="215"/>
      <c r="TI40" s="215"/>
      <c r="TJ40" s="215"/>
      <c r="TK40" s="215"/>
      <c r="TL40" s="215"/>
      <c r="TM40" s="215"/>
      <c r="TN40" s="215"/>
      <c r="TO40" s="215"/>
      <c r="TP40" s="215"/>
      <c r="TQ40" s="215"/>
      <c r="TR40" s="215"/>
      <c r="TS40" s="215"/>
      <c r="TT40" s="215"/>
      <c r="TU40" s="215"/>
      <c r="TV40" s="215"/>
      <c r="TW40" s="215"/>
      <c r="TX40" s="215"/>
      <c r="TY40" s="215"/>
      <c r="TZ40" s="215"/>
      <c r="UA40" s="215"/>
      <c r="UB40" s="215"/>
      <c r="UC40" s="215"/>
      <c r="UD40" s="215"/>
      <c r="UE40" s="215"/>
      <c r="UF40" s="215"/>
      <c r="UG40" s="215"/>
      <c r="UH40" s="215"/>
      <c r="UI40" s="215"/>
      <c r="UJ40" s="215"/>
      <c r="UK40" s="215"/>
      <c r="UL40" s="215"/>
      <c r="UM40" s="215"/>
      <c r="UN40" s="215"/>
      <c r="UO40" s="215"/>
      <c r="UP40" s="215"/>
      <c r="UQ40" s="215"/>
      <c r="UR40" s="215"/>
      <c r="US40" s="215"/>
      <c r="UT40" s="215"/>
      <c r="UU40" s="215"/>
      <c r="UV40" s="215"/>
      <c r="UW40" s="215"/>
      <c r="UX40" s="215"/>
      <c r="UY40" s="215"/>
      <c r="UZ40" s="215"/>
      <c r="VA40" s="215"/>
      <c r="VB40" s="215"/>
      <c r="VC40" s="215"/>
      <c r="VD40" s="215"/>
      <c r="VE40" s="215"/>
      <c r="VF40" s="215"/>
      <c r="VG40" s="215"/>
      <c r="VH40" s="215"/>
      <c r="VI40" s="215"/>
      <c r="VJ40" s="215"/>
      <c r="VK40" s="215"/>
      <c r="VL40" s="215"/>
      <c r="VM40" s="215"/>
      <c r="VN40" s="215"/>
      <c r="VO40" s="215"/>
      <c r="VP40" s="215"/>
      <c r="VQ40" s="215"/>
      <c r="VR40" s="215"/>
      <c r="VS40" s="215"/>
      <c r="VT40" s="215"/>
      <c r="VU40" s="215"/>
      <c r="VV40" s="215"/>
      <c r="VW40" s="215"/>
      <c r="VX40" s="215"/>
      <c r="VY40" s="215"/>
      <c r="VZ40" s="215"/>
      <c r="WA40" s="215"/>
      <c r="WB40" s="215"/>
      <c r="WC40" s="215"/>
      <c r="WD40" s="215"/>
      <c r="WE40" s="215"/>
      <c r="WF40" s="215"/>
      <c r="WG40" s="215"/>
      <c r="WH40" s="215"/>
      <c r="WI40" s="215"/>
      <c r="WJ40" s="215"/>
      <c r="WK40" s="215"/>
      <c r="WL40" s="215"/>
      <c r="WM40" s="215"/>
      <c r="WN40" s="215"/>
      <c r="WO40" s="215"/>
      <c r="WP40" s="215"/>
      <c r="WQ40" s="215"/>
      <c r="WR40" s="215"/>
      <c r="WS40" s="215"/>
      <c r="WT40" s="215"/>
      <c r="WU40" s="215"/>
      <c r="WV40" s="215"/>
      <c r="WW40" s="215"/>
      <c r="WX40" s="215"/>
      <c r="WY40" s="215"/>
      <c r="WZ40" s="215"/>
      <c r="XA40" s="215"/>
      <c r="XB40" s="215"/>
      <c r="XC40" s="215"/>
      <c r="XD40" s="215"/>
      <c r="XE40" s="215"/>
      <c r="XF40" s="215"/>
      <c r="XG40" s="215"/>
      <c r="XH40" s="215"/>
      <c r="XI40" s="215"/>
      <c r="XJ40" s="215"/>
      <c r="XK40" s="215"/>
      <c r="XL40" s="215"/>
      <c r="XM40" s="215"/>
      <c r="XN40" s="215"/>
      <c r="XO40" s="215"/>
      <c r="XP40" s="215"/>
      <c r="XQ40" s="215"/>
      <c r="XR40" s="215"/>
      <c r="XS40" s="215"/>
      <c r="XT40" s="215"/>
      <c r="XU40" s="215"/>
      <c r="XV40" s="215"/>
      <c r="XW40" s="215"/>
      <c r="XX40" s="215"/>
      <c r="XY40" s="215"/>
      <c r="XZ40" s="215"/>
      <c r="YA40" s="215"/>
      <c r="YB40" s="215"/>
      <c r="YC40" s="215"/>
      <c r="YD40" s="215"/>
      <c r="YE40" s="215"/>
      <c r="YF40" s="215"/>
      <c r="YG40" s="215"/>
      <c r="YH40" s="215"/>
      <c r="YI40" s="215"/>
      <c r="YJ40" s="215"/>
      <c r="YK40" s="215"/>
      <c r="YL40" s="215"/>
      <c r="YM40" s="215"/>
      <c r="YN40" s="215"/>
      <c r="YO40" s="215"/>
      <c r="YP40" s="215"/>
      <c r="YQ40" s="215"/>
      <c r="YR40" s="215"/>
      <c r="YS40" s="215"/>
      <c r="YT40" s="215"/>
      <c r="YU40" s="215"/>
      <c r="YV40" s="215"/>
      <c r="YW40" s="215"/>
      <c r="YX40" s="215"/>
      <c r="YY40" s="215"/>
      <c r="YZ40" s="215"/>
      <c r="ZA40" s="215"/>
      <c r="ZB40" s="215"/>
      <c r="ZC40" s="215"/>
      <c r="ZD40" s="215"/>
      <c r="ZE40" s="215"/>
      <c r="ZF40" s="215"/>
      <c r="ZG40" s="215"/>
      <c r="ZH40" s="215"/>
      <c r="ZI40" s="215"/>
      <c r="ZJ40" s="215"/>
      <c r="ZK40" s="215"/>
      <c r="ZL40" s="215"/>
      <c r="ZM40" s="215"/>
      <c r="ZN40" s="215"/>
      <c r="ZO40" s="215"/>
      <c r="ZP40" s="215"/>
      <c r="ZQ40" s="215"/>
      <c r="ZR40" s="215"/>
      <c r="ZS40" s="215"/>
      <c r="ZT40" s="215"/>
      <c r="ZU40" s="215"/>
      <c r="ZV40" s="215"/>
      <c r="ZW40" s="215"/>
      <c r="ZX40" s="215"/>
      <c r="ZY40" s="215"/>
      <c r="ZZ40" s="215"/>
      <c r="AAA40" s="215"/>
      <c r="AAB40" s="215"/>
      <c r="AAC40" s="215"/>
      <c r="AAD40" s="215"/>
      <c r="AAE40" s="215"/>
      <c r="AAF40" s="215"/>
      <c r="AAG40" s="215"/>
      <c r="AAH40" s="215"/>
      <c r="AAI40" s="215"/>
      <c r="AAJ40" s="215"/>
      <c r="AAK40" s="215"/>
      <c r="AAL40" s="215"/>
      <c r="AAM40" s="215"/>
      <c r="AAN40" s="215"/>
      <c r="AAO40" s="215"/>
      <c r="AAP40" s="215"/>
      <c r="AAQ40" s="215"/>
      <c r="AAR40" s="215"/>
      <c r="AAS40" s="215"/>
      <c r="AAT40" s="215"/>
      <c r="AAU40" s="215"/>
      <c r="AAV40" s="215"/>
      <c r="AAW40" s="215"/>
      <c r="AAX40" s="215"/>
      <c r="AAY40" s="215"/>
      <c r="AAZ40" s="215"/>
      <c r="ABA40" s="215"/>
      <c r="ABB40" s="215"/>
      <c r="ABC40" s="215"/>
      <c r="ABD40" s="215"/>
      <c r="ABE40" s="215"/>
      <c r="ABF40" s="215"/>
      <c r="ABG40" s="215"/>
      <c r="ABH40" s="215"/>
      <c r="ABI40" s="215"/>
      <c r="ABJ40" s="215"/>
      <c r="ABK40" s="215"/>
      <c r="ABL40" s="215"/>
      <c r="ABM40" s="215"/>
      <c r="ABN40" s="215"/>
      <c r="ABO40" s="215"/>
      <c r="ABP40" s="215"/>
      <c r="ABQ40" s="215"/>
      <c r="ABR40" s="215"/>
      <c r="ABS40" s="215"/>
      <c r="ABT40" s="215"/>
      <c r="ABU40" s="215"/>
      <c r="ABV40" s="215"/>
      <c r="ABW40" s="215"/>
      <c r="ABX40" s="215"/>
      <c r="ABY40" s="215"/>
      <c r="ABZ40" s="215"/>
      <c r="ACA40" s="215"/>
      <c r="ACB40" s="215"/>
      <c r="ACC40" s="215"/>
      <c r="ACD40" s="215"/>
      <c r="ACE40" s="215"/>
      <c r="ACF40" s="215"/>
      <c r="ACG40" s="215"/>
      <c r="ACH40" s="215"/>
      <c r="ACI40" s="215"/>
      <c r="ACJ40" s="215"/>
      <c r="ACK40" s="215"/>
      <c r="ACL40" s="215"/>
      <c r="ACM40" s="215"/>
      <c r="ACN40" s="215"/>
      <c r="ACO40" s="215"/>
      <c r="ACP40" s="215"/>
      <c r="ACQ40" s="215"/>
      <c r="ACR40" s="215"/>
      <c r="ACS40" s="215"/>
      <c r="ACT40" s="215"/>
      <c r="ACU40" s="215"/>
      <c r="ACV40" s="215"/>
      <c r="ACW40" s="215"/>
      <c r="ACX40" s="215"/>
      <c r="ACY40" s="215"/>
      <c r="ACZ40" s="215"/>
      <c r="ADA40" s="215"/>
      <c r="ADB40" s="215"/>
      <c r="ADC40" s="215"/>
      <c r="ADD40" s="215"/>
      <c r="ADE40" s="215"/>
      <c r="ADF40" s="215"/>
      <c r="ADG40" s="215"/>
      <c r="ADH40" s="215"/>
      <c r="ADI40" s="215"/>
      <c r="ADJ40" s="215"/>
      <c r="ADK40" s="215"/>
      <c r="ADL40" s="215"/>
      <c r="ADM40" s="215"/>
      <c r="ADN40" s="215"/>
      <c r="ADO40" s="215"/>
      <c r="ADP40" s="215"/>
      <c r="ADQ40" s="215"/>
      <c r="ADR40" s="215"/>
      <c r="ADS40" s="215"/>
      <c r="ADT40" s="215"/>
      <c r="ADU40" s="215"/>
      <c r="ADV40" s="215"/>
      <c r="ADW40" s="215"/>
      <c r="ADX40" s="215"/>
      <c r="ADY40" s="215"/>
      <c r="ADZ40" s="215"/>
      <c r="AEA40" s="215"/>
      <c r="AEB40" s="215"/>
      <c r="AEC40" s="215"/>
      <c r="AED40" s="215"/>
      <c r="AEE40" s="215"/>
      <c r="AEF40" s="215"/>
      <c r="AEG40" s="215"/>
      <c r="AEH40" s="215"/>
      <c r="AEI40" s="215"/>
      <c r="AEJ40" s="215"/>
      <c r="AEK40" s="215"/>
      <c r="AEL40" s="215"/>
      <c r="AEM40" s="215"/>
      <c r="AEN40" s="215"/>
      <c r="AEO40" s="215"/>
      <c r="AEP40" s="215"/>
      <c r="AEQ40" s="215"/>
      <c r="AER40" s="215"/>
      <c r="AES40" s="215"/>
      <c r="AET40" s="215"/>
      <c r="AEU40" s="215"/>
      <c r="AEV40" s="215"/>
      <c r="AEW40" s="215"/>
      <c r="AEX40" s="215"/>
      <c r="AEY40" s="215"/>
      <c r="AEZ40" s="215"/>
      <c r="AFA40" s="215"/>
      <c r="AFB40" s="215"/>
      <c r="AFC40" s="215"/>
      <c r="AFD40" s="215"/>
      <c r="AFE40" s="215"/>
      <c r="AFF40" s="215"/>
      <c r="AFG40" s="215"/>
      <c r="AFH40" s="215"/>
      <c r="AFI40" s="215"/>
      <c r="AFJ40" s="215"/>
      <c r="AFK40" s="215"/>
      <c r="AFL40" s="215"/>
      <c r="AFM40" s="215"/>
      <c r="AFN40" s="215"/>
      <c r="AFO40" s="215"/>
      <c r="AFP40" s="215"/>
      <c r="AFQ40" s="215"/>
      <c r="AFR40" s="215"/>
      <c r="AFS40" s="215"/>
      <c r="AFT40" s="215"/>
      <c r="AFU40" s="215"/>
      <c r="AFV40" s="215"/>
      <c r="AFW40" s="215"/>
      <c r="AFX40" s="215"/>
      <c r="AFY40" s="215"/>
      <c r="AFZ40" s="215"/>
      <c r="AGA40" s="215"/>
      <c r="AGB40" s="215"/>
      <c r="AGC40" s="215"/>
      <c r="AGD40" s="215"/>
      <c r="AGE40" s="215"/>
      <c r="AGF40" s="215"/>
      <c r="AGG40" s="215"/>
      <c r="AGH40" s="215"/>
      <c r="AGI40" s="215"/>
      <c r="AGJ40" s="215"/>
      <c r="AGK40" s="215"/>
      <c r="AGL40" s="215"/>
      <c r="AGM40" s="215"/>
      <c r="AGN40" s="215"/>
      <c r="AGO40" s="215"/>
      <c r="AGP40" s="215"/>
      <c r="AGQ40" s="215"/>
      <c r="AGR40" s="215"/>
      <c r="AGS40" s="215"/>
      <c r="AGT40" s="215"/>
      <c r="AGU40" s="215"/>
      <c r="AGV40" s="215"/>
      <c r="AGW40" s="215"/>
      <c r="AGX40" s="215"/>
      <c r="AGY40" s="215"/>
      <c r="AGZ40" s="215"/>
      <c r="AHA40" s="215"/>
      <c r="AHB40" s="215"/>
      <c r="AHC40" s="215"/>
      <c r="AHD40" s="215"/>
      <c r="AHE40" s="215"/>
      <c r="AHF40" s="215"/>
      <c r="AHG40" s="215"/>
      <c r="AHH40" s="215"/>
      <c r="AHI40" s="215"/>
      <c r="AHJ40" s="215"/>
      <c r="AHK40" s="215"/>
      <c r="AHL40" s="215"/>
      <c r="AHM40" s="215"/>
      <c r="AHN40" s="215"/>
      <c r="AHO40" s="215"/>
      <c r="AHP40" s="215"/>
      <c r="AHQ40" s="215"/>
      <c r="AHR40" s="215"/>
      <c r="AHS40" s="215"/>
      <c r="AHT40" s="215"/>
      <c r="AHU40" s="215"/>
      <c r="AHV40" s="215"/>
      <c r="AHW40" s="215"/>
      <c r="AHX40" s="215"/>
      <c r="AHY40" s="215"/>
      <c r="AHZ40" s="215"/>
      <c r="AIA40" s="215"/>
      <c r="AIB40" s="215"/>
      <c r="AIC40" s="215"/>
      <c r="AID40" s="215"/>
      <c r="AIE40" s="215"/>
      <c r="AIF40" s="215"/>
      <c r="AIG40" s="215"/>
      <c r="AIH40" s="215"/>
      <c r="AII40" s="215"/>
      <c r="AIJ40" s="215"/>
      <c r="AIK40" s="215"/>
      <c r="AIL40" s="215"/>
      <c r="AIM40" s="215"/>
      <c r="AIN40" s="215"/>
      <c r="AIO40" s="215"/>
      <c r="AIP40" s="215"/>
      <c r="AIQ40" s="215"/>
      <c r="AIR40" s="215"/>
      <c r="AIS40" s="215"/>
      <c r="AIT40" s="215"/>
      <c r="AIU40" s="215"/>
      <c r="AIV40" s="215"/>
      <c r="AIW40" s="215"/>
      <c r="AIX40" s="215"/>
      <c r="AIY40" s="215"/>
      <c r="AIZ40" s="215"/>
      <c r="AJA40" s="215"/>
      <c r="AJB40" s="215"/>
      <c r="AJC40" s="215"/>
      <c r="AJD40" s="215"/>
      <c r="AJE40" s="215"/>
      <c r="AJF40" s="215"/>
      <c r="AJG40" s="215"/>
      <c r="AJH40" s="215"/>
      <c r="AJI40" s="215"/>
      <c r="AJJ40" s="215"/>
      <c r="AJK40" s="215"/>
      <c r="AJL40" s="215"/>
      <c r="AJM40" s="215"/>
      <c r="AJN40" s="215"/>
      <c r="AJO40" s="215"/>
      <c r="AJP40" s="215"/>
      <c r="AJQ40" s="215"/>
      <c r="AJR40" s="215"/>
      <c r="AJS40" s="215"/>
      <c r="AJT40" s="215"/>
      <c r="AJU40" s="215"/>
      <c r="AJV40" s="215"/>
      <c r="AJW40" s="215"/>
      <c r="AJX40" s="215"/>
      <c r="AJY40" s="215"/>
      <c r="AJZ40" s="215"/>
      <c r="AKA40" s="215"/>
      <c r="AKB40" s="215"/>
      <c r="AKC40" s="215"/>
      <c r="AKD40" s="215"/>
      <c r="AKE40" s="215"/>
      <c r="AKF40" s="215"/>
      <c r="AKG40" s="215"/>
      <c r="AKH40" s="215"/>
      <c r="AKI40" s="215"/>
      <c r="AKJ40" s="215"/>
      <c r="AKK40" s="215"/>
      <c r="AKL40" s="215"/>
      <c r="AKM40" s="215"/>
      <c r="AKN40" s="215"/>
      <c r="AKO40" s="215"/>
      <c r="AKP40" s="215"/>
      <c r="AKQ40" s="215"/>
      <c r="AKR40" s="215"/>
      <c r="AKS40" s="215"/>
      <c r="AKT40" s="215"/>
      <c r="AKU40" s="215"/>
      <c r="AKV40" s="215"/>
      <c r="AKW40" s="215"/>
      <c r="AKX40" s="215"/>
      <c r="AKY40" s="215"/>
      <c r="AKZ40" s="215"/>
      <c r="ALA40" s="215"/>
      <c r="ALB40" s="215"/>
      <c r="ALC40" s="215"/>
      <c r="ALD40" s="215"/>
      <c r="ALE40" s="215"/>
      <c r="ALF40" s="215"/>
      <c r="ALG40" s="215"/>
      <c r="ALH40" s="215"/>
      <c r="ALI40" s="215"/>
      <c r="ALJ40" s="215"/>
      <c r="ALK40" s="215"/>
      <c r="ALL40" s="215"/>
      <c r="ALM40" s="215"/>
      <c r="ALN40" s="215"/>
      <c r="ALO40" s="215"/>
      <c r="ALP40" s="215"/>
      <c r="ALQ40" s="215"/>
      <c r="ALR40" s="215"/>
      <c r="ALS40" s="215"/>
      <c r="ALT40" s="215"/>
      <c r="ALU40" s="215"/>
      <c r="ALV40" s="215"/>
      <c r="ALW40" s="215"/>
      <c r="ALX40" s="215"/>
      <c r="ALY40" s="215"/>
      <c r="ALZ40" s="215"/>
      <c r="AMA40" s="215"/>
      <c r="AMB40" s="215"/>
      <c r="AMC40" s="215"/>
      <c r="AMD40" s="215"/>
      <c r="AME40" s="215"/>
      <c r="AMF40" s="215"/>
      <c r="AMG40" s="215"/>
      <c r="AMH40" s="215"/>
      <c r="AMI40" s="215"/>
      <c r="AMJ40" s="215"/>
      <c r="AMK40" s="215"/>
      <c r="AML40" s="215"/>
      <c r="AMM40" s="215"/>
      <c r="AMN40" s="215"/>
      <c r="AMO40" s="215"/>
      <c r="AMP40" s="215"/>
      <c r="AMQ40" s="215"/>
      <c r="AMR40" s="215"/>
      <c r="AMS40" s="215"/>
      <c r="AMT40" s="215"/>
      <c r="AMU40" s="215"/>
      <c r="AMV40" s="215"/>
      <c r="AMW40" s="215"/>
      <c r="AMX40" s="215"/>
      <c r="AMY40" s="215"/>
      <c r="AMZ40" s="215"/>
      <c r="ANA40" s="215"/>
      <c r="ANB40" s="215"/>
      <c r="ANC40" s="215"/>
      <c r="AND40" s="215"/>
      <c r="ANE40" s="215"/>
      <c r="ANF40" s="215"/>
      <c r="ANG40" s="215"/>
      <c r="ANH40" s="215"/>
      <c r="ANI40" s="215"/>
      <c r="ANJ40" s="215"/>
      <c r="ANK40" s="215"/>
      <c r="ANL40" s="215"/>
      <c r="ANM40" s="215"/>
      <c r="ANN40" s="215"/>
      <c r="ANO40" s="215"/>
      <c r="ANP40" s="215"/>
      <c r="ANQ40" s="215"/>
      <c r="ANR40" s="215"/>
      <c r="ANS40" s="215"/>
      <c r="ANT40" s="215"/>
      <c r="ANU40" s="215"/>
      <c r="ANV40" s="215"/>
      <c r="ANW40" s="215"/>
      <c r="ANX40" s="215"/>
      <c r="ANY40" s="215"/>
      <c r="ANZ40" s="215"/>
      <c r="AOA40" s="215"/>
      <c r="AOB40" s="215"/>
      <c r="AOC40" s="215"/>
      <c r="AOD40" s="215"/>
      <c r="AOE40" s="215"/>
      <c r="AOF40" s="215"/>
      <c r="AOG40" s="215"/>
      <c r="AOH40" s="215"/>
      <c r="AOI40" s="215"/>
      <c r="AOJ40" s="215"/>
      <c r="AOK40" s="215"/>
      <c r="AOL40" s="215"/>
      <c r="AOM40" s="215"/>
      <c r="AON40" s="215"/>
      <c r="AOO40" s="215"/>
      <c r="AOP40" s="215"/>
      <c r="AOQ40" s="215"/>
      <c r="AOR40" s="215"/>
      <c r="AOS40" s="215"/>
      <c r="AOT40" s="215"/>
      <c r="AOU40" s="215"/>
      <c r="AOV40" s="215"/>
      <c r="AOW40" s="215"/>
      <c r="AOX40" s="215"/>
      <c r="AOY40" s="215"/>
      <c r="AOZ40" s="215"/>
      <c r="APA40" s="215"/>
      <c r="APB40" s="215"/>
      <c r="APC40" s="215"/>
      <c r="APD40" s="215"/>
      <c r="APE40" s="215"/>
      <c r="APF40" s="215"/>
      <c r="APG40" s="215"/>
      <c r="APH40" s="215"/>
      <c r="API40" s="215"/>
      <c r="APJ40" s="215"/>
      <c r="APK40" s="215"/>
      <c r="APL40" s="215"/>
      <c r="APM40" s="215"/>
      <c r="APN40" s="215"/>
      <c r="APO40" s="215"/>
      <c r="APP40" s="215"/>
      <c r="APQ40" s="215"/>
      <c r="APR40" s="215"/>
      <c r="APS40" s="215"/>
      <c r="APT40" s="215"/>
      <c r="APU40" s="215"/>
      <c r="APV40" s="215"/>
      <c r="APW40" s="215"/>
      <c r="APX40" s="215"/>
      <c r="APY40" s="215"/>
      <c r="APZ40" s="215"/>
      <c r="AQA40" s="215"/>
      <c r="AQB40" s="215"/>
      <c r="AQC40" s="215"/>
      <c r="AQD40" s="215"/>
      <c r="AQE40" s="215"/>
      <c r="AQF40" s="215"/>
      <c r="AQG40" s="215"/>
      <c r="AQH40" s="215"/>
      <c r="AQI40" s="215"/>
      <c r="AQJ40" s="215"/>
      <c r="AQK40" s="215"/>
      <c r="AQL40" s="215"/>
      <c r="AQM40" s="215"/>
      <c r="AQN40" s="215"/>
      <c r="AQO40" s="215"/>
      <c r="AQP40" s="215"/>
      <c r="AQQ40" s="215"/>
      <c r="AQR40" s="215"/>
      <c r="AQS40" s="215"/>
      <c r="AQT40" s="215"/>
      <c r="AQU40" s="215"/>
      <c r="AQV40" s="215"/>
      <c r="AQW40" s="215"/>
      <c r="AQX40" s="215"/>
      <c r="AQY40" s="215"/>
      <c r="AQZ40" s="215"/>
      <c r="ARA40" s="215"/>
      <c r="ARB40" s="215"/>
      <c r="ARC40" s="215"/>
      <c r="ARD40" s="215"/>
      <c r="ARE40" s="215"/>
      <c r="ARF40" s="215"/>
      <c r="ARG40" s="215"/>
      <c r="ARH40" s="215"/>
      <c r="ARI40" s="215"/>
      <c r="ARJ40" s="215"/>
      <c r="ARK40" s="215"/>
      <c r="ARL40" s="215"/>
      <c r="ARM40" s="215"/>
      <c r="ARN40" s="215"/>
      <c r="ARO40" s="215"/>
      <c r="ARP40" s="215"/>
      <c r="ARQ40" s="215"/>
      <c r="ARR40" s="215"/>
      <c r="ARS40" s="215"/>
      <c r="ART40" s="215"/>
      <c r="ARU40" s="215"/>
      <c r="ARV40" s="215"/>
      <c r="ARW40" s="215"/>
      <c r="ARX40" s="215"/>
      <c r="ARY40" s="215"/>
      <c r="ARZ40" s="215"/>
      <c r="ASA40" s="215"/>
      <c r="ASB40" s="215"/>
      <c r="ASC40" s="215"/>
      <c r="ASD40" s="215"/>
      <c r="ASE40" s="215"/>
      <c r="ASF40" s="215"/>
      <c r="ASG40" s="215"/>
      <c r="ASH40" s="215"/>
      <c r="ASI40" s="215"/>
      <c r="ASJ40" s="215"/>
      <c r="ASK40" s="215"/>
      <c r="ASL40" s="215"/>
      <c r="ASM40" s="215"/>
      <c r="ASN40" s="215"/>
      <c r="ASO40" s="215"/>
      <c r="ASP40" s="215"/>
      <c r="ASQ40" s="215"/>
      <c r="ASR40" s="215"/>
      <c r="ASS40" s="215"/>
      <c r="AST40" s="215"/>
      <c r="ASU40" s="215"/>
      <c r="ASV40" s="215"/>
      <c r="ASW40" s="215"/>
      <c r="ASX40" s="215"/>
      <c r="ASY40" s="215"/>
      <c r="ASZ40" s="215"/>
      <c r="ATA40" s="215"/>
      <c r="ATB40" s="215"/>
      <c r="ATC40" s="215"/>
      <c r="ATD40" s="215"/>
      <c r="ATE40" s="215"/>
      <c r="ATF40" s="215"/>
      <c r="ATG40" s="215"/>
      <c r="ATH40" s="215"/>
      <c r="ATI40" s="215"/>
      <c r="ATJ40" s="215"/>
      <c r="ATK40" s="215"/>
      <c r="ATL40" s="215"/>
      <c r="ATM40" s="215"/>
      <c r="ATN40" s="215"/>
      <c r="ATO40" s="215"/>
      <c r="ATP40" s="215"/>
      <c r="ATQ40" s="215"/>
      <c r="ATR40" s="215"/>
      <c r="ATS40" s="215"/>
      <c r="ATT40" s="215"/>
      <c r="ATU40" s="215"/>
      <c r="ATV40" s="215"/>
      <c r="ATW40" s="215"/>
      <c r="ATX40" s="215"/>
      <c r="ATY40" s="215"/>
      <c r="ATZ40" s="215"/>
      <c r="AUA40" s="215"/>
      <c r="AUB40" s="215"/>
      <c r="AUC40" s="215"/>
      <c r="AUD40" s="215"/>
      <c r="AUE40" s="215"/>
      <c r="AUF40" s="215"/>
      <c r="AUG40" s="215"/>
      <c r="AUH40" s="215"/>
      <c r="AUI40" s="215"/>
      <c r="AUJ40" s="215"/>
      <c r="AUK40" s="215"/>
      <c r="AUL40" s="215"/>
      <c r="AUM40" s="215"/>
      <c r="AUN40" s="215"/>
      <c r="AUO40" s="215"/>
      <c r="AUP40" s="215"/>
      <c r="AUQ40" s="215"/>
      <c r="AUR40" s="215"/>
      <c r="AUS40" s="215"/>
      <c r="AUT40" s="215"/>
      <c r="AUU40" s="215"/>
      <c r="AUV40" s="215"/>
      <c r="AUW40" s="215"/>
      <c r="AUX40" s="215"/>
      <c r="AUY40" s="215"/>
      <c r="AUZ40" s="215"/>
      <c r="AVA40" s="215"/>
      <c r="AVB40" s="215"/>
      <c r="AVC40" s="215"/>
      <c r="AVD40" s="215"/>
      <c r="AVE40" s="215"/>
      <c r="AVF40" s="215"/>
      <c r="AVG40" s="215"/>
      <c r="AVH40" s="215"/>
      <c r="AVI40" s="215"/>
      <c r="AVJ40" s="215"/>
      <c r="AVK40" s="215"/>
      <c r="AVL40" s="215"/>
      <c r="AVM40" s="215"/>
      <c r="AVN40" s="215"/>
      <c r="AVO40" s="215"/>
      <c r="AVP40" s="215"/>
      <c r="AVQ40" s="215"/>
      <c r="AVR40" s="215"/>
      <c r="AVS40" s="215"/>
      <c r="AVT40" s="215"/>
      <c r="AVU40" s="215"/>
      <c r="AVV40" s="215"/>
      <c r="AVW40" s="215"/>
      <c r="AVX40" s="215"/>
      <c r="AVY40" s="215"/>
      <c r="AVZ40" s="215"/>
      <c r="AWA40" s="215"/>
      <c r="AWB40" s="215"/>
      <c r="AWC40" s="215"/>
      <c r="AWD40" s="215"/>
      <c r="AWE40" s="215"/>
      <c r="AWF40" s="215"/>
      <c r="AWG40" s="215"/>
      <c r="AWH40" s="215"/>
      <c r="AWI40" s="215"/>
      <c r="AWJ40" s="215"/>
      <c r="AWK40" s="215"/>
      <c r="AWL40" s="215"/>
      <c r="AWM40" s="215"/>
      <c r="AWN40" s="215"/>
      <c r="AWO40" s="215"/>
      <c r="AWP40" s="215"/>
      <c r="AWQ40" s="215"/>
      <c r="AWR40" s="215"/>
      <c r="AWS40" s="215"/>
      <c r="AWT40" s="215"/>
      <c r="AWU40" s="215"/>
      <c r="AWV40" s="215"/>
      <c r="AWW40" s="215"/>
      <c r="AWX40" s="215"/>
      <c r="AWY40" s="215"/>
      <c r="AWZ40" s="215"/>
      <c r="AXA40" s="215"/>
      <c r="AXB40" s="215"/>
      <c r="AXC40" s="215"/>
      <c r="AXD40" s="215"/>
      <c r="AXE40" s="215"/>
      <c r="AXF40" s="215"/>
      <c r="AXG40" s="215"/>
      <c r="AXH40" s="215"/>
      <c r="AXI40" s="215"/>
      <c r="AXJ40" s="215"/>
      <c r="AXK40" s="215"/>
      <c r="AXL40" s="215"/>
      <c r="AXM40" s="215"/>
      <c r="AXN40" s="215"/>
      <c r="AXO40" s="215"/>
      <c r="AXP40" s="215"/>
      <c r="AXQ40" s="215"/>
      <c r="AXR40" s="215"/>
      <c r="AXS40" s="215"/>
      <c r="AXT40" s="215"/>
      <c r="AXU40" s="215"/>
      <c r="AXV40" s="215"/>
      <c r="AXW40" s="215"/>
      <c r="AXX40" s="215"/>
      <c r="AXY40" s="215"/>
      <c r="AXZ40" s="215"/>
      <c r="AYA40" s="215"/>
      <c r="AYB40" s="215"/>
      <c r="AYC40" s="215"/>
      <c r="AYD40" s="215"/>
      <c r="AYE40" s="215"/>
      <c r="AYF40" s="215"/>
      <c r="AYG40" s="215"/>
      <c r="AYH40" s="215"/>
      <c r="AYI40" s="215"/>
      <c r="AYJ40" s="215"/>
      <c r="AYK40" s="215"/>
      <c r="AYL40" s="215"/>
      <c r="AYM40" s="215"/>
      <c r="AYN40" s="215"/>
      <c r="AYO40" s="215"/>
      <c r="AYP40" s="215"/>
      <c r="AYQ40" s="215"/>
      <c r="AYR40" s="215"/>
      <c r="AYS40" s="215"/>
      <c r="AYT40" s="215"/>
      <c r="AYU40" s="215"/>
      <c r="AYV40" s="215"/>
      <c r="AYW40" s="215"/>
      <c r="AYX40" s="215"/>
      <c r="AYY40" s="215"/>
      <c r="AYZ40" s="215"/>
      <c r="AZA40" s="215"/>
      <c r="AZB40" s="215"/>
      <c r="AZC40" s="215"/>
      <c r="AZD40" s="215"/>
      <c r="AZE40" s="215"/>
      <c r="AZF40" s="215"/>
      <c r="AZG40" s="215"/>
      <c r="AZH40" s="215"/>
      <c r="AZI40" s="215"/>
      <c r="AZJ40" s="215"/>
      <c r="AZK40" s="215"/>
      <c r="AZL40" s="215"/>
      <c r="AZM40" s="215"/>
      <c r="AZN40" s="215"/>
      <c r="AZO40" s="215"/>
      <c r="AZP40" s="215"/>
      <c r="AZQ40" s="215"/>
      <c r="AZR40" s="215"/>
      <c r="AZS40" s="215"/>
      <c r="AZT40" s="215"/>
      <c r="AZU40" s="215"/>
      <c r="AZV40" s="215"/>
      <c r="AZW40" s="215"/>
      <c r="AZX40" s="215"/>
      <c r="AZY40" s="215"/>
      <c r="AZZ40" s="215"/>
      <c r="BAA40" s="215"/>
      <c r="BAB40" s="215"/>
      <c r="BAC40" s="215"/>
      <c r="BAD40" s="215"/>
      <c r="BAE40" s="215"/>
      <c r="BAF40" s="215"/>
      <c r="BAG40" s="215"/>
      <c r="BAH40" s="215"/>
      <c r="BAI40" s="215"/>
      <c r="BAJ40" s="215"/>
      <c r="BAK40" s="215"/>
      <c r="BAL40" s="215"/>
      <c r="BAM40" s="215"/>
      <c r="BAN40" s="215"/>
      <c r="BAO40" s="215"/>
      <c r="BAP40" s="215"/>
      <c r="BAQ40" s="215"/>
      <c r="BAR40" s="215"/>
      <c r="BAS40" s="215"/>
      <c r="BAT40" s="215"/>
      <c r="BAU40" s="215"/>
      <c r="BAV40" s="215"/>
      <c r="BAW40" s="215"/>
      <c r="BAX40" s="215"/>
      <c r="BAY40" s="215"/>
      <c r="BAZ40" s="215"/>
      <c r="BBA40" s="215"/>
      <c r="BBB40" s="215"/>
      <c r="BBC40" s="215"/>
      <c r="BBD40" s="215"/>
      <c r="BBE40" s="215"/>
      <c r="BBF40" s="215"/>
      <c r="BBG40" s="215"/>
      <c r="BBH40" s="215"/>
      <c r="BBI40" s="215"/>
      <c r="BBJ40" s="215"/>
      <c r="BBK40" s="215"/>
      <c r="BBL40" s="215"/>
      <c r="BBM40" s="215"/>
      <c r="BBN40" s="215"/>
      <c r="BBO40" s="215"/>
      <c r="BBP40" s="215"/>
      <c r="BBQ40" s="215"/>
      <c r="BBR40" s="215"/>
      <c r="BBS40" s="215"/>
      <c r="BBT40" s="215"/>
      <c r="BBU40" s="215"/>
      <c r="BBV40" s="215"/>
      <c r="BBW40" s="215"/>
      <c r="BBX40" s="215"/>
      <c r="BBY40" s="215"/>
      <c r="BBZ40" s="215"/>
      <c r="BCA40" s="215"/>
      <c r="BCB40" s="215"/>
      <c r="BCC40" s="215"/>
      <c r="BCD40" s="215"/>
      <c r="BCE40" s="215"/>
      <c r="BCF40" s="215"/>
      <c r="BCG40" s="215"/>
      <c r="BCH40" s="215"/>
      <c r="BCI40" s="215"/>
      <c r="BCJ40" s="215"/>
      <c r="BCK40" s="215"/>
      <c r="BCL40" s="215"/>
      <c r="BCM40" s="215"/>
      <c r="BCN40" s="215"/>
      <c r="BCO40" s="215"/>
      <c r="BCP40" s="215"/>
      <c r="BCQ40" s="215"/>
      <c r="BCR40" s="215"/>
      <c r="BCS40" s="215"/>
      <c r="BCT40" s="215"/>
      <c r="BCU40" s="215"/>
      <c r="BCV40" s="215"/>
      <c r="BCW40" s="215"/>
      <c r="BCX40" s="215"/>
      <c r="BCY40" s="215"/>
      <c r="BCZ40" s="215"/>
      <c r="BDA40" s="215"/>
      <c r="BDB40" s="215"/>
      <c r="BDC40" s="215"/>
      <c r="BDD40" s="215"/>
      <c r="BDE40" s="215"/>
      <c r="BDF40" s="215"/>
      <c r="BDG40" s="215"/>
      <c r="BDH40" s="215"/>
      <c r="BDI40" s="215"/>
      <c r="BDJ40" s="215"/>
      <c r="BDK40" s="215"/>
      <c r="BDL40" s="215"/>
      <c r="BDM40" s="215"/>
      <c r="BDN40" s="215"/>
      <c r="BDO40" s="215"/>
      <c r="BDP40" s="215"/>
      <c r="BDQ40" s="215"/>
      <c r="BDR40" s="215"/>
      <c r="BDS40" s="215"/>
      <c r="BDT40" s="215"/>
      <c r="BDU40" s="215"/>
      <c r="BDV40" s="215"/>
      <c r="BDW40" s="215"/>
      <c r="BDX40" s="215"/>
      <c r="BDY40" s="215"/>
      <c r="BDZ40" s="215"/>
      <c r="BEA40" s="215"/>
      <c r="BEB40" s="215"/>
      <c r="BEC40" s="215"/>
      <c r="BED40" s="215"/>
      <c r="BEE40" s="215"/>
      <c r="BEF40" s="215"/>
      <c r="BEG40" s="215"/>
      <c r="BEH40" s="215"/>
      <c r="BEI40" s="215"/>
      <c r="BEJ40" s="215"/>
      <c r="BEK40" s="215"/>
      <c r="BEL40" s="215"/>
      <c r="BEM40" s="215"/>
      <c r="BEN40" s="215"/>
      <c r="BEO40" s="215"/>
      <c r="BEP40" s="215"/>
      <c r="BEQ40" s="215"/>
      <c r="BER40" s="215"/>
      <c r="BES40" s="215"/>
      <c r="BET40" s="215"/>
      <c r="BEU40" s="215"/>
      <c r="BEV40" s="215"/>
      <c r="BEW40" s="215"/>
      <c r="BEX40" s="215"/>
      <c r="BEY40" s="215"/>
      <c r="BEZ40" s="215"/>
      <c r="BFA40" s="215"/>
      <c r="BFB40" s="215"/>
      <c r="BFC40" s="215"/>
      <c r="BFD40" s="215"/>
      <c r="BFE40" s="215"/>
      <c r="BFF40" s="215"/>
      <c r="BFG40" s="215"/>
      <c r="BFH40" s="215"/>
      <c r="BFI40" s="215"/>
      <c r="BFJ40" s="215"/>
      <c r="BFK40" s="215"/>
      <c r="BFL40" s="215"/>
      <c r="BFM40" s="215"/>
      <c r="BFN40" s="215"/>
      <c r="BFO40" s="215"/>
      <c r="BFP40" s="215"/>
      <c r="BFQ40" s="215"/>
      <c r="BFR40" s="215"/>
      <c r="BFS40" s="215"/>
      <c r="BFT40" s="215"/>
      <c r="BFU40" s="215"/>
      <c r="BFV40" s="215"/>
      <c r="BFW40" s="215"/>
      <c r="BFX40" s="215"/>
      <c r="BFY40" s="215"/>
      <c r="BFZ40" s="215"/>
      <c r="BGA40" s="215"/>
      <c r="BGB40" s="215"/>
      <c r="BGC40" s="215"/>
      <c r="BGD40" s="215"/>
      <c r="BGE40" s="215"/>
      <c r="BGF40" s="215"/>
      <c r="BGG40" s="215"/>
      <c r="BGH40" s="215"/>
      <c r="BGI40" s="215"/>
      <c r="BGJ40" s="215"/>
      <c r="BGK40" s="215"/>
      <c r="BGL40" s="215"/>
      <c r="BGM40" s="215"/>
      <c r="BGN40" s="215"/>
      <c r="BGO40" s="215"/>
      <c r="BGP40" s="215"/>
      <c r="BGQ40" s="215"/>
      <c r="BGR40" s="215"/>
      <c r="BGS40" s="215"/>
      <c r="BGT40" s="215"/>
      <c r="BGU40" s="215"/>
      <c r="BGV40" s="215"/>
      <c r="BGW40" s="215"/>
      <c r="BGX40" s="215"/>
      <c r="BGY40" s="215"/>
      <c r="BGZ40" s="215"/>
      <c r="BHA40" s="215"/>
      <c r="BHB40" s="215"/>
      <c r="BHC40" s="215"/>
      <c r="BHD40" s="215"/>
      <c r="BHE40" s="215"/>
      <c r="BHF40" s="215"/>
      <c r="BHG40" s="215"/>
      <c r="BHH40" s="215"/>
      <c r="BHI40" s="215"/>
      <c r="BHJ40" s="215"/>
      <c r="BHK40" s="215"/>
      <c r="BHL40" s="215"/>
      <c r="BHM40" s="215"/>
      <c r="BHN40" s="215"/>
      <c r="BHO40" s="215"/>
      <c r="BHP40" s="215"/>
      <c r="BHQ40" s="215"/>
      <c r="BHR40" s="215"/>
      <c r="BHS40" s="215"/>
      <c r="BHT40" s="215"/>
      <c r="BHU40" s="215"/>
      <c r="BHV40" s="215"/>
      <c r="BHW40" s="215"/>
    </row>
    <row r="41" spans="1:1583" s="217" customFormat="1">
      <c r="A41" s="118" t="s">
        <v>406</v>
      </c>
      <c r="B41" s="180" t="s">
        <v>364</v>
      </c>
      <c r="C41" s="416" t="s">
        <v>485</v>
      </c>
      <c r="D41" s="418" t="s">
        <v>485</v>
      </c>
      <c r="E41" s="59" t="s">
        <v>9</v>
      </c>
      <c r="F41" s="132">
        <v>150</v>
      </c>
      <c r="G41" s="60" t="s">
        <v>695</v>
      </c>
      <c r="H41" s="473">
        <f t="shared" si="15"/>
        <v>3573.1838686812944</v>
      </c>
      <c r="I41" s="103">
        <f>VLOOKUP($B41,'DCS Data'!$E$2:$AJ$100,MATCH('Daily Report'!I$1,'DCS Data'!$E$2:$AJ$2,0),0)</f>
        <v>110.22495366358461</v>
      </c>
      <c r="J41" s="255"/>
      <c r="K41" s="103">
        <f>VLOOKUP($B41,'DCS Data'!$E$2:$AJ$100,MATCH('Daily Report'!K$1,'DCS Data'!$E$2:$AJ$2,0),0)</f>
        <v>116.29640211233199</v>
      </c>
      <c r="L41" s="103">
        <f>VLOOKUP($B41,'DCS Data'!$E$2:$AJ$100,MATCH('Daily Report'!L$1,'DCS Data'!$E$2:$AJ$2,0),0)</f>
        <v>122.74262421101409</v>
      </c>
      <c r="M41" s="103">
        <f>VLOOKUP($B41,'DCS Data'!$E$2:$AJ$100,MATCH('Daily Report'!M$1,'DCS Data'!$E$2:$AJ$2,0),0)</f>
        <v>116.57718192854553</v>
      </c>
      <c r="N41" s="103">
        <f>VLOOKUP($B41,'DCS Data'!$E$2:$AJ$100,MATCH('Daily Report'!N$1,'DCS Data'!$E$2:$AJ$2,0),0)</f>
        <v>122.01671748265221</v>
      </c>
      <c r="O41" s="103">
        <f>VLOOKUP($B41,'DCS Data'!$E$2:$AJ$100,MATCH('Daily Report'!O$1,'DCS Data'!$E$2:$AJ$2,0),0)</f>
        <v>109.7796820943927</v>
      </c>
      <c r="P41" s="103">
        <f>VLOOKUP($B41,'DCS Data'!$E$2:$AJ$100,MATCH('Daily Report'!P$1,'DCS Data'!$E$2:$AJ$2,0),0)</f>
        <v>103.48487387964097</v>
      </c>
      <c r="Q41" s="103">
        <f>VLOOKUP($B41,'DCS Data'!$E$2:$AJ$100,MATCH('Daily Report'!Q$1,'DCS Data'!$E$2:$AJ$2,0),0)</f>
        <v>109.85216467593109</v>
      </c>
      <c r="R41" s="103">
        <f>VLOOKUP($B41,'DCS Data'!$E$2:$AJ$100,MATCH('Daily Report'!R$1,'DCS Data'!$E$2:$AJ$2,0),0)</f>
        <v>111.59764894778063</v>
      </c>
      <c r="S41" s="103">
        <f>VLOOKUP($B41,'DCS Data'!$E$2:$AJ$100,MATCH('Daily Report'!S$1,'DCS Data'!$E$2:$AJ$2,0),0)</f>
        <v>104.71735928535738</v>
      </c>
      <c r="T41" s="103">
        <f>VLOOKUP($B41,'DCS Data'!$E$2:$AJ$100,MATCH('Daily Report'!T$1,'DCS Data'!$E$2:$AJ$2,0),0)</f>
        <v>115.70892919418773</v>
      </c>
      <c r="U41" s="103">
        <f>VLOOKUP($B41,'DCS Data'!$E$2:$AJ$100,MATCH('Daily Report'!U$1,'DCS Data'!$E$2:$AJ$2,0),0)</f>
        <v>124.32577619278156</v>
      </c>
      <c r="V41" s="103">
        <f>VLOOKUP($B41,'DCS Data'!$E$2:$AJ$100,MATCH('Daily Report'!V$1,'DCS Data'!$E$2:$AJ$2,0),0)</f>
        <v>107.23533844505762</v>
      </c>
      <c r="W41" s="103">
        <f>VLOOKUP($B41,'DCS Data'!$E$2:$AJ$100,MATCH('Daily Report'!W$1,'DCS Data'!$E$2:$AJ$2,0),0)</f>
        <v>101.49680382236325</v>
      </c>
      <c r="X41" s="103">
        <f>VLOOKUP($B41,'DCS Data'!$E$2:$AJ$100,MATCH('Daily Report'!X$1,'DCS Data'!$E$2:$AJ$2,0),0)</f>
        <v>113.27158394263078</v>
      </c>
      <c r="Y41" s="103">
        <f>VLOOKUP($B41,'DCS Data'!$E$2:$AJ$100,MATCH('Daily Report'!Y$1,'DCS Data'!$E$2:$AJ$2,0),0)</f>
        <v>126.32770239369124</v>
      </c>
      <c r="Z41" s="103">
        <f>VLOOKUP($B41,'DCS Data'!$E$2:$AJ$100,MATCH('Daily Report'!Z$1,'DCS Data'!$E$2:$AJ$2,0),0)</f>
        <v>101.1502818652237</v>
      </c>
      <c r="AA41" s="103">
        <f>VLOOKUP($B41,'DCS Data'!$E$2:$AJ$100,MATCH('Daily Report'!AA$1,'DCS Data'!$E$2:$AJ$2,0),0)</f>
        <v>87.6326042879803</v>
      </c>
      <c r="AB41" s="103">
        <f>VLOOKUP($B41,'DCS Data'!$E$2:$AJ$100,MATCH('Daily Report'!AB$1,'DCS Data'!$E$2:$AJ$2,0),0)</f>
        <v>108.27424325425999</v>
      </c>
      <c r="AC41" s="103">
        <f>VLOOKUP($B41,'DCS Data'!$E$2:$AJ$100,MATCH('Daily Report'!AC$1,'DCS Data'!$E$2:$AJ$2,0),0)</f>
        <v>113.14295303974721</v>
      </c>
      <c r="AD41" s="103">
        <f>VLOOKUP($B41,'DCS Data'!$E$2:$AJ$100,MATCH('Daily Report'!AD$1,'DCS Data'!$E$2:$AJ$2,0),0)</f>
        <v>120.09941662911464</v>
      </c>
      <c r="AE41" s="103">
        <f>VLOOKUP($B41,'DCS Data'!$E$2:$AJ$100,MATCH('Daily Report'!AE$1,'DCS Data'!$E$2:$AJ$2,0),0)</f>
        <v>118.15901470796973</v>
      </c>
      <c r="AF41" s="103">
        <f>VLOOKUP($B41,'DCS Data'!$E$2:$AJ$100,MATCH('Daily Report'!AF$1,'DCS Data'!$E$2:$AJ$2,0),0)</f>
        <v>120.3054462058831</v>
      </c>
      <c r="AG41" s="103">
        <f>VLOOKUP($B41,'DCS Data'!$E$2:$AJ$100,MATCH('Daily Report'!AG$1,'DCS Data'!$E$2:$AJ$2,0),0)</f>
        <v>120.93408470040436</v>
      </c>
      <c r="AH41" s="103">
        <f>VLOOKUP($B41,'DCS Data'!$E$2:$AJ$100,MATCH('Daily Report'!AH$1,'DCS Data'!$E$2:$AJ$2,0),0)</f>
        <v>119.60411008389485</v>
      </c>
      <c r="AI41" s="103">
        <f>VLOOKUP($B41,'DCS Data'!$E$2:$AJ$100,MATCH('Daily Report'!AI$1,'DCS Data'!$E$2:$AJ$2,0),0)</f>
        <v>114.44016908823436</v>
      </c>
      <c r="AJ41" s="103">
        <f>VLOOKUP($B41,'DCS Data'!$E$2:$AJ$100,MATCH('Daily Report'!AJ$1,'DCS Data'!$E$2:$AJ$2,0),0)</f>
        <v>120.28161935405953</v>
      </c>
      <c r="AK41" s="103">
        <f>VLOOKUP($B41,'DCS Data'!$E$2:$AJ$100,MATCH('Daily Report'!AK$1,'DCS Data'!$E$2:$AJ$2,0),0)</f>
        <v>127.40300032337402</v>
      </c>
      <c r="AL41" s="103">
        <f>VLOOKUP($B41,'DCS Data'!$E$2:$AJ$100,MATCH('Daily Report'!AL$1,'DCS Data'!$E$2:$AJ$2,0),0)</f>
        <v>128.138098092185</v>
      </c>
      <c r="AM41" s="103">
        <f>VLOOKUP($B41,'DCS Data'!$E$2:$AJ$100,MATCH('Daily Report'!AM$1,'DCS Data'!$E$2:$AJ$2,0),0)</f>
        <v>125.25052366972149</v>
      </c>
      <c r="AN41" s="103">
        <f>VLOOKUP($B41,'DCS Data'!$E$2:$AJ$100,MATCH('Daily Report'!AN$1,'DCS Data'!$E$2:$AJ$2,0),0)</f>
        <v>132.71256110729993</v>
      </c>
      <c r="AO41" s="214"/>
      <c r="AP41" s="214"/>
      <c r="AQ41" s="214"/>
      <c r="AR41" s="214"/>
      <c r="AS41" s="214"/>
      <c r="AT41" s="214"/>
      <c r="AU41" s="214"/>
      <c r="AV41" s="214"/>
      <c r="AW41" s="214"/>
      <c r="AX41" s="214"/>
      <c r="AY41" s="214"/>
      <c r="AZ41" s="214"/>
      <c r="BA41" s="214"/>
      <c r="BB41" s="214"/>
      <c r="BC41" s="214"/>
      <c r="BD41" s="214"/>
      <c r="BE41" s="214"/>
      <c r="BF41" s="214"/>
      <c r="BG41" s="214"/>
      <c r="BH41" s="214"/>
      <c r="BI41" s="214"/>
      <c r="BJ41" s="214"/>
      <c r="BK41" s="214"/>
      <c r="BL41" s="214"/>
      <c r="BM41" s="214"/>
      <c r="BN41" s="214"/>
      <c r="BO41" s="214"/>
      <c r="BP41" s="214"/>
      <c r="BQ41" s="214"/>
      <c r="BR41" s="214"/>
      <c r="BS41" s="214"/>
      <c r="BT41" s="214"/>
      <c r="BU41" s="214"/>
      <c r="BV41" s="214"/>
      <c r="BW41" s="214"/>
      <c r="BX41" s="214"/>
      <c r="BY41" s="214"/>
      <c r="BZ41" s="214"/>
      <c r="CA41" s="214"/>
      <c r="CB41" s="214"/>
      <c r="CC41" s="214"/>
      <c r="CD41" s="214"/>
      <c r="CE41" s="214"/>
      <c r="CF41" s="214"/>
      <c r="CG41" s="214"/>
      <c r="CH41" s="214"/>
      <c r="CI41" s="214"/>
      <c r="CJ41" s="214"/>
      <c r="CK41" s="214"/>
      <c r="CL41" s="214"/>
      <c r="CM41" s="214"/>
      <c r="CN41" s="214"/>
      <c r="CO41" s="214"/>
      <c r="CP41" s="214"/>
      <c r="CQ41" s="214"/>
      <c r="CR41" s="214"/>
      <c r="CS41" s="214"/>
      <c r="CT41" s="214"/>
      <c r="CU41" s="214"/>
      <c r="CV41" s="214"/>
      <c r="CW41" s="214"/>
      <c r="CX41" s="214"/>
      <c r="CY41" s="214"/>
      <c r="CZ41" s="214"/>
      <c r="DA41" s="214"/>
      <c r="DB41" s="214"/>
      <c r="DC41" s="214"/>
      <c r="DD41" s="214"/>
      <c r="DE41" s="214"/>
      <c r="DF41" s="214"/>
      <c r="DG41" s="214"/>
      <c r="DH41" s="214"/>
      <c r="DI41" s="214"/>
      <c r="DJ41" s="214"/>
      <c r="DK41" s="214"/>
      <c r="DL41" s="214"/>
      <c r="DM41" s="214"/>
      <c r="DN41" s="214"/>
      <c r="DO41" s="214"/>
      <c r="DP41" s="214"/>
      <c r="DQ41" s="214"/>
      <c r="DR41" s="214"/>
      <c r="DS41" s="214"/>
      <c r="DT41" s="214"/>
      <c r="DU41" s="214"/>
      <c r="DV41" s="214"/>
      <c r="DW41" s="214"/>
      <c r="DX41" s="214"/>
      <c r="DY41" s="214"/>
      <c r="DZ41" s="214"/>
      <c r="EA41" s="214"/>
      <c r="EB41" s="214"/>
      <c r="EC41" s="214"/>
      <c r="ED41" s="214"/>
      <c r="EE41" s="214"/>
      <c r="EF41" s="214"/>
      <c r="EG41" s="214"/>
      <c r="EH41" s="214"/>
      <c r="EI41" s="214"/>
      <c r="EJ41" s="214"/>
      <c r="EK41" s="214"/>
      <c r="EL41" s="214"/>
      <c r="EM41" s="214"/>
      <c r="EN41" s="214"/>
      <c r="EO41" s="214"/>
      <c r="EP41" s="214"/>
      <c r="EQ41" s="214"/>
      <c r="ER41" s="214"/>
      <c r="ES41" s="214"/>
      <c r="ET41" s="214"/>
      <c r="EU41" s="214"/>
      <c r="EV41" s="214"/>
      <c r="EW41" s="214"/>
      <c r="EX41" s="214"/>
      <c r="EY41" s="214"/>
      <c r="EZ41" s="214"/>
      <c r="FA41" s="214"/>
      <c r="FB41" s="214"/>
      <c r="FC41" s="214"/>
      <c r="FD41" s="214"/>
      <c r="FE41" s="214"/>
      <c r="FF41" s="214"/>
      <c r="FG41" s="214"/>
      <c r="FH41" s="214"/>
      <c r="FI41" s="214"/>
      <c r="FJ41" s="214"/>
      <c r="FK41" s="214"/>
      <c r="FL41" s="214"/>
      <c r="FM41" s="214"/>
      <c r="FN41" s="214"/>
      <c r="FO41" s="214"/>
      <c r="FP41" s="214"/>
      <c r="FQ41" s="214"/>
      <c r="FR41" s="214"/>
      <c r="FS41" s="214"/>
      <c r="FT41" s="214"/>
      <c r="FU41" s="214"/>
      <c r="FV41" s="214"/>
      <c r="FW41" s="214"/>
      <c r="FX41" s="214"/>
      <c r="FY41" s="214"/>
      <c r="FZ41" s="214"/>
      <c r="GA41" s="214"/>
      <c r="GB41" s="214"/>
      <c r="GC41" s="214"/>
      <c r="GD41" s="214"/>
      <c r="GE41" s="214"/>
      <c r="GF41" s="214"/>
      <c r="GG41" s="214"/>
      <c r="GH41" s="214"/>
      <c r="GI41" s="214"/>
      <c r="GJ41" s="214"/>
      <c r="GK41" s="214"/>
      <c r="GL41" s="214"/>
      <c r="GM41" s="214"/>
      <c r="GN41" s="214"/>
      <c r="GO41" s="214"/>
      <c r="GP41" s="214"/>
      <c r="GQ41" s="214"/>
      <c r="GR41" s="214"/>
      <c r="GS41" s="214"/>
      <c r="GT41" s="214"/>
      <c r="GU41" s="214"/>
      <c r="GV41" s="214"/>
      <c r="GW41" s="214"/>
      <c r="GX41" s="214"/>
      <c r="GY41" s="214"/>
      <c r="GZ41" s="214"/>
      <c r="HA41" s="214"/>
      <c r="HB41" s="214"/>
      <c r="HC41" s="214"/>
      <c r="HD41" s="214"/>
      <c r="HE41" s="214"/>
      <c r="HF41" s="214"/>
      <c r="HG41" s="214"/>
      <c r="HH41" s="214"/>
      <c r="HI41" s="214"/>
      <c r="HJ41" s="214"/>
      <c r="HK41" s="214"/>
      <c r="HL41" s="214"/>
      <c r="HM41" s="214"/>
      <c r="HN41" s="214"/>
      <c r="HO41" s="214"/>
      <c r="HP41" s="214"/>
      <c r="HQ41" s="214"/>
      <c r="HR41" s="214"/>
      <c r="HS41" s="214"/>
      <c r="HT41" s="214"/>
      <c r="HU41" s="214"/>
      <c r="HV41" s="214"/>
      <c r="HW41" s="214"/>
      <c r="HX41" s="214"/>
      <c r="HY41" s="214"/>
      <c r="HZ41" s="214"/>
      <c r="IA41" s="214"/>
      <c r="IB41" s="214"/>
      <c r="IC41" s="214"/>
      <c r="ID41" s="214"/>
      <c r="IE41" s="214"/>
      <c r="IF41" s="214"/>
      <c r="IG41" s="214"/>
      <c r="IH41" s="214"/>
      <c r="II41" s="214"/>
      <c r="IJ41" s="214"/>
      <c r="IK41" s="214"/>
      <c r="IL41" s="214"/>
      <c r="IM41" s="214"/>
      <c r="IN41" s="214"/>
      <c r="IO41" s="214"/>
      <c r="IP41" s="214"/>
      <c r="IQ41" s="214"/>
      <c r="IR41" s="214"/>
      <c r="IS41" s="214"/>
      <c r="IT41" s="214"/>
      <c r="IU41" s="214"/>
      <c r="IV41" s="214"/>
      <c r="IW41" s="214"/>
      <c r="IX41" s="214"/>
      <c r="IY41" s="214"/>
      <c r="IZ41" s="214"/>
      <c r="JA41" s="214"/>
      <c r="JB41" s="214"/>
      <c r="JC41" s="214"/>
      <c r="JD41" s="214"/>
      <c r="JE41" s="214"/>
      <c r="JF41" s="214"/>
      <c r="JG41" s="214"/>
      <c r="JH41" s="214"/>
      <c r="JI41" s="214"/>
      <c r="JJ41" s="214"/>
      <c r="JK41" s="214"/>
      <c r="JL41" s="214"/>
      <c r="JM41" s="214"/>
      <c r="JN41" s="214"/>
      <c r="JO41" s="214"/>
      <c r="JP41" s="214"/>
      <c r="JQ41" s="214"/>
      <c r="JR41" s="214"/>
      <c r="JS41" s="214"/>
      <c r="JT41" s="214"/>
      <c r="JU41" s="214"/>
      <c r="JV41" s="214"/>
      <c r="JW41" s="214"/>
      <c r="JX41" s="214"/>
      <c r="JY41" s="214"/>
      <c r="JZ41" s="214"/>
      <c r="KA41" s="214"/>
      <c r="KB41" s="214"/>
      <c r="KC41" s="214"/>
      <c r="KD41" s="214"/>
      <c r="KE41" s="214"/>
      <c r="KF41" s="214"/>
      <c r="KG41" s="214"/>
      <c r="KH41" s="214"/>
      <c r="KI41" s="214"/>
      <c r="KJ41" s="214"/>
      <c r="KK41" s="214"/>
      <c r="KL41" s="214"/>
      <c r="KM41" s="214"/>
      <c r="KN41" s="214"/>
      <c r="KO41" s="214"/>
      <c r="KP41" s="214"/>
      <c r="KQ41" s="214"/>
      <c r="KR41" s="214"/>
      <c r="KS41" s="214"/>
      <c r="KT41" s="214"/>
      <c r="KU41" s="214"/>
      <c r="KV41" s="214"/>
      <c r="KW41" s="214"/>
      <c r="KX41" s="214"/>
      <c r="KY41" s="214"/>
      <c r="KZ41" s="214"/>
      <c r="LA41" s="214"/>
      <c r="LB41" s="214"/>
      <c r="LC41" s="214"/>
      <c r="LD41" s="214"/>
      <c r="LE41" s="214"/>
      <c r="LF41" s="214"/>
      <c r="LG41" s="214"/>
      <c r="LH41" s="214"/>
      <c r="LI41" s="214"/>
      <c r="LJ41" s="214"/>
      <c r="LK41" s="214"/>
      <c r="LL41" s="214"/>
      <c r="LM41" s="214"/>
      <c r="LN41" s="214"/>
      <c r="LO41" s="214"/>
      <c r="LP41" s="214"/>
      <c r="LQ41" s="214"/>
      <c r="LR41" s="214"/>
      <c r="LS41" s="214"/>
      <c r="LT41" s="214"/>
      <c r="LU41" s="214"/>
      <c r="LV41" s="214"/>
      <c r="LW41" s="214"/>
      <c r="LX41" s="214"/>
      <c r="LY41" s="214"/>
      <c r="LZ41" s="214"/>
      <c r="MA41" s="214"/>
      <c r="MB41" s="214"/>
      <c r="MC41" s="214"/>
      <c r="MD41" s="214"/>
      <c r="ME41" s="214"/>
      <c r="MF41" s="214"/>
      <c r="MG41" s="214"/>
      <c r="MH41" s="214"/>
      <c r="MI41" s="214"/>
      <c r="MJ41" s="214"/>
      <c r="MK41" s="214"/>
      <c r="ML41" s="214"/>
      <c r="MM41" s="214"/>
      <c r="MN41" s="214"/>
      <c r="MO41" s="214"/>
      <c r="MP41" s="214"/>
      <c r="MQ41" s="214"/>
      <c r="MR41" s="214"/>
      <c r="MS41" s="214"/>
      <c r="MT41" s="214"/>
      <c r="MU41" s="214"/>
      <c r="MV41" s="214"/>
      <c r="MW41" s="214"/>
      <c r="MX41" s="214"/>
      <c r="MY41" s="214"/>
      <c r="MZ41" s="214"/>
      <c r="NA41" s="214"/>
      <c r="NB41" s="214"/>
      <c r="NC41" s="214"/>
      <c r="ND41" s="214"/>
      <c r="NE41" s="214"/>
      <c r="NF41" s="214"/>
      <c r="NG41" s="214"/>
      <c r="NH41" s="214"/>
      <c r="NI41" s="214"/>
      <c r="NJ41" s="214"/>
      <c r="NK41" s="214"/>
      <c r="NL41" s="214"/>
      <c r="NM41" s="214"/>
      <c r="NN41" s="214"/>
      <c r="NO41" s="214"/>
      <c r="NP41" s="214"/>
      <c r="NQ41" s="214"/>
      <c r="NR41" s="214"/>
      <c r="NS41" s="214"/>
      <c r="NT41" s="214"/>
      <c r="NU41" s="214"/>
      <c r="NV41" s="214"/>
      <c r="NW41" s="214"/>
      <c r="NX41" s="214"/>
      <c r="NY41" s="214"/>
      <c r="NZ41" s="214"/>
      <c r="OA41" s="214"/>
      <c r="OB41" s="214"/>
      <c r="OC41" s="214"/>
      <c r="OD41" s="214"/>
      <c r="OE41" s="214"/>
      <c r="OF41" s="214"/>
      <c r="OG41" s="214"/>
      <c r="OH41" s="214"/>
      <c r="OI41" s="214"/>
      <c r="OJ41" s="214"/>
      <c r="OK41" s="214"/>
      <c r="OL41" s="214"/>
      <c r="OM41" s="214"/>
      <c r="ON41" s="214"/>
      <c r="OO41" s="214"/>
      <c r="OP41" s="214"/>
      <c r="OQ41" s="214"/>
      <c r="OR41" s="214"/>
      <c r="OS41" s="214"/>
      <c r="OT41" s="214"/>
      <c r="OU41" s="214"/>
      <c r="OV41" s="214"/>
      <c r="OW41" s="214"/>
      <c r="OX41" s="214"/>
      <c r="OY41" s="214"/>
      <c r="OZ41" s="214"/>
      <c r="PA41" s="214"/>
      <c r="PB41" s="214"/>
      <c r="PC41" s="214"/>
      <c r="PD41" s="214"/>
      <c r="PE41" s="214"/>
      <c r="PF41" s="214"/>
      <c r="PG41" s="214"/>
      <c r="PH41" s="214"/>
      <c r="PI41" s="214"/>
      <c r="PJ41" s="214"/>
      <c r="PK41" s="214"/>
      <c r="PL41" s="214"/>
      <c r="PM41" s="214"/>
      <c r="PN41" s="214"/>
      <c r="PO41" s="214"/>
      <c r="PP41" s="214"/>
      <c r="PQ41" s="214"/>
      <c r="PR41" s="214"/>
      <c r="PS41" s="214"/>
      <c r="PT41" s="214"/>
      <c r="PU41" s="214"/>
      <c r="PV41" s="214"/>
      <c r="PW41" s="214"/>
      <c r="PX41" s="214"/>
      <c r="PY41" s="214"/>
      <c r="PZ41" s="214"/>
      <c r="QA41" s="214"/>
      <c r="QB41" s="214"/>
      <c r="QC41" s="214"/>
      <c r="QD41" s="214"/>
      <c r="QE41" s="214"/>
      <c r="QF41" s="214"/>
      <c r="QG41" s="214"/>
      <c r="QH41" s="214"/>
      <c r="QI41" s="214"/>
      <c r="QJ41" s="214"/>
      <c r="QK41" s="214"/>
      <c r="QL41" s="214"/>
      <c r="QM41" s="214"/>
      <c r="QN41" s="214"/>
      <c r="QO41" s="214"/>
      <c r="QP41" s="214"/>
      <c r="QQ41" s="214"/>
      <c r="QR41" s="214"/>
      <c r="QS41" s="214"/>
      <c r="QT41" s="214"/>
      <c r="QU41" s="214"/>
      <c r="QV41" s="214"/>
      <c r="QW41" s="214"/>
      <c r="QX41" s="214"/>
      <c r="QY41" s="214"/>
      <c r="QZ41" s="214"/>
      <c r="RA41" s="214"/>
      <c r="RB41" s="214"/>
      <c r="RC41" s="214"/>
      <c r="RD41" s="214"/>
      <c r="RE41" s="214"/>
      <c r="RF41" s="214"/>
      <c r="RG41" s="214"/>
      <c r="RH41" s="214"/>
      <c r="RI41" s="214"/>
      <c r="RJ41" s="214"/>
      <c r="RK41" s="214"/>
      <c r="RL41" s="214"/>
      <c r="RM41" s="214"/>
      <c r="RN41" s="214"/>
      <c r="RO41" s="214"/>
      <c r="RP41" s="214"/>
      <c r="RQ41" s="214"/>
      <c r="RR41" s="214"/>
      <c r="RS41" s="214"/>
      <c r="RT41" s="214"/>
      <c r="RU41" s="214"/>
      <c r="RV41" s="214"/>
      <c r="RW41" s="214"/>
      <c r="RX41" s="214"/>
      <c r="RY41" s="214"/>
      <c r="RZ41" s="214"/>
      <c r="SA41" s="214"/>
      <c r="SB41" s="214"/>
      <c r="SC41" s="214"/>
      <c r="SD41" s="214"/>
      <c r="SE41" s="214"/>
      <c r="SF41" s="214"/>
      <c r="SG41" s="214"/>
      <c r="SH41" s="214"/>
      <c r="SI41" s="214"/>
      <c r="SJ41" s="214"/>
      <c r="SK41" s="214"/>
      <c r="SL41" s="214"/>
      <c r="SM41" s="214"/>
      <c r="SN41" s="214"/>
      <c r="SO41" s="214"/>
      <c r="SP41" s="214"/>
      <c r="SQ41" s="214"/>
      <c r="SR41" s="214"/>
      <c r="SS41" s="214"/>
      <c r="ST41" s="214"/>
      <c r="SU41" s="214"/>
      <c r="SV41" s="214"/>
      <c r="SW41" s="214"/>
      <c r="SX41" s="214"/>
      <c r="SY41" s="214"/>
      <c r="SZ41" s="214"/>
      <c r="TA41" s="214"/>
      <c r="TB41" s="214"/>
      <c r="TC41" s="214"/>
      <c r="TD41" s="214"/>
      <c r="TE41" s="214"/>
      <c r="TF41" s="214"/>
      <c r="TG41" s="214"/>
      <c r="TH41" s="214"/>
      <c r="TI41" s="214"/>
      <c r="TJ41" s="214"/>
      <c r="TK41" s="214"/>
      <c r="TL41" s="214"/>
      <c r="TM41" s="214"/>
      <c r="TN41" s="214"/>
      <c r="TO41" s="214"/>
      <c r="TP41" s="214"/>
      <c r="TQ41" s="214"/>
      <c r="TR41" s="214"/>
      <c r="TS41" s="214"/>
      <c r="TT41" s="214"/>
      <c r="TU41" s="214"/>
      <c r="TV41" s="214"/>
      <c r="TW41" s="214"/>
      <c r="TX41" s="214"/>
      <c r="TY41" s="214"/>
      <c r="TZ41" s="214"/>
      <c r="UA41" s="214"/>
      <c r="UB41" s="214"/>
      <c r="UC41" s="214"/>
      <c r="UD41" s="214"/>
      <c r="UE41" s="214"/>
      <c r="UF41" s="214"/>
      <c r="UG41" s="214"/>
      <c r="UH41" s="214"/>
      <c r="UI41" s="214"/>
      <c r="UJ41" s="214"/>
      <c r="UK41" s="214"/>
      <c r="UL41" s="214"/>
      <c r="UM41" s="214"/>
      <c r="UN41" s="214"/>
      <c r="UO41" s="214"/>
      <c r="UP41" s="214"/>
      <c r="UQ41" s="214"/>
      <c r="UR41" s="214"/>
      <c r="US41" s="214"/>
      <c r="UT41" s="214"/>
      <c r="UU41" s="214"/>
      <c r="UV41" s="214"/>
      <c r="UW41" s="214"/>
      <c r="UX41" s="214"/>
      <c r="UY41" s="214"/>
      <c r="UZ41" s="214"/>
      <c r="VA41" s="214"/>
      <c r="VB41" s="214"/>
      <c r="VC41" s="214"/>
      <c r="VD41" s="214"/>
      <c r="VE41" s="214"/>
      <c r="VF41" s="214"/>
      <c r="VG41" s="214"/>
      <c r="VH41" s="214"/>
      <c r="VI41" s="214"/>
      <c r="VJ41" s="214"/>
      <c r="VK41" s="214"/>
      <c r="VL41" s="214"/>
      <c r="VM41" s="214"/>
      <c r="VN41" s="214"/>
      <c r="VO41" s="214"/>
      <c r="VP41" s="214"/>
      <c r="VQ41" s="214"/>
      <c r="VR41" s="214"/>
      <c r="VS41" s="214"/>
      <c r="VT41" s="214"/>
      <c r="VU41" s="214"/>
      <c r="VV41" s="214"/>
      <c r="VW41" s="214"/>
      <c r="VX41" s="214"/>
      <c r="VY41" s="214"/>
      <c r="VZ41" s="214"/>
      <c r="WA41" s="214"/>
      <c r="WB41" s="214"/>
      <c r="WC41" s="214"/>
      <c r="WD41" s="214"/>
      <c r="WE41" s="214"/>
      <c r="WF41" s="214"/>
      <c r="WG41" s="214"/>
      <c r="WH41" s="214"/>
      <c r="WI41" s="214"/>
      <c r="WJ41" s="214"/>
      <c r="WK41" s="214"/>
      <c r="WL41" s="214"/>
      <c r="WM41" s="214"/>
      <c r="WN41" s="214"/>
      <c r="WO41" s="214"/>
      <c r="WP41" s="214"/>
      <c r="WQ41" s="214"/>
      <c r="WR41" s="214"/>
      <c r="WS41" s="214"/>
      <c r="WT41" s="214"/>
      <c r="WU41" s="214"/>
      <c r="WV41" s="214"/>
      <c r="WW41" s="214"/>
      <c r="WX41" s="214"/>
      <c r="WY41" s="214"/>
      <c r="WZ41" s="214"/>
      <c r="XA41" s="214"/>
      <c r="XB41" s="214"/>
      <c r="XC41" s="214"/>
      <c r="XD41" s="214"/>
      <c r="XE41" s="214"/>
      <c r="XF41" s="214"/>
      <c r="XG41" s="214"/>
      <c r="XH41" s="214"/>
      <c r="XI41" s="214"/>
      <c r="XJ41" s="214"/>
      <c r="XK41" s="214"/>
      <c r="XL41" s="214"/>
      <c r="XM41" s="214"/>
      <c r="XN41" s="214"/>
      <c r="XO41" s="214"/>
      <c r="XP41" s="214"/>
      <c r="XQ41" s="214"/>
      <c r="XR41" s="214"/>
      <c r="XS41" s="214"/>
      <c r="XT41" s="214"/>
      <c r="XU41" s="214"/>
      <c r="XV41" s="214"/>
      <c r="XW41" s="214"/>
      <c r="XX41" s="214"/>
      <c r="XY41" s="214"/>
      <c r="XZ41" s="214"/>
      <c r="YA41" s="214"/>
      <c r="YB41" s="214"/>
      <c r="YC41" s="214"/>
      <c r="YD41" s="214"/>
      <c r="YE41" s="214"/>
      <c r="YF41" s="214"/>
      <c r="YG41" s="214"/>
      <c r="YH41" s="214"/>
      <c r="YI41" s="214"/>
      <c r="YJ41" s="214"/>
      <c r="YK41" s="214"/>
      <c r="YL41" s="214"/>
      <c r="YM41" s="214"/>
      <c r="YN41" s="214"/>
      <c r="YO41" s="214"/>
      <c r="YP41" s="214"/>
      <c r="YQ41" s="214"/>
      <c r="YR41" s="214"/>
      <c r="YS41" s="214"/>
      <c r="YT41" s="214"/>
      <c r="YU41" s="214"/>
      <c r="YV41" s="214"/>
      <c r="YW41" s="214"/>
      <c r="YX41" s="214"/>
      <c r="YY41" s="214"/>
      <c r="YZ41" s="214"/>
      <c r="ZA41" s="214"/>
      <c r="ZB41" s="214"/>
      <c r="ZC41" s="214"/>
      <c r="ZD41" s="214"/>
      <c r="ZE41" s="214"/>
      <c r="ZF41" s="214"/>
      <c r="ZG41" s="214"/>
      <c r="ZH41" s="214"/>
      <c r="ZI41" s="214"/>
      <c r="ZJ41" s="214"/>
      <c r="ZK41" s="214"/>
      <c r="ZL41" s="214"/>
      <c r="ZM41" s="214"/>
      <c r="ZN41" s="214"/>
      <c r="ZO41" s="214"/>
      <c r="ZP41" s="214"/>
      <c r="ZQ41" s="214"/>
      <c r="ZR41" s="214"/>
      <c r="ZS41" s="214"/>
      <c r="ZT41" s="214"/>
      <c r="ZU41" s="214"/>
      <c r="ZV41" s="214"/>
      <c r="ZW41" s="214"/>
      <c r="ZX41" s="214"/>
      <c r="ZY41" s="214"/>
      <c r="ZZ41" s="214"/>
      <c r="AAA41" s="214"/>
      <c r="AAB41" s="214"/>
      <c r="AAC41" s="214"/>
      <c r="AAD41" s="214"/>
      <c r="AAE41" s="214"/>
      <c r="AAF41" s="214"/>
      <c r="AAG41" s="214"/>
      <c r="AAH41" s="214"/>
      <c r="AAI41" s="214"/>
      <c r="AAJ41" s="214"/>
      <c r="AAK41" s="214"/>
      <c r="AAL41" s="214"/>
      <c r="AAM41" s="214"/>
      <c r="AAN41" s="214"/>
      <c r="AAO41" s="214"/>
      <c r="AAP41" s="214"/>
      <c r="AAQ41" s="214"/>
      <c r="AAR41" s="214"/>
      <c r="AAS41" s="214"/>
      <c r="AAT41" s="214"/>
      <c r="AAU41" s="214"/>
      <c r="AAV41" s="214"/>
      <c r="AAW41" s="214"/>
      <c r="AAX41" s="214"/>
      <c r="AAY41" s="214"/>
      <c r="AAZ41" s="214"/>
      <c r="ABA41" s="214"/>
      <c r="ABB41" s="214"/>
      <c r="ABC41" s="214"/>
      <c r="ABD41" s="214"/>
      <c r="ABE41" s="214"/>
      <c r="ABF41" s="214"/>
      <c r="ABG41" s="214"/>
      <c r="ABH41" s="214"/>
      <c r="ABI41" s="214"/>
      <c r="ABJ41" s="214"/>
      <c r="ABK41" s="214"/>
      <c r="ABL41" s="214"/>
      <c r="ABM41" s="214"/>
      <c r="ABN41" s="214"/>
      <c r="ABO41" s="214"/>
      <c r="ABP41" s="214"/>
      <c r="ABQ41" s="214"/>
      <c r="ABR41" s="214"/>
      <c r="ABS41" s="214"/>
      <c r="ABT41" s="214"/>
      <c r="ABU41" s="214"/>
      <c r="ABV41" s="214"/>
      <c r="ABW41" s="214"/>
      <c r="ABX41" s="214"/>
      <c r="ABY41" s="214"/>
      <c r="ABZ41" s="214"/>
      <c r="ACA41" s="214"/>
      <c r="ACB41" s="214"/>
      <c r="ACC41" s="214"/>
      <c r="ACD41" s="214"/>
      <c r="ACE41" s="214"/>
      <c r="ACF41" s="214"/>
      <c r="ACG41" s="214"/>
      <c r="ACH41" s="214"/>
      <c r="ACI41" s="214"/>
      <c r="ACJ41" s="214"/>
      <c r="ACK41" s="214"/>
      <c r="ACL41" s="214"/>
      <c r="ACM41" s="214"/>
      <c r="ACN41" s="214"/>
      <c r="ACO41" s="214"/>
      <c r="ACP41" s="214"/>
      <c r="ACQ41" s="214"/>
      <c r="ACR41" s="214"/>
      <c r="ACS41" s="214"/>
      <c r="ACT41" s="214"/>
      <c r="ACU41" s="214"/>
      <c r="ACV41" s="214"/>
      <c r="ACW41" s="214"/>
      <c r="ACX41" s="214"/>
      <c r="ACY41" s="214"/>
      <c r="ACZ41" s="214"/>
      <c r="ADA41" s="214"/>
      <c r="ADB41" s="214"/>
      <c r="ADC41" s="214"/>
      <c r="ADD41" s="214"/>
      <c r="ADE41" s="214"/>
      <c r="ADF41" s="214"/>
      <c r="ADG41" s="214"/>
      <c r="ADH41" s="214"/>
      <c r="ADI41" s="214"/>
      <c r="ADJ41" s="214"/>
      <c r="ADK41" s="214"/>
      <c r="ADL41" s="214"/>
      <c r="ADM41" s="214"/>
      <c r="ADN41" s="214"/>
      <c r="ADO41" s="214"/>
      <c r="ADP41" s="214"/>
      <c r="ADQ41" s="214"/>
      <c r="ADR41" s="214"/>
      <c r="ADS41" s="214"/>
      <c r="ADT41" s="214"/>
      <c r="ADU41" s="214"/>
      <c r="ADV41" s="214"/>
      <c r="ADW41" s="214"/>
      <c r="ADX41" s="214"/>
      <c r="ADY41" s="214"/>
      <c r="ADZ41" s="214"/>
      <c r="AEA41" s="214"/>
      <c r="AEB41" s="214"/>
      <c r="AEC41" s="214"/>
      <c r="AED41" s="214"/>
      <c r="AEE41" s="214"/>
      <c r="AEF41" s="214"/>
      <c r="AEG41" s="214"/>
      <c r="AEH41" s="214"/>
      <c r="AEI41" s="214"/>
      <c r="AEJ41" s="214"/>
      <c r="AEK41" s="214"/>
      <c r="AEL41" s="214"/>
      <c r="AEM41" s="214"/>
      <c r="AEN41" s="214"/>
      <c r="AEO41" s="214"/>
      <c r="AEP41" s="214"/>
      <c r="AEQ41" s="214"/>
      <c r="AER41" s="214"/>
      <c r="AES41" s="214"/>
      <c r="AET41" s="214"/>
      <c r="AEU41" s="214"/>
      <c r="AEV41" s="214"/>
      <c r="AEW41" s="214"/>
      <c r="AEX41" s="214"/>
      <c r="AEY41" s="214"/>
      <c r="AEZ41" s="214"/>
      <c r="AFA41" s="214"/>
      <c r="AFB41" s="214"/>
      <c r="AFC41" s="214"/>
      <c r="AFD41" s="214"/>
      <c r="AFE41" s="214"/>
      <c r="AFF41" s="214"/>
      <c r="AFG41" s="214"/>
      <c r="AFH41" s="214"/>
      <c r="AFI41" s="214"/>
      <c r="AFJ41" s="214"/>
      <c r="AFK41" s="214"/>
      <c r="AFL41" s="214"/>
      <c r="AFM41" s="214"/>
      <c r="AFN41" s="214"/>
      <c r="AFO41" s="214"/>
      <c r="AFP41" s="214"/>
      <c r="AFQ41" s="214"/>
      <c r="AFR41" s="214"/>
      <c r="AFS41" s="214"/>
      <c r="AFT41" s="214"/>
      <c r="AFU41" s="214"/>
      <c r="AFV41" s="214"/>
      <c r="AFW41" s="214"/>
      <c r="AFX41" s="214"/>
      <c r="AFY41" s="214"/>
      <c r="AFZ41" s="214"/>
      <c r="AGA41" s="214"/>
      <c r="AGB41" s="214"/>
      <c r="AGC41" s="214"/>
      <c r="AGD41" s="214"/>
      <c r="AGE41" s="214"/>
      <c r="AGF41" s="214"/>
      <c r="AGG41" s="214"/>
      <c r="AGH41" s="214"/>
      <c r="AGI41" s="214"/>
      <c r="AGJ41" s="214"/>
      <c r="AGK41" s="214"/>
      <c r="AGL41" s="214"/>
      <c r="AGM41" s="214"/>
      <c r="AGN41" s="214"/>
      <c r="AGO41" s="214"/>
      <c r="AGP41" s="214"/>
      <c r="AGQ41" s="214"/>
      <c r="AGR41" s="214"/>
      <c r="AGS41" s="214"/>
      <c r="AGT41" s="214"/>
      <c r="AGU41" s="214"/>
      <c r="AGV41" s="214"/>
      <c r="AGW41" s="214"/>
      <c r="AGX41" s="214"/>
      <c r="AGY41" s="214"/>
      <c r="AGZ41" s="214"/>
      <c r="AHA41" s="214"/>
      <c r="AHB41" s="214"/>
      <c r="AHC41" s="214"/>
      <c r="AHD41" s="214"/>
      <c r="AHE41" s="214"/>
      <c r="AHF41" s="214"/>
      <c r="AHG41" s="214"/>
      <c r="AHH41" s="214"/>
      <c r="AHI41" s="214"/>
      <c r="AHJ41" s="214"/>
      <c r="AHK41" s="214"/>
      <c r="AHL41" s="214"/>
      <c r="AHM41" s="214"/>
      <c r="AHN41" s="214"/>
      <c r="AHO41" s="214"/>
      <c r="AHP41" s="214"/>
      <c r="AHQ41" s="214"/>
      <c r="AHR41" s="214"/>
      <c r="AHS41" s="214"/>
      <c r="AHT41" s="214"/>
      <c r="AHU41" s="214"/>
      <c r="AHV41" s="214"/>
      <c r="AHW41" s="214"/>
      <c r="AHX41" s="214"/>
      <c r="AHY41" s="214"/>
      <c r="AHZ41" s="214"/>
      <c r="AIA41" s="214"/>
      <c r="AIB41" s="214"/>
      <c r="AIC41" s="214"/>
      <c r="AID41" s="214"/>
      <c r="AIE41" s="214"/>
      <c r="AIF41" s="214"/>
      <c r="AIG41" s="214"/>
      <c r="AIH41" s="214"/>
      <c r="AII41" s="214"/>
      <c r="AIJ41" s="214"/>
      <c r="AIK41" s="214"/>
      <c r="AIL41" s="214"/>
      <c r="AIM41" s="214"/>
      <c r="AIN41" s="214"/>
      <c r="AIO41" s="214"/>
      <c r="AIP41" s="214"/>
      <c r="AIQ41" s="214"/>
      <c r="AIR41" s="214"/>
      <c r="AIS41" s="214"/>
      <c r="AIT41" s="214"/>
      <c r="AIU41" s="214"/>
      <c r="AIV41" s="214"/>
      <c r="AIW41" s="214"/>
      <c r="AIX41" s="214"/>
      <c r="AIY41" s="214"/>
      <c r="AIZ41" s="214"/>
      <c r="AJA41" s="214"/>
      <c r="AJB41" s="214"/>
      <c r="AJC41" s="214"/>
      <c r="AJD41" s="214"/>
      <c r="AJE41" s="214"/>
      <c r="AJF41" s="214"/>
      <c r="AJG41" s="214"/>
      <c r="AJH41" s="214"/>
      <c r="AJI41" s="214"/>
      <c r="AJJ41" s="214"/>
      <c r="AJK41" s="214"/>
      <c r="AJL41" s="214"/>
      <c r="AJM41" s="214"/>
      <c r="AJN41" s="214"/>
      <c r="AJO41" s="214"/>
      <c r="AJP41" s="214"/>
      <c r="AJQ41" s="214"/>
      <c r="AJR41" s="214"/>
      <c r="AJS41" s="214"/>
      <c r="AJT41" s="214"/>
      <c r="AJU41" s="214"/>
      <c r="AJV41" s="214"/>
      <c r="AJW41" s="214"/>
      <c r="AJX41" s="214"/>
      <c r="AJY41" s="214"/>
      <c r="AJZ41" s="214"/>
      <c r="AKA41" s="214"/>
      <c r="AKB41" s="214"/>
      <c r="AKC41" s="214"/>
      <c r="AKD41" s="214"/>
      <c r="AKE41" s="214"/>
      <c r="AKF41" s="214"/>
      <c r="AKG41" s="214"/>
      <c r="AKH41" s="214"/>
      <c r="AKI41" s="214"/>
      <c r="AKJ41" s="214"/>
      <c r="AKK41" s="214"/>
      <c r="AKL41" s="214"/>
      <c r="AKM41" s="214"/>
      <c r="AKN41" s="214"/>
      <c r="AKO41" s="214"/>
      <c r="AKP41" s="214"/>
      <c r="AKQ41" s="214"/>
      <c r="AKR41" s="214"/>
      <c r="AKS41" s="214"/>
      <c r="AKT41" s="214"/>
      <c r="AKU41" s="214"/>
      <c r="AKV41" s="214"/>
      <c r="AKW41" s="214"/>
      <c r="AKX41" s="214"/>
      <c r="AKY41" s="214"/>
      <c r="AKZ41" s="214"/>
      <c r="ALA41" s="214"/>
      <c r="ALB41" s="214"/>
      <c r="ALC41" s="214"/>
      <c r="ALD41" s="214"/>
      <c r="ALE41" s="214"/>
      <c r="ALF41" s="214"/>
      <c r="ALG41" s="214"/>
      <c r="ALH41" s="214"/>
      <c r="ALI41" s="214"/>
      <c r="ALJ41" s="214"/>
      <c r="ALK41" s="214"/>
      <c r="ALL41" s="214"/>
      <c r="ALM41" s="214"/>
      <c r="ALN41" s="214"/>
      <c r="ALO41" s="214"/>
      <c r="ALP41" s="214"/>
      <c r="ALQ41" s="214"/>
      <c r="ALR41" s="214"/>
      <c r="ALS41" s="214"/>
      <c r="ALT41" s="214"/>
      <c r="ALU41" s="214"/>
      <c r="ALV41" s="214"/>
      <c r="ALW41" s="214"/>
      <c r="ALX41" s="214"/>
      <c r="ALY41" s="214"/>
      <c r="ALZ41" s="214"/>
      <c r="AMA41" s="214"/>
      <c r="AMB41" s="214"/>
      <c r="AMC41" s="214"/>
      <c r="AMD41" s="214"/>
      <c r="AME41" s="214"/>
      <c r="AMF41" s="214"/>
      <c r="AMG41" s="214"/>
      <c r="AMH41" s="214"/>
      <c r="AMI41" s="214"/>
      <c r="AMJ41" s="214"/>
      <c r="AMK41" s="214"/>
      <c r="AML41" s="214"/>
      <c r="AMM41" s="214"/>
      <c r="AMN41" s="214"/>
      <c r="AMO41" s="214"/>
      <c r="AMP41" s="214"/>
      <c r="AMQ41" s="214"/>
      <c r="AMR41" s="214"/>
      <c r="AMS41" s="214"/>
      <c r="AMT41" s="214"/>
      <c r="AMU41" s="214"/>
      <c r="AMV41" s="214"/>
      <c r="AMW41" s="214"/>
      <c r="AMX41" s="214"/>
      <c r="AMY41" s="214"/>
      <c r="AMZ41" s="214"/>
      <c r="ANA41" s="214"/>
      <c r="ANB41" s="214"/>
      <c r="ANC41" s="214"/>
      <c r="AND41" s="214"/>
      <c r="ANE41" s="214"/>
      <c r="ANF41" s="214"/>
      <c r="ANG41" s="214"/>
      <c r="ANH41" s="214"/>
      <c r="ANI41" s="214"/>
      <c r="ANJ41" s="214"/>
      <c r="ANK41" s="214"/>
      <c r="ANL41" s="214"/>
      <c r="ANM41" s="214"/>
      <c r="ANN41" s="214"/>
      <c r="ANO41" s="214"/>
      <c r="ANP41" s="214"/>
      <c r="ANQ41" s="214"/>
      <c r="ANR41" s="214"/>
      <c r="ANS41" s="214"/>
      <c r="ANT41" s="214"/>
      <c r="ANU41" s="214"/>
      <c r="ANV41" s="214"/>
      <c r="ANW41" s="214"/>
      <c r="ANX41" s="214"/>
      <c r="ANY41" s="214"/>
      <c r="ANZ41" s="214"/>
      <c r="AOA41" s="214"/>
      <c r="AOB41" s="214"/>
      <c r="AOC41" s="214"/>
      <c r="AOD41" s="214"/>
      <c r="AOE41" s="214"/>
      <c r="AOF41" s="214"/>
      <c r="AOG41" s="214"/>
      <c r="AOH41" s="214"/>
      <c r="AOI41" s="214"/>
      <c r="AOJ41" s="214"/>
      <c r="AOK41" s="214"/>
      <c r="AOL41" s="214"/>
      <c r="AOM41" s="214"/>
      <c r="AON41" s="214"/>
      <c r="AOO41" s="214"/>
      <c r="AOP41" s="214"/>
      <c r="AOQ41" s="214"/>
      <c r="AOR41" s="214"/>
      <c r="AOS41" s="214"/>
      <c r="AOT41" s="214"/>
      <c r="AOU41" s="214"/>
      <c r="AOV41" s="214"/>
      <c r="AOW41" s="214"/>
      <c r="AOX41" s="214"/>
      <c r="AOY41" s="214"/>
      <c r="AOZ41" s="214"/>
      <c r="APA41" s="214"/>
      <c r="APB41" s="214"/>
      <c r="APC41" s="214"/>
      <c r="APD41" s="214"/>
      <c r="APE41" s="214"/>
      <c r="APF41" s="214"/>
      <c r="APG41" s="214"/>
      <c r="APH41" s="214"/>
      <c r="API41" s="214"/>
      <c r="APJ41" s="214"/>
      <c r="APK41" s="214"/>
      <c r="APL41" s="214"/>
      <c r="APM41" s="214"/>
      <c r="APN41" s="214"/>
      <c r="APO41" s="214"/>
      <c r="APP41" s="214"/>
      <c r="APQ41" s="214"/>
      <c r="APR41" s="214"/>
      <c r="APS41" s="214"/>
      <c r="APT41" s="214"/>
      <c r="APU41" s="214"/>
      <c r="APV41" s="214"/>
      <c r="APW41" s="214"/>
      <c r="APX41" s="214"/>
      <c r="APY41" s="214"/>
      <c r="APZ41" s="214"/>
      <c r="AQA41" s="214"/>
      <c r="AQB41" s="214"/>
      <c r="AQC41" s="214"/>
      <c r="AQD41" s="214"/>
      <c r="AQE41" s="214"/>
      <c r="AQF41" s="214"/>
      <c r="AQG41" s="214"/>
      <c r="AQH41" s="214"/>
      <c r="AQI41" s="214"/>
      <c r="AQJ41" s="214"/>
      <c r="AQK41" s="214"/>
      <c r="AQL41" s="214"/>
      <c r="AQM41" s="214"/>
      <c r="AQN41" s="214"/>
      <c r="AQO41" s="214"/>
      <c r="AQP41" s="214"/>
      <c r="AQQ41" s="214"/>
      <c r="AQR41" s="214"/>
      <c r="AQS41" s="214"/>
      <c r="AQT41" s="214"/>
      <c r="AQU41" s="214"/>
      <c r="AQV41" s="214"/>
      <c r="AQW41" s="214"/>
      <c r="AQX41" s="214"/>
      <c r="AQY41" s="214"/>
      <c r="AQZ41" s="214"/>
      <c r="ARA41" s="214"/>
      <c r="ARB41" s="214"/>
      <c r="ARC41" s="214"/>
      <c r="ARD41" s="214"/>
      <c r="ARE41" s="214"/>
      <c r="ARF41" s="214"/>
      <c r="ARG41" s="214"/>
      <c r="ARH41" s="214"/>
      <c r="ARI41" s="214"/>
      <c r="ARJ41" s="214"/>
      <c r="ARK41" s="214"/>
      <c r="ARL41" s="214"/>
      <c r="ARM41" s="214"/>
      <c r="ARN41" s="214"/>
      <c r="ARO41" s="214"/>
      <c r="ARP41" s="214"/>
      <c r="ARQ41" s="214"/>
      <c r="ARR41" s="214"/>
      <c r="ARS41" s="214"/>
      <c r="ART41" s="214"/>
      <c r="ARU41" s="214"/>
      <c r="ARV41" s="214"/>
      <c r="ARW41" s="214"/>
      <c r="ARX41" s="214"/>
      <c r="ARY41" s="214"/>
      <c r="ARZ41" s="214"/>
      <c r="ASA41" s="214"/>
      <c r="ASB41" s="214"/>
      <c r="ASC41" s="214"/>
      <c r="ASD41" s="214"/>
      <c r="ASE41" s="214"/>
      <c r="ASF41" s="214"/>
      <c r="ASG41" s="214"/>
      <c r="ASH41" s="214"/>
      <c r="ASI41" s="214"/>
      <c r="ASJ41" s="214"/>
      <c r="ASK41" s="214"/>
      <c r="ASL41" s="214"/>
      <c r="ASM41" s="214"/>
      <c r="ASN41" s="214"/>
      <c r="ASO41" s="214"/>
      <c r="ASP41" s="214"/>
      <c r="ASQ41" s="214"/>
      <c r="ASR41" s="214"/>
      <c r="ASS41" s="214"/>
      <c r="AST41" s="214"/>
      <c r="ASU41" s="214"/>
      <c r="ASV41" s="214"/>
      <c r="ASW41" s="214"/>
      <c r="ASX41" s="214"/>
      <c r="ASY41" s="214"/>
      <c r="ASZ41" s="214"/>
      <c r="ATA41" s="214"/>
      <c r="ATB41" s="214"/>
      <c r="ATC41" s="214"/>
      <c r="ATD41" s="214"/>
      <c r="ATE41" s="214"/>
      <c r="ATF41" s="214"/>
      <c r="ATG41" s="214"/>
      <c r="ATH41" s="214"/>
      <c r="ATI41" s="214"/>
      <c r="ATJ41" s="214"/>
      <c r="ATK41" s="214"/>
      <c r="ATL41" s="214"/>
      <c r="ATM41" s="214"/>
      <c r="ATN41" s="214"/>
      <c r="ATO41" s="214"/>
      <c r="ATP41" s="214"/>
      <c r="ATQ41" s="214"/>
      <c r="ATR41" s="214"/>
      <c r="ATS41" s="214"/>
      <c r="ATT41" s="214"/>
      <c r="ATU41" s="214"/>
      <c r="ATV41" s="214"/>
      <c r="ATW41" s="214"/>
      <c r="ATX41" s="214"/>
      <c r="ATY41" s="214"/>
      <c r="ATZ41" s="214"/>
      <c r="AUA41" s="214"/>
      <c r="AUB41" s="214"/>
      <c r="AUC41" s="214"/>
      <c r="AUD41" s="214"/>
      <c r="AUE41" s="214"/>
      <c r="AUF41" s="214"/>
      <c r="AUG41" s="214"/>
      <c r="AUH41" s="214"/>
      <c r="AUI41" s="214"/>
      <c r="AUJ41" s="214"/>
      <c r="AUK41" s="214"/>
      <c r="AUL41" s="214"/>
      <c r="AUM41" s="214"/>
      <c r="AUN41" s="214"/>
      <c r="AUO41" s="214"/>
      <c r="AUP41" s="214"/>
      <c r="AUQ41" s="214"/>
      <c r="AUR41" s="214"/>
      <c r="AUS41" s="214"/>
      <c r="AUT41" s="214"/>
      <c r="AUU41" s="214"/>
      <c r="AUV41" s="214"/>
      <c r="AUW41" s="214"/>
      <c r="AUX41" s="214"/>
      <c r="AUY41" s="214"/>
      <c r="AUZ41" s="214"/>
      <c r="AVA41" s="214"/>
      <c r="AVB41" s="214"/>
      <c r="AVC41" s="214"/>
      <c r="AVD41" s="214"/>
      <c r="AVE41" s="214"/>
      <c r="AVF41" s="214"/>
      <c r="AVG41" s="214"/>
      <c r="AVH41" s="214"/>
      <c r="AVI41" s="214"/>
      <c r="AVJ41" s="214"/>
      <c r="AVK41" s="214"/>
      <c r="AVL41" s="214"/>
      <c r="AVM41" s="214"/>
      <c r="AVN41" s="214"/>
      <c r="AVO41" s="214"/>
      <c r="AVP41" s="214"/>
      <c r="AVQ41" s="214"/>
      <c r="AVR41" s="214"/>
      <c r="AVS41" s="214"/>
      <c r="AVT41" s="214"/>
      <c r="AVU41" s="214"/>
      <c r="AVV41" s="214"/>
      <c r="AVW41" s="214"/>
      <c r="AVX41" s="214"/>
      <c r="AVY41" s="214"/>
      <c r="AVZ41" s="214"/>
      <c r="AWA41" s="214"/>
      <c r="AWB41" s="214"/>
      <c r="AWC41" s="214"/>
      <c r="AWD41" s="214"/>
      <c r="AWE41" s="214"/>
      <c r="AWF41" s="214"/>
      <c r="AWG41" s="214"/>
      <c r="AWH41" s="214"/>
      <c r="AWI41" s="214"/>
      <c r="AWJ41" s="214"/>
      <c r="AWK41" s="214"/>
      <c r="AWL41" s="214"/>
      <c r="AWM41" s="214"/>
      <c r="AWN41" s="214"/>
      <c r="AWO41" s="214"/>
      <c r="AWP41" s="214"/>
      <c r="AWQ41" s="214"/>
      <c r="AWR41" s="214"/>
      <c r="AWS41" s="214"/>
      <c r="AWT41" s="214"/>
      <c r="AWU41" s="214"/>
      <c r="AWV41" s="214"/>
      <c r="AWW41" s="214"/>
      <c r="AWX41" s="214"/>
      <c r="AWY41" s="214"/>
      <c r="AWZ41" s="214"/>
      <c r="AXA41" s="214"/>
      <c r="AXB41" s="214"/>
      <c r="AXC41" s="214"/>
      <c r="AXD41" s="214"/>
      <c r="AXE41" s="214"/>
      <c r="AXF41" s="214"/>
      <c r="AXG41" s="214"/>
      <c r="AXH41" s="214"/>
      <c r="AXI41" s="214"/>
      <c r="AXJ41" s="214"/>
      <c r="AXK41" s="214"/>
      <c r="AXL41" s="214"/>
      <c r="AXM41" s="214"/>
      <c r="AXN41" s="214"/>
      <c r="AXO41" s="214"/>
      <c r="AXP41" s="214"/>
      <c r="AXQ41" s="214"/>
      <c r="AXR41" s="214"/>
      <c r="AXS41" s="214"/>
      <c r="AXT41" s="214"/>
      <c r="AXU41" s="214"/>
      <c r="AXV41" s="214"/>
      <c r="AXW41" s="214"/>
      <c r="AXX41" s="214"/>
      <c r="AXY41" s="214"/>
      <c r="AXZ41" s="214"/>
      <c r="AYA41" s="214"/>
      <c r="AYB41" s="214"/>
      <c r="AYC41" s="214"/>
      <c r="AYD41" s="214"/>
      <c r="AYE41" s="214"/>
      <c r="AYF41" s="214"/>
      <c r="AYG41" s="214"/>
      <c r="AYH41" s="214"/>
      <c r="AYI41" s="214"/>
      <c r="AYJ41" s="214"/>
      <c r="AYK41" s="214"/>
      <c r="AYL41" s="214"/>
      <c r="AYM41" s="214"/>
      <c r="AYN41" s="214"/>
      <c r="AYO41" s="214"/>
      <c r="AYP41" s="214"/>
      <c r="AYQ41" s="214"/>
      <c r="AYR41" s="214"/>
      <c r="AYS41" s="214"/>
      <c r="AYT41" s="214"/>
      <c r="AYU41" s="214"/>
      <c r="AYV41" s="214"/>
      <c r="AYW41" s="214"/>
      <c r="AYX41" s="214"/>
      <c r="AYY41" s="214"/>
      <c r="AYZ41" s="214"/>
      <c r="AZA41" s="214"/>
      <c r="AZB41" s="214"/>
      <c r="AZC41" s="214"/>
      <c r="AZD41" s="214"/>
      <c r="AZE41" s="214"/>
      <c r="AZF41" s="214"/>
      <c r="AZG41" s="214"/>
      <c r="AZH41" s="214"/>
      <c r="AZI41" s="214"/>
      <c r="AZJ41" s="214"/>
      <c r="AZK41" s="214"/>
      <c r="AZL41" s="214"/>
      <c r="AZM41" s="214"/>
      <c r="AZN41" s="214"/>
      <c r="AZO41" s="214"/>
      <c r="AZP41" s="214"/>
      <c r="AZQ41" s="214"/>
      <c r="AZR41" s="214"/>
      <c r="AZS41" s="214"/>
      <c r="AZT41" s="214"/>
      <c r="AZU41" s="214"/>
      <c r="AZV41" s="214"/>
      <c r="AZW41" s="214"/>
      <c r="AZX41" s="214"/>
      <c r="AZY41" s="214"/>
      <c r="AZZ41" s="214"/>
      <c r="BAA41" s="214"/>
      <c r="BAB41" s="214"/>
      <c r="BAC41" s="214"/>
      <c r="BAD41" s="214"/>
      <c r="BAE41" s="214"/>
      <c r="BAF41" s="214"/>
      <c r="BAG41" s="214"/>
      <c r="BAH41" s="214"/>
      <c r="BAI41" s="214"/>
      <c r="BAJ41" s="214"/>
      <c r="BAK41" s="214"/>
      <c r="BAL41" s="214"/>
      <c r="BAM41" s="214"/>
      <c r="BAN41" s="214"/>
      <c r="BAO41" s="214"/>
      <c r="BAP41" s="214"/>
      <c r="BAQ41" s="214"/>
      <c r="BAR41" s="214"/>
      <c r="BAS41" s="214"/>
      <c r="BAT41" s="214"/>
      <c r="BAU41" s="214"/>
      <c r="BAV41" s="214"/>
      <c r="BAW41" s="214"/>
      <c r="BAX41" s="214"/>
      <c r="BAY41" s="214"/>
      <c r="BAZ41" s="214"/>
      <c r="BBA41" s="214"/>
      <c r="BBB41" s="214"/>
      <c r="BBC41" s="214"/>
      <c r="BBD41" s="214"/>
      <c r="BBE41" s="214"/>
      <c r="BBF41" s="214"/>
      <c r="BBG41" s="214"/>
      <c r="BBH41" s="214"/>
      <c r="BBI41" s="214"/>
      <c r="BBJ41" s="214"/>
      <c r="BBK41" s="214"/>
      <c r="BBL41" s="214"/>
      <c r="BBM41" s="214"/>
      <c r="BBN41" s="214"/>
      <c r="BBO41" s="214"/>
      <c r="BBP41" s="214"/>
      <c r="BBQ41" s="214"/>
      <c r="BBR41" s="214"/>
      <c r="BBS41" s="214"/>
      <c r="BBT41" s="214"/>
      <c r="BBU41" s="214"/>
      <c r="BBV41" s="214"/>
      <c r="BBW41" s="214"/>
      <c r="BBX41" s="214"/>
      <c r="BBY41" s="214"/>
      <c r="BBZ41" s="214"/>
      <c r="BCA41" s="214"/>
      <c r="BCB41" s="214"/>
      <c r="BCC41" s="214"/>
      <c r="BCD41" s="214"/>
      <c r="BCE41" s="214"/>
      <c r="BCF41" s="214"/>
      <c r="BCG41" s="214"/>
      <c r="BCH41" s="214"/>
      <c r="BCI41" s="214"/>
      <c r="BCJ41" s="214"/>
      <c r="BCK41" s="214"/>
      <c r="BCL41" s="214"/>
      <c r="BCM41" s="214"/>
      <c r="BCN41" s="214"/>
      <c r="BCO41" s="214"/>
      <c r="BCP41" s="214"/>
      <c r="BCQ41" s="214"/>
      <c r="BCR41" s="214"/>
      <c r="BCS41" s="214"/>
      <c r="BCT41" s="214"/>
      <c r="BCU41" s="214"/>
      <c r="BCV41" s="214"/>
      <c r="BCW41" s="214"/>
      <c r="BCX41" s="214"/>
      <c r="BCY41" s="214"/>
      <c r="BCZ41" s="214"/>
      <c r="BDA41" s="214"/>
      <c r="BDB41" s="214"/>
      <c r="BDC41" s="214"/>
      <c r="BDD41" s="214"/>
      <c r="BDE41" s="214"/>
      <c r="BDF41" s="214"/>
      <c r="BDG41" s="214"/>
      <c r="BDH41" s="214"/>
      <c r="BDI41" s="214"/>
      <c r="BDJ41" s="214"/>
      <c r="BDK41" s="214"/>
      <c r="BDL41" s="214"/>
      <c r="BDM41" s="214"/>
      <c r="BDN41" s="214"/>
      <c r="BDO41" s="214"/>
      <c r="BDP41" s="214"/>
      <c r="BDQ41" s="214"/>
      <c r="BDR41" s="214"/>
      <c r="BDS41" s="214"/>
      <c r="BDT41" s="214"/>
      <c r="BDU41" s="214"/>
      <c r="BDV41" s="214"/>
      <c r="BDW41" s="214"/>
      <c r="BDX41" s="214"/>
      <c r="BDY41" s="214"/>
      <c r="BDZ41" s="214"/>
      <c r="BEA41" s="214"/>
      <c r="BEB41" s="214"/>
      <c r="BEC41" s="214"/>
      <c r="BED41" s="214"/>
      <c r="BEE41" s="214"/>
      <c r="BEF41" s="214"/>
      <c r="BEG41" s="214"/>
      <c r="BEH41" s="214"/>
      <c r="BEI41" s="214"/>
      <c r="BEJ41" s="214"/>
      <c r="BEK41" s="214"/>
      <c r="BEL41" s="214"/>
      <c r="BEM41" s="214"/>
      <c r="BEN41" s="214"/>
      <c r="BEO41" s="214"/>
      <c r="BEP41" s="214"/>
      <c r="BEQ41" s="214"/>
      <c r="BER41" s="214"/>
      <c r="BES41" s="214"/>
      <c r="BET41" s="214"/>
      <c r="BEU41" s="214"/>
      <c r="BEV41" s="214"/>
      <c r="BEW41" s="214"/>
      <c r="BEX41" s="214"/>
      <c r="BEY41" s="214"/>
      <c r="BEZ41" s="214"/>
      <c r="BFA41" s="214"/>
      <c r="BFB41" s="214"/>
      <c r="BFC41" s="214"/>
      <c r="BFD41" s="214"/>
      <c r="BFE41" s="214"/>
      <c r="BFF41" s="214"/>
      <c r="BFG41" s="214"/>
      <c r="BFH41" s="214"/>
      <c r="BFI41" s="214"/>
      <c r="BFJ41" s="214"/>
      <c r="BFK41" s="214"/>
      <c r="BFL41" s="214"/>
      <c r="BFM41" s="214"/>
      <c r="BFN41" s="214"/>
      <c r="BFO41" s="214"/>
      <c r="BFP41" s="214"/>
      <c r="BFQ41" s="214"/>
      <c r="BFR41" s="214"/>
      <c r="BFS41" s="214"/>
      <c r="BFT41" s="214"/>
      <c r="BFU41" s="214"/>
      <c r="BFV41" s="214"/>
      <c r="BFW41" s="214"/>
      <c r="BFX41" s="214"/>
      <c r="BFY41" s="214"/>
      <c r="BFZ41" s="214"/>
      <c r="BGA41" s="214"/>
      <c r="BGB41" s="214"/>
      <c r="BGC41" s="214"/>
      <c r="BGD41" s="214"/>
      <c r="BGE41" s="214"/>
      <c r="BGF41" s="214"/>
      <c r="BGG41" s="214"/>
      <c r="BGH41" s="214"/>
      <c r="BGI41" s="214"/>
      <c r="BGJ41" s="214"/>
      <c r="BGK41" s="214"/>
      <c r="BGL41" s="214"/>
      <c r="BGM41" s="214"/>
      <c r="BGN41" s="214"/>
      <c r="BGO41" s="214"/>
      <c r="BGP41" s="214"/>
      <c r="BGQ41" s="214"/>
      <c r="BGR41" s="214"/>
      <c r="BGS41" s="214"/>
      <c r="BGT41" s="214"/>
      <c r="BGU41" s="214"/>
      <c r="BGV41" s="214"/>
      <c r="BGW41" s="214"/>
      <c r="BGX41" s="214"/>
      <c r="BGY41" s="214"/>
      <c r="BGZ41" s="214"/>
      <c r="BHA41" s="214"/>
      <c r="BHB41" s="214"/>
      <c r="BHC41" s="214"/>
      <c r="BHD41" s="214"/>
      <c r="BHE41" s="214"/>
      <c r="BHF41" s="214"/>
      <c r="BHG41" s="214"/>
      <c r="BHH41" s="214"/>
      <c r="BHI41" s="214"/>
      <c r="BHJ41" s="214"/>
      <c r="BHK41" s="214"/>
      <c r="BHL41" s="214"/>
      <c r="BHM41" s="214"/>
      <c r="BHN41" s="214"/>
      <c r="BHO41" s="214"/>
      <c r="BHP41" s="214"/>
      <c r="BHQ41" s="214"/>
      <c r="BHR41" s="214"/>
      <c r="BHS41" s="214"/>
      <c r="BHT41" s="214"/>
      <c r="BHU41" s="214"/>
      <c r="BHV41" s="214"/>
      <c r="BHW41" s="214"/>
    </row>
    <row r="42" spans="1:1583" s="217" customFormat="1">
      <c r="A42" s="223" t="s">
        <v>50</v>
      </c>
      <c r="B42" s="60"/>
      <c r="C42" s="60"/>
      <c r="D42" s="60" t="s">
        <v>591</v>
      </c>
      <c r="E42" s="59" t="s">
        <v>9</v>
      </c>
      <c r="F42" s="132"/>
      <c r="G42" s="60" t="s">
        <v>696</v>
      </c>
      <c r="H42" s="473">
        <f t="shared" si="15"/>
        <v>832.45174181038158</v>
      </c>
      <c r="I42" s="96">
        <f>(I41/Analysis!J71)*(Analysis!J61/100)*2.015</f>
        <v>25.679326348823739</v>
      </c>
      <c r="J42" s="437"/>
      <c r="K42" s="96">
        <f>(K41/Analysis!L71)*(Analysis!L61/100)*2.015</f>
        <v>27.093803751112315</v>
      </c>
      <c r="L42" s="96">
        <f>(L41/Analysis!M71)*(Analysis!M61/100)*2.015</f>
        <v>28.595592914882637</v>
      </c>
      <c r="M42" s="96">
        <f>(M41/Analysis!N71)*(Analysis!N61/100)*2.015</f>
        <v>27.159217582491333</v>
      </c>
      <c r="N42" s="96">
        <f>(N41/Analysis!O71)*(Analysis!O61/100)*2.015</f>
        <v>28.42647698281062</v>
      </c>
      <c r="O42" s="96">
        <f>(O41/Analysis!P71)*(Analysis!P61/100)*2.015</f>
        <v>25.575590547092052</v>
      </c>
      <c r="P42" s="96">
        <f>(P41/Analysis!Q71)*(Analysis!Q61/100)*2.015</f>
        <v>24.109076576551189</v>
      </c>
      <c r="Q42" s="96">
        <f>(Q41/Analysis!R71)*(Analysis!R61/100)*2.015</f>
        <v>25.592476958054949</v>
      </c>
      <c r="R42" s="96">
        <f>(R41/Analysis!S71)*(Analysis!S61/100)*2.015</f>
        <v>25.999125895194592</v>
      </c>
      <c r="S42" s="96">
        <f>(S41/Analysis!T71)*(Analysis!T61/100)*2.015</f>
        <v>24.39621114909227</v>
      </c>
      <c r="T42" s="96">
        <f>(T41/Analysis!U71)*(Analysis!U61/100)*2.015</f>
        <v>26.956939018719993</v>
      </c>
      <c r="U42" s="96">
        <f>(U41/Analysis!V71)*(Analysis!V61/100)*2.015</f>
        <v>28.964422976028992</v>
      </c>
      <c r="V42" s="96">
        <f>(V41/Analysis!W71)*(Analysis!W61/100)*2.015</f>
        <v>24.98282975433866</v>
      </c>
      <c r="W42" s="96">
        <f>(W41/Analysis!X71)*(Analysis!X61/100)*2.015</f>
        <v>23.645911947233444</v>
      </c>
      <c r="X42" s="96">
        <f>(X41/Analysis!Y71)*(Analysis!Y61/100)*2.015</f>
        <v>26.389105855183228</v>
      </c>
      <c r="Y42" s="96">
        <f>(Y41/Analysis!Z71)*(Analysis!Z61/100)*2.015</f>
        <v>29.43081569864534</v>
      </c>
      <c r="Z42" s="96">
        <f>(Z41/Analysis!AA71)*(Analysis!AA61/100)*2.015</f>
        <v>23.565182038726718</v>
      </c>
      <c r="AA42" s="96">
        <f>(AA41/Analysis!AB71)*(Analysis!AB61/100)*2.015</f>
        <v>20.415941849035519</v>
      </c>
      <c r="AB42" s="96">
        <f>(AB41/Analysis!AC71)*(Analysis!AC61/100)*2.015</f>
        <v>25.224865470881525</v>
      </c>
      <c r="AC42" s="96">
        <f>(AC41/Analysis!AD71)*(Analysis!AD61/100)*2.015</f>
        <v>26.35913845829257</v>
      </c>
      <c r="AD42" s="96">
        <f>(AD41/Analysis!AE71)*(Analysis!AE61/100)*2.015</f>
        <v>27.979799595427558</v>
      </c>
      <c r="AE42" s="96">
        <f>(AE41/Analysis!AF71)*(Analysis!AF61/100)*2.015</f>
        <v>27.527740306447996</v>
      </c>
      <c r="AF42" s="96">
        <f>(AF41/Analysis!AG71)*(Analysis!AG61/100)*2.015</f>
        <v>28.027798715077857</v>
      </c>
      <c r="AG42" s="96">
        <f>(AG41/Analysis!AH71)*(Analysis!AH61/100)*2.015</f>
        <v>28.174253873548729</v>
      </c>
      <c r="AH42" s="96">
        <f>(AH41/Analysis!AI71)*(Analysis!AI61/100)*2.015</f>
        <v>27.864407045967045</v>
      </c>
      <c r="AI42" s="96">
        <f>(AI41/Analysis!AJ71)*(Analysis!AJ61/100)*2.015</f>
        <v>26.66135345722741</v>
      </c>
      <c r="AJ42" s="96">
        <f>(AJ41/Analysis!AK71)*(Analysis!AK61/100)*2.015</f>
        <v>28.022247726091191</v>
      </c>
      <c r="AK42" s="96">
        <f>(AK41/Analysis!AL71)*(Analysis!AL61/100)*2.015</f>
        <v>29.681329992738995</v>
      </c>
      <c r="AL42" s="96">
        <f>(AL41/Analysis!AM71)*(Analysis!AM61/100)*2.015</f>
        <v>29.852587179756764</v>
      </c>
      <c r="AM42" s="96">
        <f>(AM41/Analysis!AN71)*(Analysis!AN61/100)*2.015</f>
        <v>29.179863232171613</v>
      </c>
      <c r="AN42" s="96">
        <f>(AN41/Analysis!AO71)*(Analysis!AO61/100)*2.015</f>
        <v>30.918308912734634</v>
      </c>
      <c r="AO42" s="214"/>
      <c r="AP42" s="214"/>
      <c r="AQ42" s="214"/>
      <c r="AR42" s="214"/>
      <c r="AS42" s="214"/>
      <c r="AT42" s="214"/>
      <c r="AU42" s="214"/>
      <c r="AV42" s="214"/>
      <c r="AW42" s="214"/>
      <c r="AX42" s="214"/>
      <c r="AY42" s="214"/>
      <c r="AZ42" s="214"/>
      <c r="BA42" s="214"/>
      <c r="BB42" s="214"/>
      <c r="BC42" s="214"/>
      <c r="BD42" s="214"/>
      <c r="BE42" s="214"/>
      <c r="BF42" s="214"/>
      <c r="BG42" s="214"/>
      <c r="BH42" s="214"/>
      <c r="BI42" s="214"/>
      <c r="BJ42" s="214"/>
      <c r="BK42" s="214"/>
      <c r="BL42" s="214"/>
      <c r="BM42" s="214"/>
      <c r="BN42" s="214"/>
      <c r="BO42" s="214"/>
      <c r="BP42" s="214"/>
      <c r="BQ42" s="214"/>
      <c r="BR42" s="214"/>
      <c r="BS42" s="214"/>
      <c r="BT42" s="214"/>
      <c r="BU42" s="214"/>
      <c r="BV42" s="214"/>
      <c r="BW42" s="214"/>
      <c r="BX42" s="214"/>
      <c r="BY42" s="214"/>
      <c r="BZ42" s="214"/>
      <c r="CA42" s="214"/>
      <c r="CB42" s="214"/>
      <c r="CC42" s="214"/>
      <c r="CD42" s="214"/>
      <c r="CE42" s="214"/>
      <c r="CF42" s="214"/>
      <c r="CG42" s="214"/>
      <c r="CH42" s="214"/>
      <c r="CI42" s="214"/>
      <c r="CJ42" s="214"/>
      <c r="CK42" s="214"/>
      <c r="CL42" s="214"/>
      <c r="CM42" s="214"/>
      <c r="CN42" s="214"/>
      <c r="CO42" s="214"/>
      <c r="CP42" s="214"/>
      <c r="CQ42" s="214"/>
      <c r="CR42" s="214"/>
      <c r="CS42" s="214"/>
      <c r="CT42" s="214"/>
      <c r="CU42" s="214"/>
      <c r="CV42" s="214"/>
      <c r="CW42" s="214"/>
      <c r="CX42" s="214"/>
      <c r="CY42" s="214"/>
      <c r="CZ42" s="214"/>
      <c r="DA42" s="214"/>
      <c r="DB42" s="214"/>
      <c r="DC42" s="214"/>
      <c r="DD42" s="214"/>
      <c r="DE42" s="214"/>
      <c r="DF42" s="214"/>
      <c r="DG42" s="214"/>
      <c r="DH42" s="214"/>
      <c r="DI42" s="214"/>
      <c r="DJ42" s="214"/>
      <c r="DK42" s="214"/>
      <c r="DL42" s="214"/>
      <c r="DM42" s="214"/>
      <c r="DN42" s="214"/>
      <c r="DO42" s="214"/>
      <c r="DP42" s="214"/>
      <c r="DQ42" s="214"/>
      <c r="DR42" s="214"/>
      <c r="DS42" s="214"/>
      <c r="DT42" s="214"/>
      <c r="DU42" s="214"/>
      <c r="DV42" s="214"/>
      <c r="DW42" s="214"/>
      <c r="DX42" s="214"/>
      <c r="DY42" s="214"/>
      <c r="DZ42" s="214"/>
      <c r="EA42" s="214"/>
      <c r="EB42" s="214"/>
      <c r="EC42" s="214"/>
      <c r="ED42" s="214"/>
      <c r="EE42" s="214"/>
      <c r="EF42" s="214"/>
      <c r="EG42" s="214"/>
      <c r="EH42" s="214"/>
      <c r="EI42" s="214"/>
      <c r="EJ42" s="214"/>
      <c r="EK42" s="214"/>
      <c r="EL42" s="214"/>
      <c r="EM42" s="214"/>
      <c r="EN42" s="214"/>
      <c r="EO42" s="214"/>
      <c r="EP42" s="214"/>
      <c r="EQ42" s="214"/>
      <c r="ER42" s="214"/>
      <c r="ES42" s="214"/>
      <c r="ET42" s="214"/>
      <c r="EU42" s="214"/>
      <c r="EV42" s="214"/>
      <c r="EW42" s="214"/>
      <c r="EX42" s="214"/>
      <c r="EY42" s="214"/>
      <c r="EZ42" s="214"/>
      <c r="FA42" s="214"/>
      <c r="FB42" s="214"/>
      <c r="FC42" s="214"/>
      <c r="FD42" s="214"/>
      <c r="FE42" s="214"/>
      <c r="FF42" s="214"/>
      <c r="FG42" s="214"/>
      <c r="FH42" s="214"/>
      <c r="FI42" s="214"/>
      <c r="FJ42" s="214"/>
      <c r="FK42" s="214"/>
      <c r="FL42" s="214"/>
      <c r="FM42" s="214"/>
      <c r="FN42" s="214"/>
      <c r="FO42" s="214"/>
      <c r="FP42" s="214"/>
      <c r="FQ42" s="214"/>
      <c r="FR42" s="214"/>
      <c r="FS42" s="214"/>
      <c r="FT42" s="214"/>
      <c r="FU42" s="214"/>
      <c r="FV42" s="214"/>
      <c r="FW42" s="214"/>
      <c r="FX42" s="214"/>
      <c r="FY42" s="214"/>
      <c r="FZ42" s="214"/>
      <c r="GA42" s="214"/>
      <c r="GB42" s="214"/>
      <c r="GC42" s="214"/>
      <c r="GD42" s="214"/>
      <c r="GE42" s="214"/>
      <c r="GF42" s="214"/>
      <c r="GG42" s="214"/>
      <c r="GH42" s="214"/>
      <c r="GI42" s="214"/>
      <c r="GJ42" s="214"/>
      <c r="GK42" s="214"/>
      <c r="GL42" s="214"/>
      <c r="GM42" s="214"/>
      <c r="GN42" s="214"/>
      <c r="GO42" s="214"/>
      <c r="GP42" s="214"/>
      <c r="GQ42" s="214"/>
      <c r="GR42" s="214"/>
      <c r="GS42" s="214"/>
      <c r="GT42" s="214"/>
      <c r="GU42" s="214"/>
      <c r="GV42" s="214"/>
      <c r="GW42" s="214"/>
      <c r="GX42" s="214"/>
      <c r="GY42" s="214"/>
      <c r="GZ42" s="214"/>
      <c r="HA42" s="214"/>
      <c r="HB42" s="214"/>
      <c r="HC42" s="214"/>
      <c r="HD42" s="214"/>
      <c r="HE42" s="214"/>
      <c r="HF42" s="214"/>
      <c r="HG42" s="214"/>
      <c r="HH42" s="214"/>
      <c r="HI42" s="214"/>
      <c r="HJ42" s="214"/>
      <c r="HK42" s="214"/>
      <c r="HL42" s="214"/>
      <c r="HM42" s="214"/>
      <c r="HN42" s="214"/>
      <c r="HO42" s="214"/>
      <c r="HP42" s="214"/>
      <c r="HQ42" s="214"/>
      <c r="HR42" s="214"/>
      <c r="HS42" s="214"/>
      <c r="HT42" s="214"/>
      <c r="HU42" s="214"/>
      <c r="HV42" s="214"/>
      <c r="HW42" s="214"/>
      <c r="HX42" s="214"/>
      <c r="HY42" s="214"/>
      <c r="HZ42" s="214"/>
      <c r="IA42" s="214"/>
      <c r="IB42" s="214"/>
      <c r="IC42" s="214"/>
      <c r="ID42" s="214"/>
      <c r="IE42" s="214"/>
      <c r="IF42" s="214"/>
      <c r="IG42" s="214"/>
      <c r="IH42" s="214"/>
      <c r="II42" s="214"/>
      <c r="IJ42" s="214"/>
      <c r="IK42" s="214"/>
      <c r="IL42" s="214"/>
      <c r="IM42" s="214"/>
      <c r="IN42" s="214"/>
      <c r="IO42" s="214"/>
      <c r="IP42" s="214"/>
      <c r="IQ42" s="214"/>
      <c r="IR42" s="214"/>
      <c r="IS42" s="214"/>
      <c r="IT42" s="214"/>
      <c r="IU42" s="214"/>
      <c r="IV42" s="214"/>
      <c r="IW42" s="214"/>
      <c r="IX42" s="214"/>
      <c r="IY42" s="214"/>
      <c r="IZ42" s="214"/>
      <c r="JA42" s="214"/>
      <c r="JB42" s="214"/>
      <c r="JC42" s="214"/>
      <c r="JD42" s="214"/>
      <c r="JE42" s="214"/>
      <c r="JF42" s="214"/>
      <c r="JG42" s="214"/>
      <c r="JH42" s="214"/>
      <c r="JI42" s="214"/>
      <c r="JJ42" s="214"/>
      <c r="JK42" s="214"/>
      <c r="JL42" s="214"/>
      <c r="JM42" s="214"/>
      <c r="JN42" s="214"/>
      <c r="JO42" s="214"/>
      <c r="JP42" s="214"/>
      <c r="JQ42" s="214"/>
      <c r="JR42" s="214"/>
      <c r="JS42" s="214"/>
      <c r="JT42" s="214"/>
      <c r="JU42" s="214"/>
      <c r="JV42" s="214"/>
      <c r="JW42" s="214"/>
      <c r="JX42" s="214"/>
      <c r="JY42" s="214"/>
      <c r="JZ42" s="214"/>
      <c r="KA42" s="214"/>
      <c r="KB42" s="214"/>
      <c r="KC42" s="214"/>
      <c r="KD42" s="214"/>
      <c r="KE42" s="214"/>
      <c r="KF42" s="214"/>
      <c r="KG42" s="214"/>
      <c r="KH42" s="214"/>
      <c r="KI42" s="214"/>
      <c r="KJ42" s="214"/>
      <c r="KK42" s="214"/>
      <c r="KL42" s="214"/>
      <c r="KM42" s="214"/>
      <c r="KN42" s="214"/>
      <c r="KO42" s="214"/>
      <c r="KP42" s="214"/>
      <c r="KQ42" s="214"/>
      <c r="KR42" s="214"/>
      <c r="KS42" s="214"/>
      <c r="KT42" s="214"/>
      <c r="KU42" s="214"/>
      <c r="KV42" s="214"/>
      <c r="KW42" s="214"/>
      <c r="KX42" s="214"/>
      <c r="KY42" s="214"/>
      <c r="KZ42" s="214"/>
      <c r="LA42" s="214"/>
      <c r="LB42" s="214"/>
      <c r="LC42" s="214"/>
      <c r="LD42" s="214"/>
      <c r="LE42" s="214"/>
      <c r="LF42" s="214"/>
      <c r="LG42" s="214"/>
      <c r="LH42" s="214"/>
      <c r="LI42" s="214"/>
      <c r="LJ42" s="214"/>
      <c r="LK42" s="214"/>
      <c r="LL42" s="214"/>
      <c r="LM42" s="214"/>
      <c r="LN42" s="214"/>
      <c r="LO42" s="214"/>
      <c r="LP42" s="214"/>
      <c r="LQ42" s="214"/>
      <c r="LR42" s="214"/>
      <c r="LS42" s="214"/>
      <c r="LT42" s="214"/>
      <c r="LU42" s="214"/>
      <c r="LV42" s="214"/>
      <c r="LW42" s="214"/>
      <c r="LX42" s="214"/>
      <c r="LY42" s="214"/>
      <c r="LZ42" s="214"/>
      <c r="MA42" s="214"/>
      <c r="MB42" s="214"/>
      <c r="MC42" s="214"/>
      <c r="MD42" s="214"/>
      <c r="ME42" s="214"/>
      <c r="MF42" s="214"/>
      <c r="MG42" s="214"/>
      <c r="MH42" s="214"/>
      <c r="MI42" s="214"/>
      <c r="MJ42" s="214"/>
      <c r="MK42" s="214"/>
      <c r="ML42" s="214"/>
      <c r="MM42" s="214"/>
      <c r="MN42" s="214"/>
      <c r="MO42" s="214"/>
      <c r="MP42" s="214"/>
      <c r="MQ42" s="214"/>
      <c r="MR42" s="214"/>
      <c r="MS42" s="214"/>
      <c r="MT42" s="214"/>
      <c r="MU42" s="214"/>
      <c r="MV42" s="214"/>
      <c r="MW42" s="214"/>
      <c r="MX42" s="214"/>
      <c r="MY42" s="214"/>
      <c r="MZ42" s="214"/>
      <c r="NA42" s="214"/>
      <c r="NB42" s="214"/>
      <c r="NC42" s="214"/>
      <c r="ND42" s="214"/>
      <c r="NE42" s="214"/>
      <c r="NF42" s="214"/>
      <c r="NG42" s="214"/>
      <c r="NH42" s="214"/>
      <c r="NI42" s="214"/>
      <c r="NJ42" s="214"/>
      <c r="NK42" s="214"/>
      <c r="NL42" s="214"/>
      <c r="NM42" s="214"/>
      <c r="NN42" s="214"/>
      <c r="NO42" s="214"/>
      <c r="NP42" s="214"/>
      <c r="NQ42" s="214"/>
      <c r="NR42" s="214"/>
      <c r="NS42" s="214"/>
      <c r="NT42" s="214"/>
      <c r="NU42" s="214"/>
      <c r="NV42" s="214"/>
      <c r="NW42" s="214"/>
      <c r="NX42" s="214"/>
      <c r="NY42" s="214"/>
      <c r="NZ42" s="214"/>
      <c r="OA42" s="214"/>
      <c r="OB42" s="214"/>
      <c r="OC42" s="214"/>
      <c r="OD42" s="214"/>
      <c r="OE42" s="214"/>
      <c r="OF42" s="214"/>
      <c r="OG42" s="214"/>
      <c r="OH42" s="214"/>
      <c r="OI42" s="214"/>
      <c r="OJ42" s="214"/>
      <c r="OK42" s="214"/>
      <c r="OL42" s="214"/>
      <c r="OM42" s="214"/>
      <c r="ON42" s="214"/>
      <c r="OO42" s="214"/>
      <c r="OP42" s="214"/>
      <c r="OQ42" s="214"/>
      <c r="OR42" s="214"/>
      <c r="OS42" s="214"/>
      <c r="OT42" s="214"/>
      <c r="OU42" s="214"/>
      <c r="OV42" s="214"/>
      <c r="OW42" s="214"/>
      <c r="OX42" s="214"/>
      <c r="OY42" s="214"/>
      <c r="OZ42" s="214"/>
      <c r="PA42" s="214"/>
      <c r="PB42" s="214"/>
      <c r="PC42" s="214"/>
      <c r="PD42" s="214"/>
      <c r="PE42" s="214"/>
      <c r="PF42" s="214"/>
      <c r="PG42" s="214"/>
      <c r="PH42" s="214"/>
      <c r="PI42" s="214"/>
      <c r="PJ42" s="214"/>
      <c r="PK42" s="214"/>
      <c r="PL42" s="214"/>
      <c r="PM42" s="214"/>
      <c r="PN42" s="214"/>
      <c r="PO42" s="214"/>
      <c r="PP42" s="214"/>
      <c r="PQ42" s="214"/>
      <c r="PR42" s="214"/>
      <c r="PS42" s="214"/>
      <c r="PT42" s="214"/>
      <c r="PU42" s="214"/>
      <c r="PV42" s="214"/>
      <c r="PW42" s="214"/>
      <c r="PX42" s="214"/>
      <c r="PY42" s="214"/>
      <c r="PZ42" s="214"/>
      <c r="QA42" s="214"/>
      <c r="QB42" s="214"/>
      <c r="QC42" s="214"/>
      <c r="QD42" s="214"/>
      <c r="QE42" s="214"/>
      <c r="QF42" s="214"/>
      <c r="QG42" s="214"/>
      <c r="QH42" s="214"/>
      <c r="QI42" s="214"/>
      <c r="QJ42" s="214"/>
      <c r="QK42" s="214"/>
      <c r="QL42" s="214"/>
      <c r="QM42" s="214"/>
      <c r="QN42" s="214"/>
      <c r="QO42" s="214"/>
      <c r="QP42" s="214"/>
      <c r="QQ42" s="214"/>
      <c r="QR42" s="214"/>
      <c r="QS42" s="214"/>
      <c r="QT42" s="214"/>
      <c r="QU42" s="214"/>
      <c r="QV42" s="214"/>
      <c r="QW42" s="214"/>
      <c r="QX42" s="214"/>
      <c r="QY42" s="214"/>
      <c r="QZ42" s="214"/>
      <c r="RA42" s="214"/>
      <c r="RB42" s="214"/>
      <c r="RC42" s="214"/>
      <c r="RD42" s="214"/>
      <c r="RE42" s="214"/>
      <c r="RF42" s="214"/>
      <c r="RG42" s="214"/>
      <c r="RH42" s="214"/>
      <c r="RI42" s="214"/>
      <c r="RJ42" s="214"/>
      <c r="RK42" s="214"/>
      <c r="RL42" s="214"/>
      <c r="RM42" s="214"/>
      <c r="RN42" s="214"/>
      <c r="RO42" s="214"/>
      <c r="RP42" s="214"/>
      <c r="RQ42" s="214"/>
      <c r="RR42" s="214"/>
      <c r="RS42" s="214"/>
      <c r="RT42" s="214"/>
      <c r="RU42" s="214"/>
      <c r="RV42" s="214"/>
      <c r="RW42" s="214"/>
      <c r="RX42" s="214"/>
      <c r="RY42" s="214"/>
      <c r="RZ42" s="214"/>
      <c r="SA42" s="214"/>
      <c r="SB42" s="214"/>
      <c r="SC42" s="214"/>
      <c r="SD42" s="214"/>
      <c r="SE42" s="214"/>
      <c r="SF42" s="214"/>
      <c r="SG42" s="214"/>
      <c r="SH42" s="214"/>
      <c r="SI42" s="214"/>
      <c r="SJ42" s="214"/>
      <c r="SK42" s="214"/>
      <c r="SL42" s="214"/>
      <c r="SM42" s="214"/>
      <c r="SN42" s="214"/>
      <c r="SO42" s="214"/>
      <c r="SP42" s="214"/>
      <c r="SQ42" s="214"/>
      <c r="SR42" s="214"/>
      <c r="SS42" s="214"/>
      <c r="ST42" s="214"/>
      <c r="SU42" s="214"/>
      <c r="SV42" s="214"/>
      <c r="SW42" s="214"/>
      <c r="SX42" s="214"/>
      <c r="SY42" s="214"/>
      <c r="SZ42" s="214"/>
      <c r="TA42" s="214"/>
      <c r="TB42" s="214"/>
      <c r="TC42" s="214"/>
      <c r="TD42" s="214"/>
      <c r="TE42" s="214"/>
      <c r="TF42" s="214"/>
      <c r="TG42" s="214"/>
      <c r="TH42" s="214"/>
      <c r="TI42" s="214"/>
      <c r="TJ42" s="214"/>
      <c r="TK42" s="214"/>
      <c r="TL42" s="214"/>
      <c r="TM42" s="214"/>
      <c r="TN42" s="214"/>
      <c r="TO42" s="214"/>
      <c r="TP42" s="214"/>
      <c r="TQ42" s="214"/>
      <c r="TR42" s="214"/>
      <c r="TS42" s="214"/>
      <c r="TT42" s="214"/>
      <c r="TU42" s="214"/>
      <c r="TV42" s="214"/>
      <c r="TW42" s="214"/>
      <c r="TX42" s="214"/>
      <c r="TY42" s="214"/>
      <c r="TZ42" s="214"/>
      <c r="UA42" s="214"/>
      <c r="UB42" s="214"/>
      <c r="UC42" s="214"/>
      <c r="UD42" s="214"/>
      <c r="UE42" s="214"/>
      <c r="UF42" s="214"/>
      <c r="UG42" s="214"/>
      <c r="UH42" s="214"/>
      <c r="UI42" s="214"/>
      <c r="UJ42" s="214"/>
      <c r="UK42" s="214"/>
      <c r="UL42" s="214"/>
      <c r="UM42" s="214"/>
      <c r="UN42" s="214"/>
      <c r="UO42" s="214"/>
      <c r="UP42" s="214"/>
      <c r="UQ42" s="214"/>
      <c r="UR42" s="214"/>
      <c r="US42" s="214"/>
      <c r="UT42" s="214"/>
      <c r="UU42" s="214"/>
      <c r="UV42" s="214"/>
      <c r="UW42" s="214"/>
      <c r="UX42" s="214"/>
      <c r="UY42" s="214"/>
      <c r="UZ42" s="214"/>
      <c r="VA42" s="214"/>
      <c r="VB42" s="214"/>
      <c r="VC42" s="214"/>
      <c r="VD42" s="214"/>
      <c r="VE42" s="214"/>
      <c r="VF42" s="214"/>
      <c r="VG42" s="214"/>
      <c r="VH42" s="214"/>
      <c r="VI42" s="214"/>
      <c r="VJ42" s="214"/>
      <c r="VK42" s="214"/>
      <c r="VL42" s="214"/>
      <c r="VM42" s="214"/>
      <c r="VN42" s="214"/>
      <c r="VO42" s="214"/>
      <c r="VP42" s="214"/>
      <c r="VQ42" s="214"/>
      <c r="VR42" s="214"/>
      <c r="VS42" s="214"/>
      <c r="VT42" s="214"/>
      <c r="VU42" s="214"/>
      <c r="VV42" s="214"/>
      <c r="VW42" s="214"/>
      <c r="VX42" s="214"/>
      <c r="VY42" s="214"/>
      <c r="VZ42" s="214"/>
      <c r="WA42" s="214"/>
      <c r="WB42" s="214"/>
      <c r="WC42" s="214"/>
      <c r="WD42" s="214"/>
      <c r="WE42" s="214"/>
      <c r="WF42" s="214"/>
      <c r="WG42" s="214"/>
      <c r="WH42" s="214"/>
      <c r="WI42" s="214"/>
      <c r="WJ42" s="214"/>
      <c r="WK42" s="214"/>
      <c r="WL42" s="214"/>
      <c r="WM42" s="214"/>
      <c r="WN42" s="214"/>
      <c r="WO42" s="214"/>
      <c r="WP42" s="214"/>
      <c r="WQ42" s="214"/>
      <c r="WR42" s="214"/>
      <c r="WS42" s="214"/>
      <c r="WT42" s="214"/>
      <c r="WU42" s="214"/>
      <c r="WV42" s="214"/>
      <c r="WW42" s="214"/>
      <c r="WX42" s="214"/>
      <c r="WY42" s="214"/>
      <c r="WZ42" s="214"/>
      <c r="XA42" s="214"/>
      <c r="XB42" s="214"/>
      <c r="XC42" s="214"/>
      <c r="XD42" s="214"/>
      <c r="XE42" s="214"/>
      <c r="XF42" s="214"/>
      <c r="XG42" s="214"/>
      <c r="XH42" s="214"/>
      <c r="XI42" s="214"/>
      <c r="XJ42" s="214"/>
      <c r="XK42" s="214"/>
      <c r="XL42" s="214"/>
      <c r="XM42" s="214"/>
      <c r="XN42" s="214"/>
      <c r="XO42" s="214"/>
      <c r="XP42" s="214"/>
      <c r="XQ42" s="214"/>
      <c r="XR42" s="214"/>
      <c r="XS42" s="214"/>
      <c r="XT42" s="214"/>
      <c r="XU42" s="214"/>
      <c r="XV42" s="214"/>
      <c r="XW42" s="214"/>
      <c r="XX42" s="214"/>
      <c r="XY42" s="214"/>
      <c r="XZ42" s="214"/>
      <c r="YA42" s="214"/>
      <c r="YB42" s="214"/>
      <c r="YC42" s="214"/>
      <c r="YD42" s="214"/>
      <c r="YE42" s="214"/>
      <c r="YF42" s="214"/>
      <c r="YG42" s="214"/>
      <c r="YH42" s="214"/>
      <c r="YI42" s="214"/>
      <c r="YJ42" s="214"/>
      <c r="YK42" s="214"/>
      <c r="YL42" s="214"/>
      <c r="YM42" s="214"/>
      <c r="YN42" s="214"/>
      <c r="YO42" s="214"/>
      <c r="YP42" s="214"/>
      <c r="YQ42" s="214"/>
      <c r="YR42" s="214"/>
      <c r="YS42" s="214"/>
      <c r="YT42" s="214"/>
      <c r="YU42" s="214"/>
      <c r="YV42" s="214"/>
      <c r="YW42" s="214"/>
      <c r="YX42" s="214"/>
      <c r="YY42" s="214"/>
      <c r="YZ42" s="214"/>
      <c r="ZA42" s="214"/>
      <c r="ZB42" s="214"/>
      <c r="ZC42" s="214"/>
      <c r="ZD42" s="214"/>
      <c r="ZE42" s="214"/>
      <c r="ZF42" s="214"/>
      <c r="ZG42" s="214"/>
      <c r="ZH42" s="214"/>
      <c r="ZI42" s="214"/>
      <c r="ZJ42" s="214"/>
      <c r="ZK42" s="214"/>
      <c r="ZL42" s="214"/>
      <c r="ZM42" s="214"/>
      <c r="ZN42" s="214"/>
      <c r="ZO42" s="214"/>
      <c r="ZP42" s="214"/>
      <c r="ZQ42" s="214"/>
      <c r="ZR42" s="214"/>
      <c r="ZS42" s="214"/>
      <c r="ZT42" s="214"/>
      <c r="ZU42" s="214"/>
      <c r="ZV42" s="214"/>
      <c r="ZW42" s="214"/>
      <c r="ZX42" s="214"/>
      <c r="ZY42" s="214"/>
      <c r="ZZ42" s="214"/>
      <c r="AAA42" s="214"/>
      <c r="AAB42" s="214"/>
      <c r="AAC42" s="214"/>
      <c r="AAD42" s="214"/>
      <c r="AAE42" s="214"/>
      <c r="AAF42" s="214"/>
      <c r="AAG42" s="214"/>
      <c r="AAH42" s="214"/>
      <c r="AAI42" s="214"/>
      <c r="AAJ42" s="214"/>
      <c r="AAK42" s="214"/>
      <c r="AAL42" s="214"/>
      <c r="AAM42" s="214"/>
      <c r="AAN42" s="214"/>
      <c r="AAO42" s="214"/>
      <c r="AAP42" s="214"/>
      <c r="AAQ42" s="214"/>
      <c r="AAR42" s="214"/>
      <c r="AAS42" s="214"/>
      <c r="AAT42" s="214"/>
      <c r="AAU42" s="214"/>
      <c r="AAV42" s="214"/>
      <c r="AAW42" s="214"/>
      <c r="AAX42" s="214"/>
      <c r="AAY42" s="214"/>
      <c r="AAZ42" s="214"/>
      <c r="ABA42" s="214"/>
      <c r="ABB42" s="214"/>
      <c r="ABC42" s="214"/>
      <c r="ABD42" s="214"/>
      <c r="ABE42" s="214"/>
      <c r="ABF42" s="214"/>
      <c r="ABG42" s="214"/>
      <c r="ABH42" s="214"/>
      <c r="ABI42" s="214"/>
      <c r="ABJ42" s="214"/>
      <c r="ABK42" s="214"/>
      <c r="ABL42" s="214"/>
      <c r="ABM42" s="214"/>
      <c r="ABN42" s="214"/>
      <c r="ABO42" s="214"/>
      <c r="ABP42" s="214"/>
      <c r="ABQ42" s="214"/>
      <c r="ABR42" s="214"/>
      <c r="ABS42" s="214"/>
      <c r="ABT42" s="214"/>
      <c r="ABU42" s="214"/>
      <c r="ABV42" s="214"/>
      <c r="ABW42" s="214"/>
      <c r="ABX42" s="214"/>
      <c r="ABY42" s="214"/>
      <c r="ABZ42" s="214"/>
      <c r="ACA42" s="214"/>
      <c r="ACB42" s="214"/>
      <c r="ACC42" s="214"/>
      <c r="ACD42" s="214"/>
      <c r="ACE42" s="214"/>
      <c r="ACF42" s="214"/>
      <c r="ACG42" s="214"/>
      <c r="ACH42" s="214"/>
      <c r="ACI42" s="214"/>
      <c r="ACJ42" s="214"/>
      <c r="ACK42" s="214"/>
      <c r="ACL42" s="214"/>
      <c r="ACM42" s="214"/>
      <c r="ACN42" s="214"/>
      <c r="ACO42" s="214"/>
      <c r="ACP42" s="214"/>
      <c r="ACQ42" s="214"/>
      <c r="ACR42" s="214"/>
      <c r="ACS42" s="214"/>
      <c r="ACT42" s="214"/>
      <c r="ACU42" s="214"/>
      <c r="ACV42" s="214"/>
      <c r="ACW42" s="214"/>
      <c r="ACX42" s="214"/>
      <c r="ACY42" s="214"/>
      <c r="ACZ42" s="214"/>
      <c r="ADA42" s="214"/>
      <c r="ADB42" s="214"/>
      <c r="ADC42" s="214"/>
      <c r="ADD42" s="214"/>
      <c r="ADE42" s="214"/>
      <c r="ADF42" s="214"/>
      <c r="ADG42" s="214"/>
      <c r="ADH42" s="214"/>
      <c r="ADI42" s="214"/>
      <c r="ADJ42" s="214"/>
      <c r="ADK42" s="214"/>
      <c r="ADL42" s="214"/>
      <c r="ADM42" s="214"/>
      <c r="ADN42" s="214"/>
      <c r="ADO42" s="214"/>
      <c r="ADP42" s="214"/>
      <c r="ADQ42" s="214"/>
      <c r="ADR42" s="214"/>
      <c r="ADS42" s="214"/>
      <c r="ADT42" s="214"/>
      <c r="ADU42" s="214"/>
      <c r="ADV42" s="214"/>
      <c r="ADW42" s="214"/>
      <c r="ADX42" s="214"/>
      <c r="ADY42" s="214"/>
      <c r="ADZ42" s="214"/>
      <c r="AEA42" s="214"/>
      <c r="AEB42" s="214"/>
      <c r="AEC42" s="214"/>
      <c r="AED42" s="214"/>
      <c r="AEE42" s="214"/>
      <c r="AEF42" s="214"/>
      <c r="AEG42" s="214"/>
      <c r="AEH42" s="214"/>
      <c r="AEI42" s="214"/>
      <c r="AEJ42" s="214"/>
      <c r="AEK42" s="214"/>
      <c r="AEL42" s="214"/>
      <c r="AEM42" s="214"/>
      <c r="AEN42" s="214"/>
      <c r="AEO42" s="214"/>
      <c r="AEP42" s="214"/>
      <c r="AEQ42" s="214"/>
      <c r="AER42" s="214"/>
      <c r="AES42" s="214"/>
      <c r="AET42" s="214"/>
      <c r="AEU42" s="214"/>
      <c r="AEV42" s="214"/>
      <c r="AEW42" s="214"/>
      <c r="AEX42" s="214"/>
      <c r="AEY42" s="214"/>
      <c r="AEZ42" s="214"/>
      <c r="AFA42" s="214"/>
      <c r="AFB42" s="214"/>
      <c r="AFC42" s="214"/>
      <c r="AFD42" s="214"/>
      <c r="AFE42" s="214"/>
      <c r="AFF42" s="214"/>
      <c r="AFG42" s="214"/>
      <c r="AFH42" s="214"/>
      <c r="AFI42" s="214"/>
      <c r="AFJ42" s="214"/>
      <c r="AFK42" s="214"/>
      <c r="AFL42" s="214"/>
      <c r="AFM42" s="214"/>
      <c r="AFN42" s="214"/>
      <c r="AFO42" s="214"/>
      <c r="AFP42" s="214"/>
      <c r="AFQ42" s="214"/>
      <c r="AFR42" s="214"/>
      <c r="AFS42" s="214"/>
      <c r="AFT42" s="214"/>
      <c r="AFU42" s="214"/>
      <c r="AFV42" s="214"/>
      <c r="AFW42" s="214"/>
      <c r="AFX42" s="214"/>
      <c r="AFY42" s="214"/>
      <c r="AFZ42" s="214"/>
      <c r="AGA42" s="214"/>
      <c r="AGB42" s="214"/>
      <c r="AGC42" s="214"/>
      <c r="AGD42" s="214"/>
      <c r="AGE42" s="214"/>
      <c r="AGF42" s="214"/>
      <c r="AGG42" s="214"/>
      <c r="AGH42" s="214"/>
      <c r="AGI42" s="214"/>
      <c r="AGJ42" s="214"/>
      <c r="AGK42" s="214"/>
      <c r="AGL42" s="214"/>
      <c r="AGM42" s="214"/>
      <c r="AGN42" s="214"/>
      <c r="AGO42" s="214"/>
      <c r="AGP42" s="214"/>
      <c r="AGQ42" s="214"/>
      <c r="AGR42" s="214"/>
      <c r="AGS42" s="214"/>
      <c r="AGT42" s="214"/>
      <c r="AGU42" s="214"/>
      <c r="AGV42" s="214"/>
      <c r="AGW42" s="214"/>
      <c r="AGX42" s="214"/>
      <c r="AGY42" s="214"/>
      <c r="AGZ42" s="214"/>
      <c r="AHA42" s="214"/>
      <c r="AHB42" s="214"/>
      <c r="AHC42" s="214"/>
      <c r="AHD42" s="214"/>
      <c r="AHE42" s="214"/>
      <c r="AHF42" s="214"/>
      <c r="AHG42" s="214"/>
      <c r="AHH42" s="214"/>
      <c r="AHI42" s="214"/>
      <c r="AHJ42" s="214"/>
      <c r="AHK42" s="214"/>
      <c r="AHL42" s="214"/>
      <c r="AHM42" s="214"/>
      <c r="AHN42" s="214"/>
      <c r="AHO42" s="214"/>
      <c r="AHP42" s="214"/>
      <c r="AHQ42" s="214"/>
      <c r="AHR42" s="214"/>
      <c r="AHS42" s="214"/>
      <c r="AHT42" s="214"/>
      <c r="AHU42" s="214"/>
      <c r="AHV42" s="214"/>
      <c r="AHW42" s="214"/>
      <c r="AHX42" s="214"/>
      <c r="AHY42" s="214"/>
      <c r="AHZ42" s="214"/>
      <c r="AIA42" s="214"/>
      <c r="AIB42" s="214"/>
      <c r="AIC42" s="214"/>
      <c r="AID42" s="214"/>
      <c r="AIE42" s="214"/>
      <c r="AIF42" s="214"/>
      <c r="AIG42" s="214"/>
      <c r="AIH42" s="214"/>
      <c r="AII42" s="214"/>
      <c r="AIJ42" s="214"/>
      <c r="AIK42" s="214"/>
      <c r="AIL42" s="214"/>
      <c r="AIM42" s="214"/>
      <c r="AIN42" s="214"/>
      <c r="AIO42" s="214"/>
      <c r="AIP42" s="214"/>
      <c r="AIQ42" s="214"/>
      <c r="AIR42" s="214"/>
      <c r="AIS42" s="214"/>
      <c r="AIT42" s="214"/>
      <c r="AIU42" s="214"/>
      <c r="AIV42" s="214"/>
      <c r="AIW42" s="214"/>
      <c r="AIX42" s="214"/>
      <c r="AIY42" s="214"/>
      <c r="AIZ42" s="214"/>
      <c r="AJA42" s="214"/>
      <c r="AJB42" s="214"/>
      <c r="AJC42" s="214"/>
      <c r="AJD42" s="214"/>
      <c r="AJE42" s="214"/>
      <c r="AJF42" s="214"/>
      <c r="AJG42" s="214"/>
      <c r="AJH42" s="214"/>
      <c r="AJI42" s="214"/>
      <c r="AJJ42" s="214"/>
      <c r="AJK42" s="214"/>
      <c r="AJL42" s="214"/>
      <c r="AJM42" s="214"/>
      <c r="AJN42" s="214"/>
      <c r="AJO42" s="214"/>
      <c r="AJP42" s="214"/>
      <c r="AJQ42" s="214"/>
      <c r="AJR42" s="214"/>
      <c r="AJS42" s="214"/>
      <c r="AJT42" s="214"/>
      <c r="AJU42" s="214"/>
      <c r="AJV42" s="214"/>
      <c r="AJW42" s="214"/>
      <c r="AJX42" s="214"/>
      <c r="AJY42" s="214"/>
      <c r="AJZ42" s="214"/>
      <c r="AKA42" s="214"/>
      <c r="AKB42" s="214"/>
      <c r="AKC42" s="214"/>
      <c r="AKD42" s="214"/>
      <c r="AKE42" s="214"/>
      <c r="AKF42" s="214"/>
      <c r="AKG42" s="214"/>
      <c r="AKH42" s="214"/>
      <c r="AKI42" s="214"/>
      <c r="AKJ42" s="214"/>
      <c r="AKK42" s="214"/>
      <c r="AKL42" s="214"/>
      <c r="AKM42" s="214"/>
      <c r="AKN42" s="214"/>
      <c r="AKO42" s="214"/>
      <c r="AKP42" s="214"/>
      <c r="AKQ42" s="214"/>
      <c r="AKR42" s="214"/>
      <c r="AKS42" s="214"/>
      <c r="AKT42" s="214"/>
      <c r="AKU42" s="214"/>
      <c r="AKV42" s="214"/>
      <c r="AKW42" s="214"/>
      <c r="AKX42" s="214"/>
      <c r="AKY42" s="214"/>
      <c r="AKZ42" s="214"/>
      <c r="ALA42" s="214"/>
      <c r="ALB42" s="214"/>
      <c r="ALC42" s="214"/>
      <c r="ALD42" s="214"/>
      <c r="ALE42" s="214"/>
      <c r="ALF42" s="214"/>
      <c r="ALG42" s="214"/>
      <c r="ALH42" s="214"/>
      <c r="ALI42" s="214"/>
      <c r="ALJ42" s="214"/>
      <c r="ALK42" s="214"/>
      <c r="ALL42" s="214"/>
      <c r="ALM42" s="214"/>
      <c r="ALN42" s="214"/>
      <c r="ALO42" s="214"/>
      <c r="ALP42" s="214"/>
      <c r="ALQ42" s="214"/>
      <c r="ALR42" s="214"/>
      <c r="ALS42" s="214"/>
      <c r="ALT42" s="214"/>
      <c r="ALU42" s="214"/>
      <c r="ALV42" s="214"/>
      <c r="ALW42" s="214"/>
      <c r="ALX42" s="214"/>
      <c r="ALY42" s="214"/>
      <c r="ALZ42" s="214"/>
      <c r="AMA42" s="214"/>
      <c r="AMB42" s="214"/>
      <c r="AMC42" s="214"/>
      <c r="AMD42" s="214"/>
      <c r="AME42" s="214"/>
      <c r="AMF42" s="214"/>
      <c r="AMG42" s="214"/>
      <c r="AMH42" s="214"/>
      <c r="AMI42" s="214"/>
      <c r="AMJ42" s="214"/>
      <c r="AMK42" s="214"/>
      <c r="AML42" s="214"/>
      <c r="AMM42" s="214"/>
      <c r="AMN42" s="214"/>
      <c r="AMO42" s="214"/>
      <c r="AMP42" s="214"/>
      <c r="AMQ42" s="214"/>
      <c r="AMR42" s="214"/>
      <c r="AMS42" s="214"/>
      <c r="AMT42" s="214"/>
      <c r="AMU42" s="214"/>
      <c r="AMV42" s="214"/>
      <c r="AMW42" s="214"/>
      <c r="AMX42" s="214"/>
      <c r="AMY42" s="214"/>
      <c r="AMZ42" s="214"/>
      <c r="ANA42" s="214"/>
      <c r="ANB42" s="214"/>
      <c r="ANC42" s="214"/>
      <c r="AND42" s="214"/>
      <c r="ANE42" s="214"/>
      <c r="ANF42" s="214"/>
      <c r="ANG42" s="214"/>
      <c r="ANH42" s="214"/>
      <c r="ANI42" s="214"/>
      <c r="ANJ42" s="214"/>
      <c r="ANK42" s="214"/>
      <c r="ANL42" s="214"/>
      <c r="ANM42" s="214"/>
      <c r="ANN42" s="214"/>
      <c r="ANO42" s="214"/>
      <c r="ANP42" s="214"/>
      <c r="ANQ42" s="214"/>
      <c r="ANR42" s="214"/>
      <c r="ANS42" s="214"/>
      <c r="ANT42" s="214"/>
      <c r="ANU42" s="214"/>
      <c r="ANV42" s="214"/>
      <c r="ANW42" s="214"/>
      <c r="ANX42" s="214"/>
      <c r="ANY42" s="214"/>
      <c r="ANZ42" s="214"/>
      <c r="AOA42" s="214"/>
      <c r="AOB42" s="214"/>
      <c r="AOC42" s="214"/>
      <c r="AOD42" s="214"/>
      <c r="AOE42" s="214"/>
      <c r="AOF42" s="214"/>
      <c r="AOG42" s="214"/>
      <c r="AOH42" s="214"/>
      <c r="AOI42" s="214"/>
      <c r="AOJ42" s="214"/>
      <c r="AOK42" s="214"/>
      <c r="AOL42" s="214"/>
      <c r="AOM42" s="214"/>
      <c r="AON42" s="214"/>
      <c r="AOO42" s="214"/>
      <c r="AOP42" s="214"/>
      <c r="AOQ42" s="214"/>
      <c r="AOR42" s="214"/>
      <c r="AOS42" s="214"/>
      <c r="AOT42" s="214"/>
      <c r="AOU42" s="214"/>
      <c r="AOV42" s="214"/>
      <c r="AOW42" s="214"/>
      <c r="AOX42" s="214"/>
      <c r="AOY42" s="214"/>
      <c r="AOZ42" s="214"/>
      <c r="APA42" s="214"/>
      <c r="APB42" s="214"/>
      <c r="APC42" s="214"/>
      <c r="APD42" s="214"/>
      <c r="APE42" s="214"/>
      <c r="APF42" s="214"/>
      <c r="APG42" s="214"/>
      <c r="APH42" s="214"/>
      <c r="API42" s="214"/>
      <c r="APJ42" s="214"/>
      <c r="APK42" s="214"/>
      <c r="APL42" s="214"/>
      <c r="APM42" s="214"/>
      <c r="APN42" s="214"/>
      <c r="APO42" s="214"/>
      <c r="APP42" s="214"/>
      <c r="APQ42" s="214"/>
      <c r="APR42" s="214"/>
      <c r="APS42" s="214"/>
      <c r="APT42" s="214"/>
      <c r="APU42" s="214"/>
      <c r="APV42" s="214"/>
      <c r="APW42" s="214"/>
      <c r="APX42" s="214"/>
      <c r="APY42" s="214"/>
      <c r="APZ42" s="214"/>
      <c r="AQA42" s="214"/>
      <c r="AQB42" s="214"/>
      <c r="AQC42" s="214"/>
      <c r="AQD42" s="214"/>
      <c r="AQE42" s="214"/>
      <c r="AQF42" s="214"/>
      <c r="AQG42" s="214"/>
      <c r="AQH42" s="214"/>
      <c r="AQI42" s="214"/>
      <c r="AQJ42" s="214"/>
      <c r="AQK42" s="214"/>
      <c r="AQL42" s="214"/>
      <c r="AQM42" s="214"/>
      <c r="AQN42" s="214"/>
      <c r="AQO42" s="214"/>
      <c r="AQP42" s="214"/>
      <c r="AQQ42" s="214"/>
      <c r="AQR42" s="214"/>
      <c r="AQS42" s="214"/>
      <c r="AQT42" s="214"/>
      <c r="AQU42" s="214"/>
      <c r="AQV42" s="214"/>
      <c r="AQW42" s="214"/>
      <c r="AQX42" s="214"/>
      <c r="AQY42" s="214"/>
      <c r="AQZ42" s="214"/>
      <c r="ARA42" s="214"/>
      <c r="ARB42" s="214"/>
      <c r="ARC42" s="214"/>
      <c r="ARD42" s="214"/>
      <c r="ARE42" s="214"/>
      <c r="ARF42" s="214"/>
      <c r="ARG42" s="214"/>
      <c r="ARH42" s="214"/>
      <c r="ARI42" s="214"/>
      <c r="ARJ42" s="214"/>
      <c r="ARK42" s="214"/>
      <c r="ARL42" s="214"/>
      <c r="ARM42" s="214"/>
      <c r="ARN42" s="214"/>
      <c r="ARO42" s="214"/>
      <c r="ARP42" s="214"/>
      <c r="ARQ42" s="214"/>
      <c r="ARR42" s="214"/>
      <c r="ARS42" s="214"/>
      <c r="ART42" s="214"/>
      <c r="ARU42" s="214"/>
      <c r="ARV42" s="214"/>
      <c r="ARW42" s="214"/>
      <c r="ARX42" s="214"/>
      <c r="ARY42" s="214"/>
      <c r="ARZ42" s="214"/>
      <c r="ASA42" s="214"/>
      <c r="ASB42" s="214"/>
      <c r="ASC42" s="214"/>
      <c r="ASD42" s="214"/>
      <c r="ASE42" s="214"/>
      <c r="ASF42" s="214"/>
      <c r="ASG42" s="214"/>
      <c r="ASH42" s="214"/>
      <c r="ASI42" s="214"/>
      <c r="ASJ42" s="214"/>
      <c r="ASK42" s="214"/>
      <c r="ASL42" s="214"/>
      <c r="ASM42" s="214"/>
      <c r="ASN42" s="214"/>
      <c r="ASO42" s="214"/>
      <c r="ASP42" s="214"/>
      <c r="ASQ42" s="214"/>
      <c r="ASR42" s="214"/>
      <c r="ASS42" s="214"/>
      <c r="AST42" s="214"/>
      <c r="ASU42" s="214"/>
      <c r="ASV42" s="214"/>
      <c r="ASW42" s="214"/>
      <c r="ASX42" s="214"/>
      <c r="ASY42" s="214"/>
      <c r="ASZ42" s="214"/>
      <c r="ATA42" s="214"/>
      <c r="ATB42" s="214"/>
      <c r="ATC42" s="214"/>
      <c r="ATD42" s="214"/>
      <c r="ATE42" s="214"/>
      <c r="ATF42" s="214"/>
      <c r="ATG42" s="214"/>
      <c r="ATH42" s="214"/>
      <c r="ATI42" s="214"/>
      <c r="ATJ42" s="214"/>
      <c r="ATK42" s="214"/>
      <c r="ATL42" s="214"/>
      <c r="ATM42" s="214"/>
      <c r="ATN42" s="214"/>
      <c r="ATO42" s="214"/>
      <c r="ATP42" s="214"/>
      <c r="ATQ42" s="214"/>
      <c r="ATR42" s="214"/>
      <c r="ATS42" s="214"/>
      <c r="ATT42" s="214"/>
      <c r="ATU42" s="214"/>
      <c r="ATV42" s="214"/>
      <c r="ATW42" s="214"/>
      <c r="ATX42" s="214"/>
      <c r="ATY42" s="214"/>
      <c r="ATZ42" s="214"/>
      <c r="AUA42" s="214"/>
      <c r="AUB42" s="214"/>
      <c r="AUC42" s="214"/>
      <c r="AUD42" s="214"/>
      <c r="AUE42" s="214"/>
      <c r="AUF42" s="214"/>
      <c r="AUG42" s="214"/>
      <c r="AUH42" s="214"/>
      <c r="AUI42" s="214"/>
      <c r="AUJ42" s="214"/>
      <c r="AUK42" s="214"/>
      <c r="AUL42" s="214"/>
      <c r="AUM42" s="214"/>
      <c r="AUN42" s="214"/>
      <c r="AUO42" s="214"/>
      <c r="AUP42" s="214"/>
      <c r="AUQ42" s="214"/>
      <c r="AUR42" s="214"/>
      <c r="AUS42" s="214"/>
      <c r="AUT42" s="214"/>
      <c r="AUU42" s="214"/>
      <c r="AUV42" s="214"/>
      <c r="AUW42" s="214"/>
      <c r="AUX42" s="214"/>
      <c r="AUY42" s="214"/>
      <c r="AUZ42" s="214"/>
      <c r="AVA42" s="214"/>
      <c r="AVB42" s="214"/>
      <c r="AVC42" s="214"/>
      <c r="AVD42" s="214"/>
      <c r="AVE42" s="214"/>
      <c r="AVF42" s="214"/>
      <c r="AVG42" s="214"/>
      <c r="AVH42" s="214"/>
      <c r="AVI42" s="214"/>
      <c r="AVJ42" s="214"/>
      <c r="AVK42" s="214"/>
      <c r="AVL42" s="214"/>
      <c r="AVM42" s="214"/>
      <c r="AVN42" s="214"/>
      <c r="AVO42" s="214"/>
      <c r="AVP42" s="214"/>
      <c r="AVQ42" s="214"/>
      <c r="AVR42" s="214"/>
      <c r="AVS42" s="214"/>
      <c r="AVT42" s="214"/>
      <c r="AVU42" s="214"/>
      <c r="AVV42" s="214"/>
      <c r="AVW42" s="214"/>
      <c r="AVX42" s="214"/>
      <c r="AVY42" s="214"/>
      <c r="AVZ42" s="214"/>
      <c r="AWA42" s="214"/>
      <c r="AWB42" s="214"/>
      <c r="AWC42" s="214"/>
      <c r="AWD42" s="214"/>
      <c r="AWE42" s="214"/>
      <c r="AWF42" s="214"/>
      <c r="AWG42" s="214"/>
      <c r="AWH42" s="214"/>
      <c r="AWI42" s="214"/>
      <c r="AWJ42" s="214"/>
      <c r="AWK42" s="214"/>
      <c r="AWL42" s="214"/>
      <c r="AWM42" s="214"/>
      <c r="AWN42" s="214"/>
      <c r="AWO42" s="214"/>
      <c r="AWP42" s="214"/>
      <c r="AWQ42" s="214"/>
      <c r="AWR42" s="214"/>
      <c r="AWS42" s="214"/>
      <c r="AWT42" s="214"/>
      <c r="AWU42" s="214"/>
      <c r="AWV42" s="214"/>
      <c r="AWW42" s="214"/>
      <c r="AWX42" s="214"/>
      <c r="AWY42" s="214"/>
      <c r="AWZ42" s="214"/>
      <c r="AXA42" s="214"/>
      <c r="AXB42" s="214"/>
      <c r="AXC42" s="214"/>
      <c r="AXD42" s="214"/>
      <c r="AXE42" s="214"/>
      <c r="AXF42" s="214"/>
      <c r="AXG42" s="214"/>
      <c r="AXH42" s="214"/>
      <c r="AXI42" s="214"/>
      <c r="AXJ42" s="214"/>
      <c r="AXK42" s="214"/>
      <c r="AXL42" s="214"/>
      <c r="AXM42" s="214"/>
      <c r="AXN42" s="214"/>
      <c r="AXO42" s="214"/>
      <c r="AXP42" s="214"/>
      <c r="AXQ42" s="214"/>
      <c r="AXR42" s="214"/>
      <c r="AXS42" s="214"/>
      <c r="AXT42" s="214"/>
      <c r="AXU42" s="214"/>
      <c r="AXV42" s="214"/>
      <c r="AXW42" s="214"/>
      <c r="AXX42" s="214"/>
      <c r="AXY42" s="214"/>
      <c r="AXZ42" s="214"/>
      <c r="AYA42" s="214"/>
      <c r="AYB42" s="214"/>
      <c r="AYC42" s="214"/>
      <c r="AYD42" s="214"/>
      <c r="AYE42" s="214"/>
      <c r="AYF42" s="214"/>
      <c r="AYG42" s="214"/>
      <c r="AYH42" s="214"/>
      <c r="AYI42" s="214"/>
      <c r="AYJ42" s="214"/>
      <c r="AYK42" s="214"/>
      <c r="AYL42" s="214"/>
      <c r="AYM42" s="214"/>
      <c r="AYN42" s="214"/>
      <c r="AYO42" s="214"/>
      <c r="AYP42" s="214"/>
      <c r="AYQ42" s="214"/>
      <c r="AYR42" s="214"/>
      <c r="AYS42" s="214"/>
      <c r="AYT42" s="214"/>
      <c r="AYU42" s="214"/>
      <c r="AYV42" s="214"/>
      <c r="AYW42" s="214"/>
      <c r="AYX42" s="214"/>
      <c r="AYY42" s="214"/>
      <c r="AYZ42" s="214"/>
      <c r="AZA42" s="214"/>
      <c r="AZB42" s="214"/>
      <c r="AZC42" s="214"/>
      <c r="AZD42" s="214"/>
      <c r="AZE42" s="214"/>
      <c r="AZF42" s="214"/>
      <c r="AZG42" s="214"/>
      <c r="AZH42" s="214"/>
      <c r="AZI42" s="214"/>
      <c r="AZJ42" s="214"/>
      <c r="AZK42" s="214"/>
      <c r="AZL42" s="214"/>
      <c r="AZM42" s="214"/>
      <c r="AZN42" s="214"/>
      <c r="AZO42" s="214"/>
      <c r="AZP42" s="214"/>
      <c r="AZQ42" s="214"/>
      <c r="AZR42" s="214"/>
      <c r="AZS42" s="214"/>
      <c r="AZT42" s="214"/>
      <c r="AZU42" s="214"/>
      <c r="AZV42" s="214"/>
      <c r="AZW42" s="214"/>
      <c r="AZX42" s="214"/>
      <c r="AZY42" s="214"/>
      <c r="AZZ42" s="214"/>
      <c r="BAA42" s="214"/>
      <c r="BAB42" s="214"/>
      <c r="BAC42" s="214"/>
      <c r="BAD42" s="214"/>
      <c r="BAE42" s="214"/>
      <c r="BAF42" s="214"/>
      <c r="BAG42" s="214"/>
      <c r="BAH42" s="214"/>
      <c r="BAI42" s="214"/>
      <c r="BAJ42" s="214"/>
      <c r="BAK42" s="214"/>
      <c r="BAL42" s="214"/>
      <c r="BAM42" s="214"/>
      <c r="BAN42" s="214"/>
      <c r="BAO42" s="214"/>
      <c r="BAP42" s="214"/>
      <c r="BAQ42" s="214"/>
      <c r="BAR42" s="214"/>
      <c r="BAS42" s="214"/>
      <c r="BAT42" s="214"/>
      <c r="BAU42" s="214"/>
      <c r="BAV42" s="214"/>
      <c r="BAW42" s="214"/>
      <c r="BAX42" s="214"/>
      <c r="BAY42" s="214"/>
      <c r="BAZ42" s="214"/>
      <c r="BBA42" s="214"/>
      <c r="BBB42" s="214"/>
      <c r="BBC42" s="214"/>
      <c r="BBD42" s="214"/>
      <c r="BBE42" s="214"/>
      <c r="BBF42" s="214"/>
      <c r="BBG42" s="214"/>
      <c r="BBH42" s="214"/>
      <c r="BBI42" s="214"/>
      <c r="BBJ42" s="214"/>
      <c r="BBK42" s="214"/>
      <c r="BBL42" s="214"/>
      <c r="BBM42" s="214"/>
      <c r="BBN42" s="214"/>
      <c r="BBO42" s="214"/>
      <c r="BBP42" s="214"/>
      <c r="BBQ42" s="214"/>
      <c r="BBR42" s="214"/>
      <c r="BBS42" s="214"/>
      <c r="BBT42" s="214"/>
      <c r="BBU42" s="214"/>
      <c r="BBV42" s="214"/>
      <c r="BBW42" s="214"/>
      <c r="BBX42" s="214"/>
      <c r="BBY42" s="214"/>
      <c r="BBZ42" s="214"/>
      <c r="BCA42" s="214"/>
      <c r="BCB42" s="214"/>
      <c r="BCC42" s="214"/>
      <c r="BCD42" s="214"/>
      <c r="BCE42" s="214"/>
      <c r="BCF42" s="214"/>
      <c r="BCG42" s="214"/>
      <c r="BCH42" s="214"/>
      <c r="BCI42" s="214"/>
      <c r="BCJ42" s="214"/>
      <c r="BCK42" s="214"/>
      <c r="BCL42" s="214"/>
      <c r="BCM42" s="214"/>
      <c r="BCN42" s="214"/>
      <c r="BCO42" s="214"/>
      <c r="BCP42" s="214"/>
      <c r="BCQ42" s="214"/>
      <c r="BCR42" s="214"/>
      <c r="BCS42" s="214"/>
      <c r="BCT42" s="214"/>
      <c r="BCU42" s="214"/>
      <c r="BCV42" s="214"/>
      <c r="BCW42" s="214"/>
      <c r="BCX42" s="214"/>
      <c r="BCY42" s="214"/>
      <c r="BCZ42" s="214"/>
      <c r="BDA42" s="214"/>
      <c r="BDB42" s="214"/>
      <c r="BDC42" s="214"/>
      <c r="BDD42" s="214"/>
      <c r="BDE42" s="214"/>
      <c r="BDF42" s="214"/>
      <c r="BDG42" s="214"/>
      <c r="BDH42" s="214"/>
      <c r="BDI42" s="214"/>
      <c r="BDJ42" s="214"/>
      <c r="BDK42" s="214"/>
      <c r="BDL42" s="214"/>
      <c r="BDM42" s="214"/>
      <c r="BDN42" s="214"/>
      <c r="BDO42" s="214"/>
      <c r="BDP42" s="214"/>
      <c r="BDQ42" s="214"/>
      <c r="BDR42" s="214"/>
      <c r="BDS42" s="214"/>
      <c r="BDT42" s="214"/>
      <c r="BDU42" s="214"/>
      <c r="BDV42" s="214"/>
      <c r="BDW42" s="214"/>
      <c r="BDX42" s="214"/>
      <c r="BDY42" s="214"/>
      <c r="BDZ42" s="214"/>
      <c r="BEA42" s="214"/>
      <c r="BEB42" s="214"/>
      <c r="BEC42" s="214"/>
      <c r="BED42" s="214"/>
      <c r="BEE42" s="214"/>
      <c r="BEF42" s="214"/>
      <c r="BEG42" s="214"/>
      <c r="BEH42" s="214"/>
      <c r="BEI42" s="214"/>
      <c r="BEJ42" s="214"/>
      <c r="BEK42" s="214"/>
      <c r="BEL42" s="214"/>
      <c r="BEM42" s="214"/>
      <c r="BEN42" s="214"/>
      <c r="BEO42" s="214"/>
      <c r="BEP42" s="214"/>
      <c r="BEQ42" s="214"/>
      <c r="BER42" s="214"/>
      <c r="BES42" s="214"/>
      <c r="BET42" s="214"/>
      <c r="BEU42" s="214"/>
      <c r="BEV42" s="214"/>
      <c r="BEW42" s="214"/>
      <c r="BEX42" s="214"/>
      <c r="BEY42" s="214"/>
      <c r="BEZ42" s="214"/>
      <c r="BFA42" s="214"/>
      <c r="BFB42" s="214"/>
      <c r="BFC42" s="214"/>
      <c r="BFD42" s="214"/>
      <c r="BFE42" s="214"/>
      <c r="BFF42" s="214"/>
      <c r="BFG42" s="214"/>
      <c r="BFH42" s="214"/>
      <c r="BFI42" s="214"/>
      <c r="BFJ42" s="214"/>
      <c r="BFK42" s="214"/>
      <c r="BFL42" s="214"/>
      <c r="BFM42" s="214"/>
      <c r="BFN42" s="214"/>
      <c r="BFO42" s="214"/>
      <c r="BFP42" s="214"/>
      <c r="BFQ42" s="214"/>
      <c r="BFR42" s="214"/>
      <c r="BFS42" s="214"/>
      <c r="BFT42" s="214"/>
      <c r="BFU42" s="214"/>
      <c r="BFV42" s="214"/>
      <c r="BFW42" s="214"/>
      <c r="BFX42" s="214"/>
      <c r="BFY42" s="214"/>
      <c r="BFZ42" s="214"/>
      <c r="BGA42" s="214"/>
      <c r="BGB42" s="214"/>
      <c r="BGC42" s="214"/>
      <c r="BGD42" s="214"/>
      <c r="BGE42" s="214"/>
      <c r="BGF42" s="214"/>
      <c r="BGG42" s="214"/>
      <c r="BGH42" s="214"/>
      <c r="BGI42" s="214"/>
      <c r="BGJ42" s="214"/>
      <c r="BGK42" s="214"/>
      <c r="BGL42" s="214"/>
      <c r="BGM42" s="214"/>
      <c r="BGN42" s="214"/>
      <c r="BGO42" s="214"/>
      <c r="BGP42" s="214"/>
      <c r="BGQ42" s="214"/>
      <c r="BGR42" s="214"/>
      <c r="BGS42" s="214"/>
      <c r="BGT42" s="214"/>
      <c r="BGU42" s="214"/>
      <c r="BGV42" s="214"/>
      <c r="BGW42" s="214"/>
      <c r="BGX42" s="214"/>
      <c r="BGY42" s="214"/>
      <c r="BGZ42" s="214"/>
      <c r="BHA42" s="214"/>
      <c r="BHB42" s="214"/>
      <c r="BHC42" s="214"/>
      <c r="BHD42" s="214"/>
      <c r="BHE42" s="214"/>
      <c r="BHF42" s="214"/>
      <c r="BHG42" s="214"/>
      <c r="BHH42" s="214"/>
      <c r="BHI42" s="214"/>
      <c r="BHJ42" s="214"/>
      <c r="BHK42" s="214"/>
      <c r="BHL42" s="214"/>
      <c r="BHM42" s="214"/>
      <c r="BHN42" s="214"/>
      <c r="BHO42" s="214"/>
      <c r="BHP42" s="214"/>
      <c r="BHQ42" s="214"/>
      <c r="BHR42" s="214"/>
      <c r="BHS42" s="214"/>
      <c r="BHT42" s="214"/>
      <c r="BHU42" s="214"/>
      <c r="BHV42" s="214"/>
      <c r="BHW42" s="214"/>
    </row>
    <row r="43" spans="1:1583" s="219" customFormat="1" ht="15.75" thickBot="1">
      <c r="A43" s="224" t="s">
        <v>51</v>
      </c>
      <c r="B43" s="65"/>
      <c r="C43" s="65"/>
      <c r="D43" s="65" t="s">
        <v>592</v>
      </c>
      <c r="E43" s="265" t="s">
        <v>9</v>
      </c>
      <c r="F43" s="137"/>
      <c r="G43" s="60" t="s">
        <v>697</v>
      </c>
      <c r="H43" s="473">
        <f t="shared" si="15"/>
        <v>712.57869098968672</v>
      </c>
      <c r="I43" s="148">
        <f>(I42*0.856)</f>
        <v>21.981503354593119</v>
      </c>
      <c r="J43" s="437"/>
      <c r="K43" s="148">
        <f t="shared" ref="K43:AN43" si="19">(K42*0.856)</f>
        <v>23.192296010952141</v>
      </c>
      <c r="L43" s="148">
        <f t="shared" si="19"/>
        <v>24.477827535139536</v>
      </c>
      <c r="M43" s="148">
        <f t="shared" si="19"/>
        <v>23.24829025061258</v>
      </c>
      <c r="N43" s="148">
        <f t="shared" si="19"/>
        <v>24.33306429728589</v>
      </c>
      <c r="O43" s="148">
        <f t="shared" si="19"/>
        <v>21.892705508310797</v>
      </c>
      <c r="P43" s="148">
        <f t="shared" si="19"/>
        <v>20.637369549527818</v>
      </c>
      <c r="Q43" s="148">
        <f t="shared" si="19"/>
        <v>21.907160276095034</v>
      </c>
      <c r="R43" s="148">
        <f t="shared" si="19"/>
        <v>22.25525176628657</v>
      </c>
      <c r="S43" s="148">
        <f t="shared" si="19"/>
        <v>20.883156743622983</v>
      </c>
      <c r="T43" s="148">
        <f t="shared" si="19"/>
        <v>23.075139800024314</v>
      </c>
      <c r="U43" s="148">
        <f t="shared" si="19"/>
        <v>24.793546067480815</v>
      </c>
      <c r="V43" s="148">
        <f t="shared" si="19"/>
        <v>21.385302269713893</v>
      </c>
      <c r="W43" s="148">
        <f t="shared" si="19"/>
        <v>20.240900626831827</v>
      </c>
      <c r="X43" s="148">
        <f t="shared" si="19"/>
        <v>22.589074612036843</v>
      </c>
      <c r="Y43" s="148">
        <f t="shared" si="19"/>
        <v>25.192778238040411</v>
      </c>
      <c r="Z43" s="148">
        <f t="shared" si="19"/>
        <v>20.17179582515007</v>
      </c>
      <c r="AA43" s="148">
        <f t="shared" si="19"/>
        <v>17.476046222774404</v>
      </c>
      <c r="AB43" s="148">
        <f t="shared" si="19"/>
        <v>21.592484843074587</v>
      </c>
      <c r="AC43" s="148">
        <f t="shared" si="19"/>
        <v>22.563422520298438</v>
      </c>
      <c r="AD43" s="148">
        <f t="shared" si="19"/>
        <v>23.950708453685991</v>
      </c>
      <c r="AE43" s="148">
        <f t="shared" si="19"/>
        <v>23.563745702319483</v>
      </c>
      <c r="AF43" s="148">
        <f t="shared" si="19"/>
        <v>23.991795700106646</v>
      </c>
      <c r="AG43" s="148">
        <f t="shared" si="19"/>
        <v>24.117161315757713</v>
      </c>
      <c r="AH43" s="148">
        <f t="shared" si="19"/>
        <v>23.851932431347791</v>
      </c>
      <c r="AI43" s="148">
        <f t="shared" si="19"/>
        <v>22.822118559386663</v>
      </c>
      <c r="AJ43" s="148">
        <f t="shared" si="19"/>
        <v>23.98704405353406</v>
      </c>
      <c r="AK43" s="148">
        <f t="shared" si="19"/>
        <v>25.407218473784578</v>
      </c>
      <c r="AL43" s="148">
        <f t="shared" si="19"/>
        <v>25.553814625871791</v>
      </c>
      <c r="AM43" s="148">
        <f t="shared" si="19"/>
        <v>24.977962926738901</v>
      </c>
      <c r="AN43" s="148">
        <f t="shared" si="19"/>
        <v>26.466072429300848</v>
      </c>
      <c r="AO43" s="218"/>
      <c r="AP43" s="218"/>
      <c r="AQ43" s="218"/>
      <c r="AR43" s="218"/>
      <c r="AS43" s="218"/>
      <c r="AT43" s="218"/>
      <c r="AU43" s="218"/>
      <c r="AV43" s="218"/>
      <c r="AW43" s="218"/>
      <c r="AX43" s="218"/>
      <c r="AY43" s="218"/>
      <c r="AZ43" s="218"/>
      <c r="BA43" s="218"/>
      <c r="BB43" s="218"/>
      <c r="BC43" s="218"/>
      <c r="BD43" s="218"/>
      <c r="BE43" s="218"/>
      <c r="BF43" s="218"/>
      <c r="BG43" s="218"/>
      <c r="BH43" s="218"/>
      <c r="BI43" s="218"/>
      <c r="BJ43" s="218"/>
      <c r="BK43" s="218"/>
      <c r="BL43" s="218"/>
      <c r="BM43" s="218"/>
      <c r="BN43" s="218"/>
      <c r="BO43" s="218"/>
      <c r="BP43" s="218"/>
      <c r="BQ43" s="218"/>
      <c r="BR43" s="218"/>
      <c r="BS43" s="218"/>
      <c r="BT43" s="218"/>
      <c r="BU43" s="218"/>
      <c r="BV43" s="218"/>
      <c r="BW43" s="218"/>
      <c r="BX43" s="218"/>
      <c r="BY43" s="218"/>
      <c r="BZ43" s="218"/>
      <c r="CA43" s="218"/>
      <c r="CB43" s="218"/>
      <c r="CC43" s="218"/>
      <c r="CD43" s="218"/>
      <c r="CE43" s="218"/>
      <c r="CF43" s="218"/>
      <c r="CG43" s="218"/>
      <c r="CH43" s="218"/>
      <c r="CI43" s="218"/>
      <c r="CJ43" s="218"/>
      <c r="CK43" s="218"/>
      <c r="CL43" s="218"/>
      <c r="CM43" s="218"/>
      <c r="CN43" s="218"/>
      <c r="CO43" s="218"/>
      <c r="CP43" s="218"/>
      <c r="CQ43" s="218"/>
      <c r="CR43" s="218"/>
      <c r="CS43" s="218"/>
      <c r="CT43" s="218"/>
      <c r="CU43" s="218"/>
      <c r="CV43" s="218"/>
      <c r="CW43" s="218"/>
      <c r="CX43" s="218"/>
      <c r="CY43" s="218"/>
      <c r="CZ43" s="218"/>
      <c r="DA43" s="218"/>
      <c r="DB43" s="218"/>
      <c r="DC43" s="218"/>
      <c r="DD43" s="218"/>
      <c r="DE43" s="218"/>
      <c r="DF43" s="218"/>
      <c r="DG43" s="218"/>
      <c r="DH43" s="218"/>
      <c r="DI43" s="218"/>
      <c r="DJ43" s="218"/>
      <c r="DK43" s="218"/>
      <c r="DL43" s="218"/>
      <c r="DM43" s="218"/>
      <c r="DN43" s="218"/>
      <c r="DO43" s="218"/>
      <c r="DP43" s="218"/>
      <c r="DQ43" s="218"/>
      <c r="DR43" s="218"/>
      <c r="DS43" s="218"/>
      <c r="DT43" s="218"/>
      <c r="DU43" s="218"/>
      <c r="DV43" s="218"/>
      <c r="DW43" s="218"/>
      <c r="DX43" s="218"/>
      <c r="DY43" s="218"/>
      <c r="DZ43" s="218"/>
      <c r="EA43" s="218"/>
      <c r="EB43" s="218"/>
      <c r="EC43" s="218"/>
      <c r="ED43" s="218"/>
      <c r="EE43" s="218"/>
      <c r="EF43" s="218"/>
      <c r="EG43" s="218"/>
      <c r="EH43" s="218"/>
      <c r="EI43" s="218"/>
      <c r="EJ43" s="218"/>
      <c r="EK43" s="218"/>
      <c r="EL43" s="218"/>
      <c r="EM43" s="218"/>
      <c r="EN43" s="218"/>
      <c r="EO43" s="218"/>
      <c r="EP43" s="218"/>
      <c r="EQ43" s="218"/>
      <c r="ER43" s="218"/>
      <c r="ES43" s="218"/>
      <c r="ET43" s="218"/>
      <c r="EU43" s="218"/>
      <c r="EV43" s="218"/>
      <c r="EW43" s="218"/>
      <c r="EX43" s="218"/>
      <c r="EY43" s="218"/>
      <c r="EZ43" s="218"/>
      <c r="FA43" s="218"/>
      <c r="FB43" s="218"/>
      <c r="FC43" s="218"/>
      <c r="FD43" s="218"/>
      <c r="FE43" s="218"/>
      <c r="FF43" s="218"/>
      <c r="FG43" s="218"/>
      <c r="FH43" s="218"/>
      <c r="FI43" s="218"/>
      <c r="FJ43" s="218"/>
      <c r="FK43" s="218"/>
      <c r="FL43" s="218"/>
      <c r="FM43" s="218"/>
      <c r="FN43" s="218"/>
      <c r="FO43" s="218"/>
      <c r="FP43" s="218"/>
      <c r="FQ43" s="218"/>
      <c r="FR43" s="218"/>
      <c r="FS43" s="218"/>
      <c r="FT43" s="218"/>
      <c r="FU43" s="218"/>
      <c r="FV43" s="218"/>
      <c r="FW43" s="218"/>
      <c r="FX43" s="218"/>
      <c r="FY43" s="218"/>
      <c r="FZ43" s="218"/>
      <c r="GA43" s="218"/>
      <c r="GB43" s="218"/>
      <c r="GC43" s="218"/>
      <c r="GD43" s="218"/>
      <c r="GE43" s="218"/>
      <c r="GF43" s="218"/>
      <c r="GG43" s="218"/>
      <c r="GH43" s="218"/>
      <c r="GI43" s="218"/>
      <c r="GJ43" s="218"/>
      <c r="GK43" s="218"/>
      <c r="GL43" s="218"/>
      <c r="GM43" s="218"/>
      <c r="GN43" s="218"/>
      <c r="GO43" s="218"/>
      <c r="GP43" s="218"/>
      <c r="GQ43" s="218"/>
      <c r="GR43" s="218"/>
      <c r="GS43" s="218"/>
      <c r="GT43" s="218"/>
      <c r="GU43" s="218"/>
      <c r="GV43" s="218"/>
      <c r="GW43" s="218"/>
      <c r="GX43" s="218"/>
      <c r="GY43" s="218"/>
      <c r="GZ43" s="218"/>
      <c r="HA43" s="218"/>
      <c r="HB43" s="218"/>
      <c r="HC43" s="218"/>
      <c r="HD43" s="218"/>
      <c r="HE43" s="218"/>
      <c r="HF43" s="218"/>
      <c r="HG43" s="218"/>
      <c r="HH43" s="218"/>
      <c r="HI43" s="218"/>
      <c r="HJ43" s="218"/>
      <c r="HK43" s="218"/>
      <c r="HL43" s="218"/>
      <c r="HM43" s="218"/>
      <c r="HN43" s="218"/>
      <c r="HO43" s="218"/>
      <c r="HP43" s="218"/>
      <c r="HQ43" s="218"/>
      <c r="HR43" s="218"/>
      <c r="HS43" s="218"/>
      <c r="HT43" s="218"/>
      <c r="HU43" s="218"/>
      <c r="HV43" s="218"/>
      <c r="HW43" s="218"/>
      <c r="HX43" s="218"/>
      <c r="HY43" s="218"/>
      <c r="HZ43" s="218"/>
      <c r="IA43" s="218"/>
      <c r="IB43" s="218"/>
      <c r="IC43" s="218"/>
      <c r="ID43" s="218"/>
      <c r="IE43" s="218"/>
      <c r="IF43" s="218"/>
      <c r="IG43" s="218"/>
      <c r="IH43" s="218"/>
      <c r="II43" s="218"/>
      <c r="IJ43" s="218"/>
      <c r="IK43" s="218"/>
      <c r="IL43" s="218"/>
      <c r="IM43" s="218"/>
      <c r="IN43" s="218"/>
      <c r="IO43" s="218"/>
      <c r="IP43" s="218"/>
      <c r="IQ43" s="218"/>
      <c r="IR43" s="218"/>
      <c r="IS43" s="218"/>
      <c r="IT43" s="218"/>
      <c r="IU43" s="218"/>
      <c r="IV43" s="218"/>
      <c r="IW43" s="218"/>
      <c r="IX43" s="218"/>
      <c r="IY43" s="218"/>
      <c r="IZ43" s="218"/>
      <c r="JA43" s="218"/>
      <c r="JB43" s="218"/>
      <c r="JC43" s="218"/>
      <c r="JD43" s="218"/>
      <c r="JE43" s="218"/>
      <c r="JF43" s="218"/>
      <c r="JG43" s="218"/>
      <c r="JH43" s="218"/>
      <c r="JI43" s="218"/>
      <c r="JJ43" s="218"/>
      <c r="JK43" s="218"/>
      <c r="JL43" s="218"/>
      <c r="JM43" s="218"/>
      <c r="JN43" s="218"/>
      <c r="JO43" s="218"/>
      <c r="JP43" s="218"/>
      <c r="JQ43" s="218"/>
      <c r="JR43" s="218"/>
      <c r="JS43" s="218"/>
      <c r="JT43" s="218"/>
      <c r="JU43" s="218"/>
      <c r="JV43" s="218"/>
      <c r="JW43" s="218"/>
      <c r="JX43" s="218"/>
      <c r="JY43" s="218"/>
      <c r="JZ43" s="218"/>
      <c r="KA43" s="218"/>
      <c r="KB43" s="218"/>
      <c r="KC43" s="218"/>
      <c r="KD43" s="218"/>
      <c r="KE43" s="218"/>
      <c r="KF43" s="218"/>
      <c r="KG43" s="218"/>
      <c r="KH43" s="218"/>
      <c r="KI43" s="218"/>
      <c r="KJ43" s="218"/>
      <c r="KK43" s="218"/>
      <c r="KL43" s="218"/>
      <c r="KM43" s="218"/>
      <c r="KN43" s="218"/>
      <c r="KO43" s="218"/>
      <c r="KP43" s="218"/>
      <c r="KQ43" s="218"/>
      <c r="KR43" s="218"/>
      <c r="KS43" s="218"/>
      <c r="KT43" s="218"/>
      <c r="KU43" s="218"/>
      <c r="KV43" s="218"/>
      <c r="KW43" s="218"/>
      <c r="KX43" s="218"/>
      <c r="KY43" s="218"/>
      <c r="KZ43" s="218"/>
      <c r="LA43" s="218"/>
      <c r="LB43" s="218"/>
      <c r="LC43" s="218"/>
      <c r="LD43" s="218"/>
      <c r="LE43" s="218"/>
      <c r="LF43" s="218"/>
      <c r="LG43" s="218"/>
      <c r="LH43" s="218"/>
      <c r="LI43" s="218"/>
      <c r="LJ43" s="218"/>
      <c r="LK43" s="218"/>
      <c r="LL43" s="218"/>
      <c r="LM43" s="218"/>
      <c r="LN43" s="218"/>
      <c r="LO43" s="218"/>
      <c r="LP43" s="218"/>
      <c r="LQ43" s="218"/>
      <c r="LR43" s="218"/>
      <c r="LS43" s="218"/>
      <c r="LT43" s="218"/>
      <c r="LU43" s="218"/>
      <c r="LV43" s="218"/>
      <c r="LW43" s="218"/>
      <c r="LX43" s="218"/>
      <c r="LY43" s="218"/>
      <c r="LZ43" s="218"/>
      <c r="MA43" s="218"/>
      <c r="MB43" s="218"/>
      <c r="MC43" s="218"/>
      <c r="MD43" s="218"/>
      <c r="ME43" s="218"/>
      <c r="MF43" s="218"/>
      <c r="MG43" s="218"/>
      <c r="MH43" s="218"/>
      <c r="MI43" s="218"/>
      <c r="MJ43" s="218"/>
      <c r="MK43" s="218"/>
      <c r="ML43" s="218"/>
      <c r="MM43" s="218"/>
      <c r="MN43" s="218"/>
      <c r="MO43" s="218"/>
      <c r="MP43" s="218"/>
      <c r="MQ43" s="218"/>
      <c r="MR43" s="218"/>
      <c r="MS43" s="218"/>
      <c r="MT43" s="218"/>
      <c r="MU43" s="218"/>
      <c r="MV43" s="218"/>
      <c r="MW43" s="218"/>
      <c r="MX43" s="218"/>
      <c r="MY43" s="218"/>
      <c r="MZ43" s="218"/>
      <c r="NA43" s="218"/>
      <c r="NB43" s="218"/>
      <c r="NC43" s="218"/>
      <c r="ND43" s="218"/>
      <c r="NE43" s="218"/>
      <c r="NF43" s="218"/>
      <c r="NG43" s="218"/>
      <c r="NH43" s="218"/>
      <c r="NI43" s="218"/>
      <c r="NJ43" s="218"/>
      <c r="NK43" s="218"/>
      <c r="NL43" s="218"/>
      <c r="NM43" s="218"/>
      <c r="NN43" s="218"/>
      <c r="NO43" s="218"/>
      <c r="NP43" s="218"/>
      <c r="NQ43" s="218"/>
      <c r="NR43" s="218"/>
      <c r="NS43" s="218"/>
      <c r="NT43" s="218"/>
      <c r="NU43" s="218"/>
      <c r="NV43" s="218"/>
      <c r="NW43" s="218"/>
      <c r="NX43" s="218"/>
      <c r="NY43" s="218"/>
      <c r="NZ43" s="218"/>
      <c r="OA43" s="218"/>
      <c r="OB43" s="218"/>
      <c r="OC43" s="218"/>
      <c r="OD43" s="218"/>
      <c r="OE43" s="218"/>
      <c r="OF43" s="218"/>
      <c r="OG43" s="218"/>
      <c r="OH43" s="218"/>
      <c r="OI43" s="218"/>
      <c r="OJ43" s="218"/>
      <c r="OK43" s="218"/>
      <c r="OL43" s="218"/>
      <c r="OM43" s="218"/>
      <c r="ON43" s="218"/>
      <c r="OO43" s="218"/>
      <c r="OP43" s="218"/>
      <c r="OQ43" s="218"/>
      <c r="OR43" s="218"/>
      <c r="OS43" s="218"/>
      <c r="OT43" s="218"/>
      <c r="OU43" s="218"/>
      <c r="OV43" s="218"/>
      <c r="OW43" s="218"/>
      <c r="OX43" s="218"/>
      <c r="OY43" s="218"/>
      <c r="OZ43" s="218"/>
      <c r="PA43" s="218"/>
      <c r="PB43" s="218"/>
      <c r="PC43" s="218"/>
      <c r="PD43" s="218"/>
      <c r="PE43" s="218"/>
      <c r="PF43" s="218"/>
      <c r="PG43" s="218"/>
      <c r="PH43" s="218"/>
      <c r="PI43" s="218"/>
      <c r="PJ43" s="218"/>
      <c r="PK43" s="218"/>
      <c r="PL43" s="218"/>
      <c r="PM43" s="218"/>
      <c r="PN43" s="218"/>
      <c r="PO43" s="218"/>
      <c r="PP43" s="218"/>
      <c r="PQ43" s="218"/>
      <c r="PR43" s="218"/>
      <c r="PS43" s="218"/>
      <c r="PT43" s="218"/>
      <c r="PU43" s="218"/>
      <c r="PV43" s="218"/>
      <c r="PW43" s="218"/>
      <c r="PX43" s="218"/>
      <c r="PY43" s="218"/>
      <c r="PZ43" s="218"/>
      <c r="QA43" s="218"/>
      <c r="QB43" s="218"/>
      <c r="QC43" s="218"/>
      <c r="QD43" s="218"/>
      <c r="QE43" s="218"/>
      <c r="QF43" s="218"/>
      <c r="QG43" s="218"/>
      <c r="QH43" s="218"/>
      <c r="QI43" s="218"/>
      <c r="QJ43" s="218"/>
      <c r="QK43" s="218"/>
      <c r="QL43" s="218"/>
      <c r="QM43" s="218"/>
      <c r="QN43" s="218"/>
      <c r="QO43" s="218"/>
      <c r="QP43" s="218"/>
      <c r="QQ43" s="218"/>
      <c r="QR43" s="218"/>
      <c r="QS43" s="218"/>
      <c r="QT43" s="218"/>
      <c r="QU43" s="218"/>
      <c r="QV43" s="218"/>
      <c r="QW43" s="218"/>
      <c r="QX43" s="218"/>
      <c r="QY43" s="218"/>
      <c r="QZ43" s="218"/>
      <c r="RA43" s="218"/>
      <c r="RB43" s="218"/>
      <c r="RC43" s="218"/>
      <c r="RD43" s="218"/>
      <c r="RE43" s="218"/>
      <c r="RF43" s="218"/>
      <c r="RG43" s="218"/>
      <c r="RH43" s="218"/>
      <c r="RI43" s="218"/>
      <c r="RJ43" s="218"/>
      <c r="RK43" s="218"/>
      <c r="RL43" s="218"/>
      <c r="RM43" s="218"/>
      <c r="RN43" s="218"/>
      <c r="RO43" s="218"/>
      <c r="RP43" s="218"/>
      <c r="RQ43" s="218"/>
      <c r="RR43" s="218"/>
      <c r="RS43" s="218"/>
      <c r="RT43" s="218"/>
      <c r="RU43" s="218"/>
      <c r="RV43" s="218"/>
      <c r="RW43" s="218"/>
      <c r="RX43" s="218"/>
      <c r="RY43" s="218"/>
      <c r="RZ43" s="218"/>
      <c r="SA43" s="218"/>
      <c r="SB43" s="218"/>
      <c r="SC43" s="218"/>
      <c r="SD43" s="218"/>
      <c r="SE43" s="218"/>
      <c r="SF43" s="218"/>
      <c r="SG43" s="218"/>
      <c r="SH43" s="218"/>
      <c r="SI43" s="218"/>
      <c r="SJ43" s="218"/>
      <c r="SK43" s="218"/>
      <c r="SL43" s="218"/>
      <c r="SM43" s="218"/>
      <c r="SN43" s="218"/>
      <c r="SO43" s="218"/>
      <c r="SP43" s="218"/>
      <c r="SQ43" s="218"/>
      <c r="SR43" s="218"/>
      <c r="SS43" s="218"/>
      <c r="ST43" s="218"/>
      <c r="SU43" s="218"/>
      <c r="SV43" s="218"/>
      <c r="SW43" s="218"/>
      <c r="SX43" s="218"/>
      <c r="SY43" s="218"/>
      <c r="SZ43" s="218"/>
      <c r="TA43" s="218"/>
      <c r="TB43" s="218"/>
      <c r="TC43" s="218"/>
      <c r="TD43" s="218"/>
      <c r="TE43" s="218"/>
      <c r="TF43" s="218"/>
      <c r="TG43" s="218"/>
      <c r="TH43" s="218"/>
      <c r="TI43" s="218"/>
      <c r="TJ43" s="218"/>
      <c r="TK43" s="218"/>
      <c r="TL43" s="218"/>
      <c r="TM43" s="218"/>
      <c r="TN43" s="218"/>
      <c r="TO43" s="218"/>
      <c r="TP43" s="218"/>
      <c r="TQ43" s="218"/>
      <c r="TR43" s="218"/>
      <c r="TS43" s="218"/>
      <c r="TT43" s="218"/>
      <c r="TU43" s="218"/>
      <c r="TV43" s="218"/>
      <c r="TW43" s="218"/>
      <c r="TX43" s="218"/>
      <c r="TY43" s="218"/>
      <c r="TZ43" s="218"/>
      <c r="UA43" s="218"/>
      <c r="UB43" s="218"/>
      <c r="UC43" s="218"/>
      <c r="UD43" s="218"/>
      <c r="UE43" s="218"/>
      <c r="UF43" s="218"/>
      <c r="UG43" s="218"/>
      <c r="UH43" s="218"/>
      <c r="UI43" s="218"/>
      <c r="UJ43" s="218"/>
      <c r="UK43" s="218"/>
      <c r="UL43" s="218"/>
      <c r="UM43" s="218"/>
      <c r="UN43" s="218"/>
      <c r="UO43" s="218"/>
      <c r="UP43" s="218"/>
      <c r="UQ43" s="218"/>
      <c r="UR43" s="218"/>
      <c r="US43" s="218"/>
      <c r="UT43" s="218"/>
      <c r="UU43" s="218"/>
      <c r="UV43" s="218"/>
      <c r="UW43" s="218"/>
      <c r="UX43" s="218"/>
      <c r="UY43" s="218"/>
      <c r="UZ43" s="218"/>
      <c r="VA43" s="218"/>
      <c r="VB43" s="218"/>
      <c r="VC43" s="218"/>
      <c r="VD43" s="218"/>
      <c r="VE43" s="218"/>
      <c r="VF43" s="218"/>
      <c r="VG43" s="218"/>
      <c r="VH43" s="218"/>
      <c r="VI43" s="218"/>
      <c r="VJ43" s="218"/>
      <c r="VK43" s="218"/>
      <c r="VL43" s="218"/>
      <c r="VM43" s="218"/>
      <c r="VN43" s="218"/>
      <c r="VO43" s="218"/>
      <c r="VP43" s="218"/>
      <c r="VQ43" s="218"/>
      <c r="VR43" s="218"/>
      <c r="VS43" s="218"/>
      <c r="VT43" s="218"/>
      <c r="VU43" s="218"/>
      <c r="VV43" s="218"/>
      <c r="VW43" s="218"/>
      <c r="VX43" s="218"/>
      <c r="VY43" s="218"/>
      <c r="VZ43" s="218"/>
      <c r="WA43" s="218"/>
      <c r="WB43" s="218"/>
      <c r="WC43" s="218"/>
      <c r="WD43" s="218"/>
      <c r="WE43" s="218"/>
      <c r="WF43" s="218"/>
      <c r="WG43" s="218"/>
      <c r="WH43" s="218"/>
      <c r="WI43" s="218"/>
      <c r="WJ43" s="218"/>
      <c r="WK43" s="218"/>
      <c r="WL43" s="218"/>
      <c r="WM43" s="218"/>
      <c r="WN43" s="218"/>
      <c r="WO43" s="218"/>
      <c r="WP43" s="218"/>
      <c r="WQ43" s="218"/>
      <c r="WR43" s="218"/>
      <c r="WS43" s="218"/>
      <c r="WT43" s="218"/>
      <c r="WU43" s="218"/>
      <c r="WV43" s="218"/>
      <c r="WW43" s="218"/>
      <c r="WX43" s="218"/>
      <c r="WY43" s="218"/>
      <c r="WZ43" s="218"/>
      <c r="XA43" s="218"/>
      <c r="XB43" s="218"/>
      <c r="XC43" s="218"/>
      <c r="XD43" s="218"/>
      <c r="XE43" s="218"/>
      <c r="XF43" s="218"/>
      <c r="XG43" s="218"/>
      <c r="XH43" s="218"/>
      <c r="XI43" s="218"/>
      <c r="XJ43" s="218"/>
      <c r="XK43" s="218"/>
      <c r="XL43" s="218"/>
      <c r="XM43" s="218"/>
      <c r="XN43" s="218"/>
      <c r="XO43" s="218"/>
      <c r="XP43" s="218"/>
      <c r="XQ43" s="218"/>
      <c r="XR43" s="218"/>
      <c r="XS43" s="218"/>
      <c r="XT43" s="218"/>
      <c r="XU43" s="218"/>
      <c r="XV43" s="218"/>
      <c r="XW43" s="218"/>
      <c r="XX43" s="218"/>
      <c r="XY43" s="218"/>
      <c r="XZ43" s="218"/>
      <c r="YA43" s="218"/>
      <c r="YB43" s="218"/>
      <c r="YC43" s="218"/>
      <c r="YD43" s="218"/>
      <c r="YE43" s="218"/>
      <c r="YF43" s="218"/>
      <c r="YG43" s="218"/>
      <c r="YH43" s="218"/>
      <c r="YI43" s="218"/>
      <c r="YJ43" s="218"/>
      <c r="YK43" s="218"/>
      <c r="YL43" s="218"/>
      <c r="YM43" s="218"/>
      <c r="YN43" s="218"/>
      <c r="YO43" s="218"/>
      <c r="YP43" s="218"/>
      <c r="YQ43" s="218"/>
      <c r="YR43" s="218"/>
      <c r="YS43" s="218"/>
      <c r="YT43" s="218"/>
      <c r="YU43" s="218"/>
      <c r="YV43" s="218"/>
      <c r="YW43" s="218"/>
      <c r="YX43" s="218"/>
      <c r="YY43" s="218"/>
      <c r="YZ43" s="218"/>
      <c r="ZA43" s="218"/>
      <c r="ZB43" s="218"/>
      <c r="ZC43" s="218"/>
      <c r="ZD43" s="218"/>
      <c r="ZE43" s="218"/>
      <c r="ZF43" s="218"/>
      <c r="ZG43" s="218"/>
      <c r="ZH43" s="218"/>
      <c r="ZI43" s="218"/>
      <c r="ZJ43" s="218"/>
      <c r="ZK43" s="218"/>
      <c r="ZL43" s="218"/>
      <c r="ZM43" s="218"/>
      <c r="ZN43" s="218"/>
      <c r="ZO43" s="218"/>
      <c r="ZP43" s="218"/>
      <c r="ZQ43" s="218"/>
      <c r="ZR43" s="218"/>
      <c r="ZS43" s="218"/>
      <c r="ZT43" s="218"/>
      <c r="ZU43" s="218"/>
      <c r="ZV43" s="218"/>
      <c r="ZW43" s="218"/>
      <c r="ZX43" s="218"/>
      <c r="ZY43" s="218"/>
      <c r="ZZ43" s="218"/>
      <c r="AAA43" s="218"/>
      <c r="AAB43" s="218"/>
      <c r="AAC43" s="218"/>
      <c r="AAD43" s="218"/>
      <c r="AAE43" s="218"/>
      <c r="AAF43" s="218"/>
      <c r="AAG43" s="218"/>
      <c r="AAH43" s="218"/>
      <c r="AAI43" s="218"/>
      <c r="AAJ43" s="218"/>
      <c r="AAK43" s="218"/>
      <c r="AAL43" s="218"/>
      <c r="AAM43" s="218"/>
      <c r="AAN43" s="218"/>
      <c r="AAO43" s="218"/>
      <c r="AAP43" s="218"/>
      <c r="AAQ43" s="218"/>
      <c r="AAR43" s="218"/>
      <c r="AAS43" s="218"/>
      <c r="AAT43" s="218"/>
      <c r="AAU43" s="218"/>
      <c r="AAV43" s="218"/>
      <c r="AAW43" s="218"/>
      <c r="AAX43" s="218"/>
      <c r="AAY43" s="218"/>
      <c r="AAZ43" s="218"/>
      <c r="ABA43" s="218"/>
      <c r="ABB43" s="218"/>
      <c r="ABC43" s="218"/>
      <c r="ABD43" s="218"/>
      <c r="ABE43" s="218"/>
      <c r="ABF43" s="218"/>
      <c r="ABG43" s="218"/>
      <c r="ABH43" s="218"/>
      <c r="ABI43" s="218"/>
      <c r="ABJ43" s="218"/>
      <c r="ABK43" s="218"/>
      <c r="ABL43" s="218"/>
      <c r="ABM43" s="218"/>
      <c r="ABN43" s="218"/>
      <c r="ABO43" s="218"/>
      <c r="ABP43" s="218"/>
      <c r="ABQ43" s="218"/>
      <c r="ABR43" s="218"/>
      <c r="ABS43" s="218"/>
      <c r="ABT43" s="218"/>
      <c r="ABU43" s="218"/>
      <c r="ABV43" s="218"/>
      <c r="ABW43" s="218"/>
      <c r="ABX43" s="218"/>
      <c r="ABY43" s="218"/>
      <c r="ABZ43" s="218"/>
      <c r="ACA43" s="218"/>
      <c r="ACB43" s="218"/>
      <c r="ACC43" s="218"/>
      <c r="ACD43" s="218"/>
      <c r="ACE43" s="218"/>
      <c r="ACF43" s="218"/>
      <c r="ACG43" s="218"/>
      <c r="ACH43" s="218"/>
      <c r="ACI43" s="218"/>
      <c r="ACJ43" s="218"/>
      <c r="ACK43" s="218"/>
      <c r="ACL43" s="218"/>
      <c r="ACM43" s="218"/>
      <c r="ACN43" s="218"/>
      <c r="ACO43" s="218"/>
      <c r="ACP43" s="218"/>
      <c r="ACQ43" s="218"/>
      <c r="ACR43" s="218"/>
      <c r="ACS43" s="218"/>
      <c r="ACT43" s="218"/>
      <c r="ACU43" s="218"/>
      <c r="ACV43" s="218"/>
      <c r="ACW43" s="218"/>
      <c r="ACX43" s="218"/>
      <c r="ACY43" s="218"/>
      <c r="ACZ43" s="218"/>
      <c r="ADA43" s="218"/>
      <c r="ADB43" s="218"/>
      <c r="ADC43" s="218"/>
      <c r="ADD43" s="218"/>
      <c r="ADE43" s="218"/>
      <c r="ADF43" s="218"/>
      <c r="ADG43" s="218"/>
      <c r="ADH43" s="218"/>
      <c r="ADI43" s="218"/>
      <c r="ADJ43" s="218"/>
      <c r="ADK43" s="218"/>
      <c r="ADL43" s="218"/>
      <c r="ADM43" s="218"/>
      <c r="ADN43" s="218"/>
      <c r="ADO43" s="218"/>
      <c r="ADP43" s="218"/>
      <c r="ADQ43" s="218"/>
      <c r="ADR43" s="218"/>
      <c r="ADS43" s="218"/>
      <c r="ADT43" s="218"/>
      <c r="ADU43" s="218"/>
      <c r="ADV43" s="218"/>
      <c r="ADW43" s="218"/>
      <c r="ADX43" s="218"/>
      <c r="ADY43" s="218"/>
      <c r="ADZ43" s="218"/>
      <c r="AEA43" s="218"/>
      <c r="AEB43" s="218"/>
      <c r="AEC43" s="218"/>
      <c r="AED43" s="218"/>
      <c r="AEE43" s="218"/>
      <c r="AEF43" s="218"/>
      <c r="AEG43" s="218"/>
      <c r="AEH43" s="218"/>
      <c r="AEI43" s="218"/>
      <c r="AEJ43" s="218"/>
      <c r="AEK43" s="218"/>
      <c r="AEL43" s="218"/>
      <c r="AEM43" s="218"/>
      <c r="AEN43" s="218"/>
      <c r="AEO43" s="218"/>
      <c r="AEP43" s="218"/>
      <c r="AEQ43" s="218"/>
      <c r="AER43" s="218"/>
      <c r="AES43" s="218"/>
      <c r="AET43" s="218"/>
      <c r="AEU43" s="218"/>
      <c r="AEV43" s="218"/>
      <c r="AEW43" s="218"/>
      <c r="AEX43" s="218"/>
      <c r="AEY43" s="218"/>
      <c r="AEZ43" s="218"/>
      <c r="AFA43" s="218"/>
      <c r="AFB43" s="218"/>
      <c r="AFC43" s="218"/>
      <c r="AFD43" s="218"/>
      <c r="AFE43" s="218"/>
      <c r="AFF43" s="218"/>
      <c r="AFG43" s="218"/>
      <c r="AFH43" s="218"/>
      <c r="AFI43" s="218"/>
      <c r="AFJ43" s="218"/>
      <c r="AFK43" s="218"/>
      <c r="AFL43" s="218"/>
      <c r="AFM43" s="218"/>
      <c r="AFN43" s="218"/>
      <c r="AFO43" s="218"/>
      <c r="AFP43" s="218"/>
      <c r="AFQ43" s="218"/>
      <c r="AFR43" s="218"/>
      <c r="AFS43" s="218"/>
      <c r="AFT43" s="218"/>
      <c r="AFU43" s="218"/>
      <c r="AFV43" s="218"/>
      <c r="AFW43" s="218"/>
      <c r="AFX43" s="218"/>
      <c r="AFY43" s="218"/>
      <c r="AFZ43" s="218"/>
      <c r="AGA43" s="218"/>
      <c r="AGB43" s="218"/>
      <c r="AGC43" s="218"/>
      <c r="AGD43" s="218"/>
      <c r="AGE43" s="218"/>
      <c r="AGF43" s="218"/>
      <c r="AGG43" s="218"/>
      <c r="AGH43" s="218"/>
      <c r="AGI43" s="218"/>
      <c r="AGJ43" s="218"/>
      <c r="AGK43" s="218"/>
      <c r="AGL43" s="218"/>
      <c r="AGM43" s="218"/>
      <c r="AGN43" s="218"/>
      <c r="AGO43" s="218"/>
      <c r="AGP43" s="218"/>
      <c r="AGQ43" s="218"/>
      <c r="AGR43" s="218"/>
      <c r="AGS43" s="218"/>
      <c r="AGT43" s="218"/>
      <c r="AGU43" s="218"/>
      <c r="AGV43" s="218"/>
      <c r="AGW43" s="218"/>
      <c r="AGX43" s="218"/>
      <c r="AGY43" s="218"/>
      <c r="AGZ43" s="218"/>
      <c r="AHA43" s="218"/>
      <c r="AHB43" s="218"/>
      <c r="AHC43" s="218"/>
      <c r="AHD43" s="218"/>
      <c r="AHE43" s="218"/>
      <c r="AHF43" s="218"/>
      <c r="AHG43" s="218"/>
      <c r="AHH43" s="218"/>
      <c r="AHI43" s="218"/>
      <c r="AHJ43" s="218"/>
      <c r="AHK43" s="218"/>
      <c r="AHL43" s="218"/>
      <c r="AHM43" s="218"/>
      <c r="AHN43" s="218"/>
      <c r="AHO43" s="218"/>
      <c r="AHP43" s="218"/>
      <c r="AHQ43" s="218"/>
      <c r="AHR43" s="218"/>
      <c r="AHS43" s="218"/>
      <c r="AHT43" s="218"/>
      <c r="AHU43" s="218"/>
      <c r="AHV43" s="218"/>
      <c r="AHW43" s="218"/>
      <c r="AHX43" s="218"/>
      <c r="AHY43" s="218"/>
      <c r="AHZ43" s="218"/>
      <c r="AIA43" s="218"/>
      <c r="AIB43" s="218"/>
      <c r="AIC43" s="218"/>
      <c r="AID43" s="218"/>
      <c r="AIE43" s="218"/>
      <c r="AIF43" s="218"/>
      <c r="AIG43" s="218"/>
      <c r="AIH43" s="218"/>
      <c r="AII43" s="218"/>
      <c r="AIJ43" s="218"/>
      <c r="AIK43" s="218"/>
      <c r="AIL43" s="218"/>
      <c r="AIM43" s="218"/>
      <c r="AIN43" s="218"/>
      <c r="AIO43" s="218"/>
      <c r="AIP43" s="218"/>
      <c r="AIQ43" s="218"/>
      <c r="AIR43" s="218"/>
      <c r="AIS43" s="218"/>
      <c r="AIT43" s="218"/>
      <c r="AIU43" s="218"/>
      <c r="AIV43" s="218"/>
      <c r="AIW43" s="218"/>
      <c r="AIX43" s="218"/>
      <c r="AIY43" s="218"/>
      <c r="AIZ43" s="218"/>
      <c r="AJA43" s="218"/>
      <c r="AJB43" s="218"/>
      <c r="AJC43" s="218"/>
      <c r="AJD43" s="218"/>
      <c r="AJE43" s="218"/>
      <c r="AJF43" s="218"/>
      <c r="AJG43" s="218"/>
      <c r="AJH43" s="218"/>
      <c r="AJI43" s="218"/>
      <c r="AJJ43" s="218"/>
      <c r="AJK43" s="218"/>
      <c r="AJL43" s="218"/>
      <c r="AJM43" s="218"/>
      <c r="AJN43" s="218"/>
      <c r="AJO43" s="218"/>
      <c r="AJP43" s="218"/>
      <c r="AJQ43" s="218"/>
      <c r="AJR43" s="218"/>
      <c r="AJS43" s="218"/>
      <c r="AJT43" s="218"/>
      <c r="AJU43" s="218"/>
      <c r="AJV43" s="218"/>
      <c r="AJW43" s="218"/>
      <c r="AJX43" s="218"/>
      <c r="AJY43" s="218"/>
      <c r="AJZ43" s="218"/>
      <c r="AKA43" s="218"/>
      <c r="AKB43" s="218"/>
      <c r="AKC43" s="218"/>
      <c r="AKD43" s="218"/>
      <c r="AKE43" s="218"/>
      <c r="AKF43" s="218"/>
      <c r="AKG43" s="218"/>
      <c r="AKH43" s="218"/>
      <c r="AKI43" s="218"/>
      <c r="AKJ43" s="218"/>
      <c r="AKK43" s="218"/>
      <c r="AKL43" s="218"/>
      <c r="AKM43" s="218"/>
      <c r="AKN43" s="218"/>
      <c r="AKO43" s="218"/>
      <c r="AKP43" s="218"/>
      <c r="AKQ43" s="218"/>
      <c r="AKR43" s="218"/>
      <c r="AKS43" s="218"/>
      <c r="AKT43" s="218"/>
      <c r="AKU43" s="218"/>
      <c r="AKV43" s="218"/>
      <c r="AKW43" s="218"/>
      <c r="AKX43" s="218"/>
      <c r="AKY43" s="218"/>
      <c r="AKZ43" s="218"/>
      <c r="ALA43" s="218"/>
      <c r="ALB43" s="218"/>
      <c r="ALC43" s="218"/>
      <c r="ALD43" s="218"/>
      <c r="ALE43" s="218"/>
      <c r="ALF43" s="218"/>
      <c r="ALG43" s="218"/>
      <c r="ALH43" s="218"/>
      <c r="ALI43" s="218"/>
      <c r="ALJ43" s="218"/>
      <c r="ALK43" s="218"/>
      <c r="ALL43" s="218"/>
      <c r="ALM43" s="218"/>
      <c r="ALN43" s="218"/>
      <c r="ALO43" s="218"/>
      <c r="ALP43" s="218"/>
      <c r="ALQ43" s="218"/>
      <c r="ALR43" s="218"/>
      <c r="ALS43" s="218"/>
      <c r="ALT43" s="218"/>
      <c r="ALU43" s="218"/>
      <c r="ALV43" s="218"/>
      <c r="ALW43" s="218"/>
      <c r="ALX43" s="218"/>
      <c r="ALY43" s="218"/>
      <c r="ALZ43" s="218"/>
      <c r="AMA43" s="218"/>
      <c r="AMB43" s="218"/>
      <c r="AMC43" s="218"/>
      <c r="AMD43" s="218"/>
      <c r="AME43" s="218"/>
      <c r="AMF43" s="218"/>
      <c r="AMG43" s="218"/>
      <c r="AMH43" s="218"/>
      <c r="AMI43" s="218"/>
      <c r="AMJ43" s="218"/>
      <c r="AMK43" s="218"/>
      <c r="AML43" s="218"/>
      <c r="AMM43" s="218"/>
      <c r="AMN43" s="218"/>
      <c r="AMO43" s="218"/>
      <c r="AMP43" s="218"/>
      <c r="AMQ43" s="218"/>
      <c r="AMR43" s="218"/>
      <c r="AMS43" s="218"/>
      <c r="AMT43" s="218"/>
      <c r="AMU43" s="218"/>
      <c r="AMV43" s="218"/>
      <c r="AMW43" s="218"/>
      <c r="AMX43" s="218"/>
      <c r="AMY43" s="218"/>
      <c r="AMZ43" s="218"/>
      <c r="ANA43" s="218"/>
      <c r="ANB43" s="218"/>
      <c r="ANC43" s="218"/>
      <c r="AND43" s="218"/>
      <c r="ANE43" s="218"/>
      <c r="ANF43" s="218"/>
      <c r="ANG43" s="218"/>
      <c r="ANH43" s="218"/>
      <c r="ANI43" s="218"/>
      <c r="ANJ43" s="218"/>
      <c r="ANK43" s="218"/>
      <c r="ANL43" s="218"/>
      <c r="ANM43" s="218"/>
      <c r="ANN43" s="218"/>
      <c r="ANO43" s="218"/>
      <c r="ANP43" s="218"/>
      <c r="ANQ43" s="218"/>
      <c r="ANR43" s="218"/>
      <c r="ANS43" s="218"/>
      <c r="ANT43" s="218"/>
      <c r="ANU43" s="218"/>
      <c r="ANV43" s="218"/>
      <c r="ANW43" s="218"/>
      <c r="ANX43" s="218"/>
      <c r="ANY43" s="218"/>
      <c r="ANZ43" s="218"/>
      <c r="AOA43" s="218"/>
      <c r="AOB43" s="218"/>
      <c r="AOC43" s="218"/>
      <c r="AOD43" s="218"/>
      <c r="AOE43" s="218"/>
      <c r="AOF43" s="218"/>
      <c r="AOG43" s="218"/>
      <c r="AOH43" s="218"/>
      <c r="AOI43" s="218"/>
      <c r="AOJ43" s="218"/>
      <c r="AOK43" s="218"/>
      <c r="AOL43" s="218"/>
      <c r="AOM43" s="218"/>
      <c r="AON43" s="218"/>
      <c r="AOO43" s="218"/>
      <c r="AOP43" s="218"/>
      <c r="AOQ43" s="218"/>
      <c r="AOR43" s="218"/>
      <c r="AOS43" s="218"/>
      <c r="AOT43" s="218"/>
      <c r="AOU43" s="218"/>
      <c r="AOV43" s="218"/>
      <c r="AOW43" s="218"/>
      <c r="AOX43" s="218"/>
      <c r="AOY43" s="218"/>
      <c r="AOZ43" s="218"/>
      <c r="APA43" s="218"/>
      <c r="APB43" s="218"/>
      <c r="APC43" s="218"/>
      <c r="APD43" s="218"/>
      <c r="APE43" s="218"/>
      <c r="APF43" s="218"/>
      <c r="APG43" s="218"/>
      <c r="APH43" s="218"/>
      <c r="API43" s="218"/>
      <c r="APJ43" s="218"/>
      <c r="APK43" s="218"/>
      <c r="APL43" s="218"/>
      <c r="APM43" s="218"/>
      <c r="APN43" s="218"/>
      <c r="APO43" s="218"/>
      <c r="APP43" s="218"/>
      <c r="APQ43" s="218"/>
      <c r="APR43" s="218"/>
      <c r="APS43" s="218"/>
      <c r="APT43" s="218"/>
      <c r="APU43" s="218"/>
      <c r="APV43" s="218"/>
      <c r="APW43" s="218"/>
      <c r="APX43" s="218"/>
      <c r="APY43" s="218"/>
      <c r="APZ43" s="218"/>
      <c r="AQA43" s="218"/>
      <c r="AQB43" s="218"/>
      <c r="AQC43" s="218"/>
      <c r="AQD43" s="218"/>
      <c r="AQE43" s="218"/>
      <c r="AQF43" s="218"/>
      <c r="AQG43" s="218"/>
      <c r="AQH43" s="218"/>
      <c r="AQI43" s="218"/>
      <c r="AQJ43" s="218"/>
      <c r="AQK43" s="218"/>
      <c r="AQL43" s="218"/>
      <c r="AQM43" s="218"/>
      <c r="AQN43" s="218"/>
      <c r="AQO43" s="218"/>
      <c r="AQP43" s="218"/>
      <c r="AQQ43" s="218"/>
      <c r="AQR43" s="218"/>
      <c r="AQS43" s="218"/>
      <c r="AQT43" s="218"/>
      <c r="AQU43" s="218"/>
      <c r="AQV43" s="218"/>
      <c r="AQW43" s="218"/>
      <c r="AQX43" s="218"/>
      <c r="AQY43" s="218"/>
      <c r="AQZ43" s="218"/>
      <c r="ARA43" s="218"/>
      <c r="ARB43" s="218"/>
      <c r="ARC43" s="218"/>
      <c r="ARD43" s="218"/>
      <c r="ARE43" s="218"/>
      <c r="ARF43" s="218"/>
      <c r="ARG43" s="218"/>
      <c r="ARH43" s="218"/>
      <c r="ARI43" s="218"/>
      <c r="ARJ43" s="218"/>
      <c r="ARK43" s="218"/>
      <c r="ARL43" s="218"/>
      <c r="ARM43" s="218"/>
      <c r="ARN43" s="218"/>
      <c r="ARO43" s="218"/>
      <c r="ARP43" s="218"/>
      <c r="ARQ43" s="218"/>
      <c r="ARR43" s="218"/>
      <c r="ARS43" s="218"/>
      <c r="ART43" s="218"/>
      <c r="ARU43" s="218"/>
      <c r="ARV43" s="218"/>
      <c r="ARW43" s="218"/>
      <c r="ARX43" s="218"/>
      <c r="ARY43" s="218"/>
      <c r="ARZ43" s="218"/>
      <c r="ASA43" s="218"/>
      <c r="ASB43" s="218"/>
      <c r="ASC43" s="218"/>
      <c r="ASD43" s="218"/>
      <c r="ASE43" s="218"/>
      <c r="ASF43" s="218"/>
      <c r="ASG43" s="218"/>
      <c r="ASH43" s="218"/>
      <c r="ASI43" s="218"/>
      <c r="ASJ43" s="218"/>
      <c r="ASK43" s="218"/>
      <c r="ASL43" s="218"/>
      <c r="ASM43" s="218"/>
      <c r="ASN43" s="218"/>
      <c r="ASO43" s="218"/>
      <c r="ASP43" s="218"/>
      <c r="ASQ43" s="218"/>
      <c r="ASR43" s="218"/>
      <c r="ASS43" s="218"/>
      <c r="AST43" s="218"/>
      <c r="ASU43" s="218"/>
      <c r="ASV43" s="218"/>
      <c r="ASW43" s="218"/>
      <c r="ASX43" s="218"/>
      <c r="ASY43" s="218"/>
      <c r="ASZ43" s="218"/>
      <c r="ATA43" s="218"/>
      <c r="ATB43" s="218"/>
      <c r="ATC43" s="218"/>
      <c r="ATD43" s="218"/>
      <c r="ATE43" s="218"/>
      <c r="ATF43" s="218"/>
      <c r="ATG43" s="218"/>
      <c r="ATH43" s="218"/>
      <c r="ATI43" s="218"/>
      <c r="ATJ43" s="218"/>
      <c r="ATK43" s="218"/>
      <c r="ATL43" s="218"/>
      <c r="ATM43" s="218"/>
      <c r="ATN43" s="218"/>
      <c r="ATO43" s="218"/>
      <c r="ATP43" s="218"/>
      <c r="ATQ43" s="218"/>
      <c r="ATR43" s="218"/>
      <c r="ATS43" s="218"/>
      <c r="ATT43" s="218"/>
      <c r="ATU43" s="218"/>
      <c r="ATV43" s="218"/>
      <c r="ATW43" s="218"/>
      <c r="ATX43" s="218"/>
      <c r="ATY43" s="218"/>
      <c r="ATZ43" s="218"/>
      <c r="AUA43" s="218"/>
      <c r="AUB43" s="218"/>
      <c r="AUC43" s="218"/>
      <c r="AUD43" s="218"/>
      <c r="AUE43" s="218"/>
      <c r="AUF43" s="218"/>
      <c r="AUG43" s="218"/>
      <c r="AUH43" s="218"/>
      <c r="AUI43" s="218"/>
      <c r="AUJ43" s="218"/>
      <c r="AUK43" s="218"/>
      <c r="AUL43" s="218"/>
      <c r="AUM43" s="218"/>
      <c r="AUN43" s="218"/>
      <c r="AUO43" s="218"/>
      <c r="AUP43" s="218"/>
      <c r="AUQ43" s="218"/>
      <c r="AUR43" s="218"/>
      <c r="AUS43" s="218"/>
      <c r="AUT43" s="218"/>
      <c r="AUU43" s="218"/>
      <c r="AUV43" s="218"/>
      <c r="AUW43" s="218"/>
      <c r="AUX43" s="218"/>
      <c r="AUY43" s="218"/>
      <c r="AUZ43" s="218"/>
      <c r="AVA43" s="218"/>
      <c r="AVB43" s="218"/>
      <c r="AVC43" s="218"/>
      <c r="AVD43" s="218"/>
      <c r="AVE43" s="218"/>
      <c r="AVF43" s="218"/>
      <c r="AVG43" s="218"/>
      <c r="AVH43" s="218"/>
      <c r="AVI43" s="218"/>
      <c r="AVJ43" s="218"/>
      <c r="AVK43" s="218"/>
      <c r="AVL43" s="218"/>
      <c r="AVM43" s="218"/>
      <c r="AVN43" s="218"/>
      <c r="AVO43" s="218"/>
      <c r="AVP43" s="218"/>
      <c r="AVQ43" s="218"/>
      <c r="AVR43" s="218"/>
      <c r="AVS43" s="218"/>
      <c r="AVT43" s="218"/>
      <c r="AVU43" s="218"/>
      <c r="AVV43" s="218"/>
      <c r="AVW43" s="218"/>
      <c r="AVX43" s="218"/>
      <c r="AVY43" s="218"/>
      <c r="AVZ43" s="218"/>
      <c r="AWA43" s="218"/>
      <c r="AWB43" s="218"/>
      <c r="AWC43" s="218"/>
      <c r="AWD43" s="218"/>
      <c r="AWE43" s="218"/>
      <c r="AWF43" s="218"/>
      <c r="AWG43" s="218"/>
      <c r="AWH43" s="218"/>
      <c r="AWI43" s="218"/>
      <c r="AWJ43" s="218"/>
      <c r="AWK43" s="218"/>
      <c r="AWL43" s="218"/>
      <c r="AWM43" s="218"/>
      <c r="AWN43" s="218"/>
      <c r="AWO43" s="218"/>
      <c r="AWP43" s="218"/>
      <c r="AWQ43" s="218"/>
      <c r="AWR43" s="218"/>
      <c r="AWS43" s="218"/>
      <c r="AWT43" s="218"/>
      <c r="AWU43" s="218"/>
      <c r="AWV43" s="218"/>
      <c r="AWW43" s="218"/>
      <c r="AWX43" s="218"/>
      <c r="AWY43" s="218"/>
      <c r="AWZ43" s="218"/>
      <c r="AXA43" s="218"/>
      <c r="AXB43" s="218"/>
      <c r="AXC43" s="218"/>
      <c r="AXD43" s="218"/>
      <c r="AXE43" s="218"/>
      <c r="AXF43" s="218"/>
      <c r="AXG43" s="218"/>
      <c r="AXH43" s="218"/>
      <c r="AXI43" s="218"/>
      <c r="AXJ43" s="218"/>
      <c r="AXK43" s="218"/>
      <c r="AXL43" s="218"/>
      <c r="AXM43" s="218"/>
      <c r="AXN43" s="218"/>
      <c r="AXO43" s="218"/>
      <c r="AXP43" s="218"/>
      <c r="AXQ43" s="218"/>
      <c r="AXR43" s="218"/>
      <c r="AXS43" s="218"/>
      <c r="AXT43" s="218"/>
      <c r="AXU43" s="218"/>
      <c r="AXV43" s="218"/>
      <c r="AXW43" s="218"/>
      <c r="AXX43" s="218"/>
      <c r="AXY43" s="218"/>
      <c r="AXZ43" s="218"/>
      <c r="AYA43" s="218"/>
      <c r="AYB43" s="218"/>
      <c r="AYC43" s="218"/>
      <c r="AYD43" s="218"/>
      <c r="AYE43" s="218"/>
      <c r="AYF43" s="218"/>
      <c r="AYG43" s="218"/>
      <c r="AYH43" s="218"/>
      <c r="AYI43" s="218"/>
      <c r="AYJ43" s="218"/>
      <c r="AYK43" s="218"/>
      <c r="AYL43" s="218"/>
      <c r="AYM43" s="218"/>
      <c r="AYN43" s="218"/>
      <c r="AYO43" s="218"/>
      <c r="AYP43" s="218"/>
      <c r="AYQ43" s="218"/>
      <c r="AYR43" s="218"/>
      <c r="AYS43" s="218"/>
      <c r="AYT43" s="218"/>
      <c r="AYU43" s="218"/>
      <c r="AYV43" s="218"/>
      <c r="AYW43" s="218"/>
      <c r="AYX43" s="218"/>
      <c r="AYY43" s="218"/>
      <c r="AYZ43" s="218"/>
      <c r="AZA43" s="218"/>
      <c r="AZB43" s="218"/>
      <c r="AZC43" s="218"/>
      <c r="AZD43" s="218"/>
      <c r="AZE43" s="218"/>
      <c r="AZF43" s="218"/>
      <c r="AZG43" s="218"/>
      <c r="AZH43" s="218"/>
      <c r="AZI43" s="218"/>
      <c r="AZJ43" s="218"/>
      <c r="AZK43" s="218"/>
      <c r="AZL43" s="218"/>
      <c r="AZM43" s="218"/>
      <c r="AZN43" s="218"/>
      <c r="AZO43" s="218"/>
      <c r="AZP43" s="218"/>
      <c r="AZQ43" s="218"/>
      <c r="AZR43" s="218"/>
      <c r="AZS43" s="218"/>
      <c r="AZT43" s="218"/>
      <c r="AZU43" s="218"/>
      <c r="AZV43" s="218"/>
      <c r="AZW43" s="218"/>
      <c r="AZX43" s="218"/>
      <c r="AZY43" s="218"/>
      <c r="AZZ43" s="218"/>
      <c r="BAA43" s="218"/>
      <c r="BAB43" s="218"/>
      <c r="BAC43" s="218"/>
      <c r="BAD43" s="218"/>
      <c r="BAE43" s="218"/>
      <c r="BAF43" s="218"/>
      <c r="BAG43" s="218"/>
      <c r="BAH43" s="218"/>
      <c r="BAI43" s="218"/>
      <c r="BAJ43" s="218"/>
      <c r="BAK43" s="218"/>
      <c r="BAL43" s="218"/>
      <c r="BAM43" s="218"/>
      <c r="BAN43" s="218"/>
      <c r="BAO43" s="218"/>
      <c r="BAP43" s="218"/>
      <c r="BAQ43" s="218"/>
      <c r="BAR43" s="218"/>
      <c r="BAS43" s="218"/>
      <c r="BAT43" s="218"/>
      <c r="BAU43" s="218"/>
      <c r="BAV43" s="218"/>
      <c r="BAW43" s="218"/>
      <c r="BAX43" s="218"/>
      <c r="BAY43" s="218"/>
      <c r="BAZ43" s="218"/>
      <c r="BBA43" s="218"/>
      <c r="BBB43" s="218"/>
      <c r="BBC43" s="218"/>
      <c r="BBD43" s="218"/>
      <c r="BBE43" s="218"/>
      <c r="BBF43" s="218"/>
      <c r="BBG43" s="218"/>
      <c r="BBH43" s="218"/>
      <c r="BBI43" s="218"/>
      <c r="BBJ43" s="218"/>
      <c r="BBK43" s="218"/>
      <c r="BBL43" s="218"/>
      <c r="BBM43" s="218"/>
      <c r="BBN43" s="218"/>
      <c r="BBO43" s="218"/>
      <c r="BBP43" s="218"/>
      <c r="BBQ43" s="218"/>
      <c r="BBR43" s="218"/>
      <c r="BBS43" s="218"/>
      <c r="BBT43" s="218"/>
      <c r="BBU43" s="218"/>
      <c r="BBV43" s="218"/>
      <c r="BBW43" s="218"/>
      <c r="BBX43" s="218"/>
      <c r="BBY43" s="218"/>
      <c r="BBZ43" s="218"/>
      <c r="BCA43" s="218"/>
      <c r="BCB43" s="218"/>
      <c r="BCC43" s="218"/>
      <c r="BCD43" s="218"/>
      <c r="BCE43" s="218"/>
      <c r="BCF43" s="218"/>
      <c r="BCG43" s="218"/>
      <c r="BCH43" s="218"/>
      <c r="BCI43" s="218"/>
      <c r="BCJ43" s="218"/>
      <c r="BCK43" s="218"/>
      <c r="BCL43" s="218"/>
      <c r="BCM43" s="218"/>
      <c r="BCN43" s="218"/>
      <c r="BCO43" s="218"/>
      <c r="BCP43" s="218"/>
      <c r="BCQ43" s="218"/>
      <c r="BCR43" s="218"/>
      <c r="BCS43" s="218"/>
      <c r="BCT43" s="218"/>
      <c r="BCU43" s="218"/>
      <c r="BCV43" s="218"/>
      <c r="BCW43" s="218"/>
      <c r="BCX43" s="218"/>
      <c r="BCY43" s="218"/>
      <c r="BCZ43" s="218"/>
      <c r="BDA43" s="218"/>
      <c r="BDB43" s="218"/>
      <c r="BDC43" s="218"/>
      <c r="BDD43" s="218"/>
      <c r="BDE43" s="218"/>
      <c r="BDF43" s="218"/>
      <c r="BDG43" s="218"/>
      <c r="BDH43" s="218"/>
      <c r="BDI43" s="218"/>
      <c r="BDJ43" s="218"/>
      <c r="BDK43" s="218"/>
      <c r="BDL43" s="218"/>
      <c r="BDM43" s="218"/>
      <c r="BDN43" s="218"/>
      <c r="BDO43" s="218"/>
      <c r="BDP43" s="218"/>
      <c r="BDQ43" s="218"/>
      <c r="BDR43" s="218"/>
      <c r="BDS43" s="218"/>
      <c r="BDT43" s="218"/>
      <c r="BDU43" s="218"/>
      <c r="BDV43" s="218"/>
      <c r="BDW43" s="218"/>
      <c r="BDX43" s="218"/>
      <c r="BDY43" s="218"/>
      <c r="BDZ43" s="218"/>
      <c r="BEA43" s="218"/>
      <c r="BEB43" s="218"/>
      <c r="BEC43" s="218"/>
      <c r="BED43" s="218"/>
      <c r="BEE43" s="218"/>
      <c r="BEF43" s="218"/>
      <c r="BEG43" s="218"/>
      <c r="BEH43" s="218"/>
      <c r="BEI43" s="218"/>
      <c r="BEJ43" s="218"/>
      <c r="BEK43" s="218"/>
      <c r="BEL43" s="218"/>
      <c r="BEM43" s="218"/>
      <c r="BEN43" s="218"/>
      <c r="BEO43" s="218"/>
      <c r="BEP43" s="218"/>
      <c r="BEQ43" s="218"/>
      <c r="BER43" s="218"/>
      <c r="BES43" s="218"/>
      <c r="BET43" s="218"/>
      <c r="BEU43" s="218"/>
      <c r="BEV43" s="218"/>
      <c r="BEW43" s="218"/>
      <c r="BEX43" s="218"/>
      <c r="BEY43" s="218"/>
      <c r="BEZ43" s="218"/>
      <c r="BFA43" s="218"/>
      <c r="BFB43" s="218"/>
      <c r="BFC43" s="218"/>
      <c r="BFD43" s="218"/>
      <c r="BFE43" s="218"/>
      <c r="BFF43" s="218"/>
      <c r="BFG43" s="218"/>
      <c r="BFH43" s="218"/>
      <c r="BFI43" s="218"/>
      <c r="BFJ43" s="218"/>
      <c r="BFK43" s="218"/>
      <c r="BFL43" s="218"/>
      <c r="BFM43" s="218"/>
      <c r="BFN43" s="218"/>
      <c r="BFO43" s="218"/>
      <c r="BFP43" s="218"/>
      <c r="BFQ43" s="218"/>
      <c r="BFR43" s="218"/>
      <c r="BFS43" s="218"/>
      <c r="BFT43" s="218"/>
      <c r="BFU43" s="218"/>
      <c r="BFV43" s="218"/>
      <c r="BFW43" s="218"/>
      <c r="BFX43" s="218"/>
      <c r="BFY43" s="218"/>
      <c r="BFZ43" s="218"/>
      <c r="BGA43" s="218"/>
      <c r="BGB43" s="218"/>
      <c r="BGC43" s="218"/>
      <c r="BGD43" s="218"/>
      <c r="BGE43" s="218"/>
      <c r="BGF43" s="218"/>
      <c r="BGG43" s="218"/>
      <c r="BGH43" s="218"/>
      <c r="BGI43" s="218"/>
      <c r="BGJ43" s="218"/>
      <c r="BGK43" s="218"/>
      <c r="BGL43" s="218"/>
      <c r="BGM43" s="218"/>
      <c r="BGN43" s="218"/>
      <c r="BGO43" s="218"/>
      <c r="BGP43" s="218"/>
      <c r="BGQ43" s="218"/>
      <c r="BGR43" s="218"/>
      <c r="BGS43" s="218"/>
      <c r="BGT43" s="218"/>
      <c r="BGU43" s="218"/>
      <c r="BGV43" s="218"/>
      <c r="BGW43" s="218"/>
      <c r="BGX43" s="218"/>
      <c r="BGY43" s="218"/>
      <c r="BGZ43" s="218"/>
      <c r="BHA43" s="218"/>
      <c r="BHB43" s="218"/>
      <c r="BHC43" s="218"/>
      <c r="BHD43" s="218"/>
      <c r="BHE43" s="218"/>
      <c r="BHF43" s="218"/>
      <c r="BHG43" s="218"/>
      <c r="BHH43" s="218"/>
      <c r="BHI43" s="218"/>
      <c r="BHJ43" s="218"/>
      <c r="BHK43" s="218"/>
      <c r="BHL43" s="218"/>
      <c r="BHM43" s="218"/>
      <c r="BHN43" s="218"/>
      <c r="BHO43" s="218"/>
      <c r="BHP43" s="218"/>
      <c r="BHQ43" s="218"/>
      <c r="BHR43" s="218"/>
      <c r="BHS43" s="218"/>
      <c r="BHT43" s="218"/>
      <c r="BHU43" s="218"/>
      <c r="BHV43" s="218"/>
      <c r="BHW43" s="218"/>
    </row>
    <row r="44" spans="1:1583" s="220" customFormat="1">
      <c r="A44" s="110" t="s">
        <v>52</v>
      </c>
      <c r="B44" s="186" t="s">
        <v>365</v>
      </c>
      <c r="C44" s="416" t="s">
        <v>486</v>
      </c>
      <c r="D44" s="418" t="s">
        <v>486</v>
      </c>
      <c r="E44" s="68" t="s">
        <v>9</v>
      </c>
      <c r="F44" s="138">
        <v>80</v>
      </c>
      <c r="G44" s="60" t="s">
        <v>698</v>
      </c>
      <c r="H44" s="473">
        <f t="shared" si="15"/>
        <v>1280.6425186152862</v>
      </c>
      <c r="I44" s="103">
        <f>VLOOKUP($B44,'DCS Data'!$E$2:$AJ$100,MATCH('Daily Report'!I$1,'DCS Data'!$E$2:$AJ$2,0),0)</f>
        <v>24.477500712409096</v>
      </c>
      <c r="J44" s="255"/>
      <c r="K44" s="103">
        <f>VLOOKUP($B44,'DCS Data'!$E$2:$AJ$100,MATCH('Daily Report'!K$1,'DCS Data'!$E$2:$AJ$2,0),0)</f>
        <v>33.983244025790931</v>
      </c>
      <c r="L44" s="103">
        <f>VLOOKUP($B44,'DCS Data'!$E$2:$AJ$100,MATCH('Daily Report'!L$1,'DCS Data'!$E$2:$AJ$2,0),0)</f>
        <v>36.107213465439159</v>
      </c>
      <c r="M44" s="103">
        <f>VLOOKUP($B44,'DCS Data'!$E$2:$AJ$100,MATCH('Daily Report'!M$1,'DCS Data'!$E$2:$AJ$2,0),0)</f>
        <v>37.164720676097446</v>
      </c>
      <c r="N44" s="103">
        <f>VLOOKUP($B44,'DCS Data'!$E$2:$AJ$100,MATCH('Daily Report'!N$1,'DCS Data'!$E$2:$AJ$2,0),0)</f>
        <v>37.631566841153884</v>
      </c>
      <c r="O44" s="103">
        <f>VLOOKUP($B44,'DCS Data'!$E$2:$AJ$100,MATCH('Daily Report'!O$1,'DCS Data'!$E$2:$AJ$2,0),0)</f>
        <v>40.74553110011184</v>
      </c>
      <c r="P44" s="103">
        <f>VLOOKUP($B44,'DCS Data'!$E$2:$AJ$100,MATCH('Daily Report'!P$1,'DCS Data'!$E$2:$AJ$2,0),0)</f>
        <v>40.316619684153096</v>
      </c>
      <c r="Q44" s="103">
        <f>VLOOKUP($B44,'DCS Data'!$E$2:$AJ$100,MATCH('Daily Report'!Q$1,'DCS Data'!$E$2:$AJ$2,0),0)</f>
        <v>37.142195455269331</v>
      </c>
      <c r="R44" s="103">
        <f>VLOOKUP($B44,'DCS Data'!$E$2:$AJ$100,MATCH('Daily Report'!R$1,'DCS Data'!$E$2:$AJ$2,0),0)</f>
        <v>32.496637041030731</v>
      </c>
      <c r="S44" s="103">
        <f>VLOOKUP($B44,'DCS Data'!$E$2:$AJ$100,MATCH('Daily Report'!S$1,'DCS Data'!$E$2:$AJ$2,0),0)</f>
        <v>32.236323096829331</v>
      </c>
      <c r="T44" s="103">
        <f>VLOOKUP($B44,'DCS Data'!$E$2:$AJ$100,MATCH('Daily Report'!T$1,'DCS Data'!$E$2:$AJ$2,0),0)</f>
        <v>29.35778860005848</v>
      </c>
      <c r="U44" s="103">
        <f>VLOOKUP($B44,'DCS Data'!$E$2:$AJ$100,MATCH('Daily Report'!U$1,'DCS Data'!$E$2:$AJ$2,0),0)</f>
        <v>28.09409555449496</v>
      </c>
      <c r="V44" s="103">
        <f>VLOOKUP($B44,'DCS Data'!$E$2:$AJ$100,MATCH('Daily Report'!V$1,'DCS Data'!$E$2:$AJ$2,0),0)</f>
        <v>26.632762818652065</v>
      </c>
      <c r="W44" s="103">
        <f>VLOOKUP($B44,'DCS Data'!$E$2:$AJ$100,MATCH('Daily Report'!W$1,'DCS Data'!$E$2:$AJ$2,0),0)</f>
        <v>29.980252355513446</v>
      </c>
      <c r="X44" s="103">
        <f>VLOOKUP($B44,'DCS Data'!$E$2:$AJ$100,MATCH('Daily Report'!X$1,'DCS Data'!$E$2:$AJ$2,0),0)</f>
        <v>24.741270691848271</v>
      </c>
      <c r="Y44" s="103">
        <f>VLOOKUP($B44,'DCS Data'!$E$2:$AJ$100,MATCH('Daily Report'!Y$1,'DCS Data'!$E$2:$AJ$2,0),0)</f>
        <v>32.340708773535859</v>
      </c>
      <c r="Z44" s="103">
        <f>VLOOKUP($B44,'DCS Data'!$E$2:$AJ$100,MATCH('Daily Report'!Z$1,'DCS Data'!$E$2:$AJ$2,0),0)</f>
        <v>65.376472914594046</v>
      </c>
      <c r="AA44" s="103">
        <f>VLOOKUP($B44,'DCS Data'!$E$2:$AJ$100,MATCH('Daily Report'!AA$1,'DCS Data'!$E$2:$AJ$2,0),0)</f>
        <v>66.503892638060933</v>
      </c>
      <c r="AB44" s="103">
        <f>VLOOKUP($B44,'DCS Data'!$E$2:$AJ$100,MATCH('Daily Report'!AB$1,'DCS Data'!$E$2:$AJ$2,0),0)</f>
        <v>71.130356840246947</v>
      </c>
      <c r="AC44" s="103">
        <f>VLOOKUP($B44,'DCS Data'!$E$2:$AJ$100,MATCH('Daily Report'!AC$1,'DCS Data'!$E$2:$AJ$2,0),0)</f>
        <v>56.752043247334193</v>
      </c>
      <c r="AD44" s="103">
        <f>VLOOKUP($B44,'DCS Data'!$E$2:$AJ$100,MATCH('Daily Report'!AD$1,'DCS Data'!$E$2:$AJ$2,0),0)</f>
        <v>49.591735458914954</v>
      </c>
      <c r="AE44" s="103">
        <f>VLOOKUP($B44,'DCS Data'!$E$2:$AJ$100,MATCH('Daily Report'!AE$1,'DCS Data'!$E$2:$AJ$2,0),0)</f>
        <v>52.567635435364778</v>
      </c>
      <c r="AF44" s="103">
        <f>VLOOKUP($B44,'DCS Data'!$E$2:$AJ$100,MATCH('Daily Report'!AF$1,'DCS Data'!$E$2:$AJ$2,0),0)</f>
        <v>52.677269353787644</v>
      </c>
      <c r="AG44" s="103">
        <f>VLOOKUP($B44,'DCS Data'!$E$2:$AJ$100,MATCH('Daily Report'!AG$1,'DCS Data'!$E$2:$AJ$2,0),0)</f>
        <v>51.182140476278548</v>
      </c>
      <c r="AH44" s="103">
        <f>VLOOKUP($B44,'DCS Data'!$E$2:$AJ$100,MATCH('Daily Report'!AH$1,'DCS Data'!$E$2:$AJ$2,0),0)</f>
        <v>52.08728437050523</v>
      </c>
      <c r="AI44" s="103">
        <f>VLOOKUP($B44,'DCS Data'!$E$2:$AJ$100,MATCH('Daily Report'!AI$1,'DCS Data'!$E$2:$AJ$2,0),0)</f>
        <v>44.730946361187911</v>
      </c>
      <c r="AJ44" s="103">
        <f>VLOOKUP($B44,'DCS Data'!$E$2:$AJ$100,MATCH('Daily Report'!AJ$1,'DCS Data'!$E$2:$AJ$2,0),0)</f>
        <v>38.731953722215891</v>
      </c>
      <c r="AK44" s="103">
        <f>VLOOKUP($B44,'DCS Data'!$E$2:$AJ$100,MATCH('Daily Report'!AK$1,'DCS Data'!$E$2:$AJ$2,0),0)</f>
        <v>38.948851513426803</v>
      </c>
      <c r="AL44" s="103">
        <f>VLOOKUP($B44,'DCS Data'!$E$2:$AJ$100,MATCH('Daily Report'!AL$1,'DCS Data'!$E$2:$AJ$2,0),0)</f>
        <v>39.592445660058011</v>
      </c>
      <c r="AM44" s="103">
        <f>VLOOKUP($B44,'DCS Data'!$E$2:$AJ$100,MATCH('Daily Report'!AM$1,'DCS Data'!$E$2:$AJ$2,0),0)</f>
        <v>37.661914913856862</v>
      </c>
      <c r="AN44" s="103">
        <f>VLOOKUP($B44,'DCS Data'!$E$2:$AJ$100,MATCH('Daily Report'!AN$1,'DCS Data'!$E$2:$AJ$2,0),0)</f>
        <v>39.659144817065638</v>
      </c>
      <c r="AO44" s="214"/>
      <c r="AP44" s="214"/>
      <c r="AQ44" s="214"/>
      <c r="AR44" s="214"/>
      <c r="AS44" s="214"/>
      <c r="AT44" s="214"/>
      <c r="AU44" s="214"/>
      <c r="AV44" s="214"/>
      <c r="AW44" s="214"/>
      <c r="AX44" s="214"/>
      <c r="AY44" s="214"/>
      <c r="AZ44" s="214"/>
      <c r="BA44" s="214"/>
      <c r="BB44" s="214"/>
      <c r="BC44" s="214"/>
      <c r="BD44" s="214"/>
      <c r="BE44" s="214"/>
      <c r="BF44" s="214"/>
      <c r="BG44" s="214"/>
      <c r="BH44" s="214"/>
      <c r="BI44" s="214"/>
      <c r="BJ44" s="214"/>
      <c r="BK44" s="214"/>
      <c r="BL44" s="214"/>
      <c r="BM44" s="214"/>
      <c r="BN44" s="214"/>
      <c r="BO44" s="214"/>
      <c r="BP44" s="214"/>
      <c r="BQ44" s="214"/>
      <c r="BR44" s="214"/>
      <c r="BS44" s="214"/>
      <c r="BT44" s="214"/>
      <c r="BU44" s="214"/>
      <c r="BV44" s="214"/>
      <c r="BW44" s="214"/>
      <c r="BX44" s="214"/>
      <c r="BY44" s="214"/>
      <c r="BZ44" s="214"/>
      <c r="CA44" s="214"/>
      <c r="CB44" s="214"/>
      <c r="CC44" s="214"/>
      <c r="CD44" s="214"/>
      <c r="CE44" s="214"/>
      <c r="CF44" s="214"/>
      <c r="CG44" s="214"/>
      <c r="CH44" s="214"/>
      <c r="CI44" s="214"/>
      <c r="CJ44" s="214"/>
      <c r="CK44" s="214"/>
      <c r="CL44" s="214"/>
      <c r="CM44" s="214"/>
      <c r="CN44" s="214"/>
      <c r="CO44" s="214"/>
      <c r="CP44" s="214"/>
      <c r="CQ44" s="214"/>
      <c r="CR44" s="214"/>
      <c r="CS44" s="214"/>
      <c r="CT44" s="214"/>
      <c r="CU44" s="214"/>
      <c r="CV44" s="214"/>
      <c r="CW44" s="214"/>
      <c r="CX44" s="214"/>
      <c r="CY44" s="214"/>
      <c r="CZ44" s="214"/>
      <c r="DA44" s="214"/>
      <c r="DB44" s="214"/>
      <c r="DC44" s="214"/>
      <c r="DD44" s="214"/>
      <c r="DE44" s="214"/>
      <c r="DF44" s="214"/>
      <c r="DG44" s="214"/>
      <c r="DH44" s="214"/>
      <c r="DI44" s="214"/>
      <c r="DJ44" s="214"/>
      <c r="DK44" s="214"/>
      <c r="DL44" s="214"/>
      <c r="DM44" s="214"/>
      <c r="DN44" s="214"/>
      <c r="DO44" s="214"/>
      <c r="DP44" s="214"/>
      <c r="DQ44" s="214"/>
      <c r="DR44" s="214"/>
      <c r="DS44" s="214"/>
      <c r="DT44" s="214"/>
      <c r="DU44" s="214"/>
      <c r="DV44" s="214"/>
      <c r="DW44" s="214"/>
      <c r="DX44" s="214"/>
      <c r="DY44" s="214"/>
      <c r="DZ44" s="214"/>
      <c r="EA44" s="214"/>
      <c r="EB44" s="214"/>
      <c r="EC44" s="214"/>
      <c r="ED44" s="214"/>
      <c r="EE44" s="214"/>
      <c r="EF44" s="214"/>
      <c r="EG44" s="214"/>
      <c r="EH44" s="214"/>
      <c r="EI44" s="214"/>
      <c r="EJ44" s="214"/>
      <c r="EK44" s="214"/>
      <c r="EL44" s="214"/>
      <c r="EM44" s="214"/>
      <c r="EN44" s="214"/>
      <c r="EO44" s="214"/>
      <c r="EP44" s="214"/>
      <c r="EQ44" s="214"/>
      <c r="ER44" s="214"/>
      <c r="ES44" s="214"/>
      <c r="ET44" s="214"/>
      <c r="EU44" s="214"/>
      <c r="EV44" s="214"/>
      <c r="EW44" s="214"/>
      <c r="EX44" s="214"/>
      <c r="EY44" s="214"/>
      <c r="EZ44" s="214"/>
      <c r="FA44" s="214"/>
      <c r="FB44" s="214"/>
      <c r="FC44" s="214"/>
      <c r="FD44" s="214"/>
      <c r="FE44" s="214"/>
      <c r="FF44" s="214"/>
      <c r="FG44" s="214"/>
      <c r="FH44" s="214"/>
      <c r="FI44" s="214"/>
      <c r="FJ44" s="214"/>
      <c r="FK44" s="214"/>
      <c r="FL44" s="214"/>
      <c r="FM44" s="214"/>
      <c r="FN44" s="214"/>
      <c r="FO44" s="214"/>
      <c r="FP44" s="214"/>
      <c r="FQ44" s="214"/>
      <c r="FR44" s="214"/>
      <c r="FS44" s="214"/>
      <c r="FT44" s="214"/>
      <c r="FU44" s="214"/>
      <c r="FV44" s="214"/>
      <c r="FW44" s="214"/>
      <c r="FX44" s="214"/>
      <c r="FY44" s="214"/>
      <c r="FZ44" s="214"/>
      <c r="GA44" s="214"/>
      <c r="GB44" s="214"/>
      <c r="GC44" s="214"/>
      <c r="GD44" s="214"/>
      <c r="GE44" s="214"/>
      <c r="GF44" s="214"/>
      <c r="GG44" s="214"/>
      <c r="GH44" s="214"/>
      <c r="GI44" s="214"/>
      <c r="GJ44" s="214"/>
      <c r="GK44" s="214"/>
      <c r="GL44" s="214"/>
      <c r="GM44" s="214"/>
      <c r="GN44" s="214"/>
      <c r="GO44" s="214"/>
      <c r="GP44" s="214"/>
      <c r="GQ44" s="214"/>
      <c r="GR44" s="214"/>
      <c r="GS44" s="214"/>
      <c r="GT44" s="214"/>
      <c r="GU44" s="214"/>
      <c r="GV44" s="214"/>
      <c r="GW44" s="214"/>
      <c r="GX44" s="214"/>
      <c r="GY44" s="214"/>
      <c r="GZ44" s="214"/>
      <c r="HA44" s="214"/>
      <c r="HB44" s="214"/>
      <c r="HC44" s="214"/>
      <c r="HD44" s="214"/>
      <c r="HE44" s="214"/>
      <c r="HF44" s="214"/>
      <c r="HG44" s="214"/>
      <c r="HH44" s="214"/>
      <c r="HI44" s="214"/>
      <c r="HJ44" s="214"/>
      <c r="HK44" s="214"/>
      <c r="HL44" s="214"/>
      <c r="HM44" s="214"/>
      <c r="HN44" s="214"/>
      <c r="HO44" s="214"/>
      <c r="HP44" s="214"/>
      <c r="HQ44" s="214"/>
      <c r="HR44" s="214"/>
      <c r="HS44" s="214"/>
      <c r="HT44" s="214"/>
      <c r="HU44" s="214"/>
      <c r="HV44" s="214"/>
      <c r="HW44" s="214"/>
      <c r="HX44" s="214"/>
      <c r="HY44" s="214"/>
      <c r="HZ44" s="214"/>
      <c r="IA44" s="214"/>
      <c r="IB44" s="214"/>
      <c r="IC44" s="214"/>
      <c r="ID44" s="214"/>
      <c r="IE44" s="214"/>
      <c r="IF44" s="214"/>
      <c r="IG44" s="214"/>
      <c r="IH44" s="214"/>
      <c r="II44" s="214"/>
      <c r="IJ44" s="214"/>
      <c r="IK44" s="214"/>
      <c r="IL44" s="214"/>
      <c r="IM44" s="214"/>
      <c r="IN44" s="214"/>
      <c r="IO44" s="214"/>
      <c r="IP44" s="214"/>
      <c r="IQ44" s="214"/>
      <c r="IR44" s="214"/>
      <c r="IS44" s="214"/>
      <c r="IT44" s="214"/>
      <c r="IU44" s="214"/>
      <c r="IV44" s="214"/>
      <c r="IW44" s="214"/>
      <c r="IX44" s="214"/>
      <c r="IY44" s="214"/>
      <c r="IZ44" s="214"/>
      <c r="JA44" s="214"/>
      <c r="JB44" s="214"/>
      <c r="JC44" s="214"/>
      <c r="JD44" s="214"/>
      <c r="JE44" s="214"/>
      <c r="JF44" s="214"/>
      <c r="JG44" s="214"/>
      <c r="JH44" s="214"/>
      <c r="JI44" s="214"/>
      <c r="JJ44" s="214"/>
      <c r="JK44" s="214"/>
      <c r="JL44" s="214"/>
      <c r="JM44" s="214"/>
      <c r="JN44" s="214"/>
      <c r="JO44" s="214"/>
      <c r="JP44" s="214"/>
      <c r="JQ44" s="214"/>
      <c r="JR44" s="214"/>
      <c r="JS44" s="214"/>
      <c r="JT44" s="214"/>
      <c r="JU44" s="214"/>
      <c r="JV44" s="214"/>
      <c r="JW44" s="214"/>
      <c r="JX44" s="214"/>
      <c r="JY44" s="214"/>
      <c r="JZ44" s="214"/>
      <c r="KA44" s="214"/>
      <c r="KB44" s="214"/>
      <c r="KC44" s="214"/>
      <c r="KD44" s="214"/>
      <c r="KE44" s="214"/>
      <c r="KF44" s="214"/>
      <c r="KG44" s="214"/>
      <c r="KH44" s="214"/>
      <c r="KI44" s="214"/>
      <c r="KJ44" s="214"/>
      <c r="KK44" s="214"/>
      <c r="KL44" s="214"/>
      <c r="KM44" s="214"/>
      <c r="KN44" s="214"/>
      <c r="KO44" s="214"/>
      <c r="KP44" s="214"/>
      <c r="KQ44" s="214"/>
      <c r="KR44" s="214"/>
      <c r="KS44" s="214"/>
      <c r="KT44" s="214"/>
      <c r="KU44" s="214"/>
      <c r="KV44" s="214"/>
      <c r="KW44" s="214"/>
      <c r="KX44" s="214"/>
      <c r="KY44" s="214"/>
      <c r="KZ44" s="214"/>
      <c r="LA44" s="214"/>
      <c r="LB44" s="214"/>
      <c r="LC44" s="214"/>
      <c r="LD44" s="214"/>
      <c r="LE44" s="214"/>
      <c r="LF44" s="214"/>
      <c r="LG44" s="214"/>
      <c r="LH44" s="214"/>
      <c r="LI44" s="214"/>
      <c r="LJ44" s="214"/>
      <c r="LK44" s="214"/>
      <c r="LL44" s="214"/>
      <c r="LM44" s="214"/>
      <c r="LN44" s="214"/>
      <c r="LO44" s="214"/>
      <c r="LP44" s="214"/>
      <c r="LQ44" s="214"/>
      <c r="LR44" s="214"/>
      <c r="LS44" s="214"/>
      <c r="LT44" s="214"/>
      <c r="LU44" s="214"/>
      <c r="LV44" s="214"/>
      <c r="LW44" s="214"/>
      <c r="LX44" s="214"/>
      <c r="LY44" s="214"/>
      <c r="LZ44" s="214"/>
      <c r="MA44" s="214"/>
      <c r="MB44" s="214"/>
      <c r="MC44" s="214"/>
      <c r="MD44" s="214"/>
      <c r="ME44" s="214"/>
      <c r="MF44" s="214"/>
      <c r="MG44" s="214"/>
      <c r="MH44" s="214"/>
      <c r="MI44" s="214"/>
      <c r="MJ44" s="214"/>
      <c r="MK44" s="214"/>
      <c r="ML44" s="214"/>
      <c r="MM44" s="214"/>
      <c r="MN44" s="214"/>
      <c r="MO44" s="214"/>
      <c r="MP44" s="214"/>
      <c r="MQ44" s="214"/>
      <c r="MR44" s="214"/>
      <c r="MS44" s="214"/>
      <c r="MT44" s="214"/>
      <c r="MU44" s="214"/>
      <c r="MV44" s="214"/>
      <c r="MW44" s="214"/>
      <c r="MX44" s="214"/>
      <c r="MY44" s="214"/>
      <c r="MZ44" s="214"/>
      <c r="NA44" s="214"/>
      <c r="NB44" s="214"/>
      <c r="NC44" s="214"/>
      <c r="ND44" s="214"/>
      <c r="NE44" s="214"/>
      <c r="NF44" s="214"/>
      <c r="NG44" s="214"/>
      <c r="NH44" s="214"/>
      <c r="NI44" s="214"/>
      <c r="NJ44" s="214"/>
      <c r="NK44" s="214"/>
      <c r="NL44" s="214"/>
      <c r="NM44" s="214"/>
      <c r="NN44" s="214"/>
      <c r="NO44" s="214"/>
      <c r="NP44" s="214"/>
      <c r="NQ44" s="214"/>
      <c r="NR44" s="214"/>
      <c r="NS44" s="214"/>
      <c r="NT44" s="214"/>
      <c r="NU44" s="214"/>
      <c r="NV44" s="214"/>
      <c r="NW44" s="214"/>
      <c r="NX44" s="214"/>
      <c r="NY44" s="214"/>
      <c r="NZ44" s="214"/>
      <c r="OA44" s="214"/>
      <c r="OB44" s="214"/>
      <c r="OC44" s="214"/>
      <c r="OD44" s="214"/>
      <c r="OE44" s="214"/>
      <c r="OF44" s="214"/>
      <c r="OG44" s="214"/>
      <c r="OH44" s="214"/>
      <c r="OI44" s="214"/>
      <c r="OJ44" s="214"/>
      <c r="OK44" s="214"/>
      <c r="OL44" s="214"/>
      <c r="OM44" s="214"/>
      <c r="ON44" s="214"/>
      <c r="OO44" s="214"/>
      <c r="OP44" s="214"/>
      <c r="OQ44" s="214"/>
      <c r="OR44" s="214"/>
      <c r="OS44" s="214"/>
      <c r="OT44" s="214"/>
      <c r="OU44" s="214"/>
      <c r="OV44" s="214"/>
      <c r="OW44" s="214"/>
      <c r="OX44" s="214"/>
      <c r="OY44" s="214"/>
      <c r="OZ44" s="214"/>
      <c r="PA44" s="214"/>
      <c r="PB44" s="214"/>
      <c r="PC44" s="214"/>
      <c r="PD44" s="214"/>
      <c r="PE44" s="214"/>
      <c r="PF44" s="214"/>
      <c r="PG44" s="214"/>
      <c r="PH44" s="214"/>
      <c r="PI44" s="214"/>
      <c r="PJ44" s="214"/>
      <c r="PK44" s="214"/>
      <c r="PL44" s="214"/>
      <c r="PM44" s="214"/>
      <c r="PN44" s="214"/>
      <c r="PO44" s="214"/>
      <c r="PP44" s="214"/>
      <c r="PQ44" s="214"/>
      <c r="PR44" s="214"/>
      <c r="PS44" s="214"/>
      <c r="PT44" s="214"/>
      <c r="PU44" s="214"/>
      <c r="PV44" s="214"/>
      <c r="PW44" s="214"/>
      <c r="PX44" s="214"/>
      <c r="PY44" s="214"/>
      <c r="PZ44" s="214"/>
      <c r="QA44" s="214"/>
      <c r="QB44" s="214"/>
      <c r="QC44" s="214"/>
      <c r="QD44" s="214"/>
      <c r="QE44" s="214"/>
      <c r="QF44" s="214"/>
      <c r="QG44" s="214"/>
      <c r="QH44" s="214"/>
      <c r="QI44" s="214"/>
      <c r="QJ44" s="214"/>
      <c r="QK44" s="214"/>
      <c r="QL44" s="214"/>
      <c r="QM44" s="214"/>
      <c r="QN44" s="214"/>
      <c r="QO44" s="214"/>
      <c r="QP44" s="214"/>
      <c r="QQ44" s="214"/>
      <c r="QR44" s="214"/>
      <c r="QS44" s="214"/>
      <c r="QT44" s="214"/>
      <c r="QU44" s="214"/>
      <c r="QV44" s="214"/>
      <c r="QW44" s="214"/>
      <c r="QX44" s="214"/>
      <c r="QY44" s="214"/>
      <c r="QZ44" s="214"/>
      <c r="RA44" s="214"/>
      <c r="RB44" s="214"/>
      <c r="RC44" s="214"/>
      <c r="RD44" s="214"/>
      <c r="RE44" s="214"/>
      <c r="RF44" s="214"/>
      <c r="RG44" s="214"/>
      <c r="RH44" s="214"/>
      <c r="RI44" s="214"/>
      <c r="RJ44" s="214"/>
      <c r="RK44" s="214"/>
      <c r="RL44" s="214"/>
      <c r="RM44" s="214"/>
      <c r="RN44" s="214"/>
      <c r="RO44" s="214"/>
      <c r="RP44" s="214"/>
      <c r="RQ44" s="214"/>
      <c r="RR44" s="214"/>
      <c r="RS44" s="214"/>
      <c r="RT44" s="214"/>
      <c r="RU44" s="214"/>
      <c r="RV44" s="214"/>
      <c r="RW44" s="214"/>
      <c r="RX44" s="214"/>
      <c r="RY44" s="214"/>
      <c r="RZ44" s="214"/>
      <c r="SA44" s="214"/>
      <c r="SB44" s="214"/>
      <c r="SC44" s="214"/>
      <c r="SD44" s="214"/>
      <c r="SE44" s="214"/>
      <c r="SF44" s="214"/>
      <c r="SG44" s="214"/>
      <c r="SH44" s="214"/>
      <c r="SI44" s="214"/>
      <c r="SJ44" s="214"/>
      <c r="SK44" s="214"/>
      <c r="SL44" s="214"/>
      <c r="SM44" s="214"/>
      <c r="SN44" s="214"/>
      <c r="SO44" s="214"/>
      <c r="SP44" s="214"/>
      <c r="SQ44" s="214"/>
      <c r="SR44" s="214"/>
      <c r="SS44" s="214"/>
      <c r="ST44" s="214"/>
      <c r="SU44" s="214"/>
      <c r="SV44" s="214"/>
      <c r="SW44" s="214"/>
      <c r="SX44" s="214"/>
      <c r="SY44" s="214"/>
      <c r="SZ44" s="214"/>
      <c r="TA44" s="214"/>
      <c r="TB44" s="214"/>
      <c r="TC44" s="214"/>
      <c r="TD44" s="214"/>
      <c r="TE44" s="214"/>
      <c r="TF44" s="214"/>
      <c r="TG44" s="214"/>
      <c r="TH44" s="214"/>
      <c r="TI44" s="214"/>
      <c r="TJ44" s="214"/>
      <c r="TK44" s="214"/>
      <c r="TL44" s="214"/>
      <c r="TM44" s="214"/>
      <c r="TN44" s="214"/>
      <c r="TO44" s="214"/>
      <c r="TP44" s="214"/>
      <c r="TQ44" s="214"/>
      <c r="TR44" s="214"/>
      <c r="TS44" s="214"/>
      <c r="TT44" s="214"/>
      <c r="TU44" s="214"/>
      <c r="TV44" s="214"/>
      <c r="TW44" s="214"/>
      <c r="TX44" s="214"/>
      <c r="TY44" s="214"/>
      <c r="TZ44" s="214"/>
      <c r="UA44" s="214"/>
      <c r="UB44" s="214"/>
      <c r="UC44" s="214"/>
      <c r="UD44" s="214"/>
      <c r="UE44" s="214"/>
      <c r="UF44" s="214"/>
      <c r="UG44" s="214"/>
      <c r="UH44" s="214"/>
      <c r="UI44" s="214"/>
      <c r="UJ44" s="214"/>
      <c r="UK44" s="214"/>
      <c r="UL44" s="214"/>
      <c r="UM44" s="214"/>
      <c r="UN44" s="214"/>
      <c r="UO44" s="214"/>
      <c r="UP44" s="214"/>
      <c r="UQ44" s="214"/>
      <c r="UR44" s="214"/>
      <c r="US44" s="214"/>
      <c r="UT44" s="214"/>
      <c r="UU44" s="214"/>
      <c r="UV44" s="214"/>
      <c r="UW44" s="214"/>
      <c r="UX44" s="214"/>
      <c r="UY44" s="214"/>
      <c r="UZ44" s="214"/>
      <c r="VA44" s="214"/>
      <c r="VB44" s="214"/>
      <c r="VC44" s="214"/>
      <c r="VD44" s="214"/>
      <c r="VE44" s="214"/>
      <c r="VF44" s="214"/>
      <c r="VG44" s="214"/>
      <c r="VH44" s="214"/>
      <c r="VI44" s="214"/>
      <c r="VJ44" s="214"/>
      <c r="VK44" s="214"/>
      <c r="VL44" s="214"/>
      <c r="VM44" s="214"/>
      <c r="VN44" s="214"/>
      <c r="VO44" s="214"/>
      <c r="VP44" s="214"/>
      <c r="VQ44" s="214"/>
      <c r="VR44" s="214"/>
      <c r="VS44" s="214"/>
      <c r="VT44" s="214"/>
      <c r="VU44" s="214"/>
      <c r="VV44" s="214"/>
      <c r="VW44" s="214"/>
      <c r="VX44" s="214"/>
      <c r="VY44" s="214"/>
      <c r="VZ44" s="214"/>
      <c r="WA44" s="214"/>
      <c r="WB44" s="214"/>
      <c r="WC44" s="214"/>
      <c r="WD44" s="214"/>
      <c r="WE44" s="214"/>
      <c r="WF44" s="214"/>
      <c r="WG44" s="214"/>
      <c r="WH44" s="214"/>
      <c r="WI44" s="214"/>
      <c r="WJ44" s="214"/>
      <c r="WK44" s="214"/>
      <c r="WL44" s="214"/>
      <c r="WM44" s="214"/>
      <c r="WN44" s="214"/>
      <c r="WO44" s="214"/>
      <c r="WP44" s="214"/>
      <c r="WQ44" s="214"/>
      <c r="WR44" s="214"/>
      <c r="WS44" s="214"/>
      <c r="WT44" s="214"/>
      <c r="WU44" s="214"/>
      <c r="WV44" s="214"/>
      <c r="WW44" s="214"/>
      <c r="WX44" s="214"/>
      <c r="WY44" s="214"/>
      <c r="WZ44" s="214"/>
      <c r="XA44" s="214"/>
      <c r="XB44" s="214"/>
      <c r="XC44" s="214"/>
      <c r="XD44" s="214"/>
      <c r="XE44" s="214"/>
      <c r="XF44" s="214"/>
      <c r="XG44" s="214"/>
      <c r="XH44" s="214"/>
      <c r="XI44" s="214"/>
      <c r="XJ44" s="214"/>
      <c r="XK44" s="214"/>
      <c r="XL44" s="214"/>
      <c r="XM44" s="214"/>
      <c r="XN44" s="214"/>
      <c r="XO44" s="214"/>
      <c r="XP44" s="214"/>
      <c r="XQ44" s="214"/>
      <c r="XR44" s="214"/>
      <c r="XS44" s="214"/>
      <c r="XT44" s="214"/>
      <c r="XU44" s="214"/>
      <c r="XV44" s="214"/>
      <c r="XW44" s="214"/>
      <c r="XX44" s="214"/>
      <c r="XY44" s="214"/>
      <c r="XZ44" s="214"/>
      <c r="YA44" s="214"/>
      <c r="YB44" s="214"/>
      <c r="YC44" s="214"/>
      <c r="YD44" s="214"/>
      <c r="YE44" s="214"/>
      <c r="YF44" s="214"/>
      <c r="YG44" s="214"/>
      <c r="YH44" s="214"/>
      <c r="YI44" s="214"/>
      <c r="YJ44" s="214"/>
      <c r="YK44" s="214"/>
      <c r="YL44" s="214"/>
      <c r="YM44" s="214"/>
      <c r="YN44" s="214"/>
      <c r="YO44" s="214"/>
      <c r="YP44" s="214"/>
      <c r="YQ44" s="214"/>
      <c r="YR44" s="214"/>
      <c r="YS44" s="214"/>
      <c r="YT44" s="214"/>
      <c r="YU44" s="214"/>
      <c r="YV44" s="214"/>
      <c r="YW44" s="214"/>
      <c r="YX44" s="214"/>
      <c r="YY44" s="214"/>
      <c r="YZ44" s="214"/>
      <c r="ZA44" s="214"/>
      <c r="ZB44" s="214"/>
      <c r="ZC44" s="214"/>
      <c r="ZD44" s="214"/>
      <c r="ZE44" s="214"/>
      <c r="ZF44" s="214"/>
      <c r="ZG44" s="214"/>
      <c r="ZH44" s="214"/>
      <c r="ZI44" s="214"/>
      <c r="ZJ44" s="214"/>
      <c r="ZK44" s="214"/>
      <c r="ZL44" s="214"/>
      <c r="ZM44" s="214"/>
      <c r="ZN44" s="214"/>
      <c r="ZO44" s="214"/>
      <c r="ZP44" s="214"/>
      <c r="ZQ44" s="214"/>
      <c r="ZR44" s="214"/>
      <c r="ZS44" s="214"/>
      <c r="ZT44" s="214"/>
      <c r="ZU44" s="214"/>
      <c r="ZV44" s="214"/>
      <c r="ZW44" s="214"/>
      <c r="ZX44" s="214"/>
      <c r="ZY44" s="214"/>
      <c r="ZZ44" s="214"/>
      <c r="AAA44" s="214"/>
      <c r="AAB44" s="214"/>
      <c r="AAC44" s="214"/>
      <c r="AAD44" s="214"/>
      <c r="AAE44" s="214"/>
      <c r="AAF44" s="214"/>
      <c r="AAG44" s="214"/>
      <c r="AAH44" s="214"/>
      <c r="AAI44" s="214"/>
      <c r="AAJ44" s="214"/>
      <c r="AAK44" s="214"/>
      <c r="AAL44" s="214"/>
      <c r="AAM44" s="214"/>
      <c r="AAN44" s="214"/>
      <c r="AAO44" s="214"/>
      <c r="AAP44" s="214"/>
      <c r="AAQ44" s="214"/>
      <c r="AAR44" s="214"/>
      <c r="AAS44" s="214"/>
      <c r="AAT44" s="214"/>
      <c r="AAU44" s="214"/>
      <c r="AAV44" s="214"/>
      <c r="AAW44" s="214"/>
      <c r="AAX44" s="214"/>
      <c r="AAY44" s="214"/>
      <c r="AAZ44" s="214"/>
      <c r="ABA44" s="214"/>
      <c r="ABB44" s="214"/>
      <c r="ABC44" s="214"/>
      <c r="ABD44" s="214"/>
      <c r="ABE44" s="214"/>
      <c r="ABF44" s="214"/>
      <c r="ABG44" s="214"/>
      <c r="ABH44" s="214"/>
      <c r="ABI44" s="214"/>
      <c r="ABJ44" s="214"/>
      <c r="ABK44" s="214"/>
      <c r="ABL44" s="214"/>
      <c r="ABM44" s="214"/>
      <c r="ABN44" s="214"/>
      <c r="ABO44" s="214"/>
      <c r="ABP44" s="214"/>
      <c r="ABQ44" s="214"/>
      <c r="ABR44" s="214"/>
      <c r="ABS44" s="214"/>
      <c r="ABT44" s="214"/>
      <c r="ABU44" s="214"/>
      <c r="ABV44" s="214"/>
      <c r="ABW44" s="214"/>
      <c r="ABX44" s="214"/>
      <c r="ABY44" s="214"/>
      <c r="ABZ44" s="214"/>
      <c r="ACA44" s="214"/>
      <c r="ACB44" s="214"/>
      <c r="ACC44" s="214"/>
      <c r="ACD44" s="214"/>
      <c r="ACE44" s="214"/>
      <c r="ACF44" s="214"/>
      <c r="ACG44" s="214"/>
      <c r="ACH44" s="214"/>
      <c r="ACI44" s="214"/>
      <c r="ACJ44" s="214"/>
      <c r="ACK44" s="214"/>
      <c r="ACL44" s="214"/>
      <c r="ACM44" s="214"/>
      <c r="ACN44" s="214"/>
      <c r="ACO44" s="214"/>
      <c r="ACP44" s="214"/>
      <c r="ACQ44" s="214"/>
      <c r="ACR44" s="214"/>
      <c r="ACS44" s="214"/>
      <c r="ACT44" s="214"/>
      <c r="ACU44" s="214"/>
      <c r="ACV44" s="214"/>
      <c r="ACW44" s="214"/>
      <c r="ACX44" s="214"/>
      <c r="ACY44" s="214"/>
      <c r="ACZ44" s="214"/>
      <c r="ADA44" s="214"/>
      <c r="ADB44" s="214"/>
      <c r="ADC44" s="214"/>
      <c r="ADD44" s="214"/>
      <c r="ADE44" s="214"/>
      <c r="ADF44" s="214"/>
      <c r="ADG44" s="214"/>
      <c r="ADH44" s="214"/>
      <c r="ADI44" s="214"/>
      <c r="ADJ44" s="214"/>
      <c r="ADK44" s="214"/>
      <c r="ADL44" s="214"/>
      <c r="ADM44" s="214"/>
      <c r="ADN44" s="214"/>
      <c r="ADO44" s="214"/>
      <c r="ADP44" s="214"/>
      <c r="ADQ44" s="214"/>
      <c r="ADR44" s="214"/>
      <c r="ADS44" s="214"/>
      <c r="ADT44" s="214"/>
      <c r="ADU44" s="214"/>
      <c r="ADV44" s="214"/>
      <c r="ADW44" s="214"/>
      <c r="ADX44" s="214"/>
      <c r="ADY44" s="214"/>
      <c r="ADZ44" s="214"/>
      <c r="AEA44" s="214"/>
      <c r="AEB44" s="214"/>
      <c r="AEC44" s="214"/>
      <c r="AED44" s="214"/>
      <c r="AEE44" s="214"/>
      <c r="AEF44" s="214"/>
      <c r="AEG44" s="214"/>
      <c r="AEH44" s="214"/>
      <c r="AEI44" s="214"/>
      <c r="AEJ44" s="214"/>
      <c r="AEK44" s="214"/>
      <c r="AEL44" s="214"/>
      <c r="AEM44" s="214"/>
      <c r="AEN44" s="214"/>
      <c r="AEO44" s="214"/>
      <c r="AEP44" s="214"/>
      <c r="AEQ44" s="214"/>
      <c r="AER44" s="214"/>
      <c r="AES44" s="214"/>
      <c r="AET44" s="214"/>
      <c r="AEU44" s="214"/>
      <c r="AEV44" s="214"/>
      <c r="AEW44" s="214"/>
      <c r="AEX44" s="214"/>
      <c r="AEY44" s="214"/>
      <c r="AEZ44" s="214"/>
      <c r="AFA44" s="214"/>
      <c r="AFB44" s="214"/>
      <c r="AFC44" s="214"/>
      <c r="AFD44" s="214"/>
      <c r="AFE44" s="214"/>
      <c r="AFF44" s="214"/>
      <c r="AFG44" s="214"/>
      <c r="AFH44" s="214"/>
      <c r="AFI44" s="214"/>
      <c r="AFJ44" s="214"/>
      <c r="AFK44" s="214"/>
      <c r="AFL44" s="214"/>
      <c r="AFM44" s="214"/>
      <c r="AFN44" s="214"/>
      <c r="AFO44" s="214"/>
      <c r="AFP44" s="214"/>
      <c r="AFQ44" s="214"/>
      <c r="AFR44" s="214"/>
      <c r="AFS44" s="214"/>
      <c r="AFT44" s="214"/>
      <c r="AFU44" s="214"/>
      <c r="AFV44" s="214"/>
      <c r="AFW44" s="214"/>
      <c r="AFX44" s="214"/>
      <c r="AFY44" s="214"/>
      <c r="AFZ44" s="214"/>
      <c r="AGA44" s="214"/>
      <c r="AGB44" s="214"/>
      <c r="AGC44" s="214"/>
      <c r="AGD44" s="214"/>
      <c r="AGE44" s="214"/>
      <c r="AGF44" s="214"/>
      <c r="AGG44" s="214"/>
      <c r="AGH44" s="214"/>
      <c r="AGI44" s="214"/>
      <c r="AGJ44" s="214"/>
      <c r="AGK44" s="214"/>
      <c r="AGL44" s="214"/>
      <c r="AGM44" s="214"/>
      <c r="AGN44" s="214"/>
      <c r="AGO44" s="214"/>
      <c r="AGP44" s="214"/>
      <c r="AGQ44" s="214"/>
      <c r="AGR44" s="214"/>
      <c r="AGS44" s="214"/>
      <c r="AGT44" s="214"/>
      <c r="AGU44" s="214"/>
      <c r="AGV44" s="214"/>
      <c r="AGW44" s="214"/>
      <c r="AGX44" s="214"/>
      <c r="AGY44" s="214"/>
      <c r="AGZ44" s="214"/>
      <c r="AHA44" s="214"/>
      <c r="AHB44" s="214"/>
      <c r="AHC44" s="214"/>
      <c r="AHD44" s="214"/>
      <c r="AHE44" s="214"/>
      <c r="AHF44" s="214"/>
      <c r="AHG44" s="214"/>
      <c r="AHH44" s="214"/>
      <c r="AHI44" s="214"/>
      <c r="AHJ44" s="214"/>
      <c r="AHK44" s="214"/>
      <c r="AHL44" s="214"/>
      <c r="AHM44" s="214"/>
      <c r="AHN44" s="214"/>
      <c r="AHO44" s="214"/>
      <c r="AHP44" s="214"/>
      <c r="AHQ44" s="214"/>
      <c r="AHR44" s="214"/>
      <c r="AHS44" s="214"/>
      <c r="AHT44" s="214"/>
      <c r="AHU44" s="214"/>
      <c r="AHV44" s="214"/>
      <c r="AHW44" s="214"/>
      <c r="AHX44" s="214"/>
      <c r="AHY44" s="214"/>
      <c r="AHZ44" s="214"/>
      <c r="AIA44" s="214"/>
      <c r="AIB44" s="214"/>
      <c r="AIC44" s="214"/>
      <c r="AID44" s="214"/>
      <c r="AIE44" s="214"/>
      <c r="AIF44" s="214"/>
      <c r="AIG44" s="214"/>
      <c r="AIH44" s="214"/>
      <c r="AII44" s="214"/>
      <c r="AIJ44" s="214"/>
      <c r="AIK44" s="214"/>
      <c r="AIL44" s="214"/>
      <c r="AIM44" s="214"/>
      <c r="AIN44" s="214"/>
      <c r="AIO44" s="214"/>
      <c r="AIP44" s="214"/>
      <c r="AIQ44" s="214"/>
      <c r="AIR44" s="214"/>
      <c r="AIS44" s="214"/>
      <c r="AIT44" s="214"/>
      <c r="AIU44" s="214"/>
      <c r="AIV44" s="214"/>
      <c r="AIW44" s="214"/>
      <c r="AIX44" s="214"/>
      <c r="AIY44" s="214"/>
      <c r="AIZ44" s="214"/>
      <c r="AJA44" s="214"/>
      <c r="AJB44" s="214"/>
      <c r="AJC44" s="214"/>
      <c r="AJD44" s="214"/>
      <c r="AJE44" s="214"/>
      <c r="AJF44" s="214"/>
      <c r="AJG44" s="214"/>
      <c r="AJH44" s="214"/>
      <c r="AJI44" s="214"/>
      <c r="AJJ44" s="214"/>
      <c r="AJK44" s="214"/>
      <c r="AJL44" s="214"/>
      <c r="AJM44" s="214"/>
      <c r="AJN44" s="214"/>
      <c r="AJO44" s="214"/>
      <c r="AJP44" s="214"/>
      <c r="AJQ44" s="214"/>
      <c r="AJR44" s="214"/>
      <c r="AJS44" s="214"/>
      <c r="AJT44" s="214"/>
      <c r="AJU44" s="214"/>
      <c r="AJV44" s="214"/>
      <c r="AJW44" s="214"/>
      <c r="AJX44" s="214"/>
      <c r="AJY44" s="214"/>
      <c r="AJZ44" s="214"/>
      <c r="AKA44" s="214"/>
      <c r="AKB44" s="214"/>
      <c r="AKC44" s="214"/>
      <c r="AKD44" s="214"/>
      <c r="AKE44" s="214"/>
      <c r="AKF44" s="214"/>
      <c r="AKG44" s="214"/>
      <c r="AKH44" s="214"/>
      <c r="AKI44" s="214"/>
      <c r="AKJ44" s="214"/>
      <c r="AKK44" s="214"/>
      <c r="AKL44" s="214"/>
      <c r="AKM44" s="214"/>
      <c r="AKN44" s="214"/>
      <c r="AKO44" s="214"/>
      <c r="AKP44" s="214"/>
      <c r="AKQ44" s="214"/>
      <c r="AKR44" s="214"/>
      <c r="AKS44" s="214"/>
      <c r="AKT44" s="214"/>
      <c r="AKU44" s="214"/>
      <c r="AKV44" s="214"/>
      <c r="AKW44" s="214"/>
      <c r="AKX44" s="214"/>
      <c r="AKY44" s="214"/>
      <c r="AKZ44" s="214"/>
      <c r="ALA44" s="214"/>
      <c r="ALB44" s="214"/>
      <c r="ALC44" s="214"/>
      <c r="ALD44" s="214"/>
      <c r="ALE44" s="214"/>
      <c r="ALF44" s="214"/>
      <c r="ALG44" s="214"/>
      <c r="ALH44" s="214"/>
      <c r="ALI44" s="214"/>
      <c r="ALJ44" s="214"/>
      <c r="ALK44" s="214"/>
      <c r="ALL44" s="214"/>
      <c r="ALM44" s="214"/>
      <c r="ALN44" s="214"/>
      <c r="ALO44" s="214"/>
      <c r="ALP44" s="214"/>
      <c r="ALQ44" s="214"/>
      <c r="ALR44" s="214"/>
      <c r="ALS44" s="214"/>
      <c r="ALT44" s="214"/>
      <c r="ALU44" s="214"/>
      <c r="ALV44" s="214"/>
      <c r="ALW44" s="214"/>
      <c r="ALX44" s="214"/>
      <c r="ALY44" s="214"/>
      <c r="ALZ44" s="214"/>
      <c r="AMA44" s="214"/>
      <c r="AMB44" s="214"/>
      <c r="AMC44" s="214"/>
      <c r="AMD44" s="214"/>
      <c r="AME44" s="214"/>
      <c r="AMF44" s="214"/>
      <c r="AMG44" s="214"/>
      <c r="AMH44" s="214"/>
      <c r="AMI44" s="214"/>
      <c r="AMJ44" s="214"/>
      <c r="AMK44" s="214"/>
      <c r="AML44" s="214"/>
      <c r="AMM44" s="214"/>
      <c r="AMN44" s="214"/>
      <c r="AMO44" s="214"/>
      <c r="AMP44" s="214"/>
      <c r="AMQ44" s="214"/>
      <c r="AMR44" s="214"/>
      <c r="AMS44" s="214"/>
      <c r="AMT44" s="214"/>
      <c r="AMU44" s="214"/>
      <c r="AMV44" s="214"/>
      <c r="AMW44" s="214"/>
      <c r="AMX44" s="214"/>
      <c r="AMY44" s="214"/>
      <c r="AMZ44" s="214"/>
      <c r="ANA44" s="214"/>
      <c r="ANB44" s="214"/>
      <c r="ANC44" s="214"/>
      <c r="AND44" s="214"/>
      <c r="ANE44" s="214"/>
      <c r="ANF44" s="214"/>
      <c r="ANG44" s="214"/>
      <c r="ANH44" s="214"/>
      <c r="ANI44" s="214"/>
      <c r="ANJ44" s="214"/>
      <c r="ANK44" s="214"/>
      <c r="ANL44" s="214"/>
      <c r="ANM44" s="214"/>
      <c r="ANN44" s="214"/>
      <c r="ANO44" s="214"/>
      <c r="ANP44" s="214"/>
      <c r="ANQ44" s="214"/>
      <c r="ANR44" s="214"/>
      <c r="ANS44" s="214"/>
      <c r="ANT44" s="214"/>
      <c r="ANU44" s="214"/>
      <c r="ANV44" s="214"/>
      <c r="ANW44" s="214"/>
      <c r="ANX44" s="214"/>
      <c r="ANY44" s="214"/>
      <c r="ANZ44" s="214"/>
      <c r="AOA44" s="214"/>
      <c r="AOB44" s="214"/>
      <c r="AOC44" s="214"/>
      <c r="AOD44" s="214"/>
      <c r="AOE44" s="214"/>
      <c r="AOF44" s="214"/>
      <c r="AOG44" s="214"/>
      <c r="AOH44" s="214"/>
      <c r="AOI44" s="214"/>
      <c r="AOJ44" s="214"/>
      <c r="AOK44" s="214"/>
      <c r="AOL44" s="214"/>
      <c r="AOM44" s="214"/>
      <c r="AON44" s="214"/>
      <c r="AOO44" s="214"/>
      <c r="AOP44" s="214"/>
      <c r="AOQ44" s="214"/>
      <c r="AOR44" s="214"/>
      <c r="AOS44" s="214"/>
      <c r="AOT44" s="214"/>
      <c r="AOU44" s="214"/>
      <c r="AOV44" s="214"/>
      <c r="AOW44" s="214"/>
      <c r="AOX44" s="214"/>
      <c r="AOY44" s="214"/>
      <c r="AOZ44" s="214"/>
      <c r="APA44" s="214"/>
      <c r="APB44" s="214"/>
      <c r="APC44" s="214"/>
      <c r="APD44" s="214"/>
      <c r="APE44" s="214"/>
      <c r="APF44" s="214"/>
      <c r="APG44" s="214"/>
      <c r="APH44" s="214"/>
      <c r="API44" s="214"/>
      <c r="APJ44" s="214"/>
      <c r="APK44" s="214"/>
      <c r="APL44" s="214"/>
      <c r="APM44" s="214"/>
      <c r="APN44" s="214"/>
      <c r="APO44" s="214"/>
      <c r="APP44" s="214"/>
      <c r="APQ44" s="214"/>
      <c r="APR44" s="214"/>
      <c r="APS44" s="214"/>
      <c r="APT44" s="214"/>
      <c r="APU44" s="214"/>
      <c r="APV44" s="214"/>
      <c r="APW44" s="214"/>
      <c r="APX44" s="214"/>
      <c r="APY44" s="214"/>
      <c r="APZ44" s="214"/>
      <c r="AQA44" s="214"/>
      <c r="AQB44" s="214"/>
      <c r="AQC44" s="214"/>
      <c r="AQD44" s="214"/>
      <c r="AQE44" s="214"/>
      <c r="AQF44" s="214"/>
      <c r="AQG44" s="214"/>
      <c r="AQH44" s="214"/>
      <c r="AQI44" s="214"/>
      <c r="AQJ44" s="214"/>
      <c r="AQK44" s="214"/>
      <c r="AQL44" s="214"/>
      <c r="AQM44" s="214"/>
      <c r="AQN44" s="214"/>
      <c r="AQO44" s="214"/>
      <c r="AQP44" s="214"/>
      <c r="AQQ44" s="214"/>
      <c r="AQR44" s="214"/>
      <c r="AQS44" s="214"/>
      <c r="AQT44" s="214"/>
      <c r="AQU44" s="214"/>
      <c r="AQV44" s="214"/>
      <c r="AQW44" s="214"/>
      <c r="AQX44" s="214"/>
      <c r="AQY44" s="214"/>
      <c r="AQZ44" s="214"/>
      <c r="ARA44" s="214"/>
      <c r="ARB44" s="214"/>
      <c r="ARC44" s="214"/>
      <c r="ARD44" s="214"/>
      <c r="ARE44" s="214"/>
      <c r="ARF44" s="214"/>
      <c r="ARG44" s="214"/>
      <c r="ARH44" s="214"/>
      <c r="ARI44" s="214"/>
      <c r="ARJ44" s="214"/>
      <c r="ARK44" s="214"/>
      <c r="ARL44" s="214"/>
      <c r="ARM44" s="214"/>
      <c r="ARN44" s="214"/>
      <c r="ARO44" s="214"/>
      <c r="ARP44" s="214"/>
      <c r="ARQ44" s="214"/>
      <c r="ARR44" s="214"/>
      <c r="ARS44" s="214"/>
      <c r="ART44" s="214"/>
      <c r="ARU44" s="214"/>
      <c r="ARV44" s="214"/>
      <c r="ARW44" s="214"/>
      <c r="ARX44" s="214"/>
      <c r="ARY44" s="214"/>
      <c r="ARZ44" s="214"/>
      <c r="ASA44" s="214"/>
      <c r="ASB44" s="214"/>
      <c r="ASC44" s="214"/>
      <c r="ASD44" s="214"/>
      <c r="ASE44" s="214"/>
      <c r="ASF44" s="214"/>
      <c r="ASG44" s="214"/>
      <c r="ASH44" s="214"/>
      <c r="ASI44" s="214"/>
      <c r="ASJ44" s="214"/>
      <c r="ASK44" s="214"/>
      <c r="ASL44" s="214"/>
      <c r="ASM44" s="214"/>
      <c r="ASN44" s="214"/>
      <c r="ASO44" s="214"/>
      <c r="ASP44" s="214"/>
      <c r="ASQ44" s="214"/>
      <c r="ASR44" s="214"/>
      <c r="ASS44" s="214"/>
      <c r="AST44" s="214"/>
      <c r="ASU44" s="214"/>
      <c r="ASV44" s="214"/>
      <c r="ASW44" s="214"/>
      <c r="ASX44" s="214"/>
      <c r="ASY44" s="214"/>
      <c r="ASZ44" s="214"/>
      <c r="ATA44" s="214"/>
      <c r="ATB44" s="214"/>
      <c r="ATC44" s="214"/>
      <c r="ATD44" s="214"/>
      <c r="ATE44" s="214"/>
      <c r="ATF44" s="214"/>
      <c r="ATG44" s="214"/>
      <c r="ATH44" s="214"/>
      <c r="ATI44" s="214"/>
      <c r="ATJ44" s="214"/>
      <c r="ATK44" s="214"/>
      <c r="ATL44" s="214"/>
      <c r="ATM44" s="214"/>
      <c r="ATN44" s="214"/>
      <c r="ATO44" s="214"/>
      <c r="ATP44" s="214"/>
      <c r="ATQ44" s="214"/>
      <c r="ATR44" s="214"/>
      <c r="ATS44" s="214"/>
      <c r="ATT44" s="214"/>
      <c r="ATU44" s="214"/>
      <c r="ATV44" s="214"/>
      <c r="ATW44" s="214"/>
      <c r="ATX44" s="214"/>
      <c r="ATY44" s="214"/>
      <c r="ATZ44" s="214"/>
      <c r="AUA44" s="214"/>
      <c r="AUB44" s="214"/>
      <c r="AUC44" s="214"/>
      <c r="AUD44" s="214"/>
      <c r="AUE44" s="214"/>
      <c r="AUF44" s="214"/>
      <c r="AUG44" s="214"/>
      <c r="AUH44" s="214"/>
      <c r="AUI44" s="214"/>
      <c r="AUJ44" s="214"/>
      <c r="AUK44" s="214"/>
      <c r="AUL44" s="214"/>
      <c r="AUM44" s="214"/>
      <c r="AUN44" s="214"/>
      <c r="AUO44" s="214"/>
      <c r="AUP44" s="214"/>
      <c r="AUQ44" s="214"/>
      <c r="AUR44" s="214"/>
      <c r="AUS44" s="214"/>
      <c r="AUT44" s="214"/>
      <c r="AUU44" s="214"/>
      <c r="AUV44" s="214"/>
      <c r="AUW44" s="214"/>
      <c r="AUX44" s="214"/>
      <c r="AUY44" s="214"/>
      <c r="AUZ44" s="214"/>
      <c r="AVA44" s="214"/>
      <c r="AVB44" s="214"/>
      <c r="AVC44" s="214"/>
      <c r="AVD44" s="214"/>
      <c r="AVE44" s="214"/>
      <c r="AVF44" s="214"/>
      <c r="AVG44" s="214"/>
      <c r="AVH44" s="214"/>
      <c r="AVI44" s="214"/>
      <c r="AVJ44" s="214"/>
      <c r="AVK44" s="214"/>
      <c r="AVL44" s="214"/>
      <c r="AVM44" s="214"/>
      <c r="AVN44" s="214"/>
      <c r="AVO44" s="214"/>
      <c r="AVP44" s="214"/>
      <c r="AVQ44" s="214"/>
      <c r="AVR44" s="214"/>
      <c r="AVS44" s="214"/>
      <c r="AVT44" s="214"/>
      <c r="AVU44" s="214"/>
      <c r="AVV44" s="214"/>
      <c r="AVW44" s="214"/>
      <c r="AVX44" s="214"/>
      <c r="AVY44" s="214"/>
      <c r="AVZ44" s="214"/>
      <c r="AWA44" s="214"/>
      <c r="AWB44" s="214"/>
      <c r="AWC44" s="214"/>
      <c r="AWD44" s="214"/>
      <c r="AWE44" s="214"/>
      <c r="AWF44" s="214"/>
      <c r="AWG44" s="214"/>
      <c r="AWH44" s="214"/>
      <c r="AWI44" s="214"/>
      <c r="AWJ44" s="214"/>
      <c r="AWK44" s="214"/>
      <c r="AWL44" s="214"/>
      <c r="AWM44" s="214"/>
      <c r="AWN44" s="214"/>
      <c r="AWO44" s="214"/>
      <c r="AWP44" s="214"/>
      <c r="AWQ44" s="214"/>
      <c r="AWR44" s="214"/>
      <c r="AWS44" s="214"/>
      <c r="AWT44" s="214"/>
      <c r="AWU44" s="214"/>
      <c r="AWV44" s="214"/>
      <c r="AWW44" s="214"/>
      <c r="AWX44" s="214"/>
      <c r="AWY44" s="214"/>
      <c r="AWZ44" s="214"/>
      <c r="AXA44" s="214"/>
      <c r="AXB44" s="214"/>
      <c r="AXC44" s="214"/>
      <c r="AXD44" s="214"/>
      <c r="AXE44" s="214"/>
      <c r="AXF44" s="214"/>
      <c r="AXG44" s="214"/>
      <c r="AXH44" s="214"/>
      <c r="AXI44" s="214"/>
      <c r="AXJ44" s="214"/>
      <c r="AXK44" s="214"/>
      <c r="AXL44" s="214"/>
      <c r="AXM44" s="214"/>
      <c r="AXN44" s="214"/>
      <c r="AXO44" s="214"/>
      <c r="AXP44" s="214"/>
      <c r="AXQ44" s="214"/>
      <c r="AXR44" s="214"/>
      <c r="AXS44" s="214"/>
      <c r="AXT44" s="214"/>
      <c r="AXU44" s="214"/>
      <c r="AXV44" s="214"/>
      <c r="AXW44" s="214"/>
      <c r="AXX44" s="214"/>
      <c r="AXY44" s="214"/>
      <c r="AXZ44" s="214"/>
      <c r="AYA44" s="214"/>
      <c r="AYB44" s="214"/>
      <c r="AYC44" s="214"/>
      <c r="AYD44" s="214"/>
      <c r="AYE44" s="214"/>
      <c r="AYF44" s="214"/>
      <c r="AYG44" s="214"/>
      <c r="AYH44" s="214"/>
      <c r="AYI44" s="214"/>
      <c r="AYJ44" s="214"/>
      <c r="AYK44" s="214"/>
      <c r="AYL44" s="214"/>
      <c r="AYM44" s="214"/>
      <c r="AYN44" s="214"/>
      <c r="AYO44" s="214"/>
      <c r="AYP44" s="214"/>
      <c r="AYQ44" s="214"/>
      <c r="AYR44" s="214"/>
      <c r="AYS44" s="214"/>
      <c r="AYT44" s="214"/>
      <c r="AYU44" s="214"/>
      <c r="AYV44" s="214"/>
      <c r="AYW44" s="214"/>
      <c r="AYX44" s="214"/>
      <c r="AYY44" s="214"/>
      <c r="AYZ44" s="214"/>
      <c r="AZA44" s="214"/>
      <c r="AZB44" s="214"/>
      <c r="AZC44" s="214"/>
      <c r="AZD44" s="214"/>
      <c r="AZE44" s="214"/>
      <c r="AZF44" s="214"/>
      <c r="AZG44" s="214"/>
      <c r="AZH44" s="214"/>
      <c r="AZI44" s="214"/>
      <c r="AZJ44" s="214"/>
      <c r="AZK44" s="214"/>
      <c r="AZL44" s="214"/>
      <c r="AZM44" s="214"/>
      <c r="AZN44" s="214"/>
      <c r="AZO44" s="214"/>
      <c r="AZP44" s="214"/>
      <c r="AZQ44" s="214"/>
      <c r="AZR44" s="214"/>
      <c r="AZS44" s="214"/>
      <c r="AZT44" s="214"/>
      <c r="AZU44" s="214"/>
      <c r="AZV44" s="214"/>
      <c r="AZW44" s="214"/>
      <c r="AZX44" s="214"/>
      <c r="AZY44" s="214"/>
      <c r="AZZ44" s="214"/>
      <c r="BAA44" s="214"/>
      <c r="BAB44" s="214"/>
      <c r="BAC44" s="214"/>
      <c r="BAD44" s="214"/>
      <c r="BAE44" s="214"/>
      <c r="BAF44" s="214"/>
      <c r="BAG44" s="214"/>
      <c r="BAH44" s="214"/>
      <c r="BAI44" s="214"/>
      <c r="BAJ44" s="214"/>
      <c r="BAK44" s="214"/>
      <c r="BAL44" s="214"/>
      <c r="BAM44" s="214"/>
      <c r="BAN44" s="214"/>
      <c r="BAO44" s="214"/>
      <c r="BAP44" s="214"/>
      <c r="BAQ44" s="214"/>
      <c r="BAR44" s="214"/>
      <c r="BAS44" s="214"/>
      <c r="BAT44" s="214"/>
      <c r="BAU44" s="214"/>
      <c r="BAV44" s="214"/>
      <c r="BAW44" s="214"/>
      <c r="BAX44" s="214"/>
      <c r="BAY44" s="214"/>
      <c r="BAZ44" s="214"/>
      <c r="BBA44" s="214"/>
      <c r="BBB44" s="214"/>
      <c r="BBC44" s="214"/>
      <c r="BBD44" s="214"/>
      <c r="BBE44" s="214"/>
      <c r="BBF44" s="214"/>
      <c r="BBG44" s="214"/>
      <c r="BBH44" s="214"/>
      <c r="BBI44" s="214"/>
      <c r="BBJ44" s="214"/>
      <c r="BBK44" s="214"/>
      <c r="BBL44" s="214"/>
      <c r="BBM44" s="214"/>
      <c r="BBN44" s="214"/>
      <c r="BBO44" s="214"/>
      <c r="BBP44" s="214"/>
      <c r="BBQ44" s="214"/>
      <c r="BBR44" s="214"/>
      <c r="BBS44" s="214"/>
      <c r="BBT44" s="214"/>
      <c r="BBU44" s="214"/>
      <c r="BBV44" s="214"/>
      <c r="BBW44" s="214"/>
      <c r="BBX44" s="214"/>
      <c r="BBY44" s="214"/>
      <c r="BBZ44" s="214"/>
      <c r="BCA44" s="214"/>
      <c r="BCB44" s="214"/>
      <c r="BCC44" s="214"/>
      <c r="BCD44" s="214"/>
      <c r="BCE44" s="214"/>
      <c r="BCF44" s="214"/>
      <c r="BCG44" s="214"/>
      <c r="BCH44" s="214"/>
      <c r="BCI44" s="214"/>
      <c r="BCJ44" s="214"/>
      <c r="BCK44" s="214"/>
      <c r="BCL44" s="214"/>
      <c r="BCM44" s="214"/>
      <c r="BCN44" s="214"/>
      <c r="BCO44" s="214"/>
      <c r="BCP44" s="214"/>
      <c r="BCQ44" s="214"/>
      <c r="BCR44" s="214"/>
      <c r="BCS44" s="214"/>
      <c r="BCT44" s="214"/>
      <c r="BCU44" s="214"/>
      <c r="BCV44" s="214"/>
      <c r="BCW44" s="214"/>
      <c r="BCX44" s="214"/>
      <c r="BCY44" s="214"/>
      <c r="BCZ44" s="214"/>
      <c r="BDA44" s="214"/>
      <c r="BDB44" s="214"/>
      <c r="BDC44" s="214"/>
      <c r="BDD44" s="214"/>
      <c r="BDE44" s="214"/>
      <c r="BDF44" s="214"/>
      <c r="BDG44" s="214"/>
      <c r="BDH44" s="214"/>
      <c r="BDI44" s="214"/>
      <c r="BDJ44" s="214"/>
      <c r="BDK44" s="214"/>
      <c r="BDL44" s="214"/>
      <c r="BDM44" s="214"/>
      <c r="BDN44" s="214"/>
      <c r="BDO44" s="214"/>
      <c r="BDP44" s="214"/>
      <c r="BDQ44" s="214"/>
      <c r="BDR44" s="214"/>
      <c r="BDS44" s="214"/>
      <c r="BDT44" s="214"/>
      <c r="BDU44" s="214"/>
      <c r="BDV44" s="214"/>
      <c r="BDW44" s="214"/>
      <c r="BDX44" s="214"/>
      <c r="BDY44" s="214"/>
      <c r="BDZ44" s="214"/>
      <c r="BEA44" s="214"/>
      <c r="BEB44" s="214"/>
      <c r="BEC44" s="214"/>
      <c r="BED44" s="214"/>
      <c r="BEE44" s="214"/>
      <c r="BEF44" s="214"/>
      <c r="BEG44" s="214"/>
      <c r="BEH44" s="214"/>
      <c r="BEI44" s="214"/>
      <c r="BEJ44" s="214"/>
      <c r="BEK44" s="214"/>
      <c r="BEL44" s="214"/>
      <c r="BEM44" s="214"/>
      <c r="BEN44" s="214"/>
      <c r="BEO44" s="214"/>
      <c r="BEP44" s="214"/>
      <c r="BEQ44" s="214"/>
      <c r="BER44" s="214"/>
      <c r="BES44" s="214"/>
      <c r="BET44" s="214"/>
      <c r="BEU44" s="214"/>
      <c r="BEV44" s="214"/>
      <c r="BEW44" s="214"/>
      <c r="BEX44" s="214"/>
      <c r="BEY44" s="214"/>
      <c r="BEZ44" s="214"/>
      <c r="BFA44" s="214"/>
      <c r="BFB44" s="214"/>
      <c r="BFC44" s="214"/>
      <c r="BFD44" s="214"/>
      <c r="BFE44" s="214"/>
      <c r="BFF44" s="214"/>
      <c r="BFG44" s="214"/>
      <c r="BFH44" s="214"/>
      <c r="BFI44" s="214"/>
      <c r="BFJ44" s="214"/>
      <c r="BFK44" s="214"/>
      <c r="BFL44" s="214"/>
      <c r="BFM44" s="214"/>
      <c r="BFN44" s="214"/>
      <c r="BFO44" s="214"/>
      <c r="BFP44" s="214"/>
      <c r="BFQ44" s="214"/>
      <c r="BFR44" s="214"/>
      <c r="BFS44" s="214"/>
      <c r="BFT44" s="214"/>
      <c r="BFU44" s="214"/>
      <c r="BFV44" s="214"/>
      <c r="BFW44" s="214"/>
      <c r="BFX44" s="214"/>
      <c r="BFY44" s="214"/>
      <c r="BFZ44" s="214"/>
      <c r="BGA44" s="214"/>
      <c r="BGB44" s="214"/>
      <c r="BGC44" s="214"/>
      <c r="BGD44" s="214"/>
      <c r="BGE44" s="214"/>
      <c r="BGF44" s="214"/>
      <c r="BGG44" s="214"/>
      <c r="BGH44" s="214"/>
      <c r="BGI44" s="214"/>
      <c r="BGJ44" s="214"/>
      <c r="BGK44" s="214"/>
      <c r="BGL44" s="214"/>
      <c r="BGM44" s="214"/>
      <c r="BGN44" s="214"/>
      <c r="BGO44" s="214"/>
      <c r="BGP44" s="214"/>
      <c r="BGQ44" s="214"/>
      <c r="BGR44" s="214"/>
      <c r="BGS44" s="214"/>
      <c r="BGT44" s="214"/>
      <c r="BGU44" s="214"/>
      <c r="BGV44" s="214"/>
      <c r="BGW44" s="214"/>
      <c r="BGX44" s="214"/>
      <c r="BGY44" s="214"/>
      <c r="BGZ44" s="214"/>
      <c r="BHA44" s="214"/>
      <c r="BHB44" s="214"/>
      <c r="BHC44" s="214"/>
      <c r="BHD44" s="214"/>
      <c r="BHE44" s="214"/>
      <c r="BHF44" s="214"/>
      <c r="BHG44" s="214"/>
      <c r="BHH44" s="214"/>
      <c r="BHI44" s="214"/>
      <c r="BHJ44" s="214"/>
      <c r="BHK44" s="214"/>
      <c r="BHL44" s="214"/>
      <c r="BHM44" s="214"/>
      <c r="BHN44" s="214"/>
      <c r="BHO44" s="214"/>
      <c r="BHP44" s="214"/>
      <c r="BHQ44" s="214"/>
      <c r="BHR44" s="214"/>
      <c r="BHS44" s="214"/>
      <c r="BHT44" s="214"/>
      <c r="BHU44" s="214"/>
      <c r="BHV44" s="214"/>
      <c r="BHW44" s="214"/>
    </row>
    <row r="45" spans="1:1583" s="221" customFormat="1" ht="29.25" thickBot="1">
      <c r="A45" s="75"/>
      <c r="B45" s="191"/>
      <c r="C45" s="191"/>
      <c r="D45" s="191" t="s">
        <v>621</v>
      </c>
      <c r="E45" s="264" t="s">
        <v>53</v>
      </c>
      <c r="F45" s="136"/>
      <c r="G45" s="60" t="s">
        <v>699</v>
      </c>
      <c r="H45" s="473">
        <f t="shared" si="15"/>
        <v>398672.1831935831</v>
      </c>
      <c r="I45" s="94">
        <f>I44/24*1000*22.414/Analysis!J38</f>
        <v>7620.0020741854969</v>
      </c>
      <c r="J45" s="437"/>
      <c r="K45" s="94">
        <f>K44/24*1000*22.414/Analysis!L38</f>
        <v>10579.200589413138</v>
      </c>
      <c r="L45" s="94">
        <f>L44/24*1000*22.414/Analysis!M38</f>
        <v>11240.405821343584</v>
      </c>
      <c r="M45" s="94">
        <f>M44/24*1000*22.414/Analysis!N38</f>
        <v>11569.614560150691</v>
      </c>
      <c r="N45" s="94">
        <f>N44/24*1000*22.414/Analysis!O38</f>
        <v>11714.946748589853</v>
      </c>
      <c r="O45" s="94">
        <f>O44/24*1000*22.414/Analysis!P38</f>
        <v>12684.34368134818</v>
      </c>
      <c r="P45" s="94">
        <f>P44/24*1000*22.414/Analysis!Q38</f>
        <v>12550.820822227579</v>
      </c>
      <c r="Q45" s="94">
        <f>Q44/24*1000*22.414/Analysis!R38</f>
        <v>11562.602315254924</v>
      </c>
      <c r="R45" s="94">
        <f>R44/24*1000*22.414/Analysis!S38</f>
        <v>10116.410354394227</v>
      </c>
      <c r="S45" s="94">
        <f>S44/24*1000*22.414/Analysis!T38</f>
        <v>10035.372963442442</v>
      </c>
      <c r="T45" s="94">
        <f>T44/24*1000*22.414/Analysis!U38</f>
        <v>9139.2668170788747</v>
      </c>
      <c r="U45" s="94">
        <f>U44/24*1000*22.414/Analysis!V38</f>
        <v>8745.8711129395979</v>
      </c>
      <c r="V45" s="94">
        <f>V44/24*1000*22.414/Analysis!W38</f>
        <v>8290.9489127922261</v>
      </c>
      <c r="W45" s="94">
        <f>W44/24*1000*22.414/Analysis!X38</f>
        <v>9333.0437538421756</v>
      </c>
      <c r="X45" s="94">
        <f>X44/24*1000*22.414/Analysis!Y38</f>
        <v>7702.1153509472633</v>
      </c>
      <c r="Y45" s="94">
        <f>Y44/24*1000*22.414/Analysis!Z38</f>
        <v>10067.868890308691</v>
      </c>
      <c r="Z45" s="94">
        <f>Z44/24*1000*22.414/Analysis!AA38</f>
        <v>20352.112949161812</v>
      </c>
      <c r="AA45" s="94">
        <f>AA44/24*1000*22.414/Analysis!AB38</f>
        <v>20703.085899065154</v>
      </c>
      <c r="AB45" s="94">
        <f>AB44/24*1000*22.414/Analysis!AC38</f>
        <v>22143.333709942759</v>
      </c>
      <c r="AC45" s="94">
        <f>AC44/24*1000*22.414/Analysis!AD38</f>
        <v>17667.272992447168</v>
      </c>
      <c r="AD45" s="94">
        <f>AD44/24*1000*22.414/Analysis!AE38</f>
        <v>15438.223513882527</v>
      </c>
      <c r="AE45" s="94">
        <f>AE44/24*1000*22.414/Analysis!AF38</f>
        <v>16364.640155007175</v>
      </c>
      <c r="AF45" s="94">
        <f>AF44/24*1000*22.414/Analysis!AG38</f>
        <v>16398.769892989771</v>
      </c>
      <c r="AG45" s="94">
        <f>AG44/24*1000*22.414/Analysis!AH38</f>
        <v>15933.326738410749</v>
      </c>
      <c r="AH45" s="94">
        <f>AH44/24*1000*22.414/Analysis!AI38</f>
        <v>16215.103805133378</v>
      </c>
      <c r="AI45" s="94">
        <f>AI44/24*1000*22.414/Analysis!AJ38</f>
        <v>13925.02886864324</v>
      </c>
      <c r="AJ45" s="94">
        <f>AJ44/24*1000*22.414/Analysis!AK38</f>
        <v>12057.504202253747</v>
      </c>
      <c r="AK45" s="94">
        <f>AK44/24*1000*22.414/Analysis!AL38</f>
        <v>12125.025867898128</v>
      </c>
      <c r="AL45" s="94">
        <f>AL44/24*1000*22.414/Analysis!AM38</f>
        <v>12325.380830191205</v>
      </c>
      <c r="AM45" s="94">
        <f>AM44/24*1000*22.414/Analysis!AN38</f>
        <v>11724.394297163593</v>
      </c>
      <c r="AN45" s="94">
        <f>AN44/24*1000*22.414/Analysis!AO38</f>
        <v>12346.14470313379</v>
      </c>
      <c r="AO45" s="214"/>
      <c r="AP45" s="214"/>
      <c r="AQ45" s="214"/>
      <c r="AR45" s="214"/>
      <c r="AS45" s="214"/>
      <c r="AT45" s="214"/>
      <c r="AU45" s="214"/>
      <c r="AV45" s="214"/>
      <c r="AW45" s="214"/>
      <c r="AX45" s="214"/>
      <c r="AY45" s="214"/>
      <c r="AZ45" s="214"/>
      <c r="BA45" s="214"/>
      <c r="BB45" s="214"/>
      <c r="BC45" s="214"/>
      <c r="BD45" s="214"/>
      <c r="BE45" s="214"/>
      <c r="BF45" s="214"/>
      <c r="BG45" s="214"/>
      <c r="BH45" s="214"/>
      <c r="BI45" s="214"/>
      <c r="BJ45" s="214"/>
      <c r="BK45" s="214"/>
      <c r="BL45" s="214"/>
      <c r="BM45" s="214"/>
      <c r="BN45" s="214"/>
      <c r="BO45" s="214"/>
      <c r="BP45" s="214"/>
      <c r="BQ45" s="214"/>
      <c r="BR45" s="214"/>
      <c r="BS45" s="214"/>
      <c r="BT45" s="214"/>
      <c r="BU45" s="214"/>
      <c r="BV45" s="214"/>
      <c r="BW45" s="214"/>
      <c r="BX45" s="214"/>
      <c r="BY45" s="214"/>
      <c r="BZ45" s="214"/>
      <c r="CA45" s="214"/>
      <c r="CB45" s="214"/>
      <c r="CC45" s="214"/>
      <c r="CD45" s="214"/>
      <c r="CE45" s="214"/>
      <c r="CF45" s="214"/>
      <c r="CG45" s="214"/>
      <c r="CH45" s="214"/>
      <c r="CI45" s="214"/>
      <c r="CJ45" s="214"/>
      <c r="CK45" s="214"/>
      <c r="CL45" s="214"/>
      <c r="CM45" s="214"/>
      <c r="CN45" s="214"/>
      <c r="CO45" s="214"/>
      <c r="CP45" s="214"/>
      <c r="CQ45" s="214"/>
      <c r="CR45" s="214"/>
      <c r="CS45" s="214"/>
      <c r="CT45" s="214"/>
      <c r="CU45" s="214"/>
      <c r="CV45" s="214"/>
      <c r="CW45" s="214"/>
      <c r="CX45" s="214"/>
      <c r="CY45" s="214"/>
      <c r="CZ45" s="214"/>
      <c r="DA45" s="214"/>
      <c r="DB45" s="214"/>
      <c r="DC45" s="214"/>
      <c r="DD45" s="214"/>
      <c r="DE45" s="214"/>
      <c r="DF45" s="214"/>
      <c r="DG45" s="214"/>
      <c r="DH45" s="214"/>
      <c r="DI45" s="214"/>
      <c r="DJ45" s="214"/>
      <c r="DK45" s="214"/>
      <c r="DL45" s="214"/>
      <c r="DM45" s="214"/>
      <c r="DN45" s="214"/>
      <c r="DO45" s="214"/>
      <c r="DP45" s="214"/>
      <c r="DQ45" s="214"/>
      <c r="DR45" s="214"/>
      <c r="DS45" s="214"/>
      <c r="DT45" s="214"/>
      <c r="DU45" s="214"/>
      <c r="DV45" s="214"/>
      <c r="DW45" s="214"/>
      <c r="DX45" s="214"/>
      <c r="DY45" s="214"/>
      <c r="DZ45" s="214"/>
      <c r="EA45" s="214"/>
      <c r="EB45" s="214"/>
      <c r="EC45" s="214"/>
      <c r="ED45" s="214"/>
      <c r="EE45" s="214"/>
      <c r="EF45" s="214"/>
      <c r="EG45" s="214"/>
      <c r="EH45" s="214"/>
      <c r="EI45" s="214"/>
      <c r="EJ45" s="214"/>
      <c r="EK45" s="214"/>
      <c r="EL45" s="214"/>
      <c r="EM45" s="214"/>
      <c r="EN45" s="214"/>
      <c r="EO45" s="214"/>
      <c r="EP45" s="214"/>
      <c r="EQ45" s="214"/>
      <c r="ER45" s="214"/>
      <c r="ES45" s="214"/>
      <c r="ET45" s="214"/>
      <c r="EU45" s="214"/>
      <c r="EV45" s="214"/>
      <c r="EW45" s="214"/>
      <c r="EX45" s="214"/>
      <c r="EY45" s="214"/>
      <c r="EZ45" s="214"/>
      <c r="FA45" s="214"/>
      <c r="FB45" s="214"/>
      <c r="FC45" s="214"/>
      <c r="FD45" s="214"/>
      <c r="FE45" s="214"/>
      <c r="FF45" s="214"/>
      <c r="FG45" s="214"/>
      <c r="FH45" s="214"/>
      <c r="FI45" s="214"/>
      <c r="FJ45" s="214"/>
      <c r="FK45" s="214"/>
      <c r="FL45" s="214"/>
      <c r="FM45" s="214"/>
      <c r="FN45" s="214"/>
      <c r="FO45" s="214"/>
      <c r="FP45" s="214"/>
      <c r="FQ45" s="214"/>
      <c r="FR45" s="214"/>
      <c r="FS45" s="214"/>
      <c r="FT45" s="214"/>
      <c r="FU45" s="214"/>
      <c r="FV45" s="214"/>
      <c r="FW45" s="214"/>
      <c r="FX45" s="214"/>
      <c r="FY45" s="214"/>
      <c r="FZ45" s="214"/>
      <c r="GA45" s="214"/>
      <c r="GB45" s="214"/>
      <c r="GC45" s="214"/>
      <c r="GD45" s="214"/>
      <c r="GE45" s="214"/>
      <c r="GF45" s="214"/>
      <c r="GG45" s="214"/>
      <c r="GH45" s="214"/>
      <c r="GI45" s="214"/>
      <c r="GJ45" s="214"/>
      <c r="GK45" s="214"/>
      <c r="GL45" s="214"/>
      <c r="GM45" s="214"/>
      <c r="GN45" s="214"/>
      <c r="GO45" s="214"/>
      <c r="GP45" s="214"/>
      <c r="GQ45" s="214"/>
      <c r="GR45" s="214"/>
      <c r="GS45" s="214"/>
      <c r="GT45" s="214"/>
      <c r="GU45" s="214"/>
      <c r="GV45" s="214"/>
      <c r="GW45" s="214"/>
      <c r="GX45" s="214"/>
      <c r="GY45" s="214"/>
      <c r="GZ45" s="214"/>
      <c r="HA45" s="214"/>
      <c r="HB45" s="214"/>
      <c r="HC45" s="214"/>
      <c r="HD45" s="214"/>
      <c r="HE45" s="214"/>
      <c r="HF45" s="214"/>
      <c r="HG45" s="214"/>
      <c r="HH45" s="214"/>
      <c r="HI45" s="214"/>
      <c r="HJ45" s="214"/>
      <c r="HK45" s="214"/>
      <c r="HL45" s="214"/>
      <c r="HM45" s="214"/>
      <c r="HN45" s="214"/>
      <c r="HO45" s="214"/>
      <c r="HP45" s="214"/>
      <c r="HQ45" s="214"/>
      <c r="HR45" s="214"/>
      <c r="HS45" s="214"/>
      <c r="HT45" s="214"/>
      <c r="HU45" s="214"/>
      <c r="HV45" s="214"/>
      <c r="HW45" s="214"/>
      <c r="HX45" s="214"/>
      <c r="HY45" s="214"/>
      <c r="HZ45" s="214"/>
      <c r="IA45" s="214"/>
      <c r="IB45" s="214"/>
      <c r="IC45" s="214"/>
      <c r="ID45" s="214"/>
      <c r="IE45" s="214"/>
      <c r="IF45" s="214"/>
      <c r="IG45" s="214"/>
      <c r="IH45" s="214"/>
      <c r="II45" s="214"/>
      <c r="IJ45" s="214"/>
      <c r="IK45" s="214"/>
      <c r="IL45" s="214"/>
      <c r="IM45" s="214"/>
      <c r="IN45" s="214"/>
      <c r="IO45" s="214"/>
      <c r="IP45" s="214"/>
      <c r="IQ45" s="214"/>
      <c r="IR45" s="214"/>
      <c r="IS45" s="214"/>
      <c r="IT45" s="214"/>
      <c r="IU45" s="214"/>
      <c r="IV45" s="214"/>
      <c r="IW45" s="214"/>
      <c r="IX45" s="214"/>
      <c r="IY45" s="214"/>
      <c r="IZ45" s="214"/>
      <c r="JA45" s="214"/>
      <c r="JB45" s="214"/>
      <c r="JC45" s="214"/>
      <c r="JD45" s="214"/>
      <c r="JE45" s="214"/>
      <c r="JF45" s="214"/>
      <c r="JG45" s="214"/>
      <c r="JH45" s="214"/>
      <c r="JI45" s="214"/>
      <c r="JJ45" s="214"/>
      <c r="JK45" s="214"/>
      <c r="JL45" s="214"/>
      <c r="JM45" s="214"/>
      <c r="JN45" s="214"/>
      <c r="JO45" s="214"/>
      <c r="JP45" s="214"/>
      <c r="JQ45" s="214"/>
      <c r="JR45" s="214"/>
      <c r="JS45" s="214"/>
      <c r="JT45" s="214"/>
      <c r="JU45" s="214"/>
      <c r="JV45" s="214"/>
      <c r="JW45" s="214"/>
      <c r="JX45" s="214"/>
      <c r="JY45" s="214"/>
      <c r="JZ45" s="214"/>
      <c r="KA45" s="214"/>
      <c r="KB45" s="214"/>
      <c r="KC45" s="214"/>
      <c r="KD45" s="214"/>
      <c r="KE45" s="214"/>
      <c r="KF45" s="214"/>
      <c r="KG45" s="214"/>
      <c r="KH45" s="214"/>
      <c r="KI45" s="214"/>
      <c r="KJ45" s="214"/>
      <c r="KK45" s="214"/>
      <c r="KL45" s="214"/>
      <c r="KM45" s="214"/>
      <c r="KN45" s="214"/>
      <c r="KO45" s="214"/>
      <c r="KP45" s="214"/>
      <c r="KQ45" s="214"/>
      <c r="KR45" s="214"/>
      <c r="KS45" s="214"/>
      <c r="KT45" s="214"/>
      <c r="KU45" s="214"/>
      <c r="KV45" s="214"/>
      <c r="KW45" s="214"/>
      <c r="KX45" s="214"/>
      <c r="KY45" s="214"/>
      <c r="KZ45" s="214"/>
      <c r="LA45" s="214"/>
      <c r="LB45" s="214"/>
      <c r="LC45" s="214"/>
      <c r="LD45" s="214"/>
      <c r="LE45" s="214"/>
      <c r="LF45" s="214"/>
      <c r="LG45" s="214"/>
      <c r="LH45" s="214"/>
      <c r="LI45" s="214"/>
      <c r="LJ45" s="214"/>
      <c r="LK45" s="214"/>
      <c r="LL45" s="214"/>
      <c r="LM45" s="214"/>
      <c r="LN45" s="214"/>
      <c r="LO45" s="214"/>
      <c r="LP45" s="214"/>
      <c r="LQ45" s="214"/>
      <c r="LR45" s="214"/>
      <c r="LS45" s="214"/>
      <c r="LT45" s="214"/>
      <c r="LU45" s="214"/>
      <c r="LV45" s="214"/>
      <c r="LW45" s="214"/>
      <c r="LX45" s="214"/>
      <c r="LY45" s="214"/>
      <c r="LZ45" s="214"/>
      <c r="MA45" s="214"/>
      <c r="MB45" s="214"/>
      <c r="MC45" s="214"/>
      <c r="MD45" s="214"/>
      <c r="ME45" s="214"/>
      <c r="MF45" s="214"/>
      <c r="MG45" s="214"/>
      <c r="MH45" s="214"/>
      <c r="MI45" s="214"/>
      <c r="MJ45" s="214"/>
      <c r="MK45" s="214"/>
      <c r="ML45" s="214"/>
      <c r="MM45" s="214"/>
      <c r="MN45" s="214"/>
      <c r="MO45" s="214"/>
      <c r="MP45" s="214"/>
      <c r="MQ45" s="214"/>
      <c r="MR45" s="214"/>
      <c r="MS45" s="214"/>
      <c r="MT45" s="214"/>
      <c r="MU45" s="214"/>
      <c r="MV45" s="214"/>
      <c r="MW45" s="214"/>
      <c r="MX45" s="214"/>
      <c r="MY45" s="214"/>
      <c r="MZ45" s="214"/>
      <c r="NA45" s="214"/>
      <c r="NB45" s="214"/>
      <c r="NC45" s="214"/>
      <c r="ND45" s="214"/>
      <c r="NE45" s="214"/>
      <c r="NF45" s="214"/>
      <c r="NG45" s="214"/>
      <c r="NH45" s="214"/>
      <c r="NI45" s="214"/>
      <c r="NJ45" s="214"/>
      <c r="NK45" s="214"/>
      <c r="NL45" s="214"/>
      <c r="NM45" s="214"/>
      <c r="NN45" s="214"/>
      <c r="NO45" s="214"/>
      <c r="NP45" s="214"/>
      <c r="NQ45" s="214"/>
      <c r="NR45" s="214"/>
      <c r="NS45" s="214"/>
      <c r="NT45" s="214"/>
      <c r="NU45" s="214"/>
      <c r="NV45" s="214"/>
      <c r="NW45" s="214"/>
      <c r="NX45" s="214"/>
      <c r="NY45" s="214"/>
      <c r="NZ45" s="214"/>
      <c r="OA45" s="214"/>
      <c r="OB45" s="214"/>
      <c r="OC45" s="214"/>
      <c r="OD45" s="214"/>
      <c r="OE45" s="214"/>
      <c r="OF45" s="214"/>
      <c r="OG45" s="214"/>
      <c r="OH45" s="214"/>
      <c r="OI45" s="214"/>
      <c r="OJ45" s="214"/>
      <c r="OK45" s="214"/>
      <c r="OL45" s="214"/>
      <c r="OM45" s="214"/>
      <c r="ON45" s="214"/>
      <c r="OO45" s="214"/>
      <c r="OP45" s="214"/>
      <c r="OQ45" s="214"/>
      <c r="OR45" s="214"/>
      <c r="OS45" s="214"/>
      <c r="OT45" s="214"/>
      <c r="OU45" s="214"/>
      <c r="OV45" s="214"/>
      <c r="OW45" s="214"/>
      <c r="OX45" s="214"/>
      <c r="OY45" s="214"/>
      <c r="OZ45" s="214"/>
      <c r="PA45" s="214"/>
      <c r="PB45" s="214"/>
      <c r="PC45" s="214"/>
      <c r="PD45" s="214"/>
      <c r="PE45" s="214"/>
      <c r="PF45" s="214"/>
      <c r="PG45" s="214"/>
      <c r="PH45" s="214"/>
      <c r="PI45" s="214"/>
      <c r="PJ45" s="214"/>
      <c r="PK45" s="214"/>
      <c r="PL45" s="214"/>
      <c r="PM45" s="214"/>
      <c r="PN45" s="214"/>
      <c r="PO45" s="214"/>
      <c r="PP45" s="214"/>
      <c r="PQ45" s="214"/>
      <c r="PR45" s="214"/>
      <c r="PS45" s="214"/>
      <c r="PT45" s="214"/>
      <c r="PU45" s="214"/>
      <c r="PV45" s="214"/>
      <c r="PW45" s="214"/>
      <c r="PX45" s="214"/>
      <c r="PY45" s="214"/>
      <c r="PZ45" s="214"/>
      <c r="QA45" s="214"/>
      <c r="QB45" s="214"/>
      <c r="QC45" s="214"/>
      <c r="QD45" s="214"/>
      <c r="QE45" s="214"/>
      <c r="QF45" s="214"/>
      <c r="QG45" s="214"/>
      <c r="QH45" s="214"/>
      <c r="QI45" s="214"/>
      <c r="QJ45" s="214"/>
      <c r="QK45" s="214"/>
      <c r="QL45" s="214"/>
      <c r="QM45" s="214"/>
      <c r="QN45" s="214"/>
      <c r="QO45" s="214"/>
      <c r="QP45" s="214"/>
      <c r="QQ45" s="214"/>
      <c r="QR45" s="214"/>
      <c r="QS45" s="214"/>
      <c r="QT45" s="214"/>
      <c r="QU45" s="214"/>
      <c r="QV45" s="214"/>
      <c r="QW45" s="214"/>
      <c r="QX45" s="214"/>
      <c r="QY45" s="214"/>
      <c r="QZ45" s="214"/>
      <c r="RA45" s="214"/>
      <c r="RB45" s="214"/>
      <c r="RC45" s="214"/>
      <c r="RD45" s="214"/>
      <c r="RE45" s="214"/>
      <c r="RF45" s="214"/>
      <c r="RG45" s="214"/>
      <c r="RH45" s="214"/>
      <c r="RI45" s="214"/>
      <c r="RJ45" s="214"/>
      <c r="RK45" s="214"/>
      <c r="RL45" s="214"/>
      <c r="RM45" s="214"/>
      <c r="RN45" s="214"/>
      <c r="RO45" s="214"/>
      <c r="RP45" s="214"/>
      <c r="RQ45" s="214"/>
      <c r="RR45" s="214"/>
      <c r="RS45" s="214"/>
      <c r="RT45" s="214"/>
      <c r="RU45" s="214"/>
      <c r="RV45" s="214"/>
      <c r="RW45" s="214"/>
      <c r="RX45" s="214"/>
      <c r="RY45" s="214"/>
      <c r="RZ45" s="214"/>
      <c r="SA45" s="214"/>
      <c r="SB45" s="214"/>
      <c r="SC45" s="214"/>
      <c r="SD45" s="214"/>
      <c r="SE45" s="214"/>
      <c r="SF45" s="214"/>
      <c r="SG45" s="214"/>
      <c r="SH45" s="214"/>
      <c r="SI45" s="214"/>
      <c r="SJ45" s="214"/>
      <c r="SK45" s="214"/>
      <c r="SL45" s="214"/>
      <c r="SM45" s="214"/>
      <c r="SN45" s="214"/>
      <c r="SO45" s="214"/>
      <c r="SP45" s="214"/>
      <c r="SQ45" s="214"/>
      <c r="SR45" s="214"/>
      <c r="SS45" s="214"/>
      <c r="ST45" s="214"/>
      <c r="SU45" s="214"/>
      <c r="SV45" s="214"/>
      <c r="SW45" s="214"/>
      <c r="SX45" s="214"/>
      <c r="SY45" s="214"/>
      <c r="SZ45" s="214"/>
      <c r="TA45" s="214"/>
      <c r="TB45" s="214"/>
      <c r="TC45" s="214"/>
      <c r="TD45" s="214"/>
      <c r="TE45" s="214"/>
      <c r="TF45" s="214"/>
      <c r="TG45" s="214"/>
      <c r="TH45" s="214"/>
      <c r="TI45" s="214"/>
      <c r="TJ45" s="214"/>
      <c r="TK45" s="214"/>
      <c r="TL45" s="214"/>
      <c r="TM45" s="214"/>
      <c r="TN45" s="214"/>
      <c r="TO45" s="214"/>
      <c r="TP45" s="214"/>
      <c r="TQ45" s="214"/>
      <c r="TR45" s="214"/>
      <c r="TS45" s="214"/>
      <c r="TT45" s="214"/>
      <c r="TU45" s="214"/>
      <c r="TV45" s="214"/>
      <c r="TW45" s="214"/>
      <c r="TX45" s="214"/>
      <c r="TY45" s="214"/>
      <c r="TZ45" s="214"/>
      <c r="UA45" s="214"/>
      <c r="UB45" s="214"/>
      <c r="UC45" s="214"/>
      <c r="UD45" s="214"/>
      <c r="UE45" s="214"/>
      <c r="UF45" s="214"/>
      <c r="UG45" s="214"/>
      <c r="UH45" s="214"/>
      <c r="UI45" s="214"/>
      <c r="UJ45" s="214"/>
      <c r="UK45" s="214"/>
      <c r="UL45" s="214"/>
      <c r="UM45" s="214"/>
      <c r="UN45" s="214"/>
      <c r="UO45" s="214"/>
      <c r="UP45" s="214"/>
      <c r="UQ45" s="214"/>
      <c r="UR45" s="214"/>
      <c r="US45" s="214"/>
      <c r="UT45" s="214"/>
      <c r="UU45" s="214"/>
      <c r="UV45" s="214"/>
      <c r="UW45" s="214"/>
      <c r="UX45" s="214"/>
      <c r="UY45" s="214"/>
      <c r="UZ45" s="214"/>
      <c r="VA45" s="214"/>
      <c r="VB45" s="214"/>
      <c r="VC45" s="214"/>
      <c r="VD45" s="214"/>
      <c r="VE45" s="214"/>
      <c r="VF45" s="214"/>
      <c r="VG45" s="214"/>
      <c r="VH45" s="214"/>
      <c r="VI45" s="214"/>
      <c r="VJ45" s="214"/>
      <c r="VK45" s="214"/>
      <c r="VL45" s="214"/>
      <c r="VM45" s="214"/>
      <c r="VN45" s="214"/>
      <c r="VO45" s="214"/>
      <c r="VP45" s="214"/>
      <c r="VQ45" s="214"/>
      <c r="VR45" s="214"/>
      <c r="VS45" s="214"/>
      <c r="VT45" s="214"/>
      <c r="VU45" s="214"/>
      <c r="VV45" s="214"/>
      <c r="VW45" s="214"/>
      <c r="VX45" s="214"/>
      <c r="VY45" s="214"/>
      <c r="VZ45" s="214"/>
      <c r="WA45" s="214"/>
      <c r="WB45" s="214"/>
      <c r="WC45" s="214"/>
      <c r="WD45" s="214"/>
      <c r="WE45" s="214"/>
      <c r="WF45" s="214"/>
      <c r="WG45" s="214"/>
      <c r="WH45" s="214"/>
      <c r="WI45" s="214"/>
      <c r="WJ45" s="214"/>
      <c r="WK45" s="214"/>
      <c r="WL45" s="214"/>
      <c r="WM45" s="214"/>
      <c r="WN45" s="214"/>
      <c r="WO45" s="214"/>
      <c r="WP45" s="214"/>
      <c r="WQ45" s="214"/>
      <c r="WR45" s="214"/>
      <c r="WS45" s="214"/>
      <c r="WT45" s="214"/>
      <c r="WU45" s="214"/>
      <c r="WV45" s="214"/>
      <c r="WW45" s="214"/>
      <c r="WX45" s="214"/>
      <c r="WY45" s="214"/>
      <c r="WZ45" s="214"/>
      <c r="XA45" s="214"/>
      <c r="XB45" s="214"/>
      <c r="XC45" s="214"/>
      <c r="XD45" s="214"/>
      <c r="XE45" s="214"/>
      <c r="XF45" s="214"/>
      <c r="XG45" s="214"/>
      <c r="XH45" s="214"/>
      <c r="XI45" s="214"/>
      <c r="XJ45" s="214"/>
      <c r="XK45" s="214"/>
      <c r="XL45" s="214"/>
      <c r="XM45" s="214"/>
      <c r="XN45" s="214"/>
      <c r="XO45" s="214"/>
      <c r="XP45" s="214"/>
      <c r="XQ45" s="214"/>
      <c r="XR45" s="214"/>
      <c r="XS45" s="214"/>
      <c r="XT45" s="214"/>
      <c r="XU45" s="214"/>
      <c r="XV45" s="214"/>
      <c r="XW45" s="214"/>
      <c r="XX45" s="214"/>
      <c r="XY45" s="214"/>
      <c r="XZ45" s="214"/>
      <c r="YA45" s="214"/>
      <c r="YB45" s="214"/>
      <c r="YC45" s="214"/>
      <c r="YD45" s="214"/>
      <c r="YE45" s="214"/>
      <c r="YF45" s="214"/>
      <c r="YG45" s="214"/>
      <c r="YH45" s="214"/>
      <c r="YI45" s="214"/>
      <c r="YJ45" s="214"/>
      <c r="YK45" s="214"/>
      <c r="YL45" s="214"/>
      <c r="YM45" s="214"/>
      <c r="YN45" s="214"/>
      <c r="YO45" s="214"/>
      <c r="YP45" s="214"/>
      <c r="YQ45" s="214"/>
      <c r="YR45" s="214"/>
      <c r="YS45" s="214"/>
      <c r="YT45" s="214"/>
      <c r="YU45" s="214"/>
      <c r="YV45" s="214"/>
      <c r="YW45" s="214"/>
      <c r="YX45" s="214"/>
      <c r="YY45" s="214"/>
      <c r="YZ45" s="214"/>
      <c r="ZA45" s="214"/>
      <c r="ZB45" s="214"/>
      <c r="ZC45" s="214"/>
      <c r="ZD45" s="214"/>
      <c r="ZE45" s="214"/>
      <c r="ZF45" s="214"/>
      <c r="ZG45" s="214"/>
      <c r="ZH45" s="214"/>
      <c r="ZI45" s="214"/>
      <c r="ZJ45" s="214"/>
      <c r="ZK45" s="214"/>
      <c r="ZL45" s="214"/>
      <c r="ZM45" s="214"/>
      <c r="ZN45" s="214"/>
      <c r="ZO45" s="214"/>
      <c r="ZP45" s="214"/>
      <c r="ZQ45" s="214"/>
      <c r="ZR45" s="214"/>
      <c r="ZS45" s="214"/>
      <c r="ZT45" s="214"/>
      <c r="ZU45" s="214"/>
      <c r="ZV45" s="214"/>
      <c r="ZW45" s="214"/>
      <c r="ZX45" s="214"/>
      <c r="ZY45" s="214"/>
      <c r="ZZ45" s="214"/>
      <c r="AAA45" s="214"/>
      <c r="AAB45" s="214"/>
      <c r="AAC45" s="214"/>
      <c r="AAD45" s="214"/>
      <c r="AAE45" s="214"/>
      <c r="AAF45" s="214"/>
      <c r="AAG45" s="214"/>
      <c r="AAH45" s="214"/>
      <c r="AAI45" s="214"/>
      <c r="AAJ45" s="214"/>
      <c r="AAK45" s="214"/>
      <c r="AAL45" s="214"/>
      <c r="AAM45" s="214"/>
      <c r="AAN45" s="214"/>
      <c r="AAO45" s="214"/>
      <c r="AAP45" s="214"/>
      <c r="AAQ45" s="214"/>
      <c r="AAR45" s="214"/>
      <c r="AAS45" s="214"/>
      <c r="AAT45" s="214"/>
      <c r="AAU45" s="214"/>
      <c r="AAV45" s="214"/>
      <c r="AAW45" s="214"/>
      <c r="AAX45" s="214"/>
      <c r="AAY45" s="214"/>
      <c r="AAZ45" s="214"/>
      <c r="ABA45" s="214"/>
      <c r="ABB45" s="214"/>
      <c r="ABC45" s="214"/>
      <c r="ABD45" s="214"/>
      <c r="ABE45" s="214"/>
      <c r="ABF45" s="214"/>
      <c r="ABG45" s="214"/>
      <c r="ABH45" s="214"/>
      <c r="ABI45" s="214"/>
      <c r="ABJ45" s="214"/>
      <c r="ABK45" s="214"/>
      <c r="ABL45" s="214"/>
      <c r="ABM45" s="214"/>
      <c r="ABN45" s="214"/>
      <c r="ABO45" s="214"/>
      <c r="ABP45" s="214"/>
      <c r="ABQ45" s="214"/>
      <c r="ABR45" s="214"/>
      <c r="ABS45" s="214"/>
      <c r="ABT45" s="214"/>
      <c r="ABU45" s="214"/>
      <c r="ABV45" s="214"/>
      <c r="ABW45" s="214"/>
      <c r="ABX45" s="214"/>
      <c r="ABY45" s="214"/>
      <c r="ABZ45" s="214"/>
      <c r="ACA45" s="214"/>
      <c r="ACB45" s="214"/>
      <c r="ACC45" s="214"/>
      <c r="ACD45" s="214"/>
      <c r="ACE45" s="214"/>
      <c r="ACF45" s="214"/>
      <c r="ACG45" s="214"/>
      <c r="ACH45" s="214"/>
      <c r="ACI45" s="214"/>
      <c r="ACJ45" s="214"/>
      <c r="ACK45" s="214"/>
      <c r="ACL45" s="214"/>
      <c r="ACM45" s="214"/>
      <c r="ACN45" s="214"/>
      <c r="ACO45" s="214"/>
      <c r="ACP45" s="214"/>
      <c r="ACQ45" s="214"/>
      <c r="ACR45" s="214"/>
      <c r="ACS45" s="214"/>
      <c r="ACT45" s="214"/>
      <c r="ACU45" s="214"/>
      <c r="ACV45" s="214"/>
      <c r="ACW45" s="214"/>
      <c r="ACX45" s="214"/>
      <c r="ACY45" s="214"/>
      <c r="ACZ45" s="214"/>
      <c r="ADA45" s="214"/>
      <c r="ADB45" s="214"/>
      <c r="ADC45" s="214"/>
      <c r="ADD45" s="214"/>
      <c r="ADE45" s="214"/>
      <c r="ADF45" s="214"/>
      <c r="ADG45" s="214"/>
      <c r="ADH45" s="214"/>
      <c r="ADI45" s="214"/>
      <c r="ADJ45" s="214"/>
      <c r="ADK45" s="214"/>
      <c r="ADL45" s="214"/>
      <c r="ADM45" s="214"/>
      <c r="ADN45" s="214"/>
      <c r="ADO45" s="214"/>
      <c r="ADP45" s="214"/>
      <c r="ADQ45" s="214"/>
      <c r="ADR45" s="214"/>
      <c r="ADS45" s="214"/>
      <c r="ADT45" s="214"/>
      <c r="ADU45" s="214"/>
      <c r="ADV45" s="214"/>
      <c r="ADW45" s="214"/>
      <c r="ADX45" s="214"/>
      <c r="ADY45" s="214"/>
      <c r="ADZ45" s="214"/>
      <c r="AEA45" s="214"/>
      <c r="AEB45" s="214"/>
      <c r="AEC45" s="214"/>
      <c r="AED45" s="214"/>
      <c r="AEE45" s="214"/>
      <c r="AEF45" s="214"/>
      <c r="AEG45" s="214"/>
      <c r="AEH45" s="214"/>
      <c r="AEI45" s="214"/>
      <c r="AEJ45" s="214"/>
      <c r="AEK45" s="214"/>
      <c r="AEL45" s="214"/>
      <c r="AEM45" s="214"/>
      <c r="AEN45" s="214"/>
      <c r="AEO45" s="214"/>
      <c r="AEP45" s="214"/>
      <c r="AEQ45" s="214"/>
      <c r="AER45" s="214"/>
      <c r="AES45" s="214"/>
      <c r="AET45" s="214"/>
      <c r="AEU45" s="214"/>
      <c r="AEV45" s="214"/>
      <c r="AEW45" s="214"/>
      <c r="AEX45" s="214"/>
      <c r="AEY45" s="214"/>
      <c r="AEZ45" s="214"/>
      <c r="AFA45" s="214"/>
      <c r="AFB45" s="214"/>
      <c r="AFC45" s="214"/>
      <c r="AFD45" s="214"/>
      <c r="AFE45" s="214"/>
      <c r="AFF45" s="214"/>
      <c r="AFG45" s="214"/>
      <c r="AFH45" s="214"/>
      <c r="AFI45" s="214"/>
      <c r="AFJ45" s="214"/>
      <c r="AFK45" s="214"/>
      <c r="AFL45" s="214"/>
      <c r="AFM45" s="214"/>
      <c r="AFN45" s="214"/>
      <c r="AFO45" s="214"/>
      <c r="AFP45" s="214"/>
      <c r="AFQ45" s="214"/>
      <c r="AFR45" s="214"/>
      <c r="AFS45" s="214"/>
      <c r="AFT45" s="214"/>
      <c r="AFU45" s="214"/>
      <c r="AFV45" s="214"/>
      <c r="AFW45" s="214"/>
      <c r="AFX45" s="214"/>
      <c r="AFY45" s="214"/>
      <c r="AFZ45" s="214"/>
      <c r="AGA45" s="214"/>
      <c r="AGB45" s="214"/>
      <c r="AGC45" s="214"/>
      <c r="AGD45" s="214"/>
      <c r="AGE45" s="214"/>
      <c r="AGF45" s="214"/>
      <c r="AGG45" s="214"/>
      <c r="AGH45" s="214"/>
      <c r="AGI45" s="214"/>
      <c r="AGJ45" s="214"/>
      <c r="AGK45" s="214"/>
      <c r="AGL45" s="214"/>
      <c r="AGM45" s="214"/>
      <c r="AGN45" s="214"/>
      <c r="AGO45" s="214"/>
      <c r="AGP45" s="214"/>
      <c r="AGQ45" s="214"/>
      <c r="AGR45" s="214"/>
      <c r="AGS45" s="214"/>
      <c r="AGT45" s="214"/>
      <c r="AGU45" s="214"/>
      <c r="AGV45" s="214"/>
      <c r="AGW45" s="214"/>
      <c r="AGX45" s="214"/>
      <c r="AGY45" s="214"/>
      <c r="AGZ45" s="214"/>
      <c r="AHA45" s="214"/>
      <c r="AHB45" s="214"/>
      <c r="AHC45" s="214"/>
      <c r="AHD45" s="214"/>
      <c r="AHE45" s="214"/>
      <c r="AHF45" s="214"/>
      <c r="AHG45" s="214"/>
      <c r="AHH45" s="214"/>
      <c r="AHI45" s="214"/>
      <c r="AHJ45" s="214"/>
      <c r="AHK45" s="214"/>
      <c r="AHL45" s="214"/>
      <c r="AHM45" s="214"/>
      <c r="AHN45" s="214"/>
      <c r="AHO45" s="214"/>
      <c r="AHP45" s="214"/>
      <c r="AHQ45" s="214"/>
      <c r="AHR45" s="214"/>
      <c r="AHS45" s="214"/>
      <c r="AHT45" s="214"/>
      <c r="AHU45" s="214"/>
      <c r="AHV45" s="214"/>
      <c r="AHW45" s="214"/>
      <c r="AHX45" s="214"/>
      <c r="AHY45" s="214"/>
      <c r="AHZ45" s="214"/>
      <c r="AIA45" s="214"/>
      <c r="AIB45" s="214"/>
      <c r="AIC45" s="214"/>
      <c r="AID45" s="214"/>
      <c r="AIE45" s="214"/>
      <c r="AIF45" s="214"/>
      <c r="AIG45" s="214"/>
      <c r="AIH45" s="214"/>
      <c r="AII45" s="214"/>
      <c r="AIJ45" s="214"/>
      <c r="AIK45" s="214"/>
      <c r="AIL45" s="214"/>
      <c r="AIM45" s="214"/>
      <c r="AIN45" s="214"/>
      <c r="AIO45" s="214"/>
      <c r="AIP45" s="214"/>
      <c r="AIQ45" s="214"/>
      <c r="AIR45" s="214"/>
      <c r="AIS45" s="214"/>
      <c r="AIT45" s="214"/>
      <c r="AIU45" s="214"/>
      <c r="AIV45" s="214"/>
      <c r="AIW45" s="214"/>
      <c r="AIX45" s="214"/>
      <c r="AIY45" s="214"/>
      <c r="AIZ45" s="214"/>
      <c r="AJA45" s="214"/>
      <c r="AJB45" s="214"/>
      <c r="AJC45" s="214"/>
      <c r="AJD45" s="214"/>
      <c r="AJE45" s="214"/>
      <c r="AJF45" s="214"/>
      <c r="AJG45" s="214"/>
      <c r="AJH45" s="214"/>
      <c r="AJI45" s="214"/>
      <c r="AJJ45" s="214"/>
      <c r="AJK45" s="214"/>
      <c r="AJL45" s="214"/>
      <c r="AJM45" s="214"/>
      <c r="AJN45" s="214"/>
      <c r="AJO45" s="214"/>
      <c r="AJP45" s="214"/>
      <c r="AJQ45" s="214"/>
      <c r="AJR45" s="214"/>
      <c r="AJS45" s="214"/>
      <c r="AJT45" s="214"/>
      <c r="AJU45" s="214"/>
      <c r="AJV45" s="214"/>
      <c r="AJW45" s="214"/>
      <c r="AJX45" s="214"/>
      <c r="AJY45" s="214"/>
      <c r="AJZ45" s="214"/>
      <c r="AKA45" s="214"/>
      <c r="AKB45" s="214"/>
      <c r="AKC45" s="214"/>
      <c r="AKD45" s="214"/>
      <c r="AKE45" s="214"/>
      <c r="AKF45" s="214"/>
      <c r="AKG45" s="214"/>
      <c r="AKH45" s="214"/>
      <c r="AKI45" s="214"/>
      <c r="AKJ45" s="214"/>
      <c r="AKK45" s="214"/>
      <c r="AKL45" s="214"/>
      <c r="AKM45" s="214"/>
      <c r="AKN45" s="214"/>
      <c r="AKO45" s="214"/>
      <c r="AKP45" s="214"/>
      <c r="AKQ45" s="214"/>
      <c r="AKR45" s="214"/>
      <c r="AKS45" s="214"/>
      <c r="AKT45" s="214"/>
      <c r="AKU45" s="214"/>
      <c r="AKV45" s="214"/>
      <c r="AKW45" s="214"/>
      <c r="AKX45" s="214"/>
      <c r="AKY45" s="214"/>
      <c r="AKZ45" s="214"/>
      <c r="ALA45" s="214"/>
      <c r="ALB45" s="214"/>
      <c r="ALC45" s="214"/>
      <c r="ALD45" s="214"/>
      <c r="ALE45" s="214"/>
      <c r="ALF45" s="214"/>
      <c r="ALG45" s="214"/>
      <c r="ALH45" s="214"/>
      <c r="ALI45" s="214"/>
      <c r="ALJ45" s="214"/>
      <c r="ALK45" s="214"/>
      <c r="ALL45" s="214"/>
      <c r="ALM45" s="214"/>
      <c r="ALN45" s="214"/>
      <c r="ALO45" s="214"/>
      <c r="ALP45" s="214"/>
      <c r="ALQ45" s="214"/>
      <c r="ALR45" s="214"/>
      <c r="ALS45" s="214"/>
      <c r="ALT45" s="214"/>
      <c r="ALU45" s="214"/>
      <c r="ALV45" s="214"/>
      <c r="ALW45" s="214"/>
      <c r="ALX45" s="214"/>
      <c r="ALY45" s="214"/>
      <c r="ALZ45" s="214"/>
      <c r="AMA45" s="214"/>
      <c r="AMB45" s="214"/>
      <c r="AMC45" s="214"/>
      <c r="AMD45" s="214"/>
      <c r="AME45" s="214"/>
      <c r="AMF45" s="214"/>
      <c r="AMG45" s="214"/>
      <c r="AMH45" s="214"/>
      <c r="AMI45" s="214"/>
      <c r="AMJ45" s="214"/>
      <c r="AMK45" s="214"/>
      <c r="AML45" s="214"/>
      <c r="AMM45" s="214"/>
      <c r="AMN45" s="214"/>
      <c r="AMO45" s="214"/>
      <c r="AMP45" s="214"/>
      <c r="AMQ45" s="214"/>
      <c r="AMR45" s="214"/>
      <c r="AMS45" s="214"/>
      <c r="AMT45" s="214"/>
      <c r="AMU45" s="214"/>
      <c r="AMV45" s="214"/>
      <c r="AMW45" s="214"/>
      <c r="AMX45" s="214"/>
      <c r="AMY45" s="214"/>
      <c r="AMZ45" s="214"/>
      <c r="ANA45" s="214"/>
      <c r="ANB45" s="214"/>
      <c r="ANC45" s="214"/>
      <c r="AND45" s="214"/>
      <c r="ANE45" s="214"/>
      <c r="ANF45" s="214"/>
      <c r="ANG45" s="214"/>
      <c r="ANH45" s="214"/>
      <c r="ANI45" s="214"/>
      <c r="ANJ45" s="214"/>
      <c r="ANK45" s="214"/>
      <c r="ANL45" s="214"/>
      <c r="ANM45" s="214"/>
      <c r="ANN45" s="214"/>
      <c r="ANO45" s="214"/>
      <c r="ANP45" s="214"/>
      <c r="ANQ45" s="214"/>
      <c r="ANR45" s="214"/>
      <c r="ANS45" s="214"/>
      <c r="ANT45" s="214"/>
      <c r="ANU45" s="214"/>
      <c r="ANV45" s="214"/>
      <c r="ANW45" s="214"/>
      <c r="ANX45" s="214"/>
      <c r="ANY45" s="214"/>
      <c r="ANZ45" s="214"/>
      <c r="AOA45" s="214"/>
      <c r="AOB45" s="214"/>
      <c r="AOC45" s="214"/>
      <c r="AOD45" s="214"/>
      <c r="AOE45" s="214"/>
      <c r="AOF45" s="214"/>
      <c r="AOG45" s="214"/>
      <c r="AOH45" s="214"/>
      <c r="AOI45" s="214"/>
      <c r="AOJ45" s="214"/>
      <c r="AOK45" s="214"/>
      <c r="AOL45" s="214"/>
      <c r="AOM45" s="214"/>
      <c r="AON45" s="214"/>
      <c r="AOO45" s="214"/>
      <c r="AOP45" s="214"/>
      <c r="AOQ45" s="214"/>
      <c r="AOR45" s="214"/>
      <c r="AOS45" s="214"/>
      <c r="AOT45" s="214"/>
      <c r="AOU45" s="214"/>
      <c r="AOV45" s="214"/>
      <c r="AOW45" s="214"/>
      <c r="AOX45" s="214"/>
      <c r="AOY45" s="214"/>
      <c r="AOZ45" s="214"/>
      <c r="APA45" s="214"/>
      <c r="APB45" s="214"/>
      <c r="APC45" s="214"/>
      <c r="APD45" s="214"/>
      <c r="APE45" s="214"/>
      <c r="APF45" s="214"/>
      <c r="APG45" s="214"/>
      <c r="APH45" s="214"/>
      <c r="API45" s="214"/>
      <c r="APJ45" s="214"/>
      <c r="APK45" s="214"/>
      <c r="APL45" s="214"/>
      <c r="APM45" s="214"/>
      <c r="APN45" s="214"/>
      <c r="APO45" s="214"/>
      <c r="APP45" s="214"/>
      <c r="APQ45" s="214"/>
      <c r="APR45" s="214"/>
      <c r="APS45" s="214"/>
      <c r="APT45" s="214"/>
      <c r="APU45" s="214"/>
      <c r="APV45" s="214"/>
      <c r="APW45" s="214"/>
      <c r="APX45" s="214"/>
      <c r="APY45" s="214"/>
      <c r="APZ45" s="214"/>
      <c r="AQA45" s="214"/>
      <c r="AQB45" s="214"/>
      <c r="AQC45" s="214"/>
      <c r="AQD45" s="214"/>
      <c r="AQE45" s="214"/>
      <c r="AQF45" s="214"/>
      <c r="AQG45" s="214"/>
      <c r="AQH45" s="214"/>
      <c r="AQI45" s="214"/>
      <c r="AQJ45" s="214"/>
      <c r="AQK45" s="214"/>
      <c r="AQL45" s="214"/>
      <c r="AQM45" s="214"/>
      <c r="AQN45" s="214"/>
      <c r="AQO45" s="214"/>
      <c r="AQP45" s="214"/>
      <c r="AQQ45" s="214"/>
      <c r="AQR45" s="214"/>
      <c r="AQS45" s="214"/>
      <c r="AQT45" s="214"/>
      <c r="AQU45" s="214"/>
      <c r="AQV45" s="214"/>
      <c r="AQW45" s="214"/>
      <c r="AQX45" s="214"/>
      <c r="AQY45" s="214"/>
      <c r="AQZ45" s="214"/>
      <c r="ARA45" s="214"/>
      <c r="ARB45" s="214"/>
      <c r="ARC45" s="214"/>
      <c r="ARD45" s="214"/>
      <c r="ARE45" s="214"/>
      <c r="ARF45" s="214"/>
      <c r="ARG45" s="214"/>
      <c r="ARH45" s="214"/>
      <c r="ARI45" s="214"/>
      <c r="ARJ45" s="214"/>
      <c r="ARK45" s="214"/>
      <c r="ARL45" s="214"/>
      <c r="ARM45" s="214"/>
      <c r="ARN45" s="214"/>
      <c r="ARO45" s="214"/>
      <c r="ARP45" s="214"/>
      <c r="ARQ45" s="214"/>
      <c r="ARR45" s="214"/>
      <c r="ARS45" s="214"/>
      <c r="ART45" s="214"/>
      <c r="ARU45" s="214"/>
      <c r="ARV45" s="214"/>
      <c r="ARW45" s="214"/>
      <c r="ARX45" s="214"/>
      <c r="ARY45" s="214"/>
      <c r="ARZ45" s="214"/>
      <c r="ASA45" s="214"/>
      <c r="ASB45" s="214"/>
      <c r="ASC45" s="214"/>
      <c r="ASD45" s="214"/>
      <c r="ASE45" s="214"/>
      <c r="ASF45" s="214"/>
      <c r="ASG45" s="214"/>
      <c r="ASH45" s="214"/>
      <c r="ASI45" s="214"/>
      <c r="ASJ45" s="214"/>
      <c r="ASK45" s="214"/>
      <c r="ASL45" s="214"/>
      <c r="ASM45" s="214"/>
      <c r="ASN45" s="214"/>
      <c r="ASO45" s="214"/>
      <c r="ASP45" s="214"/>
      <c r="ASQ45" s="214"/>
      <c r="ASR45" s="214"/>
      <c r="ASS45" s="214"/>
      <c r="AST45" s="214"/>
      <c r="ASU45" s="214"/>
      <c r="ASV45" s="214"/>
      <c r="ASW45" s="214"/>
      <c r="ASX45" s="214"/>
      <c r="ASY45" s="214"/>
      <c r="ASZ45" s="214"/>
      <c r="ATA45" s="214"/>
      <c r="ATB45" s="214"/>
      <c r="ATC45" s="214"/>
      <c r="ATD45" s="214"/>
      <c r="ATE45" s="214"/>
      <c r="ATF45" s="214"/>
      <c r="ATG45" s="214"/>
      <c r="ATH45" s="214"/>
      <c r="ATI45" s="214"/>
      <c r="ATJ45" s="214"/>
      <c r="ATK45" s="214"/>
      <c r="ATL45" s="214"/>
      <c r="ATM45" s="214"/>
      <c r="ATN45" s="214"/>
      <c r="ATO45" s="214"/>
      <c r="ATP45" s="214"/>
      <c r="ATQ45" s="214"/>
      <c r="ATR45" s="214"/>
      <c r="ATS45" s="214"/>
      <c r="ATT45" s="214"/>
      <c r="ATU45" s="214"/>
      <c r="ATV45" s="214"/>
      <c r="ATW45" s="214"/>
      <c r="ATX45" s="214"/>
      <c r="ATY45" s="214"/>
      <c r="ATZ45" s="214"/>
      <c r="AUA45" s="214"/>
      <c r="AUB45" s="214"/>
      <c r="AUC45" s="214"/>
      <c r="AUD45" s="214"/>
      <c r="AUE45" s="214"/>
      <c r="AUF45" s="214"/>
      <c r="AUG45" s="214"/>
      <c r="AUH45" s="214"/>
      <c r="AUI45" s="214"/>
      <c r="AUJ45" s="214"/>
      <c r="AUK45" s="214"/>
      <c r="AUL45" s="214"/>
      <c r="AUM45" s="214"/>
      <c r="AUN45" s="214"/>
      <c r="AUO45" s="214"/>
      <c r="AUP45" s="214"/>
      <c r="AUQ45" s="214"/>
      <c r="AUR45" s="214"/>
      <c r="AUS45" s="214"/>
      <c r="AUT45" s="214"/>
      <c r="AUU45" s="214"/>
      <c r="AUV45" s="214"/>
      <c r="AUW45" s="214"/>
      <c r="AUX45" s="214"/>
      <c r="AUY45" s="214"/>
      <c r="AUZ45" s="214"/>
      <c r="AVA45" s="214"/>
      <c r="AVB45" s="214"/>
      <c r="AVC45" s="214"/>
      <c r="AVD45" s="214"/>
      <c r="AVE45" s="214"/>
      <c r="AVF45" s="214"/>
      <c r="AVG45" s="214"/>
      <c r="AVH45" s="214"/>
      <c r="AVI45" s="214"/>
      <c r="AVJ45" s="214"/>
      <c r="AVK45" s="214"/>
      <c r="AVL45" s="214"/>
      <c r="AVM45" s="214"/>
      <c r="AVN45" s="214"/>
      <c r="AVO45" s="214"/>
      <c r="AVP45" s="214"/>
      <c r="AVQ45" s="214"/>
      <c r="AVR45" s="214"/>
      <c r="AVS45" s="214"/>
      <c r="AVT45" s="214"/>
      <c r="AVU45" s="214"/>
      <c r="AVV45" s="214"/>
      <c r="AVW45" s="214"/>
      <c r="AVX45" s="214"/>
      <c r="AVY45" s="214"/>
      <c r="AVZ45" s="214"/>
      <c r="AWA45" s="214"/>
      <c r="AWB45" s="214"/>
      <c r="AWC45" s="214"/>
      <c r="AWD45" s="214"/>
      <c r="AWE45" s="214"/>
      <c r="AWF45" s="214"/>
      <c r="AWG45" s="214"/>
      <c r="AWH45" s="214"/>
      <c r="AWI45" s="214"/>
      <c r="AWJ45" s="214"/>
      <c r="AWK45" s="214"/>
      <c r="AWL45" s="214"/>
      <c r="AWM45" s="214"/>
      <c r="AWN45" s="214"/>
      <c r="AWO45" s="214"/>
      <c r="AWP45" s="214"/>
      <c r="AWQ45" s="214"/>
      <c r="AWR45" s="214"/>
      <c r="AWS45" s="214"/>
      <c r="AWT45" s="214"/>
      <c r="AWU45" s="214"/>
      <c r="AWV45" s="214"/>
      <c r="AWW45" s="214"/>
      <c r="AWX45" s="214"/>
      <c r="AWY45" s="214"/>
      <c r="AWZ45" s="214"/>
      <c r="AXA45" s="214"/>
      <c r="AXB45" s="214"/>
      <c r="AXC45" s="214"/>
      <c r="AXD45" s="214"/>
      <c r="AXE45" s="214"/>
      <c r="AXF45" s="214"/>
      <c r="AXG45" s="214"/>
      <c r="AXH45" s="214"/>
      <c r="AXI45" s="214"/>
      <c r="AXJ45" s="214"/>
      <c r="AXK45" s="214"/>
      <c r="AXL45" s="214"/>
      <c r="AXM45" s="214"/>
      <c r="AXN45" s="214"/>
      <c r="AXO45" s="214"/>
      <c r="AXP45" s="214"/>
      <c r="AXQ45" s="214"/>
      <c r="AXR45" s="214"/>
      <c r="AXS45" s="214"/>
      <c r="AXT45" s="214"/>
      <c r="AXU45" s="214"/>
      <c r="AXV45" s="214"/>
      <c r="AXW45" s="214"/>
      <c r="AXX45" s="214"/>
      <c r="AXY45" s="214"/>
      <c r="AXZ45" s="214"/>
      <c r="AYA45" s="214"/>
      <c r="AYB45" s="214"/>
      <c r="AYC45" s="214"/>
      <c r="AYD45" s="214"/>
      <c r="AYE45" s="214"/>
      <c r="AYF45" s="214"/>
      <c r="AYG45" s="214"/>
      <c r="AYH45" s="214"/>
      <c r="AYI45" s="214"/>
      <c r="AYJ45" s="214"/>
      <c r="AYK45" s="214"/>
      <c r="AYL45" s="214"/>
      <c r="AYM45" s="214"/>
      <c r="AYN45" s="214"/>
      <c r="AYO45" s="214"/>
      <c r="AYP45" s="214"/>
      <c r="AYQ45" s="214"/>
      <c r="AYR45" s="214"/>
      <c r="AYS45" s="214"/>
      <c r="AYT45" s="214"/>
      <c r="AYU45" s="214"/>
      <c r="AYV45" s="214"/>
      <c r="AYW45" s="214"/>
      <c r="AYX45" s="214"/>
      <c r="AYY45" s="214"/>
      <c r="AYZ45" s="214"/>
      <c r="AZA45" s="214"/>
      <c r="AZB45" s="214"/>
      <c r="AZC45" s="214"/>
      <c r="AZD45" s="214"/>
      <c r="AZE45" s="214"/>
      <c r="AZF45" s="214"/>
      <c r="AZG45" s="214"/>
      <c r="AZH45" s="214"/>
      <c r="AZI45" s="214"/>
      <c r="AZJ45" s="214"/>
      <c r="AZK45" s="214"/>
      <c r="AZL45" s="214"/>
      <c r="AZM45" s="214"/>
      <c r="AZN45" s="214"/>
      <c r="AZO45" s="214"/>
      <c r="AZP45" s="214"/>
      <c r="AZQ45" s="214"/>
      <c r="AZR45" s="214"/>
      <c r="AZS45" s="214"/>
      <c r="AZT45" s="214"/>
      <c r="AZU45" s="214"/>
      <c r="AZV45" s="214"/>
      <c r="AZW45" s="214"/>
      <c r="AZX45" s="214"/>
      <c r="AZY45" s="214"/>
      <c r="AZZ45" s="214"/>
      <c r="BAA45" s="214"/>
      <c r="BAB45" s="214"/>
      <c r="BAC45" s="214"/>
      <c r="BAD45" s="214"/>
      <c r="BAE45" s="214"/>
      <c r="BAF45" s="214"/>
      <c r="BAG45" s="214"/>
      <c r="BAH45" s="214"/>
      <c r="BAI45" s="214"/>
      <c r="BAJ45" s="214"/>
      <c r="BAK45" s="214"/>
      <c r="BAL45" s="214"/>
      <c r="BAM45" s="214"/>
      <c r="BAN45" s="214"/>
      <c r="BAO45" s="214"/>
      <c r="BAP45" s="214"/>
      <c r="BAQ45" s="214"/>
      <c r="BAR45" s="214"/>
      <c r="BAS45" s="214"/>
      <c r="BAT45" s="214"/>
      <c r="BAU45" s="214"/>
      <c r="BAV45" s="214"/>
      <c r="BAW45" s="214"/>
      <c r="BAX45" s="214"/>
      <c r="BAY45" s="214"/>
      <c r="BAZ45" s="214"/>
      <c r="BBA45" s="214"/>
      <c r="BBB45" s="214"/>
      <c r="BBC45" s="214"/>
      <c r="BBD45" s="214"/>
      <c r="BBE45" s="214"/>
      <c r="BBF45" s="214"/>
      <c r="BBG45" s="214"/>
      <c r="BBH45" s="214"/>
      <c r="BBI45" s="214"/>
      <c r="BBJ45" s="214"/>
      <c r="BBK45" s="214"/>
      <c r="BBL45" s="214"/>
      <c r="BBM45" s="214"/>
      <c r="BBN45" s="214"/>
      <c r="BBO45" s="214"/>
      <c r="BBP45" s="214"/>
      <c r="BBQ45" s="214"/>
      <c r="BBR45" s="214"/>
      <c r="BBS45" s="214"/>
      <c r="BBT45" s="214"/>
      <c r="BBU45" s="214"/>
      <c r="BBV45" s="214"/>
      <c r="BBW45" s="214"/>
      <c r="BBX45" s="214"/>
      <c r="BBY45" s="214"/>
      <c r="BBZ45" s="214"/>
      <c r="BCA45" s="214"/>
      <c r="BCB45" s="214"/>
      <c r="BCC45" s="214"/>
      <c r="BCD45" s="214"/>
      <c r="BCE45" s="214"/>
      <c r="BCF45" s="214"/>
      <c r="BCG45" s="214"/>
      <c r="BCH45" s="214"/>
      <c r="BCI45" s="214"/>
      <c r="BCJ45" s="214"/>
      <c r="BCK45" s="214"/>
      <c r="BCL45" s="214"/>
      <c r="BCM45" s="214"/>
      <c r="BCN45" s="214"/>
      <c r="BCO45" s="214"/>
      <c r="BCP45" s="214"/>
      <c r="BCQ45" s="214"/>
      <c r="BCR45" s="214"/>
      <c r="BCS45" s="214"/>
      <c r="BCT45" s="214"/>
      <c r="BCU45" s="214"/>
      <c r="BCV45" s="214"/>
      <c r="BCW45" s="214"/>
      <c r="BCX45" s="214"/>
      <c r="BCY45" s="214"/>
      <c r="BCZ45" s="214"/>
      <c r="BDA45" s="214"/>
      <c r="BDB45" s="214"/>
      <c r="BDC45" s="214"/>
      <c r="BDD45" s="214"/>
      <c r="BDE45" s="214"/>
      <c r="BDF45" s="214"/>
      <c r="BDG45" s="214"/>
      <c r="BDH45" s="214"/>
      <c r="BDI45" s="214"/>
      <c r="BDJ45" s="214"/>
      <c r="BDK45" s="214"/>
      <c r="BDL45" s="214"/>
      <c r="BDM45" s="214"/>
      <c r="BDN45" s="214"/>
      <c r="BDO45" s="214"/>
      <c r="BDP45" s="214"/>
      <c r="BDQ45" s="214"/>
      <c r="BDR45" s="214"/>
      <c r="BDS45" s="214"/>
      <c r="BDT45" s="214"/>
      <c r="BDU45" s="214"/>
      <c r="BDV45" s="214"/>
      <c r="BDW45" s="214"/>
      <c r="BDX45" s="214"/>
      <c r="BDY45" s="214"/>
      <c r="BDZ45" s="214"/>
      <c r="BEA45" s="214"/>
      <c r="BEB45" s="214"/>
      <c r="BEC45" s="214"/>
      <c r="BED45" s="214"/>
      <c r="BEE45" s="214"/>
      <c r="BEF45" s="214"/>
      <c r="BEG45" s="214"/>
      <c r="BEH45" s="214"/>
      <c r="BEI45" s="214"/>
      <c r="BEJ45" s="214"/>
      <c r="BEK45" s="214"/>
      <c r="BEL45" s="214"/>
      <c r="BEM45" s="214"/>
      <c r="BEN45" s="214"/>
      <c r="BEO45" s="214"/>
      <c r="BEP45" s="214"/>
      <c r="BEQ45" s="214"/>
      <c r="BER45" s="214"/>
      <c r="BES45" s="214"/>
      <c r="BET45" s="214"/>
      <c r="BEU45" s="214"/>
      <c r="BEV45" s="214"/>
      <c r="BEW45" s="214"/>
      <c r="BEX45" s="214"/>
      <c r="BEY45" s="214"/>
      <c r="BEZ45" s="214"/>
      <c r="BFA45" s="214"/>
      <c r="BFB45" s="214"/>
      <c r="BFC45" s="214"/>
      <c r="BFD45" s="214"/>
      <c r="BFE45" s="214"/>
      <c r="BFF45" s="214"/>
      <c r="BFG45" s="214"/>
      <c r="BFH45" s="214"/>
      <c r="BFI45" s="214"/>
      <c r="BFJ45" s="214"/>
      <c r="BFK45" s="214"/>
      <c r="BFL45" s="214"/>
      <c r="BFM45" s="214"/>
      <c r="BFN45" s="214"/>
      <c r="BFO45" s="214"/>
      <c r="BFP45" s="214"/>
      <c r="BFQ45" s="214"/>
      <c r="BFR45" s="214"/>
      <c r="BFS45" s="214"/>
      <c r="BFT45" s="214"/>
      <c r="BFU45" s="214"/>
      <c r="BFV45" s="214"/>
      <c r="BFW45" s="214"/>
      <c r="BFX45" s="214"/>
      <c r="BFY45" s="214"/>
      <c r="BFZ45" s="214"/>
      <c r="BGA45" s="214"/>
      <c r="BGB45" s="214"/>
      <c r="BGC45" s="214"/>
      <c r="BGD45" s="214"/>
      <c r="BGE45" s="214"/>
      <c r="BGF45" s="214"/>
      <c r="BGG45" s="214"/>
      <c r="BGH45" s="214"/>
      <c r="BGI45" s="214"/>
      <c r="BGJ45" s="214"/>
      <c r="BGK45" s="214"/>
      <c r="BGL45" s="214"/>
      <c r="BGM45" s="214"/>
      <c r="BGN45" s="214"/>
      <c r="BGO45" s="214"/>
      <c r="BGP45" s="214"/>
      <c r="BGQ45" s="214"/>
      <c r="BGR45" s="214"/>
      <c r="BGS45" s="214"/>
      <c r="BGT45" s="214"/>
      <c r="BGU45" s="214"/>
      <c r="BGV45" s="214"/>
      <c r="BGW45" s="214"/>
      <c r="BGX45" s="214"/>
      <c r="BGY45" s="214"/>
      <c r="BGZ45" s="214"/>
      <c r="BHA45" s="214"/>
      <c r="BHB45" s="214"/>
      <c r="BHC45" s="214"/>
      <c r="BHD45" s="214"/>
      <c r="BHE45" s="214"/>
      <c r="BHF45" s="214"/>
      <c r="BHG45" s="214"/>
      <c r="BHH45" s="214"/>
      <c r="BHI45" s="214"/>
      <c r="BHJ45" s="214"/>
      <c r="BHK45" s="214"/>
      <c r="BHL45" s="214"/>
      <c r="BHM45" s="214"/>
      <c r="BHN45" s="214"/>
      <c r="BHO45" s="214"/>
      <c r="BHP45" s="214"/>
      <c r="BHQ45" s="214"/>
      <c r="BHR45" s="214"/>
      <c r="BHS45" s="214"/>
      <c r="BHT45" s="214"/>
      <c r="BHU45" s="214"/>
      <c r="BHV45" s="214"/>
      <c r="BHW45" s="214"/>
    </row>
    <row r="46" spans="1:1583" s="215" customFormat="1" ht="15.75" thickBot="1">
      <c r="A46" s="82" t="s">
        <v>54</v>
      </c>
      <c r="B46" s="192" t="s">
        <v>366</v>
      </c>
      <c r="C46" s="416" t="s">
        <v>487</v>
      </c>
      <c r="D46" s="416" t="s">
        <v>487</v>
      </c>
      <c r="E46" s="296" t="s">
        <v>45</v>
      </c>
      <c r="F46" s="297">
        <v>46726</v>
      </c>
      <c r="G46" s="60" t="s">
        <v>700</v>
      </c>
      <c r="H46" s="473">
        <f t="shared" si="15"/>
        <v>962476.63381627027</v>
      </c>
      <c r="I46" s="299">
        <f>VLOOKUP($B46,'DCS Data'!$E$2:$AJ$100,MATCH('Daily Report'!I$1,'DCS Data'!$E$2:$AJ$2,0),0)</f>
        <v>24821.648272001585</v>
      </c>
      <c r="J46" s="255"/>
      <c r="K46" s="299">
        <f>VLOOKUP($B46,'DCS Data'!$E$2:$AJ$100,MATCH('Daily Report'!K$1,'DCS Data'!$E$2:$AJ$2,0),0)</f>
        <v>28786.419802355646</v>
      </c>
      <c r="L46" s="299">
        <f>VLOOKUP($B46,'DCS Data'!$E$2:$AJ$100,MATCH('Daily Report'!L$1,'DCS Data'!$E$2:$AJ$2,0),0)</f>
        <v>30135.142238979675</v>
      </c>
      <c r="M46" s="299">
        <f>VLOOKUP($B46,'DCS Data'!$E$2:$AJ$100,MATCH('Daily Report'!M$1,'DCS Data'!$E$2:$AJ$2,0),0)</f>
        <v>29695.881975565651</v>
      </c>
      <c r="N46" s="299">
        <f>VLOOKUP($B46,'DCS Data'!$E$2:$AJ$100,MATCH('Daily Report'!N$1,'DCS Data'!$E$2:$AJ$2,0),0)</f>
        <v>30106.10532008181</v>
      </c>
      <c r="O46" s="299">
        <f>VLOOKUP($B46,'DCS Data'!$E$2:$AJ$100,MATCH('Daily Report'!O$1,'DCS Data'!$E$2:$AJ$2,0),0)</f>
        <v>29652.103570232077</v>
      </c>
      <c r="P46" s="299">
        <f>VLOOKUP($B46,'DCS Data'!$E$2:$AJ$100,MATCH('Daily Report'!P$1,'DCS Data'!$E$2:$AJ$2,0),0)</f>
        <v>28896.148915372716</v>
      </c>
      <c r="Q46" s="299">
        <f>VLOOKUP($B46,'DCS Data'!$E$2:$AJ$100,MATCH('Daily Report'!Q$1,'DCS Data'!$E$2:$AJ$2,0),0)</f>
        <v>28592.455342415771</v>
      </c>
      <c r="R46" s="299">
        <f>VLOOKUP($B46,'DCS Data'!$E$2:$AJ$100,MATCH('Daily Report'!R$1,'DCS Data'!$E$2:$AJ$2,0),0)</f>
        <v>27476.735462374305</v>
      </c>
      <c r="S46" s="299">
        <f>VLOOKUP($B46,'DCS Data'!$E$2:$AJ$100,MATCH('Daily Report'!S$1,'DCS Data'!$E$2:$AJ$2,0),0)</f>
        <v>26490.609012312812</v>
      </c>
      <c r="T46" s="299">
        <f>VLOOKUP($B46,'DCS Data'!$E$2:$AJ$100,MATCH('Daily Report'!T$1,'DCS Data'!$E$2:$AJ$2,0),0)</f>
        <v>27179.611520078826</v>
      </c>
      <c r="U46" s="299">
        <f>VLOOKUP($B46,'DCS Data'!$E$2:$AJ$100,MATCH('Daily Report'!U$1,'DCS Data'!$E$2:$AJ$2,0),0)</f>
        <v>27922.320866853672</v>
      </c>
      <c r="V46" s="299">
        <f>VLOOKUP($B46,'DCS Data'!$E$2:$AJ$100,MATCH('Daily Report'!V$1,'DCS Data'!$E$2:$AJ$2,0),0)</f>
        <v>25221.500999294254</v>
      </c>
      <c r="W46" s="299">
        <f>VLOOKUP($B46,'DCS Data'!$E$2:$AJ$100,MATCH('Daily Report'!W$1,'DCS Data'!$E$2:$AJ$2,0),0)</f>
        <v>25518.395886534181</v>
      </c>
      <c r="X46" s="299">
        <f>VLOOKUP($B46,'DCS Data'!$E$2:$AJ$100,MATCH('Daily Report'!X$1,'DCS Data'!$E$2:$AJ$2,0),0)</f>
        <v>25565.752398007033</v>
      </c>
      <c r="Y46" s="299">
        <f>VLOOKUP($B46,'DCS Data'!$E$2:$AJ$100,MATCH('Daily Report'!Y$1,'DCS Data'!$E$2:$AJ$2,0),0)</f>
        <v>29566.340197711903</v>
      </c>
      <c r="Z46" s="299">
        <f>VLOOKUP($B46,'DCS Data'!$E$2:$AJ$100,MATCH('Daily Report'!Z$1,'DCS Data'!$E$2:$AJ$2,0),0)</f>
        <v>37084.687179358691</v>
      </c>
      <c r="AA46" s="299">
        <f>VLOOKUP($B46,'DCS Data'!$E$2:$AJ$100,MATCH('Daily Report'!AA$1,'DCS Data'!$E$2:$AJ$2,0),0)</f>
        <v>35882.165146766798</v>
      </c>
      <c r="AB46" s="299">
        <f>VLOOKUP($B46,'DCS Data'!$E$2:$AJ$100,MATCH('Daily Report'!AB$1,'DCS Data'!$E$2:$AJ$2,0),0)</f>
        <v>39787.871147612655</v>
      </c>
      <c r="AC46" s="299">
        <f>VLOOKUP($B46,'DCS Data'!$E$2:$AJ$100,MATCH('Daily Report'!AC$1,'DCS Data'!$E$2:$AJ$2,0),0)</f>
        <v>35808.777743694867</v>
      </c>
      <c r="AD46" s="299">
        <f>VLOOKUP($B46,'DCS Data'!$E$2:$AJ$100,MATCH('Daily Report'!AD$1,'DCS Data'!$E$2:$AJ$2,0),0)</f>
        <v>34506.198833106551</v>
      </c>
      <c r="AE46" s="299">
        <f>VLOOKUP($B46,'DCS Data'!$E$2:$AJ$100,MATCH('Daily Report'!AE$1,'DCS Data'!$E$2:$AJ$2,0),0)</f>
        <v>35198.428783817122</v>
      </c>
      <c r="AF46" s="299">
        <f>VLOOKUP($B46,'DCS Data'!$E$2:$AJ$100,MATCH('Daily Report'!AF$1,'DCS Data'!$E$2:$AJ$2,0),0)</f>
        <v>35595.842339191528</v>
      </c>
      <c r="AG46" s="299">
        <f>VLOOKUP($B46,'DCS Data'!$E$2:$AJ$100,MATCH('Daily Report'!AG$1,'DCS Data'!$E$2:$AJ$2,0),0)</f>
        <v>35091.332265103185</v>
      </c>
      <c r="AH46" s="299">
        <f>VLOOKUP($B46,'DCS Data'!$E$2:$AJ$100,MATCH('Daily Report'!AH$1,'DCS Data'!$E$2:$AJ$2,0),0)</f>
        <v>35063.166439094057</v>
      </c>
      <c r="AI46" s="299">
        <f>VLOOKUP($B46,'DCS Data'!$E$2:$AJ$100,MATCH('Daily Report'!AI$1,'DCS Data'!$E$2:$AJ$2,0),0)</f>
        <v>32154.115892091224</v>
      </c>
      <c r="AJ46" s="299">
        <f>VLOOKUP($B46,'DCS Data'!$E$2:$AJ$100,MATCH('Daily Report'!AJ$1,'DCS Data'!$E$2:$AJ$2,0),0)</f>
        <v>31066.67737845219</v>
      </c>
      <c r="AK46" s="299">
        <f>VLOOKUP($B46,'DCS Data'!$E$2:$AJ$100,MATCH('Daily Report'!AK$1,'DCS Data'!$E$2:$AJ$2,0),0)</f>
        <v>32209.792310582681</v>
      </c>
      <c r="AL46" s="299">
        <f>VLOOKUP($B46,'DCS Data'!$E$2:$AJ$100,MATCH('Daily Report'!AL$1,'DCS Data'!$E$2:$AJ$2,0),0)</f>
        <v>32590.045945105634</v>
      </c>
      <c r="AM46" s="299">
        <f>VLOOKUP($B46,'DCS Data'!$E$2:$AJ$100,MATCH('Daily Report'!AM$1,'DCS Data'!$E$2:$AJ$2,0),0)</f>
        <v>31520.243132175619</v>
      </c>
      <c r="AN46" s="299">
        <f>VLOOKUP($B46,'DCS Data'!$E$2:$AJ$100,MATCH('Daily Report'!AN$1,'DCS Data'!$E$2:$AJ$2,0),0)</f>
        <v>33290.117499945402</v>
      </c>
    </row>
    <row r="47" spans="1:1583" s="216" customFormat="1">
      <c r="A47" s="251" t="s">
        <v>55</v>
      </c>
      <c r="B47" s="184" t="s">
        <v>367</v>
      </c>
      <c r="C47" s="416" t="s">
        <v>488</v>
      </c>
      <c r="D47" s="416" t="s">
        <v>488</v>
      </c>
      <c r="E47" s="63" t="s">
        <v>45</v>
      </c>
      <c r="F47" s="131">
        <v>10653</v>
      </c>
      <c r="G47" s="60" t="s">
        <v>701</v>
      </c>
      <c r="H47" s="473">
        <f t="shared" si="15"/>
        <v>144354.37295695863</v>
      </c>
      <c r="I47" s="95">
        <f>VLOOKUP($B47,'DCS Data'!$E$2:$AJ$100,MATCH('Daily Report'!I$1,'DCS Data'!$E$2:$AJ$2,0),0)</f>
        <v>4285.6783627754085</v>
      </c>
      <c r="J47" s="255"/>
      <c r="K47" s="112">
        <f>VLOOKUP($B47,'DCS Data'!$E$2:$AJ$100,MATCH('Daily Report'!K$1,'DCS Data'!$E$2:$AJ$2,0),0)</f>
        <v>5028.6919690782861</v>
      </c>
      <c r="L47" s="112">
        <f>VLOOKUP($B47,'DCS Data'!$E$2:$AJ$100,MATCH('Daily Report'!L$1,'DCS Data'!$E$2:$AJ$2,0),0)</f>
        <v>5042.1981168464927</v>
      </c>
      <c r="M47" s="112">
        <f>VLOOKUP($B47,'DCS Data'!$E$2:$AJ$100,MATCH('Daily Report'!M$1,'DCS Data'!$E$2:$AJ$2,0),0)</f>
        <v>4953.8759906511987</v>
      </c>
      <c r="N47" s="112">
        <f>VLOOKUP($B47,'DCS Data'!$E$2:$AJ$100,MATCH('Daily Report'!N$1,'DCS Data'!$E$2:$AJ$2,0),0)</f>
        <v>5149.5744272560905</v>
      </c>
      <c r="O47" s="112">
        <f>VLOOKUP($B47,'DCS Data'!$E$2:$AJ$100,MATCH('Daily Report'!O$1,'DCS Data'!$E$2:$AJ$2,0),0)</f>
        <v>4129.7023907346538</v>
      </c>
      <c r="P47" s="112">
        <f>VLOOKUP($B47,'DCS Data'!$E$2:$AJ$100,MATCH('Daily Report'!P$1,'DCS Data'!$E$2:$AJ$2,0),0)</f>
        <v>3857.6451405416519</v>
      </c>
      <c r="Q47" s="112">
        <f>VLOOKUP($B47,'DCS Data'!$E$2:$AJ$100,MATCH('Daily Report'!Q$1,'DCS Data'!$E$2:$AJ$2,0),0)</f>
        <v>4032.531640245184</v>
      </c>
      <c r="R47" s="112">
        <f>VLOOKUP($B47,'DCS Data'!$E$2:$AJ$100,MATCH('Daily Report'!R$1,'DCS Data'!$E$2:$AJ$2,0),0)</f>
        <v>3879.2520645413674</v>
      </c>
      <c r="S47" s="112">
        <f>VLOOKUP($B47,'DCS Data'!$E$2:$AJ$100,MATCH('Daily Report'!S$1,'DCS Data'!$E$2:$AJ$2,0),0)</f>
        <v>3608.1028706321486</v>
      </c>
      <c r="T47" s="112">
        <f>VLOOKUP($B47,'DCS Data'!$E$2:$AJ$100,MATCH('Daily Report'!T$1,'DCS Data'!$E$2:$AJ$2,0),0)</f>
        <v>4019.4915045653402</v>
      </c>
      <c r="U47" s="112">
        <f>VLOOKUP($B47,'DCS Data'!$E$2:$AJ$100,MATCH('Daily Report'!U$1,'DCS Data'!$E$2:$AJ$2,0),0)</f>
        <v>4358.4766765780269</v>
      </c>
      <c r="V47" s="112">
        <f>VLOOKUP($B47,'DCS Data'!$E$2:$AJ$100,MATCH('Daily Report'!V$1,'DCS Data'!$E$2:$AJ$2,0),0)</f>
        <v>3043.4933560878171</v>
      </c>
      <c r="W47" s="112">
        <f>VLOOKUP($B47,'DCS Data'!$E$2:$AJ$100,MATCH('Daily Report'!W$1,'DCS Data'!$E$2:$AJ$2,0),0)</f>
        <v>2988.4809031126565</v>
      </c>
      <c r="X47" s="112">
        <f>VLOOKUP($B47,'DCS Data'!$E$2:$AJ$100,MATCH('Daily Report'!X$1,'DCS Data'!$E$2:$AJ$2,0),0)</f>
        <v>3343.9569045884832</v>
      </c>
      <c r="Y47" s="112">
        <f>VLOOKUP($B47,'DCS Data'!$E$2:$AJ$100,MATCH('Daily Report'!Y$1,'DCS Data'!$E$2:$AJ$2,0),0)</f>
        <v>4493.3132462217318</v>
      </c>
      <c r="Z47" s="112">
        <f>VLOOKUP($B47,'DCS Data'!$E$2:$AJ$100,MATCH('Daily Report'!Z$1,'DCS Data'!$E$2:$AJ$2,0),0)</f>
        <v>5596.0269065701923</v>
      </c>
      <c r="AA47" s="112">
        <f>VLOOKUP($B47,'DCS Data'!$E$2:$AJ$100,MATCH('Daily Report'!AA$1,'DCS Data'!$E$2:$AJ$2,0),0)</f>
        <v>5420.7370938069243</v>
      </c>
      <c r="AB47" s="112">
        <f>VLOOKUP($B47,'DCS Data'!$E$2:$AJ$100,MATCH('Daily Report'!AB$1,'DCS Data'!$E$2:$AJ$2,0),0)</f>
        <v>5536.2503182542259</v>
      </c>
      <c r="AC47" s="112">
        <f>VLOOKUP($B47,'DCS Data'!$E$2:$AJ$100,MATCH('Daily Report'!AC$1,'DCS Data'!$E$2:$AJ$2,0),0)</f>
        <v>5208.7093169724067</v>
      </c>
      <c r="AD47" s="112">
        <f>VLOOKUP($B47,'DCS Data'!$E$2:$AJ$100,MATCH('Daily Report'!AD$1,'DCS Data'!$E$2:$AJ$2,0),0)</f>
        <v>5046.1599703983666</v>
      </c>
      <c r="AE47" s="112">
        <f>VLOOKUP($B47,'DCS Data'!$E$2:$AJ$100,MATCH('Daily Report'!AE$1,'DCS Data'!$E$2:$AJ$2,0),0)</f>
        <v>5122.1943420331963</v>
      </c>
      <c r="AF47" s="112">
        <f>VLOOKUP($B47,'DCS Data'!$E$2:$AJ$100,MATCH('Daily Report'!AF$1,'DCS Data'!$E$2:$AJ$2,0),0)</f>
        <v>5195.8352246091135</v>
      </c>
      <c r="AG47" s="112">
        <f>VLOOKUP($B47,'DCS Data'!$E$2:$AJ$100,MATCH('Daily Report'!AG$1,'DCS Data'!$E$2:$AJ$2,0),0)</f>
        <v>5158.5778627088739</v>
      </c>
      <c r="AH47" s="112">
        <f>VLOOKUP($B47,'DCS Data'!$E$2:$AJ$100,MATCH('Daily Report'!AH$1,'DCS Data'!$E$2:$AJ$2,0),0)</f>
        <v>5157.0843116332289</v>
      </c>
      <c r="AI47" s="112">
        <f>VLOOKUP($B47,'DCS Data'!$E$2:$AJ$100,MATCH('Daily Report'!AI$1,'DCS Data'!$E$2:$AJ$2,0),0)</f>
        <v>5003.7884152739916</v>
      </c>
      <c r="AJ47" s="112">
        <f>VLOOKUP($B47,'DCS Data'!$E$2:$AJ$100,MATCH('Daily Report'!AJ$1,'DCS Data'!$E$2:$AJ$2,0),0)</f>
        <v>4965.169829679885</v>
      </c>
      <c r="AK47" s="112">
        <f>VLOOKUP($B47,'DCS Data'!$E$2:$AJ$100,MATCH('Daily Report'!AK$1,'DCS Data'!$E$2:$AJ$2,0),0)</f>
        <v>5164.8143058177739</v>
      </c>
      <c r="AL47" s="112">
        <f>VLOOKUP($B47,'DCS Data'!$E$2:$AJ$100,MATCH('Daily Report'!AL$1,'DCS Data'!$E$2:$AJ$2,0),0)</f>
        <v>5194.8340140065939</v>
      </c>
      <c r="AM47" s="112">
        <f>VLOOKUP($B47,'DCS Data'!$E$2:$AJ$100,MATCH('Daily Report'!AM$1,'DCS Data'!$E$2:$AJ$2,0),0)</f>
        <v>5135.6710447092919</v>
      </c>
      <c r="AN47" s="112">
        <f>VLOOKUP($B47,'DCS Data'!$E$2:$AJ$100,MATCH('Daily Report'!AN$1,'DCS Data'!$E$2:$AJ$2,0),0)</f>
        <v>5234.0544360280192</v>
      </c>
    </row>
    <row r="48" spans="1:1583" s="217" customFormat="1">
      <c r="A48" s="261"/>
      <c r="B48" s="180" t="s">
        <v>368</v>
      </c>
      <c r="C48" s="416" t="s">
        <v>489</v>
      </c>
      <c r="D48" s="416" t="s">
        <v>489</v>
      </c>
      <c r="E48" s="59" t="s">
        <v>45</v>
      </c>
      <c r="F48" s="132">
        <v>10653</v>
      </c>
      <c r="G48" s="60" t="s">
        <v>702</v>
      </c>
      <c r="H48" s="473">
        <f t="shared" si="15"/>
        <v>144048.44849284957</v>
      </c>
      <c r="I48" s="92">
        <f>VLOOKUP($B48,'DCS Data'!$E$2:$AJ$100,MATCH('Daily Report'!I$1,'DCS Data'!$E$2:$AJ$2,0),0)</f>
        <v>4276.2712917689014</v>
      </c>
      <c r="J48" s="255"/>
      <c r="K48" s="111">
        <f>VLOOKUP($B48,'DCS Data'!$E$2:$AJ$100,MATCH('Daily Report'!K$1,'DCS Data'!$E$2:$AJ$2,0),0)</f>
        <v>5019.5818263574211</v>
      </c>
      <c r="L48" s="111">
        <f>VLOOKUP($B48,'DCS Data'!$E$2:$AJ$100,MATCH('Daily Report'!L$1,'DCS Data'!$E$2:$AJ$2,0),0)</f>
        <v>5033.490096446475</v>
      </c>
      <c r="M48" s="111">
        <f>VLOOKUP($B48,'DCS Data'!$E$2:$AJ$100,MATCH('Daily Report'!M$1,'DCS Data'!$E$2:$AJ$2,0),0)</f>
        <v>4944.7210685256714</v>
      </c>
      <c r="N48" s="111">
        <f>VLOOKUP($B48,'DCS Data'!$E$2:$AJ$100,MATCH('Daily Report'!N$1,'DCS Data'!$E$2:$AJ$2,0),0)</f>
        <v>5140.0735932567541</v>
      </c>
      <c r="O48" s="111">
        <f>VLOOKUP($B48,'DCS Data'!$E$2:$AJ$100,MATCH('Daily Report'!O$1,'DCS Data'!$E$2:$AJ$2,0),0)</f>
        <v>4119.7339960971658</v>
      </c>
      <c r="P48" s="111">
        <f>VLOOKUP($B48,'DCS Data'!$E$2:$AJ$100,MATCH('Daily Report'!P$1,'DCS Data'!$E$2:$AJ$2,0),0)</f>
        <v>3847.2568300078615</v>
      </c>
      <c r="Q48" s="111">
        <f>VLOOKUP($B48,'DCS Data'!$E$2:$AJ$100,MATCH('Daily Report'!Q$1,'DCS Data'!$E$2:$AJ$2,0),0)</f>
        <v>4022.6475556192513</v>
      </c>
      <c r="R48" s="111">
        <f>VLOOKUP($B48,'DCS Data'!$E$2:$AJ$100,MATCH('Daily Report'!R$1,'DCS Data'!$E$2:$AJ$2,0),0)</f>
        <v>3868.9917892390986</v>
      </c>
      <c r="S48" s="111">
        <f>VLOOKUP($B48,'DCS Data'!$E$2:$AJ$100,MATCH('Daily Report'!S$1,'DCS Data'!$E$2:$AJ$2,0),0)</f>
        <v>3597.6639405856263</v>
      </c>
      <c r="T48" s="111">
        <f>VLOOKUP($B48,'DCS Data'!$E$2:$AJ$100,MATCH('Daily Report'!T$1,'DCS Data'!$E$2:$AJ$2,0),0)</f>
        <v>4009.6531414387518</v>
      </c>
      <c r="U48" s="111">
        <f>VLOOKUP($B48,'DCS Data'!$E$2:$AJ$100,MATCH('Daily Report'!U$1,'DCS Data'!$E$2:$AJ$2,0),0)</f>
        <v>4349.0286542152207</v>
      </c>
      <c r="V48" s="111">
        <f>VLOOKUP($B48,'DCS Data'!$E$2:$AJ$100,MATCH('Daily Report'!V$1,'DCS Data'!$E$2:$AJ$2,0),0)</f>
        <v>3032.2901763967393</v>
      </c>
      <c r="W48" s="111">
        <f>VLOOKUP($B48,'DCS Data'!$E$2:$AJ$100,MATCH('Daily Report'!W$1,'DCS Data'!$E$2:$AJ$2,0),0)</f>
        <v>2977.3840084370263</v>
      </c>
      <c r="X48" s="111">
        <f>VLOOKUP($B48,'DCS Data'!$E$2:$AJ$100,MATCH('Daily Report'!X$1,'DCS Data'!$E$2:$AJ$2,0),0)</f>
        <v>3332.8176378104386</v>
      </c>
      <c r="Y48" s="111">
        <f>VLOOKUP($B48,'DCS Data'!$E$2:$AJ$100,MATCH('Daily Report'!Y$1,'DCS Data'!$E$2:$AJ$2,0),0)</f>
        <v>4483.8372252301642</v>
      </c>
      <c r="Z48" s="111">
        <f>VLOOKUP($B48,'DCS Data'!$E$2:$AJ$100,MATCH('Daily Report'!Z$1,'DCS Data'!$E$2:$AJ$2,0),0)</f>
        <v>5586.7676125281114</v>
      </c>
      <c r="AA48" s="111">
        <f>VLOOKUP($B48,'DCS Data'!$E$2:$AJ$100,MATCH('Daily Report'!AA$1,'DCS Data'!$E$2:$AJ$2,0),0)</f>
        <v>5411.5402895295947</v>
      </c>
      <c r="AB48" s="111">
        <f>VLOOKUP($B48,'DCS Data'!$E$2:$AJ$100,MATCH('Daily Report'!AB$1,'DCS Data'!$E$2:$AJ$2,0),0)</f>
        <v>5526.0116918245894</v>
      </c>
      <c r="AC48" s="111">
        <f>VLOOKUP($B48,'DCS Data'!$E$2:$AJ$100,MATCH('Daily Report'!AC$1,'DCS Data'!$E$2:$AJ$2,0),0)</f>
        <v>5198.6593288285358</v>
      </c>
      <c r="AD48" s="111">
        <f>VLOOKUP($B48,'DCS Data'!$E$2:$AJ$100,MATCH('Daily Report'!AD$1,'DCS Data'!$E$2:$AJ$2,0),0)</f>
        <v>5036.0342399890524</v>
      </c>
      <c r="AE48" s="111">
        <f>VLOOKUP($B48,'DCS Data'!$E$2:$AJ$100,MATCH('Daily Report'!AE$1,'DCS Data'!$E$2:$AJ$2,0),0)</f>
        <v>5112.5100797197219</v>
      </c>
      <c r="AF48" s="111">
        <f>VLOOKUP($B48,'DCS Data'!$E$2:$AJ$100,MATCH('Daily Report'!AF$1,'DCS Data'!$E$2:$AJ$2,0),0)</f>
        <v>5185.6322096815738</v>
      </c>
      <c r="AG48" s="111">
        <f>VLOOKUP($B48,'DCS Data'!$E$2:$AJ$100,MATCH('Daily Report'!AG$1,'DCS Data'!$E$2:$AJ$2,0),0)</f>
        <v>5148.3285874199164</v>
      </c>
      <c r="AH48" s="111">
        <f>VLOOKUP($B48,'DCS Data'!$E$2:$AJ$100,MATCH('Daily Report'!AH$1,'DCS Data'!$E$2:$AJ$2,0),0)</f>
        <v>5147.0867216526913</v>
      </c>
      <c r="AI48" s="111">
        <f>VLOOKUP($B48,'DCS Data'!$E$2:$AJ$100,MATCH('Daily Report'!AI$1,'DCS Data'!$E$2:$AJ$2,0),0)</f>
        <v>4994.2496221017964</v>
      </c>
      <c r="AJ48" s="111">
        <f>VLOOKUP($B48,'DCS Data'!$E$2:$AJ$100,MATCH('Daily Report'!AJ$1,'DCS Data'!$E$2:$AJ$2,0),0)</f>
        <v>4955.3887521175657</v>
      </c>
      <c r="AK48" s="111">
        <f>VLOOKUP($B48,'DCS Data'!$E$2:$AJ$100,MATCH('Daily Report'!AK$1,'DCS Data'!$E$2:$AJ$2,0),0)</f>
        <v>5155.6111224412307</v>
      </c>
      <c r="AL48" s="111">
        <f>VLOOKUP($B48,'DCS Data'!$E$2:$AJ$100,MATCH('Daily Report'!AL$1,'DCS Data'!$E$2:$AJ$2,0),0)</f>
        <v>5184.9065346962934</v>
      </c>
      <c r="AM48" s="111">
        <f>VLOOKUP($B48,'DCS Data'!$E$2:$AJ$100,MATCH('Daily Report'!AM$1,'DCS Data'!$E$2:$AJ$2,0),0)</f>
        <v>5125.8335506726035</v>
      </c>
      <c r="AN48" s="111">
        <f>VLOOKUP($B48,'DCS Data'!$E$2:$AJ$100,MATCH('Daily Report'!AN$1,'DCS Data'!$E$2:$AJ$2,0),0)</f>
        <v>5224.4453182136867</v>
      </c>
    </row>
    <row r="49" spans="1:1583" s="217" customFormat="1">
      <c r="A49" s="252" t="s">
        <v>56</v>
      </c>
      <c r="B49" s="180" t="s">
        <v>369</v>
      </c>
      <c r="C49" s="416" t="s">
        <v>490</v>
      </c>
      <c r="D49" s="416" t="s">
        <v>490</v>
      </c>
      <c r="E49" s="59" t="s">
        <v>45</v>
      </c>
      <c r="F49" s="132">
        <f>AVERAGE(F47:F48)</f>
        <v>10653</v>
      </c>
      <c r="G49" s="60" t="s">
        <v>703</v>
      </c>
      <c r="H49" s="473">
        <f t="shared" si="15"/>
        <v>144200.5663680243</v>
      </c>
      <c r="I49" s="92">
        <f>VLOOKUP($B49,'DCS Data'!$E$2:$AJ$100,MATCH('Daily Report'!I$1,'DCS Data'!$E$2:$AJ$2,0),0)</f>
        <v>4280.8488642959255</v>
      </c>
      <c r="J49" s="255"/>
      <c r="K49" s="111">
        <f>VLOOKUP($B49,'DCS Data'!$E$2:$AJ$100,MATCH('Daily Report'!K$1,'DCS Data'!$E$2:$AJ$2,0),0)</f>
        <v>5024.1801575809268</v>
      </c>
      <c r="L49" s="111">
        <f>VLOOKUP($B49,'DCS Data'!$E$2:$AJ$100,MATCH('Daily Report'!L$1,'DCS Data'!$E$2:$AJ$2,0),0)</f>
        <v>5037.7401950847952</v>
      </c>
      <c r="M49" s="111">
        <f>VLOOKUP($B49,'DCS Data'!$E$2:$AJ$100,MATCH('Daily Report'!M$1,'DCS Data'!$E$2:$AJ$2,0),0)</f>
        <v>4949.2902133413872</v>
      </c>
      <c r="N49" s="111">
        <f>VLOOKUP($B49,'DCS Data'!$E$2:$AJ$100,MATCH('Daily Report'!N$1,'DCS Data'!$E$2:$AJ$2,0),0)</f>
        <v>5144.80535602493</v>
      </c>
      <c r="O49" s="111">
        <f>VLOOKUP($B49,'DCS Data'!$E$2:$AJ$100,MATCH('Daily Report'!O$1,'DCS Data'!$E$2:$AJ$2,0),0)</f>
        <v>4124.724987210262</v>
      </c>
      <c r="P49" s="111">
        <f>VLOOKUP($B49,'DCS Data'!$E$2:$AJ$100,MATCH('Daily Report'!P$1,'DCS Data'!$E$2:$AJ$2,0),0)</f>
        <v>3852.4412160945672</v>
      </c>
      <c r="Q49" s="111">
        <f>VLOOKUP($B49,'DCS Data'!$E$2:$AJ$100,MATCH('Daily Report'!Q$1,'DCS Data'!$E$2:$AJ$2,0),0)</f>
        <v>4027.5091528650346</v>
      </c>
      <c r="R49" s="111">
        <f>VLOOKUP($B49,'DCS Data'!$E$2:$AJ$100,MATCH('Daily Report'!R$1,'DCS Data'!$E$2:$AJ$2,0),0)</f>
        <v>3874.137039118837</v>
      </c>
      <c r="S49" s="111">
        <f>VLOOKUP($B49,'DCS Data'!$E$2:$AJ$100,MATCH('Daily Report'!S$1,'DCS Data'!$E$2:$AJ$2,0),0)</f>
        <v>3602.9721590611889</v>
      </c>
      <c r="T49" s="111">
        <f>VLOOKUP($B49,'DCS Data'!$E$2:$AJ$100,MATCH('Daily Report'!T$1,'DCS Data'!$E$2:$AJ$2,0),0)</f>
        <v>4014.5364327575694</v>
      </c>
      <c r="U49" s="111">
        <f>VLOOKUP($B49,'DCS Data'!$E$2:$AJ$100,MATCH('Daily Report'!U$1,'DCS Data'!$E$2:$AJ$2,0),0)</f>
        <v>4353.7892071276901</v>
      </c>
      <c r="V49" s="111">
        <f>VLOOKUP($B49,'DCS Data'!$E$2:$AJ$100,MATCH('Daily Report'!V$1,'DCS Data'!$E$2:$AJ$2,0),0)</f>
        <v>3037.8902868573869</v>
      </c>
      <c r="W49" s="111">
        <f>VLOOKUP($B49,'DCS Data'!$E$2:$AJ$100,MATCH('Daily Report'!W$1,'DCS Data'!$E$2:$AJ$2,0),0)</f>
        <v>2982.9554875132312</v>
      </c>
      <c r="X49" s="111">
        <f>VLOOKUP($B49,'DCS Data'!$E$2:$AJ$100,MATCH('Daily Report'!X$1,'DCS Data'!$E$2:$AJ$2,0),0)</f>
        <v>3338.2596071667413</v>
      </c>
      <c r="Y49" s="111">
        <f>VLOOKUP($B49,'DCS Data'!$E$2:$AJ$100,MATCH('Daily Report'!Y$1,'DCS Data'!$E$2:$AJ$2,0),0)</f>
        <v>4488.3215237824334</v>
      </c>
      <c r="Z49" s="111">
        <f>VLOOKUP($B49,'DCS Data'!$E$2:$AJ$100,MATCH('Daily Report'!Z$1,'DCS Data'!$E$2:$AJ$2,0),0)</f>
        <v>5591.3378142280044</v>
      </c>
      <c r="AA49" s="111">
        <f>VLOOKUP($B49,'DCS Data'!$E$2:$AJ$100,MATCH('Daily Report'!AA$1,'DCS Data'!$E$2:$AJ$2,0),0)</f>
        <v>5415.9549953482619</v>
      </c>
      <c r="AB49" s="111">
        <f>VLOOKUP($B49,'DCS Data'!$E$2:$AJ$100,MATCH('Daily Report'!AB$1,'DCS Data'!$E$2:$AJ$2,0),0)</f>
        <v>5531.1233276947205</v>
      </c>
      <c r="AC49" s="111">
        <f>VLOOKUP($B49,'DCS Data'!$E$2:$AJ$100,MATCH('Daily Report'!AC$1,'DCS Data'!$E$2:$AJ$2,0),0)</f>
        <v>5203.7500845540217</v>
      </c>
      <c r="AD49" s="111">
        <f>VLOOKUP($B49,'DCS Data'!$E$2:$AJ$100,MATCH('Daily Report'!AD$1,'DCS Data'!$E$2:$AJ$2,0),0)</f>
        <v>5041.2108107898639</v>
      </c>
      <c r="AE49" s="111">
        <f>VLOOKUP($B49,'DCS Data'!$E$2:$AJ$100,MATCH('Daily Report'!AE$1,'DCS Data'!$E$2:$AJ$2,0),0)</f>
        <v>5117.4293805095776</v>
      </c>
      <c r="AF49" s="111">
        <f>VLOOKUP($B49,'DCS Data'!$E$2:$AJ$100,MATCH('Daily Report'!AF$1,'DCS Data'!$E$2:$AJ$2,0),0)</f>
        <v>5190.6880366865653</v>
      </c>
      <c r="AG49" s="111">
        <f>VLOOKUP($B49,'DCS Data'!$E$2:$AJ$100,MATCH('Daily Report'!AG$1,'DCS Data'!$E$2:$AJ$2,0),0)</f>
        <v>5153.5184660492641</v>
      </c>
      <c r="AH49" s="111">
        <f>VLOOKUP($B49,'DCS Data'!$E$2:$AJ$100,MATCH('Daily Report'!AH$1,'DCS Data'!$E$2:$AJ$2,0),0)</f>
        <v>5151.995377598254</v>
      </c>
      <c r="AI49" s="111">
        <f>VLOOKUP($B49,'DCS Data'!$E$2:$AJ$100,MATCH('Daily Report'!AI$1,'DCS Data'!$E$2:$AJ$2,0),0)</f>
        <v>4999.0630400322489</v>
      </c>
      <c r="AJ49" s="111">
        <f>VLOOKUP($B49,'DCS Data'!$E$2:$AJ$100,MATCH('Daily Report'!AJ$1,'DCS Data'!$E$2:$AJ$2,0),0)</f>
        <v>4960.3907902376577</v>
      </c>
      <c r="AK49" s="111">
        <f>VLOOKUP($B49,'DCS Data'!$E$2:$AJ$100,MATCH('Daily Report'!AK$1,'DCS Data'!$E$2:$AJ$2,0),0)</f>
        <v>5160.0698013524752</v>
      </c>
      <c r="AL49" s="111">
        <f>VLOOKUP($B49,'DCS Data'!$E$2:$AJ$100,MATCH('Daily Report'!AL$1,'DCS Data'!$E$2:$AJ$2,0),0)</f>
        <v>5189.7803223298679</v>
      </c>
      <c r="AM49" s="111">
        <f>VLOOKUP($B49,'DCS Data'!$E$2:$AJ$100,MATCH('Daily Report'!AM$1,'DCS Data'!$E$2:$AJ$2,0),0)</f>
        <v>5130.7587557951983</v>
      </c>
      <c r="AN49" s="111">
        <f>VLOOKUP($B49,'DCS Data'!$E$2:$AJ$100,MATCH('Daily Report'!AN$1,'DCS Data'!$E$2:$AJ$2,0),0)</f>
        <v>5229.0934789354142</v>
      </c>
    </row>
    <row r="50" spans="1:1583" s="217" customFormat="1">
      <c r="A50" s="252" t="s">
        <v>57</v>
      </c>
      <c r="B50" s="180" t="s">
        <v>370</v>
      </c>
      <c r="C50" s="416" t="s">
        <v>491</v>
      </c>
      <c r="D50" s="420" t="s">
        <v>552</v>
      </c>
      <c r="E50" s="59" t="s">
        <v>46</v>
      </c>
      <c r="F50" s="132"/>
      <c r="G50" s="60" t="s">
        <v>704</v>
      </c>
      <c r="H50" s="473">
        <f>AVERAGE(I50:AN50)</f>
        <v>33.355680622916971</v>
      </c>
      <c r="I50" s="92">
        <f>VLOOKUP($B50,'DCS Data'!$E$2:$AJ$100,MATCH('Daily Report'!I$1,'DCS Data'!$E$2:$AJ$2,0),0)</f>
        <v>33.323314516914863</v>
      </c>
      <c r="J50" s="255"/>
      <c r="K50" s="111">
        <f>VLOOKUP($B50,'DCS Data'!$E$2:$AJ$100,MATCH('Daily Report'!K$1,'DCS Data'!$E$2:$AJ$2,0),0)</f>
        <v>33.005303633737498</v>
      </c>
      <c r="L50" s="111">
        <f>VLOOKUP($B50,'DCS Data'!$E$2:$AJ$100,MATCH('Daily Report'!L$1,'DCS Data'!$E$2:$AJ$2,0),0)</f>
        <v>32.223748108405189</v>
      </c>
      <c r="M50" s="111">
        <f>VLOOKUP($B50,'DCS Data'!$E$2:$AJ$100,MATCH('Daily Report'!M$1,'DCS Data'!$E$2:$AJ$2,0),0)</f>
        <v>31.803625151735613</v>
      </c>
      <c r="N50" s="111">
        <f>VLOOKUP($B50,'DCS Data'!$E$2:$AJ$100,MATCH('Daily Report'!N$1,'DCS Data'!$E$2:$AJ$2,0),0)</f>
        <v>32.590492094046994</v>
      </c>
      <c r="O50" s="111">
        <f>VLOOKUP($B50,'DCS Data'!$E$2:$AJ$100,MATCH('Daily Report'!O$1,'DCS Data'!$E$2:$AJ$2,0),0)</f>
        <v>32.997533001186902</v>
      </c>
      <c r="P50" s="111">
        <f>VLOOKUP($B50,'DCS Data'!$E$2:$AJ$100,MATCH('Daily Report'!P$1,'DCS Data'!$E$2:$AJ$2,0),0)</f>
        <v>32.844153180574068</v>
      </c>
      <c r="Q50" s="111">
        <f>VLOOKUP($B50,'DCS Data'!$E$2:$AJ$100,MATCH('Daily Report'!Q$1,'DCS Data'!$E$2:$AJ$2,0),0)</f>
        <v>32.800427970331789</v>
      </c>
      <c r="R50" s="111">
        <f>VLOOKUP($B50,'DCS Data'!$E$2:$AJ$100,MATCH('Daily Report'!R$1,'DCS Data'!$E$2:$AJ$2,0),0)</f>
        <v>32.799304591981226</v>
      </c>
      <c r="S50" s="111">
        <f>VLOOKUP($B50,'DCS Data'!$E$2:$AJ$100,MATCH('Daily Report'!S$1,'DCS Data'!$E$2:$AJ$2,0),0)</f>
        <v>32.799931354138849</v>
      </c>
      <c r="T50" s="111">
        <f>VLOOKUP($B50,'DCS Data'!$E$2:$AJ$100,MATCH('Daily Report'!T$1,'DCS Data'!$E$2:$AJ$2,0),0)</f>
        <v>32.800973587708945</v>
      </c>
      <c r="U50" s="111">
        <f>VLOOKUP($B50,'DCS Data'!$E$2:$AJ$100,MATCH('Daily Report'!U$1,'DCS Data'!$E$2:$AJ$2,0),0)</f>
        <v>32.799968563240213</v>
      </c>
      <c r="V50" s="111">
        <f>VLOOKUP($B50,'DCS Data'!$E$2:$AJ$100,MATCH('Daily Report'!V$1,'DCS Data'!$E$2:$AJ$2,0),0)</f>
        <v>32.797633152152351</v>
      </c>
      <c r="W50" s="111">
        <f>VLOOKUP($B50,'DCS Data'!$E$2:$AJ$100,MATCH('Daily Report'!W$1,'DCS Data'!$E$2:$AJ$2,0),0)</f>
        <v>32.781340999047828</v>
      </c>
      <c r="X50" s="111">
        <f>VLOOKUP($B50,'DCS Data'!$E$2:$AJ$100,MATCH('Daily Report'!X$1,'DCS Data'!$E$2:$AJ$2,0),0)</f>
        <v>32.984185254427409</v>
      </c>
      <c r="Y50" s="111">
        <f>VLOOKUP($B50,'DCS Data'!$E$2:$AJ$100,MATCH('Daily Report'!Y$1,'DCS Data'!$E$2:$AJ$2,0),0)</f>
        <v>33.688829000291896</v>
      </c>
      <c r="Z50" s="111">
        <f>VLOOKUP($B50,'DCS Data'!$E$2:$AJ$100,MATCH('Daily Report'!Z$1,'DCS Data'!$E$2:$AJ$2,0),0)</f>
        <v>33.135061650420781</v>
      </c>
      <c r="AA50" s="111">
        <f>VLOOKUP($B50,'DCS Data'!$E$2:$AJ$100,MATCH('Daily Report'!AA$1,'DCS Data'!$E$2:$AJ$2,0),0)</f>
        <v>31.815974236497166</v>
      </c>
      <c r="AB50" s="111">
        <f>VLOOKUP($B50,'DCS Data'!$E$2:$AJ$100,MATCH('Daily Report'!AB$1,'DCS Data'!$E$2:$AJ$2,0),0)</f>
        <v>34.578806381758312</v>
      </c>
      <c r="AC50" s="111">
        <f>VLOOKUP($B50,'DCS Data'!$E$2:$AJ$100,MATCH('Daily Report'!AC$1,'DCS Data'!$E$2:$AJ$2,0),0)</f>
        <v>34.634783833021238</v>
      </c>
      <c r="AD50" s="111">
        <f>VLOOKUP($B50,'DCS Data'!$E$2:$AJ$100,MATCH('Daily Report'!AD$1,'DCS Data'!$E$2:$AJ$2,0),0)</f>
        <v>34.57245952601653</v>
      </c>
      <c r="AE50" s="111">
        <f>VLOOKUP($B50,'DCS Data'!$E$2:$AJ$100,MATCH('Daily Report'!AE$1,'DCS Data'!$E$2:$AJ$2,0),0)</f>
        <v>34.601880515433969</v>
      </c>
      <c r="AF50" s="111">
        <f>VLOOKUP($B50,'DCS Data'!$E$2:$AJ$100,MATCH('Daily Report'!AF$1,'DCS Data'!$E$2:$AJ$2,0),0)</f>
        <v>34.58291550594204</v>
      </c>
      <c r="AG50" s="111">
        <f>VLOOKUP($B50,'DCS Data'!$E$2:$AJ$100,MATCH('Daily Report'!AG$1,'DCS Data'!$E$2:$AJ$2,0),0)</f>
        <v>34.583143217510425</v>
      </c>
      <c r="AH50" s="111">
        <f>VLOOKUP($B50,'DCS Data'!$E$2:$AJ$100,MATCH('Daily Report'!AH$1,'DCS Data'!$E$2:$AJ$2,0),0)</f>
        <v>34.540716044972697</v>
      </c>
      <c r="AI50" s="111">
        <f>VLOOKUP($B50,'DCS Data'!$E$2:$AJ$100,MATCH('Daily Report'!AI$1,'DCS Data'!$E$2:$AJ$2,0),0)</f>
        <v>33.154172037242219</v>
      </c>
      <c r="AJ50" s="111">
        <f>VLOOKUP($B50,'DCS Data'!$E$2:$AJ$100,MATCH('Daily Report'!AJ$1,'DCS Data'!$E$2:$AJ$2,0),0)</f>
        <v>33.183830991771629</v>
      </c>
      <c r="AK50" s="111">
        <f>VLOOKUP($B50,'DCS Data'!$E$2:$AJ$100,MATCH('Daily Report'!AK$1,'DCS Data'!$E$2:$AJ$2,0),0)</f>
        <v>33.801671849593632</v>
      </c>
      <c r="AL50" s="111">
        <f>VLOOKUP($B50,'DCS Data'!$E$2:$AJ$100,MATCH('Daily Report'!AL$1,'DCS Data'!$E$2:$AJ$2,0),0)</f>
        <v>33.980107623728543</v>
      </c>
      <c r="AM50" s="111">
        <f>VLOOKUP($B50,'DCS Data'!$E$2:$AJ$100,MATCH('Daily Report'!AM$1,'DCS Data'!$E$2:$AJ$2,0),0)</f>
        <v>33.362762714059087</v>
      </c>
      <c r="AN50" s="111">
        <f>VLOOKUP($B50,'DCS Data'!$E$2:$AJ$100,MATCH('Daily Report'!AN$1,'DCS Data'!$E$2:$AJ$2,0),0)</f>
        <v>34.457049022536282</v>
      </c>
    </row>
    <row r="51" spans="1:1583" s="219" customFormat="1" ht="15.75" thickBot="1">
      <c r="A51" s="253" t="s">
        <v>58</v>
      </c>
      <c r="B51" s="185" t="s">
        <v>371</v>
      </c>
      <c r="C51" s="416" t="s">
        <v>492</v>
      </c>
      <c r="D51" s="421" t="s">
        <v>553</v>
      </c>
      <c r="E51" s="265" t="s">
        <v>46</v>
      </c>
      <c r="F51" s="137">
        <v>38</v>
      </c>
      <c r="G51" s="60" t="s">
        <v>705</v>
      </c>
      <c r="H51" s="473">
        <f>AVERAGE(I51:AN51)</f>
        <v>33.882964377956299</v>
      </c>
      <c r="I51" s="97">
        <f>VLOOKUP($B51,'DCS Data'!$E$2:$AJ$100,MATCH('Daily Report'!I$1,'DCS Data'!$E$2:$AJ$2,0),0)</f>
        <v>33.749768622909905</v>
      </c>
      <c r="J51" s="255"/>
      <c r="K51" s="115">
        <f>VLOOKUP($B51,'DCS Data'!$E$2:$AJ$100,MATCH('Daily Report'!K$1,'DCS Data'!$E$2:$AJ$2,0),0)</f>
        <v>33.532567194994058</v>
      </c>
      <c r="L51" s="115">
        <f>VLOOKUP($B51,'DCS Data'!$E$2:$AJ$100,MATCH('Daily Report'!L$1,'DCS Data'!$E$2:$AJ$2,0),0)</f>
        <v>32.774761928439162</v>
      </c>
      <c r="M51" s="115">
        <f>VLOOKUP($B51,'DCS Data'!$E$2:$AJ$100,MATCH('Daily Report'!M$1,'DCS Data'!$E$2:$AJ$2,0),0)</f>
        <v>32.338810580873044</v>
      </c>
      <c r="N51" s="115">
        <f>VLOOKUP($B51,'DCS Data'!$E$2:$AJ$100,MATCH('Daily Report'!N$1,'DCS Data'!$E$2:$AJ$2,0),0)</f>
        <v>33.154824957621251</v>
      </c>
      <c r="O51" s="115">
        <f>VLOOKUP($B51,'DCS Data'!$E$2:$AJ$100,MATCH('Daily Report'!O$1,'DCS Data'!$E$2:$AJ$2,0),0)</f>
        <v>33.465845327431815</v>
      </c>
      <c r="P51" s="115">
        <f>VLOOKUP($B51,'DCS Data'!$E$2:$AJ$100,MATCH('Daily Report'!P$1,'DCS Data'!$E$2:$AJ$2,0),0)</f>
        <v>33.278706861298289</v>
      </c>
      <c r="Q51" s="115">
        <f>VLOOKUP($B51,'DCS Data'!$E$2:$AJ$100,MATCH('Daily Report'!Q$1,'DCS Data'!$E$2:$AJ$2,0),0)</f>
        <v>33.250927498939056</v>
      </c>
      <c r="R51" s="115">
        <f>VLOOKUP($B51,'DCS Data'!$E$2:$AJ$100,MATCH('Daily Report'!R$1,'DCS Data'!$E$2:$AJ$2,0),0)</f>
        <v>33.223528835409539</v>
      </c>
      <c r="S51" s="115">
        <f>VLOOKUP($B51,'DCS Data'!$E$2:$AJ$100,MATCH('Daily Report'!S$1,'DCS Data'!$E$2:$AJ$2,0),0)</f>
        <v>33.188207166590047</v>
      </c>
      <c r="T51" s="115">
        <f>VLOOKUP($B51,'DCS Data'!$E$2:$AJ$100,MATCH('Daily Report'!T$1,'DCS Data'!$E$2:$AJ$2,0),0)</f>
        <v>33.232005799858676</v>
      </c>
      <c r="U51" s="115">
        <f>VLOOKUP($B51,'DCS Data'!$E$2:$AJ$100,MATCH('Daily Report'!U$1,'DCS Data'!$E$2:$AJ$2,0),0)</f>
        <v>33.273030315433004</v>
      </c>
      <c r="V51" s="115">
        <f>VLOOKUP($B51,'DCS Data'!$E$2:$AJ$100,MATCH('Daily Report'!V$1,'DCS Data'!$E$2:$AJ$2,0),0)</f>
        <v>33.128569207469056</v>
      </c>
      <c r="W51" s="115">
        <f>VLOOKUP($B51,'DCS Data'!$E$2:$AJ$100,MATCH('Daily Report'!W$1,'DCS Data'!$E$2:$AJ$2,0),0)</f>
        <v>33.108984085455894</v>
      </c>
      <c r="X51" s="115">
        <f>VLOOKUP($B51,'DCS Data'!$E$2:$AJ$100,MATCH('Daily Report'!X$1,'DCS Data'!$E$2:$AJ$2,0),0)</f>
        <v>33.342194030669937</v>
      </c>
      <c r="Y51" s="115">
        <f>VLOOKUP($B51,'DCS Data'!$E$2:$AJ$100,MATCH('Daily Report'!Y$1,'DCS Data'!$E$2:$AJ$2,0),0)</f>
        <v>34.192923774049099</v>
      </c>
      <c r="Z51" s="115">
        <f>VLOOKUP($B51,'DCS Data'!$E$2:$AJ$100,MATCH('Daily Report'!Z$1,'DCS Data'!$E$2:$AJ$2,0),0)</f>
        <v>33.803751931724008</v>
      </c>
      <c r="AA51" s="115">
        <f>VLOOKUP($B51,'DCS Data'!$E$2:$AJ$100,MATCH('Daily Report'!AA$1,'DCS Data'!$E$2:$AJ$2,0),0)</f>
        <v>32.422047789047419</v>
      </c>
      <c r="AB51" s="115">
        <f>VLOOKUP($B51,'DCS Data'!$E$2:$AJ$100,MATCH('Daily Report'!AB$1,'DCS Data'!$E$2:$AJ$2,0),0)</f>
        <v>35.263333779949789</v>
      </c>
      <c r="AC51" s="115">
        <f>VLOOKUP($B51,'DCS Data'!$E$2:$AJ$100,MATCH('Daily Report'!AC$1,'DCS Data'!$E$2:$AJ$2,0),0)</f>
        <v>35.252031648893841</v>
      </c>
      <c r="AD51" s="115">
        <f>VLOOKUP($B51,'DCS Data'!$E$2:$AJ$100,MATCH('Daily Report'!AD$1,'DCS Data'!$E$2:$AJ$2,0),0)</f>
        <v>35.176696278811917</v>
      </c>
      <c r="AE51" s="115">
        <f>VLOOKUP($B51,'DCS Data'!$E$2:$AJ$100,MATCH('Daily Report'!AE$1,'DCS Data'!$E$2:$AJ$2,0),0)</f>
        <v>35.219348695356267</v>
      </c>
      <c r="AF51" s="115">
        <f>VLOOKUP($B51,'DCS Data'!$E$2:$AJ$100,MATCH('Daily Report'!AF$1,'DCS Data'!$E$2:$AJ$2,0),0)</f>
        <v>35.209895828921589</v>
      </c>
      <c r="AG51" s="115">
        <f>VLOOKUP($B51,'DCS Data'!$E$2:$AJ$100,MATCH('Daily Report'!AG$1,'DCS Data'!$E$2:$AJ$2,0),0)</f>
        <v>35.201866669540038</v>
      </c>
      <c r="AH51" s="115">
        <f>VLOOKUP($B51,'DCS Data'!$E$2:$AJ$100,MATCH('Daily Report'!AH$1,'DCS Data'!$E$2:$AJ$2,0),0)</f>
        <v>35.158866459760858</v>
      </c>
      <c r="AI51" s="115">
        <f>VLOOKUP($B51,'DCS Data'!$E$2:$AJ$100,MATCH('Daily Report'!AI$1,'DCS Data'!$E$2:$AJ$2,0),0)</f>
        <v>33.71859568006596</v>
      </c>
      <c r="AJ51" s="115">
        <f>VLOOKUP($B51,'DCS Data'!$E$2:$AJ$100,MATCH('Daily Report'!AJ$1,'DCS Data'!$E$2:$AJ$2,0),0)</f>
        <v>33.735408862028862</v>
      </c>
      <c r="AK51" s="115">
        <f>VLOOKUP($B51,'DCS Data'!$E$2:$AJ$100,MATCH('Daily Report'!AK$1,'DCS Data'!$E$2:$AJ$2,0),0)</f>
        <v>34.392021657020905</v>
      </c>
      <c r="AL51" s="115">
        <f>VLOOKUP($B51,'DCS Data'!$E$2:$AJ$100,MATCH('Daily Report'!AL$1,'DCS Data'!$E$2:$AJ$2,0),0)</f>
        <v>34.576942574218371</v>
      </c>
      <c r="AM51" s="115">
        <f>VLOOKUP($B51,'DCS Data'!$E$2:$AJ$100,MATCH('Daily Report'!AM$1,'DCS Data'!$E$2:$AJ$2,0),0)</f>
        <v>33.937629164401486</v>
      </c>
      <c r="AN51" s="115">
        <f>VLOOKUP($B51,'DCS Data'!$E$2:$AJ$100,MATCH('Daily Report'!AN$1,'DCS Data'!$E$2:$AJ$2,0),0)</f>
        <v>35.067802509461814</v>
      </c>
    </row>
    <row r="52" spans="1:1583" s="220" customFormat="1">
      <c r="A52" s="300" t="s">
        <v>59</v>
      </c>
      <c r="B52" s="69"/>
      <c r="C52" s="69"/>
      <c r="D52" s="422" t="s">
        <v>593</v>
      </c>
      <c r="E52" s="68" t="s">
        <v>9</v>
      </c>
      <c r="F52" s="138"/>
      <c r="G52" s="60" t="s">
        <v>706</v>
      </c>
      <c r="H52" s="473">
        <f t="shared" ref="H52:H57" si="20">SUM(I52:AN52)</f>
        <v>2485.9303297615606</v>
      </c>
      <c r="I52" s="99">
        <f>I47*24*(Analysis!J100/22.414)/1000</f>
        <v>73.803776133632439</v>
      </c>
      <c r="J52" s="437"/>
      <c r="K52" s="99">
        <f>K47*24*(Analysis!L100/22.414)/1000</f>
        <v>86.599232353615264</v>
      </c>
      <c r="L52" s="99">
        <f>L47*24*(Analysis!M100/22.414)/1000</f>
        <v>86.831822067992931</v>
      </c>
      <c r="M52" s="99">
        <f>M47*24*(Analysis!N100/22.414)/1000</f>
        <v>85.310824485443945</v>
      </c>
      <c r="N52" s="99">
        <f>N47*24*(Analysis!O100/22.414)/1000</f>
        <v>88.680952241726573</v>
      </c>
      <c r="O52" s="99">
        <f>O47*24*(Analysis!P100/22.414)/1000</f>
        <v>71.117709950339417</v>
      </c>
      <c r="P52" s="99">
        <f>P47*24*(Analysis!Q100/22.414)/1000</f>
        <v>66.432605122320354</v>
      </c>
      <c r="Q52" s="99">
        <f>Q47*24*(Analysis!R100/22.414)/1000</f>
        <v>69.444329983668851</v>
      </c>
      <c r="R52" s="99">
        <f>R47*24*(Analysis!S100/22.414)/1000</f>
        <v>66.804698510303552</v>
      </c>
      <c r="S52" s="99">
        <f>S47*24*(Analysis!T100/22.414)/1000</f>
        <v>62.13523134265283</v>
      </c>
      <c r="T52" s="99">
        <f>T47*24*(Analysis!U100/22.414)/1000</f>
        <v>69.219765475322475</v>
      </c>
      <c r="U52" s="99">
        <f>U47*24*(Analysis!V100/22.414)/1000</f>
        <v>75.057437747966674</v>
      </c>
      <c r="V52" s="99">
        <f>V47*24*(Analysis!W100/22.414)/1000</f>
        <v>52.412076526302364</v>
      </c>
      <c r="W52" s="99">
        <f>W47*24*(Analysis!X100/22.414)/1000</f>
        <v>51.464705673835624</v>
      </c>
      <c r="X52" s="99">
        <f>X47*24*(Analysis!Y100/22.414)/1000</f>
        <v>57.586366940270608</v>
      </c>
      <c r="Y52" s="99">
        <f>Y47*24*(Analysis!Z100/22.414)/1000</f>
        <v>77.379461744691966</v>
      </c>
      <c r="Z52" s="99">
        <f>Z47*24*(Analysis!AA100/22.414)/1000</f>
        <v>96.369321747893792</v>
      </c>
      <c r="AA52" s="99">
        <f>AA47*24*(Analysis!AB100/22.414)/1000</f>
        <v>93.350651422081356</v>
      </c>
      <c r="AB52" s="99">
        <f>AB47*24*(Analysis!AC100/22.414)/1000</f>
        <v>95.339907599500521</v>
      </c>
      <c r="AC52" s="99">
        <f>AC47*24*(Analysis!AD100/22.414)/1000</f>
        <v>89.69931568220737</v>
      </c>
      <c r="AD52" s="99">
        <f>AD47*24*(Analysis!AE100/22.414)/1000</f>
        <v>86.900049248818362</v>
      </c>
      <c r="AE52" s="99">
        <f>AE47*24*(Analysis!AF100/22.414)/1000</f>
        <v>88.20943909742202</v>
      </c>
      <c r="AF52" s="99">
        <f>AF47*24*(Analysis!AG100/22.414)/1000</f>
        <v>89.477610610040244</v>
      </c>
      <c r="AG52" s="99">
        <f>AG47*24*(Analysis!AH100/22.414)/1000</f>
        <v>88.836000632749688</v>
      </c>
      <c r="AH52" s="99">
        <f>AH47*24*(Analysis!AI100/22.414)/1000</f>
        <v>88.81028015167287</v>
      </c>
      <c r="AI52" s="99">
        <f>AI47*24*(Analysis!AJ100/22.414)/1000</f>
        <v>86.170367619885297</v>
      </c>
      <c r="AJ52" s="99">
        <f>AJ47*24*(Analysis!AK100/22.414)/1000</f>
        <v>85.505315974726543</v>
      </c>
      <c r="AK52" s="99">
        <f>AK47*24*(Analysis!AL100/22.414)/1000</f>
        <v>88.943398578213149</v>
      </c>
      <c r="AL52" s="99">
        <f>AL47*24*(Analysis!AM100/22.414)/1000</f>
        <v>89.460368736778634</v>
      </c>
      <c r="AM52" s="99">
        <f>AM47*24*(Analysis!AN100/22.414)/1000</f>
        <v>88.441521737119217</v>
      </c>
      <c r="AN52" s="99">
        <f>AN47*24*(Analysis!AO100/22.414)/1000</f>
        <v>90.135784622365847</v>
      </c>
      <c r="AO52" s="214"/>
      <c r="AP52" s="214"/>
      <c r="AQ52" s="214"/>
      <c r="AR52" s="214"/>
      <c r="AS52" s="214"/>
      <c r="AT52" s="214"/>
      <c r="AU52" s="214"/>
      <c r="AV52" s="214"/>
      <c r="AW52" s="214"/>
      <c r="AX52" s="214"/>
      <c r="AY52" s="214"/>
      <c r="AZ52" s="214"/>
      <c r="BA52" s="214"/>
      <c r="BB52" s="214"/>
      <c r="BC52" s="214"/>
      <c r="BD52" s="214"/>
      <c r="BE52" s="214"/>
      <c r="BF52" s="214"/>
      <c r="BG52" s="214"/>
      <c r="BH52" s="214"/>
      <c r="BI52" s="214"/>
      <c r="BJ52" s="214"/>
      <c r="BK52" s="214"/>
      <c r="BL52" s="214"/>
      <c r="BM52" s="214"/>
      <c r="BN52" s="214"/>
      <c r="BO52" s="214"/>
      <c r="BP52" s="214"/>
      <c r="BQ52" s="214"/>
      <c r="BR52" s="214"/>
      <c r="BS52" s="214"/>
      <c r="BT52" s="214"/>
      <c r="BU52" s="214"/>
      <c r="BV52" s="214"/>
      <c r="BW52" s="214"/>
      <c r="BX52" s="214"/>
      <c r="BY52" s="214"/>
      <c r="BZ52" s="214"/>
      <c r="CA52" s="214"/>
      <c r="CB52" s="214"/>
      <c r="CC52" s="214"/>
      <c r="CD52" s="214"/>
      <c r="CE52" s="214"/>
      <c r="CF52" s="214"/>
      <c r="CG52" s="214"/>
      <c r="CH52" s="214"/>
      <c r="CI52" s="214"/>
      <c r="CJ52" s="214"/>
      <c r="CK52" s="214"/>
      <c r="CL52" s="214"/>
      <c r="CM52" s="214"/>
      <c r="CN52" s="214"/>
      <c r="CO52" s="214"/>
      <c r="CP52" s="214"/>
      <c r="CQ52" s="214"/>
      <c r="CR52" s="214"/>
      <c r="CS52" s="214"/>
      <c r="CT52" s="214"/>
      <c r="CU52" s="214"/>
      <c r="CV52" s="214"/>
      <c r="CW52" s="214"/>
      <c r="CX52" s="214"/>
      <c r="CY52" s="214"/>
      <c r="CZ52" s="214"/>
      <c r="DA52" s="214"/>
      <c r="DB52" s="214"/>
      <c r="DC52" s="214"/>
      <c r="DD52" s="214"/>
      <c r="DE52" s="214"/>
      <c r="DF52" s="214"/>
      <c r="DG52" s="214"/>
      <c r="DH52" s="214"/>
      <c r="DI52" s="214"/>
      <c r="DJ52" s="214"/>
      <c r="DK52" s="214"/>
      <c r="DL52" s="214"/>
      <c r="DM52" s="214"/>
      <c r="DN52" s="214"/>
      <c r="DO52" s="214"/>
      <c r="DP52" s="214"/>
      <c r="DQ52" s="214"/>
      <c r="DR52" s="214"/>
      <c r="DS52" s="214"/>
      <c r="DT52" s="214"/>
      <c r="DU52" s="214"/>
      <c r="DV52" s="214"/>
      <c r="DW52" s="214"/>
      <c r="DX52" s="214"/>
      <c r="DY52" s="214"/>
      <c r="DZ52" s="214"/>
      <c r="EA52" s="214"/>
      <c r="EB52" s="214"/>
      <c r="EC52" s="214"/>
      <c r="ED52" s="214"/>
      <c r="EE52" s="214"/>
      <c r="EF52" s="214"/>
      <c r="EG52" s="214"/>
      <c r="EH52" s="214"/>
      <c r="EI52" s="214"/>
      <c r="EJ52" s="214"/>
      <c r="EK52" s="214"/>
      <c r="EL52" s="214"/>
      <c r="EM52" s="214"/>
      <c r="EN52" s="214"/>
      <c r="EO52" s="214"/>
      <c r="EP52" s="214"/>
      <c r="EQ52" s="214"/>
      <c r="ER52" s="214"/>
      <c r="ES52" s="214"/>
      <c r="ET52" s="214"/>
      <c r="EU52" s="214"/>
      <c r="EV52" s="214"/>
      <c r="EW52" s="214"/>
      <c r="EX52" s="214"/>
      <c r="EY52" s="214"/>
      <c r="EZ52" s="214"/>
      <c r="FA52" s="214"/>
      <c r="FB52" s="214"/>
      <c r="FC52" s="214"/>
      <c r="FD52" s="214"/>
      <c r="FE52" s="214"/>
      <c r="FF52" s="214"/>
      <c r="FG52" s="214"/>
      <c r="FH52" s="214"/>
      <c r="FI52" s="214"/>
      <c r="FJ52" s="214"/>
      <c r="FK52" s="214"/>
      <c r="FL52" s="214"/>
      <c r="FM52" s="214"/>
      <c r="FN52" s="214"/>
      <c r="FO52" s="214"/>
      <c r="FP52" s="214"/>
      <c r="FQ52" s="214"/>
      <c r="FR52" s="214"/>
      <c r="FS52" s="214"/>
      <c r="FT52" s="214"/>
      <c r="FU52" s="214"/>
      <c r="FV52" s="214"/>
      <c r="FW52" s="214"/>
      <c r="FX52" s="214"/>
      <c r="FY52" s="214"/>
      <c r="FZ52" s="214"/>
      <c r="GA52" s="214"/>
      <c r="GB52" s="214"/>
      <c r="GC52" s="214"/>
      <c r="GD52" s="214"/>
      <c r="GE52" s="214"/>
      <c r="GF52" s="214"/>
      <c r="GG52" s="214"/>
      <c r="GH52" s="214"/>
      <c r="GI52" s="214"/>
      <c r="GJ52" s="214"/>
      <c r="GK52" s="214"/>
      <c r="GL52" s="214"/>
      <c r="GM52" s="214"/>
      <c r="GN52" s="214"/>
      <c r="GO52" s="214"/>
      <c r="GP52" s="214"/>
      <c r="GQ52" s="214"/>
      <c r="GR52" s="214"/>
      <c r="GS52" s="214"/>
      <c r="GT52" s="214"/>
      <c r="GU52" s="214"/>
      <c r="GV52" s="214"/>
      <c r="GW52" s="214"/>
      <c r="GX52" s="214"/>
      <c r="GY52" s="214"/>
      <c r="GZ52" s="214"/>
      <c r="HA52" s="214"/>
      <c r="HB52" s="214"/>
      <c r="HC52" s="214"/>
      <c r="HD52" s="214"/>
      <c r="HE52" s="214"/>
      <c r="HF52" s="214"/>
      <c r="HG52" s="214"/>
      <c r="HH52" s="214"/>
      <c r="HI52" s="214"/>
      <c r="HJ52" s="214"/>
      <c r="HK52" s="214"/>
      <c r="HL52" s="214"/>
      <c r="HM52" s="214"/>
      <c r="HN52" s="214"/>
      <c r="HO52" s="214"/>
      <c r="HP52" s="214"/>
      <c r="HQ52" s="214"/>
      <c r="HR52" s="214"/>
      <c r="HS52" s="214"/>
      <c r="HT52" s="214"/>
      <c r="HU52" s="214"/>
      <c r="HV52" s="214"/>
      <c r="HW52" s="214"/>
      <c r="HX52" s="214"/>
      <c r="HY52" s="214"/>
      <c r="HZ52" s="214"/>
      <c r="IA52" s="214"/>
      <c r="IB52" s="214"/>
      <c r="IC52" s="214"/>
      <c r="ID52" s="214"/>
      <c r="IE52" s="214"/>
      <c r="IF52" s="214"/>
      <c r="IG52" s="214"/>
      <c r="IH52" s="214"/>
      <c r="II52" s="214"/>
      <c r="IJ52" s="214"/>
      <c r="IK52" s="214"/>
      <c r="IL52" s="214"/>
      <c r="IM52" s="214"/>
      <c r="IN52" s="214"/>
      <c r="IO52" s="214"/>
      <c r="IP52" s="214"/>
      <c r="IQ52" s="214"/>
      <c r="IR52" s="214"/>
      <c r="IS52" s="214"/>
      <c r="IT52" s="214"/>
      <c r="IU52" s="214"/>
      <c r="IV52" s="214"/>
      <c r="IW52" s="214"/>
      <c r="IX52" s="214"/>
      <c r="IY52" s="214"/>
      <c r="IZ52" s="214"/>
      <c r="JA52" s="214"/>
      <c r="JB52" s="214"/>
      <c r="JC52" s="214"/>
      <c r="JD52" s="214"/>
      <c r="JE52" s="214"/>
      <c r="JF52" s="214"/>
      <c r="JG52" s="214"/>
      <c r="JH52" s="214"/>
      <c r="JI52" s="214"/>
      <c r="JJ52" s="214"/>
      <c r="JK52" s="214"/>
      <c r="JL52" s="214"/>
      <c r="JM52" s="214"/>
      <c r="JN52" s="214"/>
      <c r="JO52" s="214"/>
      <c r="JP52" s="214"/>
      <c r="JQ52" s="214"/>
      <c r="JR52" s="214"/>
      <c r="JS52" s="214"/>
      <c r="JT52" s="214"/>
      <c r="JU52" s="214"/>
      <c r="JV52" s="214"/>
      <c r="JW52" s="214"/>
      <c r="JX52" s="214"/>
      <c r="JY52" s="214"/>
      <c r="JZ52" s="214"/>
      <c r="KA52" s="214"/>
      <c r="KB52" s="214"/>
      <c r="KC52" s="214"/>
      <c r="KD52" s="214"/>
      <c r="KE52" s="214"/>
      <c r="KF52" s="214"/>
      <c r="KG52" s="214"/>
      <c r="KH52" s="214"/>
      <c r="KI52" s="214"/>
      <c r="KJ52" s="214"/>
      <c r="KK52" s="214"/>
      <c r="KL52" s="214"/>
      <c r="KM52" s="214"/>
      <c r="KN52" s="214"/>
      <c r="KO52" s="214"/>
      <c r="KP52" s="214"/>
      <c r="KQ52" s="214"/>
      <c r="KR52" s="214"/>
      <c r="KS52" s="214"/>
      <c r="KT52" s="214"/>
      <c r="KU52" s="214"/>
      <c r="KV52" s="214"/>
      <c r="KW52" s="214"/>
      <c r="KX52" s="214"/>
      <c r="KY52" s="214"/>
      <c r="KZ52" s="214"/>
      <c r="LA52" s="214"/>
      <c r="LB52" s="214"/>
      <c r="LC52" s="214"/>
      <c r="LD52" s="214"/>
      <c r="LE52" s="214"/>
      <c r="LF52" s="214"/>
      <c r="LG52" s="214"/>
      <c r="LH52" s="214"/>
      <c r="LI52" s="214"/>
      <c r="LJ52" s="214"/>
      <c r="LK52" s="214"/>
      <c r="LL52" s="214"/>
      <c r="LM52" s="214"/>
      <c r="LN52" s="214"/>
      <c r="LO52" s="214"/>
      <c r="LP52" s="214"/>
      <c r="LQ52" s="214"/>
      <c r="LR52" s="214"/>
      <c r="LS52" s="214"/>
      <c r="LT52" s="214"/>
      <c r="LU52" s="214"/>
      <c r="LV52" s="214"/>
      <c r="LW52" s="214"/>
      <c r="LX52" s="214"/>
      <c r="LY52" s="214"/>
      <c r="LZ52" s="214"/>
      <c r="MA52" s="214"/>
      <c r="MB52" s="214"/>
      <c r="MC52" s="214"/>
      <c r="MD52" s="214"/>
      <c r="ME52" s="214"/>
      <c r="MF52" s="214"/>
      <c r="MG52" s="214"/>
      <c r="MH52" s="214"/>
      <c r="MI52" s="214"/>
      <c r="MJ52" s="214"/>
      <c r="MK52" s="214"/>
      <c r="ML52" s="214"/>
      <c r="MM52" s="214"/>
      <c r="MN52" s="214"/>
      <c r="MO52" s="214"/>
      <c r="MP52" s="214"/>
      <c r="MQ52" s="214"/>
      <c r="MR52" s="214"/>
      <c r="MS52" s="214"/>
      <c r="MT52" s="214"/>
      <c r="MU52" s="214"/>
      <c r="MV52" s="214"/>
      <c r="MW52" s="214"/>
      <c r="MX52" s="214"/>
      <c r="MY52" s="214"/>
      <c r="MZ52" s="214"/>
      <c r="NA52" s="214"/>
      <c r="NB52" s="214"/>
      <c r="NC52" s="214"/>
      <c r="ND52" s="214"/>
      <c r="NE52" s="214"/>
      <c r="NF52" s="214"/>
      <c r="NG52" s="214"/>
      <c r="NH52" s="214"/>
      <c r="NI52" s="214"/>
      <c r="NJ52" s="214"/>
      <c r="NK52" s="214"/>
      <c r="NL52" s="214"/>
      <c r="NM52" s="214"/>
      <c r="NN52" s="214"/>
      <c r="NO52" s="214"/>
      <c r="NP52" s="214"/>
      <c r="NQ52" s="214"/>
      <c r="NR52" s="214"/>
      <c r="NS52" s="214"/>
      <c r="NT52" s="214"/>
      <c r="NU52" s="214"/>
      <c r="NV52" s="214"/>
      <c r="NW52" s="214"/>
      <c r="NX52" s="214"/>
      <c r="NY52" s="214"/>
      <c r="NZ52" s="214"/>
      <c r="OA52" s="214"/>
      <c r="OB52" s="214"/>
      <c r="OC52" s="214"/>
      <c r="OD52" s="214"/>
      <c r="OE52" s="214"/>
      <c r="OF52" s="214"/>
      <c r="OG52" s="214"/>
      <c r="OH52" s="214"/>
      <c r="OI52" s="214"/>
      <c r="OJ52" s="214"/>
      <c r="OK52" s="214"/>
      <c r="OL52" s="214"/>
      <c r="OM52" s="214"/>
      <c r="ON52" s="214"/>
      <c r="OO52" s="214"/>
      <c r="OP52" s="214"/>
      <c r="OQ52" s="214"/>
      <c r="OR52" s="214"/>
      <c r="OS52" s="214"/>
      <c r="OT52" s="214"/>
      <c r="OU52" s="214"/>
      <c r="OV52" s="214"/>
      <c r="OW52" s="214"/>
      <c r="OX52" s="214"/>
      <c r="OY52" s="214"/>
      <c r="OZ52" s="214"/>
      <c r="PA52" s="214"/>
      <c r="PB52" s="214"/>
      <c r="PC52" s="214"/>
      <c r="PD52" s="214"/>
      <c r="PE52" s="214"/>
      <c r="PF52" s="214"/>
      <c r="PG52" s="214"/>
      <c r="PH52" s="214"/>
      <c r="PI52" s="214"/>
      <c r="PJ52" s="214"/>
      <c r="PK52" s="214"/>
      <c r="PL52" s="214"/>
      <c r="PM52" s="214"/>
      <c r="PN52" s="214"/>
      <c r="PO52" s="214"/>
      <c r="PP52" s="214"/>
      <c r="PQ52" s="214"/>
      <c r="PR52" s="214"/>
      <c r="PS52" s="214"/>
      <c r="PT52" s="214"/>
      <c r="PU52" s="214"/>
      <c r="PV52" s="214"/>
      <c r="PW52" s="214"/>
      <c r="PX52" s="214"/>
      <c r="PY52" s="214"/>
      <c r="PZ52" s="214"/>
      <c r="QA52" s="214"/>
      <c r="QB52" s="214"/>
      <c r="QC52" s="214"/>
      <c r="QD52" s="214"/>
      <c r="QE52" s="214"/>
      <c r="QF52" s="214"/>
      <c r="QG52" s="214"/>
      <c r="QH52" s="214"/>
      <c r="QI52" s="214"/>
      <c r="QJ52" s="214"/>
      <c r="QK52" s="214"/>
      <c r="QL52" s="214"/>
      <c r="QM52" s="214"/>
      <c r="QN52" s="214"/>
      <c r="QO52" s="214"/>
      <c r="QP52" s="214"/>
      <c r="QQ52" s="214"/>
      <c r="QR52" s="214"/>
      <c r="QS52" s="214"/>
      <c r="QT52" s="214"/>
      <c r="QU52" s="214"/>
      <c r="QV52" s="214"/>
      <c r="QW52" s="214"/>
      <c r="QX52" s="214"/>
      <c r="QY52" s="214"/>
      <c r="QZ52" s="214"/>
      <c r="RA52" s="214"/>
      <c r="RB52" s="214"/>
      <c r="RC52" s="214"/>
      <c r="RD52" s="214"/>
      <c r="RE52" s="214"/>
      <c r="RF52" s="214"/>
      <c r="RG52" s="214"/>
      <c r="RH52" s="214"/>
      <c r="RI52" s="214"/>
      <c r="RJ52" s="214"/>
      <c r="RK52" s="214"/>
      <c r="RL52" s="214"/>
      <c r="RM52" s="214"/>
      <c r="RN52" s="214"/>
      <c r="RO52" s="214"/>
      <c r="RP52" s="214"/>
      <c r="RQ52" s="214"/>
      <c r="RR52" s="214"/>
      <c r="RS52" s="214"/>
      <c r="RT52" s="214"/>
      <c r="RU52" s="214"/>
      <c r="RV52" s="214"/>
      <c r="RW52" s="214"/>
      <c r="RX52" s="214"/>
      <c r="RY52" s="214"/>
      <c r="RZ52" s="214"/>
      <c r="SA52" s="214"/>
      <c r="SB52" s="214"/>
      <c r="SC52" s="214"/>
      <c r="SD52" s="214"/>
      <c r="SE52" s="214"/>
      <c r="SF52" s="214"/>
      <c r="SG52" s="214"/>
      <c r="SH52" s="214"/>
      <c r="SI52" s="214"/>
      <c r="SJ52" s="214"/>
      <c r="SK52" s="214"/>
      <c r="SL52" s="214"/>
      <c r="SM52" s="214"/>
      <c r="SN52" s="214"/>
      <c r="SO52" s="214"/>
      <c r="SP52" s="214"/>
      <c r="SQ52" s="214"/>
      <c r="SR52" s="214"/>
      <c r="SS52" s="214"/>
      <c r="ST52" s="214"/>
      <c r="SU52" s="214"/>
      <c r="SV52" s="214"/>
      <c r="SW52" s="214"/>
      <c r="SX52" s="214"/>
      <c r="SY52" s="214"/>
      <c r="SZ52" s="214"/>
      <c r="TA52" s="214"/>
      <c r="TB52" s="214"/>
      <c r="TC52" s="214"/>
      <c r="TD52" s="214"/>
      <c r="TE52" s="214"/>
      <c r="TF52" s="214"/>
      <c r="TG52" s="214"/>
      <c r="TH52" s="214"/>
      <c r="TI52" s="214"/>
      <c r="TJ52" s="214"/>
      <c r="TK52" s="214"/>
      <c r="TL52" s="214"/>
      <c r="TM52" s="214"/>
      <c r="TN52" s="214"/>
      <c r="TO52" s="214"/>
      <c r="TP52" s="214"/>
      <c r="TQ52" s="214"/>
      <c r="TR52" s="214"/>
      <c r="TS52" s="214"/>
      <c r="TT52" s="214"/>
      <c r="TU52" s="214"/>
      <c r="TV52" s="214"/>
      <c r="TW52" s="214"/>
      <c r="TX52" s="214"/>
      <c r="TY52" s="214"/>
      <c r="TZ52" s="214"/>
      <c r="UA52" s="214"/>
      <c r="UB52" s="214"/>
      <c r="UC52" s="214"/>
      <c r="UD52" s="214"/>
      <c r="UE52" s="214"/>
      <c r="UF52" s="214"/>
      <c r="UG52" s="214"/>
      <c r="UH52" s="214"/>
      <c r="UI52" s="214"/>
      <c r="UJ52" s="214"/>
      <c r="UK52" s="214"/>
      <c r="UL52" s="214"/>
      <c r="UM52" s="214"/>
      <c r="UN52" s="214"/>
      <c r="UO52" s="214"/>
      <c r="UP52" s="214"/>
      <c r="UQ52" s="214"/>
      <c r="UR52" s="214"/>
      <c r="US52" s="214"/>
      <c r="UT52" s="214"/>
      <c r="UU52" s="214"/>
      <c r="UV52" s="214"/>
      <c r="UW52" s="214"/>
      <c r="UX52" s="214"/>
      <c r="UY52" s="214"/>
      <c r="UZ52" s="214"/>
      <c r="VA52" s="214"/>
      <c r="VB52" s="214"/>
      <c r="VC52" s="214"/>
      <c r="VD52" s="214"/>
      <c r="VE52" s="214"/>
      <c r="VF52" s="214"/>
      <c r="VG52" s="214"/>
      <c r="VH52" s="214"/>
      <c r="VI52" s="214"/>
      <c r="VJ52" s="214"/>
      <c r="VK52" s="214"/>
      <c r="VL52" s="214"/>
      <c r="VM52" s="214"/>
      <c r="VN52" s="214"/>
      <c r="VO52" s="214"/>
      <c r="VP52" s="214"/>
      <c r="VQ52" s="214"/>
      <c r="VR52" s="214"/>
      <c r="VS52" s="214"/>
      <c r="VT52" s="214"/>
      <c r="VU52" s="214"/>
      <c r="VV52" s="214"/>
      <c r="VW52" s="214"/>
      <c r="VX52" s="214"/>
      <c r="VY52" s="214"/>
      <c r="VZ52" s="214"/>
      <c r="WA52" s="214"/>
      <c r="WB52" s="214"/>
      <c r="WC52" s="214"/>
      <c r="WD52" s="214"/>
      <c r="WE52" s="214"/>
      <c r="WF52" s="214"/>
      <c r="WG52" s="214"/>
      <c r="WH52" s="214"/>
      <c r="WI52" s="214"/>
      <c r="WJ52" s="214"/>
      <c r="WK52" s="214"/>
      <c r="WL52" s="214"/>
      <c r="WM52" s="214"/>
      <c r="WN52" s="214"/>
      <c r="WO52" s="214"/>
      <c r="WP52" s="214"/>
      <c r="WQ52" s="214"/>
      <c r="WR52" s="214"/>
      <c r="WS52" s="214"/>
      <c r="WT52" s="214"/>
      <c r="WU52" s="214"/>
      <c r="WV52" s="214"/>
      <c r="WW52" s="214"/>
      <c r="WX52" s="214"/>
      <c r="WY52" s="214"/>
      <c r="WZ52" s="214"/>
      <c r="XA52" s="214"/>
      <c r="XB52" s="214"/>
      <c r="XC52" s="214"/>
      <c r="XD52" s="214"/>
      <c r="XE52" s="214"/>
      <c r="XF52" s="214"/>
      <c r="XG52" s="214"/>
      <c r="XH52" s="214"/>
      <c r="XI52" s="214"/>
      <c r="XJ52" s="214"/>
      <c r="XK52" s="214"/>
      <c r="XL52" s="214"/>
      <c r="XM52" s="214"/>
      <c r="XN52" s="214"/>
      <c r="XO52" s="214"/>
      <c r="XP52" s="214"/>
      <c r="XQ52" s="214"/>
      <c r="XR52" s="214"/>
      <c r="XS52" s="214"/>
      <c r="XT52" s="214"/>
      <c r="XU52" s="214"/>
      <c r="XV52" s="214"/>
      <c r="XW52" s="214"/>
      <c r="XX52" s="214"/>
      <c r="XY52" s="214"/>
      <c r="XZ52" s="214"/>
      <c r="YA52" s="214"/>
      <c r="YB52" s="214"/>
      <c r="YC52" s="214"/>
      <c r="YD52" s="214"/>
      <c r="YE52" s="214"/>
      <c r="YF52" s="214"/>
      <c r="YG52" s="214"/>
      <c r="YH52" s="214"/>
      <c r="YI52" s="214"/>
      <c r="YJ52" s="214"/>
      <c r="YK52" s="214"/>
      <c r="YL52" s="214"/>
      <c r="YM52" s="214"/>
      <c r="YN52" s="214"/>
      <c r="YO52" s="214"/>
      <c r="YP52" s="214"/>
      <c r="YQ52" s="214"/>
      <c r="YR52" s="214"/>
      <c r="YS52" s="214"/>
      <c r="YT52" s="214"/>
      <c r="YU52" s="214"/>
      <c r="YV52" s="214"/>
      <c r="YW52" s="214"/>
      <c r="YX52" s="214"/>
      <c r="YY52" s="214"/>
      <c r="YZ52" s="214"/>
      <c r="ZA52" s="214"/>
      <c r="ZB52" s="214"/>
      <c r="ZC52" s="214"/>
      <c r="ZD52" s="214"/>
      <c r="ZE52" s="214"/>
      <c r="ZF52" s="214"/>
      <c r="ZG52" s="214"/>
      <c r="ZH52" s="214"/>
      <c r="ZI52" s="214"/>
      <c r="ZJ52" s="214"/>
      <c r="ZK52" s="214"/>
      <c r="ZL52" s="214"/>
      <c r="ZM52" s="214"/>
      <c r="ZN52" s="214"/>
      <c r="ZO52" s="214"/>
      <c r="ZP52" s="214"/>
      <c r="ZQ52" s="214"/>
      <c r="ZR52" s="214"/>
      <c r="ZS52" s="214"/>
      <c r="ZT52" s="214"/>
      <c r="ZU52" s="214"/>
      <c r="ZV52" s="214"/>
      <c r="ZW52" s="214"/>
      <c r="ZX52" s="214"/>
      <c r="ZY52" s="214"/>
      <c r="ZZ52" s="214"/>
      <c r="AAA52" s="214"/>
      <c r="AAB52" s="214"/>
      <c r="AAC52" s="214"/>
      <c r="AAD52" s="214"/>
      <c r="AAE52" s="214"/>
      <c r="AAF52" s="214"/>
      <c r="AAG52" s="214"/>
      <c r="AAH52" s="214"/>
      <c r="AAI52" s="214"/>
      <c r="AAJ52" s="214"/>
      <c r="AAK52" s="214"/>
      <c r="AAL52" s="214"/>
      <c r="AAM52" s="214"/>
      <c r="AAN52" s="214"/>
      <c r="AAO52" s="214"/>
      <c r="AAP52" s="214"/>
      <c r="AAQ52" s="214"/>
      <c r="AAR52" s="214"/>
      <c r="AAS52" s="214"/>
      <c r="AAT52" s="214"/>
      <c r="AAU52" s="214"/>
      <c r="AAV52" s="214"/>
      <c r="AAW52" s="214"/>
      <c r="AAX52" s="214"/>
      <c r="AAY52" s="214"/>
      <c r="AAZ52" s="214"/>
      <c r="ABA52" s="214"/>
      <c r="ABB52" s="214"/>
      <c r="ABC52" s="214"/>
      <c r="ABD52" s="214"/>
      <c r="ABE52" s="214"/>
      <c r="ABF52" s="214"/>
      <c r="ABG52" s="214"/>
      <c r="ABH52" s="214"/>
      <c r="ABI52" s="214"/>
      <c r="ABJ52" s="214"/>
      <c r="ABK52" s="214"/>
      <c r="ABL52" s="214"/>
      <c r="ABM52" s="214"/>
      <c r="ABN52" s="214"/>
      <c r="ABO52" s="214"/>
      <c r="ABP52" s="214"/>
      <c r="ABQ52" s="214"/>
      <c r="ABR52" s="214"/>
      <c r="ABS52" s="214"/>
      <c r="ABT52" s="214"/>
      <c r="ABU52" s="214"/>
      <c r="ABV52" s="214"/>
      <c r="ABW52" s="214"/>
      <c r="ABX52" s="214"/>
      <c r="ABY52" s="214"/>
      <c r="ABZ52" s="214"/>
      <c r="ACA52" s="214"/>
      <c r="ACB52" s="214"/>
      <c r="ACC52" s="214"/>
      <c r="ACD52" s="214"/>
      <c r="ACE52" s="214"/>
      <c r="ACF52" s="214"/>
      <c r="ACG52" s="214"/>
      <c r="ACH52" s="214"/>
      <c r="ACI52" s="214"/>
      <c r="ACJ52" s="214"/>
      <c r="ACK52" s="214"/>
      <c r="ACL52" s="214"/>
      <c r="ACM52" s="214"/>
      <c r="ACN52" s="214"/>
      <c r="ACO52" s="214"/>
      <c r="ACP52" s="214"/>
      <c r="ACQ52" s="214"/>
      <c r="ACR52" s="214"/>
      <c r="ACS52" s="214"/>
      <c r="ACT52" s="214"/>
      <c r="ACU52" s="214"/>
      <c r="ACV52" s="214"/>
      <c r="ACW52" s="214"/>
      <c r="ACX52" s="214"/>
      <c r="ACY52" s="214"/>
      <c r="ACZ52" s="214"/>
      <c r="ADA52" s="214"/>
      <c r="ADB52" s="214"/>
      <c r="ADC52" s="214"/>
      <c r="ADD52" s="214"/>
      <c r="ADE52" s="214"/>
      <c r="ADF52" s="214"/>
      <c r="ADG52" s="214"/>
      <c r="ADH52" s="214"/>
      <c r="ADI52" s="214"/>
      <c r="ADJ52" s="214"/>
      <c r="ADK52" s="214"/>
      <c r="ADL52" s="214"/>
      <c r="ADM52" s="214"/>
      <c r="ADN52" s="214"/>
      <c r="ADO52" s="214"/>
      <c r="ADP52" s="214"/>
      <c r="ADQ52" s="214"/>
      <c r="ADR52" s="214"/>
      <c r="ADS52" s="214"/>
      <c r="ADT52" s="214"/>
      <c r="ADU52" s="214"/>
      <c r="ADV52" s="214"/>
      <c r="ADW52" s="214"/>
      <c r="ADX52" s="214"/>
      <c r="ADY52" s="214"/>
      <c r="ADZ52" s="214"/>
      <c r="AEA52" s="214"/>
      <c r="AEB52" s="214"/>
      <c r="AEC52" s="214"/>
      <c r="AED52" s="214"/>
      <c r="AEE52" s="214"/>
      <c r="AEF52" s="214"/>
      <c r="AEG52" s="214"/>
      <c r="AEH52" s="214"/>
      <c r="AEI52" s="214"/>
      <c r="AEJ52" s="214"/>
      <c r="AEK52" s="214"/>
      <c r="AEL52" s="214"/>
      <c r="AEM52" s="214"/>
      <c r="AEN52" s="214"/>
      <c r="AEO52" s="214"/>
      <c r="AEP52" s="214"/>
      <c r="AEQ52" s="214"/>
      <c r="AER52" s="214"/>
      <c r="AES52" s="214"/>
      <c r="AET52" s="214"/>
      <c r="AEU52" s="214"/>
      <c r="AEV52" s="214"/>
      <c r="AEW52" s="214"/>
      <c r="AEX52" s="214"/>
      <c r="AEY52" s="214"/>
      <c r="AEZ52" s="214"/>
      <c r="AFA52" s="214"/>
      <c r="AFB52" s="214"/>
      <c r="AFC52" s="214"/>
      <c r="AFD52" s="214"/>
      <c r="AFE52" s="214"/>
      <c r="AFF52" s="214"/>
      <c r="AFG52" s="214"/>
      <c r="AFH52" s="214"/>
      <c r="AFI52" s="214"/>
      <c r="AFJ52" s="214"/>
      <c r="AFK52" s="214"/>
      <c r="AFL52" s="214"/>
      <c r="AFM52" s="214"/>
      <c r="AFN52" s="214"/>
      <c r="AFO52" s="214"/>
      <c r="AFP52" s="214"/>
      <c r="AFQ52" s="214"/>
      <c r="AFR52" s="214"/>
      <c r="AFS52" s="214"/>
      <c r="AFT52" s="214"/>
      <c r="AFU52" s="214"/>
      <c r="AFV52" s="214"/>
      <c r="AFW52" s="214"/>
      <c r="AFX52" s="214"/>
      <c r="AFY52" s="214"/>
      <c r="AFZ52" s="214"/>
      <c r="AGA52" s="214"/>
      <c r="AGB52" s="214"/>
      <c r="AGC52" s="214"/>
      <c r="AGD52" s="214"/>
      <c r="AGE52" s="214"/>
      <c r="AGF52" s="214"/>
      <c r="AGG52" s="214"/>
      <c r="AGH52" s="214"/>
      <c r="AGI52" s="214"/>
      <c r="AGJ52" s="214"/>
      <c r="AGK52" s="214"/>
      <c r="AGL52" s="214"/>
      <c r="AGM52" s="214"/>
      <c r="AGN52" s="214"/>
      <c r="AGO52" s="214"/>
      <c r="AGP52" s="214"/>
      <c r="AGQ52" s="214"/>
      <c r="AGR52" s="214"/>
      <c r="AGS52" s="214"/>
      <c r="AGT52" s="214"/>
      <c r="AGU52" s="214"/>
      <c r="AGV52" s="214"/>
      <c r="AGW52" s="214"/>
      <c r="AGX52" s="214"/>
      <c r="AGY52" s="214"/>
      <c r="AGZ52" s="214"/>
      <c r="AHA52" s="214"/>
      <c r="AHB52" s="214"/>
      <c r="AHC52" s="214"/>
      <c r="AHD52" s="214"/>
      <c r="AHE52" s="214"/>
      <c r="AHF52" s="214"/>
      <c r="AHG52" s="214"/>
      <c r="AHH52" s="214"/>
      <c r="AHI52" s="214"/>
      <c r="AHJ52" s="214"/>
      <c r="AHK52" s="214"/>
      <c r="AHL52" s="214"/>
      <c r="AHM52" s="214"/>
      <c r="AHN52" s="214"/>
      <c r="AHO52" s="214"/>
      <c r="AHP52" s="214"/>
      <c r="AHQ52" s="214"/>
      <c r="AHR52" s="214"/>
      <c r="AHS52" s="214"/>
      <c r="AHT52" s="214"/>
      <c r="AHU52" s="214"/>
      <c r="AHV52" s="214"/>
      <c r="AHW52" s="214"/>
      <c r="AHX52" s="214"/>
      <c r="AHY52" s="214"/>
      <c r="AHZ52" s="214"/>
      <c r="AIA52" s="214"/>
      <c r="AIB52" s="214"/>
      <c r="AIC52" s="214"/>
      <c r="AID52" s="214"/>
      <c r="AIE52" s="214"/>
      <c r="AIF52" s="214"/>
      <c r="AIG52" s="214"/>
      <c r="AIH52" s="214"/>
      <c r="AII52" s="214"/>
      <c r="AIJ52" s="214"/>
      <c r="AIK52" s="214"/>
      <c r="AIL52" s="214"/>
      <c r="AIM52" s="214"/>
      <c r="AIN52" s="214"/>
      <c r="AIO52" s="214"/>
      <c r="AIP52" s="214"/>
      <c r="AIQ52" s="214"/>
      <c r="AIR52" s="214"/>
      <c r="AIS52" s="214"/>
      <c r="AIT52" s="214"/>
      <c r="AIU52" s="214"/>
      <c r="AIV52" s="214"/>
      <c r="AIW52" s="214"/>
      <c r="AIX52" s="214"/>
      <c r="AIY52" s="214"/>
      <c r="AIZ52" s="214"/>
      <c r="AJA52" s="214"/>
      <c r="AJB52" s="214"/>
      <c r="AJC52" s="214"/>
      <c r="AJD52" s="214"/>
      <c r="AJE52" s="214"/>
      <c r="AJF52" s="214"/>
      <c r="AJG52" s="214"/>
      <c r="AJH52" s="214"/>
      <c r="AJI52" s="214"/>
      <c r="AJJ52" s="214"/>
      <c r="AJK52" s="214"/>
      <c r="AJL52" s="214"/>
      <c r="AJM52" s="214"/>
      <c r="AJN52" s="214"/>
      <c r="AJO52" s="214"/>
      <c r="AJP52" s="214"/>
      <c r="AJQ52" s="214"/>
      <c r="AJR52" s="214"/>
      <c r="AJS52" s="214"/>
      <c r="AJT52" s="214"/>
      <c r="AJU52" s="214"/>
      <c r="AJV52" s="214"/>
      <c r="AJW52" s="214"/>
      <c r="AJX52" s="214"/>
      <c r="AJY52" s="214"/>
      <c r="AJZ52" s="214"/>
      <c r="AKA52" s="214"/>
      <c r="AKB52" s="214"/>
      <c r="AKC52" s="214"/>
      <c r="AKD52" s="214"/>
      <c r="AKE52" s="214"/>
      <c r="AKF52" s="214"/>
      <c r="AKG52" s="214"/>
      <c r="AKH52" s="214"/>
      <c r="AKI52" s="214"/>
      <c r="AKJ52" s="214"/>
      <c r="AKK52" s="214"/>
      <c r="AKL52" s="214"/>
      <c r="AKM52" s="214"/>
      <c r="AKN52" s="214"/>
      <c r="AKO52" s="214"/>
      <c r="AKP52" s="214"/>
      <c r="AKQ52" s="214"/>
      <c r="AKR52" s="214"/>
      <c r="AKS52" s="214"/>
      <c r="AKT52" s="214"/>
      <c r="AKU52" s="214"/>
      <c r="AKV52" s="214"/>
      <c r="AKW52" s="214"/>
      <c r="AKX52" s="214"/>
      <c r="AKY52" s="214"/>
      <c r="AKZ52" s="214"/>
      <c r="ALA52" s="214"/>
      <c r="ALB52" s="214"/>
      <c r="ALC52" s="214"/>
      <c r="ALD52" s="214"/>
      <c r="ALE52" s="214"/>
      <c r="ALF52" s="214"/>
      <c r="ALG52" s="214"/>
      <c r="ALH52" s="214"/>
      <c r="ALI52" s="214"/>
      <c r="ALJ52" s="214"/>
      <c r="ALK52" s="214"/>
      <c r="ALL52" s="214"/>
      <c r="ALM52" s="214"/>
      <c r="ALN52" s="214"/>
      <c r="ALO52" s="214"/>
      <c r="ALP52" s="214"/>
      <c r="ALQ52" s="214"/>
      <c r="ALR52" s="214"/>
      <c r="ALS52" s="214"/>
      <c r="ALT52" s="214"/>
      <c r="ALU52" s="214"/>
      <c r="ALV52" s="214"/>
      <c r="ALW52" s="214"/>
      <c r="ALX52" s="214"/>
      <c r="ALY52" s="214"/>
      <c r="ALZ52" s="214"/>
      <c r="AMA52" s="214"/>
      <c r="AMB52" s="214"/>
      <c r="AMC52" s="214"/>
      <c r="AMD52" s="214"/>
      <c r="AME52" s="214"/>
      <c r="AMF52" s="214"/>
      <c r="AMG52" s="214"/>
      <c r="AMH52" s="214"/>
      <c r="AMI52" s="214"/>
      <c r="AMJ52" s="214"/>
      <c r="AMK52" s="214"/>
      <c r="AML52" s="214"/>
      <c r="AMM52" s="214"/>
      <c r="AMN52" s="214"/>
      <c r="AMO52" s="214"/>
      <c r="AMP52" s="214"/>
      <c r="AMQ52" s="214"/>
      <c r="AMR52" s="214"/>
      <c r="AMS52" s="214"/>
      <c r="AMT52" s="214"/>
      <c r="AMU52" s="214"/>
      <c r="AMV52" s="214"/>
      <c r="AMW52" s="214"/>
      <c r="AMX52" s="214"/>
      <c r="AMY52" s="214"/>
      <c r="AMZ52" s="214"/>
      <c r="ANA52" s="214"/>
      <c r="ANB52" s="214"/>
      <c r="ANC52" s="214"/>
      <c r="AND52" s="214"/>
      <c r="ANE52" s="214"/>
      <c r="ANF52" s="214"/>
      <c r="ANG52" s="214"/>
      <c r="ANH52" s="214"/>
      <c r="ANI52" s="214"/>
      <c r="ANJ52" s="214"/>
      <c r="ANK52" s="214"/>
      <c r="ANL52" s="214"/>
      <c r="ANM52" s="214"/>
      <c r="ANN52" s="214"/>
      <c r="ANO52" s="214"/>
      <c r="ANP52" s="214"/>
      <c r="ANQ52" s="214"/>
      <c r="ANR52" s="214"/>
      <c r="ANS52" s="214"/>
      <c r="ANT52" s="214"/>
      <c r="ANU52" s="214"/>
      <c r="ANV52" s="214"/>
      <c r="ANW52" s="214"/>
      <c r="ANX52" s="214"/>
      <c r="ANY52" s="214"/>
      <c r="ANZ52" s="214"/>
      <c r="AOA52" s="214"/>
      <c r="AOB52" s="214"/>
      <c r="AOC52" s="214"/>
      <c r="AOD52" s="214"/>
      <c r="AOE52" s="214"/>
      <c r="AOF52" s="214"/>
      <c r="AOG52" s="214"/>
      <c r="AOH52" s="214"/>
      <c r="AOI52" s="214"/>
      <c r="AOJ52" s="214"/>
      <c r="AOK52" s="214"/>
      <c r="AOL52" s="214"/>
      <c r="AOM52" s="214"/>
      <c r="AON52" s="214"/>
      <c r="AOO52" s="214"/>
      <c r="AOP52" s="214"/>
      <c r="AOQ52" s="214"/>
      <c r="AOR52" s="214"/>
      <c r="AOS52" s="214"/>
      <c r="AOT52" s="214"/>
      <c r="AOU52" s="214"/>
      <c r="AOV52" s="214"/>
      <c r="AOW52" s="214"/>
      <c r="AOX52" s="214"/>
      <c r="AOY52" s="214"/>
      <c r="AOZ52" s="214"/>
      <c r="APA52" s="214"/>
      <c r="APB52" s="214"/>
      <c r="APC52" s="214"/>
      <c r="APD52" s="214"/>
      <c r="APE52" s="214"/>
      <c r="APF52" s="214"/>
      <c r="APG52" s="214"/>
      <c r="APH52" s="214"/>
      <c r="API52" s="214"/>
      <c r="APJ52" s="214"/>
      <c r="APK52" s="214"/>
      <c r="APL52" s="214"/>
      <c r="APM52" s="214"/>
      <c r="APN52" s="214"/>
      <c r="APO52" s="214"/>
      <c r="APP52" s="214"/>
      <c r="APQ52" s="214"/>
      <c r="APR52" s="214"/>
      <c r="APS52" s="214"/>
      <c r="APT52" s="214"/>
      <c r="APU52" s="214"/>
      <c r="APV52" s="214"/>
      <c r="APW52" s="214"/>
      <c r="APX52" s="214"/>
      <c r="APY52" s="214"/>
      <c r="APZ52" s="214"/>
      <c r="AQA52" s="214"/>
      <c r="AQB52" s="214"/>
      <c r="AQC52" s="214"/>
      <c r="AQD52" s="214"/>
      <c r="AQE52" s="214"/>
      <c r="AQF52" s="214"/>
      <c r="AQG52" s="214"/>
      <c r="AQH52" s="214"/>
      <c r="AQI52" s="214"/>
      <c r="AQJ52" s="214"/>
      <c r="AQK52" s="214"/>
      <c r="AQL52" s="214"/>
      <c r="AQM52" s="214"/>
      <c r="AQN52" s="214"/>
      <c r="AQO52" s="214"/>
      <c r="AQP52" s="214"/>
      <c r="AQQ52" s="214"/>
      <c r="AQR52" s="214"/>
      <c r="AQS52" s="214"/>
      <c r="AQT52" s="214"/>
      <c r="AQU52" s="214"/>
      <c r="AQV52" s="214"/>
      <c r="AQW52" s="214"/>
      <c r="AQX52" s="214"/>
      <c r="AQY52" s="214"/>
      <c r="AQZ52" s="214"/>
      <c r="ARA52" s="214"/>
      <c r="ARB52" s="214"/>
      <c r="ARC52" s="214"/>
      <c r="ARD52" s="214"/>
      <c r="ARE52" s="214"/>
      <c r="ARF52" s="214"/>
      <c r="ARG52" s="214"/>
      <c r="ARH52" s="214"/>
      <c r="ARI52" s="214"/>
      <c r="ARJ52" s="214"/>
      <c r="ARK52" s="214"/>
      <c r="ARL52" s="214"/>
      <c r="ARM52" s="214"/>
      <c r="ARN52" s="214"/>
      <c r="ARO52" s="214"/>
      <c r="ARP52" s="214"/>
      <c r="ARQ52" s="214"/>
      <c r="ARR52" s="214"/>
      <c r="ARS52" s="214"/>
      <c r="ART52" s="214"/>
      <c r="ARU52" s="214"/>
      <c r="ARV52" s="214"/>
      <c r="ARW52" s="214"/>
      <c r="ARX52" s="214"/>
      <c r="ARY52" s="214"/>
      <c r="ARZ52" s="214"/>
      <c r="ASA52" s="214"/>
      <c r="ASB52" s="214"/>
      <c r="ASC52" s="214"/>
      <c r="ASD52" s="214"/>
      <c r="ASE52" s="214"/>
      <c r="ASF52" s="214"/>
      <c r="ASG52" s="214"/>
      <c r="ASH52" s="214"/>
      <c r="ASI52" s="214"/>
      <c r="ASJ52" s="214"/>
      <c r="ASK52" s="214"/>
      <c r="ASL52" s="214"/>
      <c r="ASM52" s="214"/>
      <c r="ASN52" s="214"/>
      <c r="ASO52" s="214"/>
      <c r="ASP52" s="214"/>
      <c r="ASQ52" s="214"/>
      <c r="ASR52" s="214"/>
      <c r="ASS52" s="214"/>
      <c r="AST52" s="214"/>
      <c r="ASU52" s="214"/>
      <c r="ASV52" s="214"/>
      <c r="ASW52" s="214"/>
      <c r="ASX52" s="214"/>
      <c r="ASY52" s="214"/>
      <c r="ASZ52" s="214"/>
      <c r="ATA52" s="214"/>
      <c r="ATB52" s="214"/>
      <c r="ATC52" s="214"/>
      <c r="ATD52" s="214"/>
      <c r="ATE52" s="214"/>
      <c r="ATF52" s="214"/>
      <c r="ATG52" s="214"/>
      <c r="ATH52" s="214"/>
      <c r="ATI52" s="214"/>
      <c r="ATJ52" s="214"/>
      <c r="ATK52" s="214"/>
      <c r="ATL52" s="214"/>
      <c r="ATM52" s="214"/>
      <c r="ATN52" s="214"/>
      <c r="ATO52" s="214"/>
      <c r="ATP52" s="214"/>
      <c r="ATQ52" s="214"/>
      <c r="ATR52" s="214"/>
      <c r="ATS52" s="214"/>
      <c r="ATT52" s="214"/>
      <c r="ATU52" s="214"/>
      <c r="ATV52" s="214"/>
      <c r="ATW52" s="214"/>
      <c r="ATX52" s="214"/>
      <c r="ATY52" s="214"/>
      <c r="ATZ52" s="214"/>
      <c r="AUA52" s="214"/>
      <c r="AUB52" s="214"/>
      <c r="AUC52" s="214"/>
      <c r="AUD52" s="214"/>
      <c r="AUE52" s="214"/>
      <c r="AUF52" s="214"/>
      <c r="AUG52" s="214"/>
      <c r="AUH52" s="214"/>
      <c r="AUI52" s="214"/>
      <c r="AUJ52" s="214"/>
      <c r="AUK52" s="214"/>
      <c r="AUL52" s="214"/>
      <c r="AUM52" s="214"/>
      <c r="AUN52" s="214"/>
      <c r="AUO52" s="214"/>
      <c r="AUP52" s="214"/>
      <c r="AUQ52" s="214"/>
      <c r="AUR52" s="214"/>
      <c r="AUS52" s="214"/>
      <c r="AUT52" s="214"/>
      <c r="AUU52" s="214"/>
      <c r="AUV52" s="214"/>
      <c r="AUW52" s="214"/>
      <c r="AUX52" s="214"/>
      <c r="AUY52" s="214"/>
      <c r="AUZ52" s="214"/>
      <c r="AVA52" s="214"/>
      <c r="AVB52" s="214"/>
      <c r="AVC52" s="214"/>
      <c r="AVD52" s="214"/>
      <c r="AVE52" s="214"/>
      <c r="AVF52" s="214"/>
      <c r="AVG52" s="214"/>
      <c r="AVH52" s="214"/>
      <c r="AVI52" s="214"/>
      <c r="AVJ52" s="214"/>
      <c r="AVK52" s="214"/>
      <c r="AVL52" s="214"/>
      <c r="AVM52" s="214"/>
      <c r="AVN52" s="214"/>
      <c r="AVO52" s="214"/>
      <c r="AVP52" s="214"/>
      <c r="AVQ52" s="214"/>
      <c r="AVR52" s="214"/>
      <c r="AVS52" s="214"/>
      <c r="AVT52" s="214"/>
      <c r="AVU52" s="214"/>
      <c r="AVV52" s="214"/>
      <c r="AVW52" s="214"/>
      <c r="AVX52" s="214"/>
      <c r="AVY52" s="214"/>
      <c r="AVZ52" s="214"/>
      <c r="AWA52" s="214"/>
      <c r="AWB52" s="214"/>
      <c r="AWC52" s="214"/>
      <c r="AWD52" s="214"/>
      <c r="AWE52" s="214"/>
      <c r="AWF52" s="214"/>
      <c r="AWG52" s="214"/>
      <c r="AWH52" s="214"/>
      <c r="AWI52" s="214"/>
      <c r="AWJ52" s="214"/>
      <c r="AWK52" s="214"/>
      <c r="AWL52" s="214"/>
      <c r="AWM52" s="214"/>
      <c r="AWN52" s="214"/>
      <c r="AWO52" s="214"/>
      <c r="AWP52" s="214"/>
      <c r="AWQ52" s="214"/>
      <c r="AWR52" s="214"/>
      <c r="AWS52" s="214"/>
      <c r="AWT52" s="214"/>
      <c r="AWU52" s="214"/>
      <c r="AWV52" s="214"/>
      <c r="AWW52" s="214"/>
      <c r="AWX52" s="214"/>
      <c r="AWY52" s="214"/>
      <c r="AWZ52" s="214"/>
      <c r="AXA52" s="214"/>
      <c r="AXB52" s="214"/>
      <c r="AXC52" s="214"/>
      <c r="AXD52" s="214"/>
      <c r="AXE52" s="214"/>
      <c r="AXF52" s="214"/>
      <c r="AXG52" s="214"/>
      <c r="AXH52" s="214"/>
      <c r="AXI52" s="214"/>
      <c r="AXJ52" s="214"/>
      <c r="AXK52" s="214"/>
      <c r="AXL52" s="214"/>
      <c r="AXM52" s="214"/>
      <c r="AXN52" s="214"/>
      <c r="AXO52" s="214"/>
      <c r="AXP52" s="214"/>
      <c r="AXQ52" s="214"/>
      <c r="AXR52" s="214"/>
      <c r="AXS52" s="214"/>
      <c r="AXT52" s="214"/>
      <c r="AXU52" s="214"/>
      <c r="AXV52" s="214"/>
      <c r="AXW52" s="214"/>
      <c r="AXX52" s="214"/>
      <c r="AXY52" s="214"/>
      <c r="AXZ52" s="214"/>
      <c r="AYA52" s="214"/>
      <c r="AYB52" s="214"/>
      <c r="AYC52" s="214"/>
      <c r="AYD52" s="214"/>
      <c r="AYE52" s="214"/>
      <c r="AYF52" s="214"/>
      <c r="AYG52" s="214"/>
      <c r="AYH52" s="214"/>
      <c r="AYI52" s="214"/>
      <c r="AYJ52" s="214"/>
      <c r="AYK52" s="214"/>
      <c r="AYL52" s="214"/>
      <c r="AYM52" s="214"/>
      <c r="AYN52" s="214"/>
      <c r="AYO52" s="214"/>
      <c r="AYP52" s="214"/>
      <c r="AYQ52" s="214"/>
      <c r="AYR52" s="214"/>
      <c r="AYS52" s="214"/>
      <c r="AYT52" s="214"/>
      <c r="AYU52" s="214"/>
      <c r="AYV52" s="214"/>
      <c r="AYW52" s="214"/>
      <c r="AYX52" s="214"/>
      <c r="AYY52" s="214"/>
      <c r="AYZ52" s="214"/>
      <c r="AZA52" s="214"/>
      <c r="AZB52" s="214"/>
      <c r="AZC52" s="214"/>
      <c r="AZD52" s="214"/>
      <c r="AZE52" s="214"/>
      <c r="AZF52" s="214"/>
      <c r="AZG52" s="214"/>
      <c r="AZH52" s="214"/>
      <c r="AZI52" s="214"/>
      <c r="AZJ52" s="214"/>
      <c r="AZK52" s="214"/>
      <c r="AZL52" s="214"/>
      <c r="AZM52" s="214"/>
      <c r="AZN52" s="214"/>
      <c r="AZO52" s="214"/>
      <c r="AZP52" s="214"/>
      <c r="AZQ52" s="214"/>
      <c r="AZR52" s="214"/>
      <c r="AZS52" s="214"/>
      <c r="AZT52" s="214"/>
      <c r="AZU52" s="214"/>
      <c r="AZV52" s="214"/>
      <c r="AZW52" s="214"/>
      <c r="AZX52" s="214"/>
      <c r="AZY52" s="214"/>
      <c r="AZZ52" s="214"/>
      <c r="BAA52" s="214"/>
      <c r="BAB52" s="214"/>
      <c r="BAC52" s="214"/>
      <c r="BAD52" s="214"/>
      <c r="BAE52" s="214"/>
      <c r="BAF52" s="214"/>
      <c r="BAG52" s="214"/>
      <c r="BAH52" s="214"/>
      <c r="BAI52" s="214"/>
      <c r="BAJ52" s="214"/>
      <c r="BAK52" s="214"/>
      <c r="BAL52" s="214"/>
      <c r="BAM52" s="214"/>
      <c r="BAN52" s="214"/>
      <c r="BAO52" s="214"/>
      <c r="BAP52" s="214"/>
      <c r="BAQ52" s="214"/>
      <c r="BAR52" s="214"/>
      <c r="BAS52" s="214"/>
      <c r="BAT52" s="214"/>
      <c r="BAU52" s="214"/>
      <c r="BAV52" s="214"/>
      <c r="BAW52" s="214"/>
      <c r="BAX52" s="214"/>
      <c r="BAY52" s="214"/>
      <c r="BAZ52" s="214"/>
      <c r="BBA52" s="214"/>
      <c r="BBB52" s="214"/>
      <c r="BBC52" s="214"/>
      <c r="BBD52" s="214"/>
      <c r="BBE52" s="214"/>
      <c r="BBF52" s="214"/>
      <c r="BBG52" s="214"/>
      <c r="BBH52" s="214"/>
      <c r="BBI52" s="214"/>
      <c r="BBJ52" s="214"/>
      <c r="BBK52" s="214"/>
      <c r="BBL52" s="214"/>
      <c r="BBM52" s="214"/>
      <c r="BBN52" s="214"/>
      <c r="BBO52" s="214"/>
      <c r="BBP52" s="214"/>
      <c r="BBQ52" s="214"/>
      <c r="BBR52" s="214"/>
      <c r="BBS52" s="214"/>
      <c r="BBT52" s="214"/>
      <c r="BBU52" s="214"/>
      <c r="BBV52" s="214"/>
      <c r="BBW52" s="214"/>
      <c r="BBX52" s="214"/>
      <c r="BBY52" s="214"/>
      <c r="BBZ52" s="214"/>
      <c r="BCA52" s="214"/>
      <c r="BCB52" s="214"/>
      <c r="BCC52" s="214"/>
      <c r="BCD52" s="214"/>
      <c r="BCE52" s="214"/>
      <c r="BCF52" s="214"/>
      <c r="BCG52" s="214"/>
      <c r="BCH52" s="214"/>
      <c r="BCI52" s="214"/>
      <c r="BCJ52" s="214"/>
      <c r="BCK52" s="214"/>
      <c r="BCL52" s="214"/>
      <c r="BCM52" s="214"/>
      <c r="BCN52" s="214"/>
      <c r="BCO52" s="214"/>
      <c r="BCP52" s="214"/>
      <c r="BCQ52" s="214"/>
      <c r="BCR52" s="214"/>
      <c r="BCS52" s="214"/>
      <c r="BCT52" s="214"/>
      <c r="BCU52" s="214"/>
      <c r="BCV52" s="214"/>
      <c r="BCW52" s="214"/>
      <c r="BCX52" s="214"/>
      <c r="BCY52" s="214"/>
      <c r="BCZ52" s="214"/>
      <c r="BDA52" s="214"/>
      <c r="BDB52" s="214"/>
      <c r="BDC52" s="214"/>
      <c r="BDD52" s="214"/>
      <c r="BDE52" s="214"/>
      <c r="BDF52" s="214"/>
      <c r="BDG52" s="214"/>
      <c r="BDH52" s="214"/>
      <c r="BDI52" s="214"/>
      <c r="BDJ52" s="214"/>
      <c r="BDK52" s="214"/>
      <c r="BDL52" s="214"/>
      <c r="BDM52" s="214"/>
      <c r="BDN52" s="214"/>
      <c r="BDO52" s="214"/>
      <c r="BDP52" s="214"/>
      <c r="BDQ52" s="214"/>
      <c r="BDR52" s="214"/>
      <c r="BDS52" s="214"/>
      <c r="BDT52" s="214"/>
      <c r="BDU52" s="214"/>
      <c r="BDV52" s="214"/>
      <c r="BDW52" s="214"/>
      <c r="BDX52" s="214"/>
      <c r="BDY52" s="214"/>
      <c r="BDZ52" s="214"/>
      <c r="BEA52" s="214"/>
      <c r="BEB52" s="214"/>
      <c r="BEC52" s="214"/>
      <c r="BED52" s="214"/>
      <c r="BEE52" s="214"/>
      <c r="BEF52" s="214"/>
      <c r="BEG52" s="214"/>
      <c r="BEH52" s="214"/>
      <c r="BEI52" s="214"/>
      <c r="BEJ52" s="214"/>
      <c r="BEK52" s="214"/>
      <c r="BEL52" s="214"/>
      <c r="BEM52" s="214"/>
      <c r="BEN52" s="214"/>
      <c r="BEO52" s="214"/>
      <c r="BEP52" s="214"/>
      <c r="BEQ52" s="214"/>
      <c r="BER52" s="214"/>
      <c r="BES52" s="214"/>
      <c r="BET52" s="214"/>
      <c r="BEU52" s="214"/>
      <c r="BEV52" s="214"/>
      <c r="BEW52" s="214"/>
      <c r="BEX52" s="214"/>
      <c r="BEY52" s="214"/>
      <c r="BEZ52" s="214"/>
      <c r="BFA52" s="214"/>
      <c r="BFB52" s="214"/>
      <c r="BFC52" s="214"/>
      <c r="BFD52" s="214"/>
      <c r="BFE52" s="214"/>
      <c r="BFF52" s="214"/>
      <c r="BFG52" s="214"/>
      <c r="BFH52" s="214"/>
      <c r="BFI52" s="214"/>
      <c r="BFJ52" s="214"/>
      <c r="BFK52" s="214"/>
      <c r="BFL52" s="214"/>
      <c r="BFM52" s="214"/>
      <c r="BFN52" s="214"/>
      <c r="BFO52" s="214"/>
      <c r="BFP52" s="214"/>
      <c r="BFQ52" s="214"/>
      <c r="BFR52" s="214"/>
      <c r="BFS52" s="214"/>
      <c r="BFT52" s="214"/>
      <c r="BFU52" s="214"/>
      <c r="BFV52" s="214"/>
      <c r="BFW52" s="214"/>
      <c r="BFX52" s="214"/>
      <c r="BFY52" s="214"/>
      <c r="BFZ52" s="214"/>
      <c r="BGA52" s="214"/>
      <c r="BGB52" s="214"/>
      <c r="BGC52" s="214"/>
      <c r="BGD52" s="214"/>
      <c r="BGE52" s="214"/>
      <c r="BGF52" s="214"/>
      <c r="BGG52" s="214"/>
      <c r="BGH52" s="214"/>
      <c r="BGI52" s="214"/>
      <c r="BGJ52" s="214"/>
      <c r="BGK52" s="214"/>
      <c r="BGL52" s="214"/>
      <c r="BGM52" s="214"/>
      <c r="BGN52" s="214"/>
      <c r="BGO52" s="214"/>
      <c r="BGP52" s="214"/>
      <c r="BGQ52" s="214"/>
      <c r="BGR52" s="214"/>
      <c r="BGS52" s="214"/>
      <c r="BGT52" s="214"/>
      <c r="BGU52" s="214"/>
      <c r="BGV52" s="214"/>
      <c r="BGW52" s="214"/>
      <c r="BGX52" s="214"/>
      <c r="BGY52" s="214"/>
      <c r="BGZ52" s="214"/>
      <c r="BHA52" s="214"/>
      <c r="BHB52" s="214"/>
      <c r="BHC52" s="214"/>
      <c r="BHD52" s="214"/>
      <c r="BHE52" s="214"/>
      <c r="BHF52" s="214"/>
      <c r="BHG52" s="214"/>
      <c r="BHH52" s="214"/>
      <c r="BHI52" s="214"/>
      <c r="BHJ52" s="214"/>
      <c r="BHK52" s="214"/>
      <c r="BHL52" s="214"/>
      <c r="BHM52" s="214"/>
      <c r="BHN52" s="214"/>
      <c r="BHO52" s="214"/>
      <c r="BHP52" s="214"/>
      <c r="BHQ52" s="214"/>
      <c r="BHR52" s="214"/>
      <c r="BHS52" s="214"/>
      <c r="BHT52" s="214"/>
      <c r="BHU52" s="214"/>
      <c r="BHV52" s="214"/>
      <c r="BHW52" s="214"/>
    </row>
    <row r="53" spans="1:1583" s="217" customFormat="1">
      <c r="A53" s="223" t="s">
        <v>60</v>
      </c>
      <c r="B53" s="60"/>
      <c r="C53" s="60"/>
      <c r="D53" s="423" t="s">
        <v>594</v>
      </c>
      <c r="E53" s="59" t="s">
        <v>9</v>
      </c>
      <c r="F53" s="132"/>
      <c r="G53" s="60" t="s">
        <v>707</v>
      </c>
      <c r="H53" s="473">
        <f t="shared" si="20"/>
        <v>142.02399077123781</v>
      </c>
      <c r="I53" s="96">
        <f>(I52/Analysis!J100)*(Analysis!J90/100)*2.015</f>
        <v>4.2164925923289616</v>
      </c>
      <c r="J53" s="437"/>
      <c r="K53" s="96">
        <f>(K52/Analysis!L100)*(Analysis!L90/100)*2.015</f>
        <v>4.9475113720366464</v>
      </c>
      <c r="L53" s="96">
        <f>(L52/Analysis!M100)*(Analysis!M90/100)*2.015</f>
        <v>4.9607994835548102</v>
      </c>
      <c r="M53" s="96">
        <f>(M52/Analysis!N100)*(Analysis!N90/100)*2.015</f>
        <v>4.8739031839920903</v>
      </c>
      <c r="N53" s="96">
        <f>(N52/Analysis!O100)*(Analysis!O90/100)*2.015</f>
        <v>5.0664423664566636</v>
      </c>
      <c r="O53" s="96">
        <f>(O52/Analysis!P100)*(Analysis!P90/100)*2.015</f>
        <v>4.0630346155466723</v>
      </c>
      <c r="P53" s="96">
        <f>(P52/Analysis!Q100)*(Analysis!Q90/100)*2.015</f>
        <v>3.7953693166077893</v>
      </c>
      <c r="Q53" s="96">
        <f>(Q52/Analysis!R100)*(Analysis!R90/100)*2.015</f>
        <v>3.9674325392946028</v>
      </c>
      <c r="R53" s="96">
        <f>(R52/Analysis!S100)*(Analysis!S90/100)*2.015</f>
        <v>3.8166274296241882</v>
      </c>
      <c r="S53" s="96">
        <f>(S52/Analysis!T100)*(Analysis!T90/100)*2.015</f>
        <v>3.5498555277790413</v>
      </c>
      <c r="T53" s="96">
        <f>(T52/Analysis!U100)*(Analysis!U90/100)*2.015</f>
        <v>3.9546029168071564</v>
      </c>
      <c r="U53" s="96">
        <f>(U52/Analysis!V100)*(Analysis!V90/100)*2.015</f>
        <v>4.2881156878810955</v>
      </c>
      <c r="V53" s="96">
        <f>(V52/Analysis!W100)*(Analysis!W90/100)*2.015</f>
        <v>2.9943607766300313</v>
      </c>
      <c r="W53" s="96">
        <f>(W52/Analysis!X100)*(Analysis!X90/100)*2.015</f>
        <v>2.9402364161856327</v>
      </c>
      <c r="X53" s="96">
        <f>(X52/Analysis!Y100)*(Analysis!Y90/100)*2.015</f>
        <v>3.2899737973181922</v>
      </c>
      <c r="Y53" s="96">
        <f>(Y52/Analysis!Z100)*(Analysis!Z90/100)*2.015</f>
        <v>4.4207755258231902</v>
      </c>
      <c r="Z53" s="96">
        <f>(Z52/Analysis!AA100)*(Analysis!AA90/100)*2.015</f>
        <v>5.5056875483176109</v>
      </c>
      <c r="AA53" s="96">
        <f>(AA52/Analysis!AB100)*(Analysis!AB90/100)*2.015</f>
        <v>5.3332275234480813</v>
      </c>
      <c r="AB53" s="96">
        <f>(AB52/Analysis!AC100)*(Analysis!AC90/100)*2.015</f>
        <v>5.4468759622643468</v>
      </c>
      <c r="AC53" s="96">
        <f>(AC52/Analysis!AD100)*(Analysis!AD90/100)*2.015</f>
        <v>5.12462261315991</v>
      </c>
      <c r="AD53" s="96">
        <f>(AD52/Analysis!AE100)*(Analysis!AE90/100)*2.015</f>
        <v>4.9646973789961644</v>
      </c>
      <c r="AE53" s="96">
        <f>(AE52/Analysis!AF100)*(Analysis!AF90/100)*2.015</f>
        <v>5.0395042911399468</v>
      </c>
      <c r="AF53" s="96">
        <f>(AF52/Analysis!AG100)*(Analysis!AG90/100)*2.015</f>
        <v>5.1119563534717631</v>
      </c>
      <c r="AG53" s="96">
        <f>(AG52/Analysis!AH100)*(Analysis!AH90/100)*2.015</f>
        <v>5.0753004551135064</v>
      </c>
      <c r="AH53" s="96">
        <f>(AH52/Analysis!AI100)*(Analysis!AI90/100)*2.015</f>
        <v>5.073831015152396</v>
      </c>
      <c r="AI53" s="96">
        <f>(AI52/Analysis!AJ100)*(Analysis!AJ90/100)*2.015</f>
        <v>4.9230098482987641</v>
      </c>
      <c r="AJ53" s="96">
        <f>(AJ52/Analysis!AK100)*(Analysis!AK90/100)*2.015</f>
        <v>4.8850147011365008</v>
      </c>
      <c r="AK53" s="96">
        <f>(AK52/Analysis!AL100)*(Analysis!AL90/100)*2.015</f>
        <v>5.0814362203168759</v>
      </c>
      <c r="AL53" s="96">
        <f>(AL52/Analysis!AM100)*(Analysis!AM90/100)*2.015</f>
        <v>5.1109713058943358</v>
      </c>
      <c r="AM53" s="96">
        <f>(AM52/Analysis!AN100)*(Analysis!AN90/100)*2.015</f>
        <v>5.0527634329123066</v>
      </c>
      <c r="AN53" s="96">
        <f>(AN52/Analysis!AO100)*(Analysis!AO90/100)*2.015</f>
        <v>5.1495585737485339</v>
      </c>
      <c r="AO53" s="214"/>
      <c r="AP53" s="214"/>
      <c r="AQ53" s="214"/>
      <c r="AR53" s="214"/>
      <c r="AS53" s="214"/>
      <c r="AT53" s="214"/>
      <c r="AU53" s="214"/>
      <c r="AV53" s="214"/>
      <c r="AW53" s="214"/>
      <c r="AX53" s="214"/>
      <c r="AY53" s="214"/>
      <c r="AZ53" s="214"/>
      <c r="BA53" s="214"/>
      <c r="BB53" s="214"/>
      <c r="BC53" s="214"/>
      <c r="BD53" s="214"/>
      <c r="BE53" s="214"/>
      <c r="BF53" s="214"/>
      <c r="BG53" s="214"/>
      <c r="BH53" s="214"/>
      <c r="BI53" s="214"/>
      <c r="BJ53" s="214"/>
      <c r="BK53" s="214"/>
      <c r="BL53" s="214"/>
      <c r="BM53" s="214"/>
      <c r="BN53" s="214"/>
      <c r="BO53" s="214"/>
      <c r="BP53" s="214"/>
      <c r="BQ53" s="214"/>
      <c r="BR53" s="214"/>
      <c r="BS53" s="214"/>
      <c r="BT53" s="214"/>
      <c r="BU53" s="214"/>
      <c r="BV53" s="214"/>
      <c r="BW53" s="214"/>
      <c r="BX53" s="214"/>
      <c r="BY53" s="214"/>
      <c r="BZ53" s="214"/>
      <c r="CA53" s="214"/>
      <c r="CB53" s="214"/>
      <c r="CC53" s="214"/>
      <c r="CD53" s="214"/>
      <c r="CE53" s="214"/>
      <c r="CF53" s="214"/>
      <c r="CG53" s="214"/>
      <c r="CH53" s="214"/>
      <c r="CI53" s="214"/>
      <c r="CJ53" s="214"/>
      <c r="CK53" s="214"/>
      <c r="CL53" s="214"/>
      <c r="CM53" s="214"/>
      <c r="CN53" s="214"/>
      <c r="CO53" s="214"/>
      <c r="CP53" s="214"/>
      <c r="CQ53" s="214"/>
      <c r="CR53" s="214"/>
      <c r="CS53" s="214"/>
      <c r="CT53" s="214"/>
      <c r="CU53" s="214"/>
      <c r="CV53" s="214"/>
      <c r="CW53" s="214"/>
      <c r="CX53" s="214"/>
      <c r="CY53" s="214"/>
      <c r="CZ53" s="214"/>
      <c r="DA53" s="214"/>
      <c r="DB53" s="214"/>
      <c r="DC53" s="214"/>
      <c r="DD53" s="214"/>
      <c r="DE53" s="214"/>
      <c r="DF53" s="214"/>
      <c r="DG53" s="214"/>
      <c r="DH53" s="214"/>
      <c r="DI53" s="214"/>
      <c r="DJ53" s="214"/>
      <c r="DK53" s="214"/>
      <c r="DL53" s="214"/>
      <c r="DM53" s="214"/>
      <c r="DN53" s="214"/>
      <c r="DO53" s="214"/>
      <c r="DP53" s="214"/>
      <c r="DQ53" s="214"/>
      <c r="DR53" s="214"/>
      <c r="DS53" s="214"/>
      <c r="DT53" s="214"/>
      <c r="DU53" s="214"/>
      <c r="DV53" s="214"/>
      <c r="DW53" s="214"/>
      <c r="DX53" s="214"/>
      <c r="DY53" s="214"/>
      <c r="DZ53" s="214"/>
      <c r="EA53" s="214"/>
      <c r="EB53" s="214"/>
      <c r="EC53" s="214"/>
      <c r="ED53" s="214"/>
      <c r="EE53" s="214"/>
      <c r="EF53" s="214"/>
      <c r="EG53" s="214"/>
      <c r="EH53" s="214"/>
      <c r="EI53" s="214"/>
      <c r="EJ53" s="214"/>
      <c r="EK53" s="214"/>
      <c r="EL53" s="214"/>
      <c r="EM53" s="214"/>
      <c r="EN53" s="214"/>
      <c r="EO53" s="214"/>
      <c r="EP53" s="214"/>
      <c r="EQ53" s="214"/>
      <c r="ER53" s="214"/>
      <c r="ES53" s="214"/>
      <c r="ET53" s="214"/>
      <c r="EU53" s="214"/>
      <c r="EV53" s="214"/>
      <c r="EW53" s="214"/>
      <c r="EX53" s="214"/>
      <c r="EY53" s="214"/>
      <c r="EZ53" s="214"/>
      <c r="FA53" s="214"/>
      <c r="FB53" s="214"/>
      <c r="FC53" s="214"/>
      <c r="FD53" s="214"/>
      <c r="FE53" s="214"/>
      <c r="FF53" s="214"/>
      <c r="FG53" s="214"/>
      <c r="FH53" s="214"/>
      <c r="FI53" s="214"/>
      <c r="FJ53" s="214"/>
      <c r="FK53" s="214"/>
      <c r="FL53" s="214"/>
      <c r="FM53" s="214"/>
      <c r="FN53" s="214"/>
      <c r="FO53" s="214"/>
      <c r="FP53" s="214"/>
      <c r="FQ53" s="214"/>
      <c r="FR53" s="214"/>
      <c r="FS53" s="214"/>
      <c r="FT53" s="214"/>
      <c r="FU53" s="214"/>
      <c r="FV53" s="214"/>
      <c r="FW53" s="214"/>
      <c r="FX53" s="214"/>
      <c r="FY53" s="214"/>
      <c r="FZ53" s="214"/>
      <c r="GA53" s="214"/>
      <c r="GB53" s="214"/>
      <c r="GC53" s="214"/>
      <c r="GD53" s="214"/>
      <c r="GE53" s="214"/>
      <c r="GF53" s="214"/>
      <c r="GG53" s="214"/>
      <c r="GH53" s="214"/>
      <c r="GI53" s="214"/>
      <c r="GJ53" s="214"/>
      <c r="GK53" s="214"/>
      <c r="GL53" s="214"/>
      <c r="GM53" s="214"/>
      <c r="GN53" s="214"/>
      <c r="GO53" s="214"/>
      <c r="GP53" s="214"/>
      <c r="GQ53" s="214"/>
      <c r="GR53" s="214"/>
      <c r="GS53" s="214"/>
      <c r="GT53" s="214"/>
      <c r="GU53" s="214"/>
      <c r="GV53" s="214"/>
      <c r="GW53" s="214"/>
      <c r="GX53" s="214"/>
      <c r="GY53" s="214"/>
      <c r="GZ53" s="214"/>
      <c r="HA53" s="214"/>
      <c r="HB53" s="214"/>
      <c r="HC53" s="214"/>
      <c r="HD53" s="214"/>
      <c r="HE53" s="214"/>
      <c r="HF53" s="214"/>
      <c r="HG53" s="214"/>
      <c r="HH53" s="214"/>
      <c r="HI53" s="214"/>
      <c r="HJ53" s="214"/>
      <c r="HK53" s="214"/>
      <c r="HL53" s="214"/>
      <c r="HM53" s="214"/>
      <c r="HN53" s="214"/>
      <c r="HO53" s="214"/>
      <c r="HP53" s="214"/>
      <c r="HQ53" s="214"/>
      <c r="HR53" s="214"/>
      <c r="HS53" s="214"/>
      <c r="HT53" s="214"/>
      <c r="HU53" s="214"/>
      <c r="HV53" s="214"/>
      <c r="HW53" s="214"/>
      <c r="HX53" s="214"/>
      <c r="HY53" s="214"/>
      <c r="HZ53" s="214"/>
      <c r="IA53" s="214"/>
      <c r="IB53" s="214"/>
      <c r="IC53" s="214"/>
      <c r="ID53" s="214"/>
      <c r="IE53" s="214"/>
      <c r="IF53" s="214"/>
      <c r="IG53" s="214"/>
      <c r="IH53" s="214"/>
      <c r="II53" s="214"/>
      <c r="IJ53" s="214"/>
      <c r="IK53" s="214"/>
      <c r="IL53" s="214"/>
      <c r="IM53" s="214"/>
      <c r="IN53" s="214"/>
      <c r="IO53" s="214"/>
      <c r="IP53" s="214"/>
      <c r="IQ53" s="214"/>
      <c r="IR53" s="214"/>
      <c r="IS53" s="214"/>
      <c r="IT53" s="214"/>
      <c r="IU53" s="214"/>
      <c r="IV53" s="214"/>
      <c r="IW53" s="214"/>
      <c r="IX53" s="214"/>
      <c r="IY53" s="214"/>
      <c r="IZ53" s="214"/>
      <c r="JA53" s="214"/>
      <c r="JB53" s="214"/>
      <c r="JC53" s="214"/>
      <c r="JD53" s="214"/>
      <c r="JE53" s="214"/>
      <c r="JF53" s="214"/>
      <c r="JG53" s="214"/>
      <c r="JH53" s="214"/>
      <c r="JI53" s="214"/>
      <c r="JJ53" s="214"/>
      <c r="JK53" s="214"/>
      <c r="JL53" s="214"/>
      <c r="JM53" s="214"/>
      <c r="JN53" s="214"/>
      <c r="JO53" s="214"/>
      <c r="JP53" s="214"/>
      <c r="JQ53" s="214"/>
      <c r="JR53" s="214"/>
      <c r="JS53" s="214"/>
      <c r="JT53" s="214"/>
      <c r="JU53" s="214"/>
      <c r="JV53" s="214"/>
      <c r="JW53" s="214"/>
      <c r="JX53" s="214"/>
      <c r="JY53" s="214"/>
      <c r="JZ53" s="214"/>
      <c r="KA53" s="214"/>
      <c r="KB53" s="214"/>
      <c r="KC53" s="214"/>
      <c r="KD53" s="214"/>
      <c r="KE53" s="214"/>
      <c r="KF53" s="214"/>
      <c r="KG53" s="214"/>
      <c r="KH53" s="214"/>
      <c r="KI53" s="214"/>
      <c r="KJ53" s="214"/>
      <c r="KK53" s="214"/>
      <c r="KL53" s="214"/>
      <c r="KM53" s="214"/>
      <c r="KN53" s="214"/>
      <c r="KO53" s="214"/>
      <c r="KP53" s="214"/>
      <c r="KQ53" s="214"/>
      <c r="KR53" s="214"/>
      <c r="KS53" s="214"/>
      <c r="KT53" s="214"/>
      <c r="KU53" s="214"/>
      <c r="KV53" s="214"/>
      <c r="KW53" s="214"/>
      <c r="KX53" s="214"/>
      <c r="KY53" s="214"/>
      <c r="KZ53" s="214"/>
      <c r="LA53" s="214"/>
      <c r="LB53" s="214"/>
      <c r="LC53" s="214"/>
      <c r="LD53" s="214"/>
      <c r="LE53" s="214"/>
      <c r="LF53" s="214"/>
      <c r="LG53" s="214"/>
      <c r="LH53" s="214"/>
      <c r="LI53" s="214"/>
      <c r="LJ53" s="214"/>
      <c r="LK53" s="214"/>
      <c r="LL53" s="214"/>
      <c r="LM53" s="214"/>
      <c r="LN53" s="214"/>
      <c r="LO53" s="214"/>
      <c r="LP53" s="214"/>
      <c r="LQ53" s="214"/>
      <c r="LR53" s="214"/>
      <c r="LS53" s="214"/>
      <c r="LT53" s="214"/>
      <c r="LU53" s="214"/>
      <c r="LV53" s="214"/>
      <c r="LW53" s="214"/>
      <c r="LX53" s="214"/>
      <c r="LY53" s="214"/>
      <c r="LZ53" s="214"/>
      <c r="MA53" s="214"/>
      <c r="MB53" s="214"/>
      <c r="MC53" s="214"/>
      <c r="MD53" s="214"/>
      <c r="ME53" s="214"/>
      <c r="MF53" s="214"/>
      <c r="MG53" s="214"/>
      <c r="MH53" s="214"/>
      <c r="MI53" s="214"/>
      <c r="MJ53" s="214"/>
      <c r="MK53" s="214"/>
      <c r="ML53" s="214"/>
      <c r="MM53" s="214"/>
      <c r="MN53" s="214"/>
      <c r="MO53" s="214"/>
      <c r="MP53" s="214"/>
      <c r="MQ53" s="214"/>
      <c r="MR53" s="214"/>
      <c r="MS53" s="214"/>
      <c r="MT53" s="214"/>
      <c r="MU53" s="214"/>
      <c r="MV53" s="214"/>
      <c r="MW53" s="214"/>
      <c r="MX53" s="214"/>
      <c r="MY53" s="214"/>
      <c r="MZ53" s="214"/>
      <c r="NA53" s="214"/>
      <c r="NB53" s="214"/>
      <c r="NC53" s="214"/>
      <c r="ND53" s="214"/>
      <c r="NE53" s="214"/>
      <c r="NF53" s="214"/>
      <c r="NG53" s="214"/>
      <c r="NH53" s="214"/>
      <c r="NI53" s="214"/>
      <c r="NJ53" s="214"/>
      <c r="NK53" s="214"/>
      <c r="NL53" s="214"/>
      <c r="NM53" s="214"/>
      <c r="NN53" s="214"/>
      <c r="NO53" s="214"/>
      <c r="NP53" s="214"/>
      <c r="NQ53" s="214"/>
      <c r="NR53" s="214"/>
      <c r="NS53" s="214"/>
      <c r="NT53" s="214"/>
      <c r="NU53" s="214"/>
      <c r="NV53" s="214"/>
      <c r="NW53" s="214"/>
      <c r="NX53" s="214"/>
      <c r="NY53" s="214"/>
      <c r="NZ53" s="214"/>
      <c r="OA53" s="214"/>
      <c r="OB53" s="214"/>
      <c r="OC53" s="214"/>
      <c r="OD53" s="214"/>
      <c r="OE53" s="214"/>
      <c r="OF53" s="214"/>
      <c r="OG53" s="214"/>
      <c r="OH53" s="214"/>
      <c r="OI53" s="214"/>
      <c r="OJ53" s="214"/>
      <c r="OK53" s="214"/>
      <c r="OL53" s="214"/>
      <c r="OM53" s="214"/>
      <c r="ON53" s="214"/>
      <c r="OO53" s="214"/>
      <c r="OP53" s="214"/>
      <c r="OQ53" s="214"/>
      <c r="OR53" s="214"/>
      <c r="OS53" s="214"/>
      <c r="OT53" s="214"/>
      <c r="OU53" s="214"/>
      <c r="OV53" s="214"/>
      <c r="OW53" s="214"/>
      <c r="OX53" s="214"/>
      <c r="OY53" s="214"/>
      <c r="OZ53" s="214"/>
      <c r="PA53" s="214"/>
      <c r="PB53" s="214"/>
      <c r="PC53" s="214"/>
      <c r="PD53" s="214"/>
      <c r="PE53" s="214"/>
      <c r="PF53" s="214"/>
      <c r="PG53" s="214"/>
      <c r="PH53" s="214"/>
      <c r="PI53" s="214"/>
      <c r="PJ53" s="214"/>
      <c r="PK53" s="214"/>
      <c r="PL53" s="214"/>
      <c r="PM53" s="214"/>
      <c r="PN53" s="214"/>
      <c r="PO53" s="214"/>
      <c r="PP53" s="214"/>
      <c r="PQ53" s="214"/>
      <c r="PR53" s="214"/>
      <c r="PS53" s="214"/>
      <c r="PT53" s="214"/>
      <c r="PU53" s="214"/>
      <c r="PV53" s="214"/>
      <c r="PW53" s="214"/>
      <c r="PX53" s="214"/>
      <c r="PY53" s="214"/>
      <c r="PZ53" s="214"/>
      <c r="QA53" s="214"/>
      <c r="QB53" s="214"/>
      <c r="QC53" s="214"/>
      <c r="QD53" s="214"/>
      <c r="QE53" s="214"/>
      <c r="QF53" s="214"/>
      <c r="QG53" s="214"/>
      <c r="QH53" s="214"/>
      <c r="QI53" s="214"/>
      <c r="QJ53" s="214"/>
      <c r="QK53" s="214"/>
      <c r="QL53" s="214"/>
      <c r="QM53" s="214"/>
      <c r="QN53" s="214"/>
      <c r="QO53" s="214"/>
      <c r="QP53" s="214"/>
      <c r="QQ53" s="214"/>
      <c r="QR53" s="214"/>
      <c r="QS53" s="214"/>
      <c r="QT53" s="214"/>
      <c r="QU53" s="214"/>
      <c r="QV53" s="214"/>
      <c r="QW53" s="214"/>
      <c r="QX53" s="214"/>
      <c r="QY53" s="214"/>
      <c r="QZ53" s="214"/>
      <c r="RA53" s="214"/>
      <c r="RB53" s="214"/>
      <c r="RC53" s="214"/>
      <c r="RD53" s="214"/>
      <c r="RE53" s="214"/>
      <c r="RF53" s="214"/>
      <c r="RG53" s="214"/>
      <c r="RH53" s="214"/>
      <c r="RI53" s="214"/>
      <c r="RJ53" s="214"/>
      <c r="RK53" s="214"/>
      <c r="RL53" s="214"/>
      <c r="RM53" s="214"/>
      <c r="RN53" s="214"/>
      <c r="RO53" s="214"/>
      <c r="RP53" s="214"/>
      <c r="RQ53" s="214"/>
      <c r="RR53" s="214"/>
      <c r="RS53" s="214"/>
      <c r="RT53" s="214"/>
      <c r="RU53" s="214"/>
      <c r="RV53" s="214"/>
      <c r="RW53" s="214"/>
      <c r="RX53" s="214"/>
      <c r="RY53" s="214"/>
      <c r="RZ53" s="214"/>
      <c r="SA53" s="214"/>
      <c r="SB53" s="214"/>
      <c r="SC53" s="214"/>
      <c r="SD53" s="214"/>
      <c r="SE53" s="214"/>
      <c r="SF53" s="214"/>
      <c r="SG53" s="214"/>
      <c r="SH53" s="214"/>
      <c r="SI53" s="214"/>
      <c r="SJ53" s="214"/>
      <c r="SK53" s="214"/>
      <c r="SL53" s="214"/>
      <c r="SM53" s="214"/>
      <c r="SN53" s="214"/>
      <c r="SO53" s="214"/>
      <c r="SP53" s="214"/>
      <c r="SQ53" s="214"/>
      <c r="SR53" s="214"/>
      <c r="SS53" s="214"/>
      <c r="ST53" s="214"/>
      <c r="SU53" s="214"/>
      <c r="SV53" s="214"/>
      <c r="SW53" s="214"/>
      <c r="SX53" s="214"/>
      <c r="SY53" s="214"/>
      <c r="SZ53" s="214"/>
      <c r="TA53" s="214"/>
      <c r="TB53" s="214"/>
      <c r="TC53" s="214"/>
      <c r="TD53" s="214"/>
      <c r="TE53" s="214"/>
      <c r="TF53" s="214"/>
      <c r="TG53" s="214"/>
      <c r="TH53" s="214"/>
      <c r="TI53" s="214"/>
      <c r="TJ53" s="214"/>
      <c r="TK53" s="214"/>
      <c r="TL53" s="214"/>
      <c r="TM53" s="214"/>
      <c r="TN53" s="214"/>
      <c r="TO53" s="214"/>
      <c r="TP53" s="214"/>
      <c r="TQ53" s="214"/>
      <c r="TR53" s="214"/>
      <c r="TS53" s="214"/>
      <c r="TT53" s="214"/>
      <c r="TU53" s="214"/>
      <c r="TV53" s="214"/>
      <c r="TW53" s="214"/>
      <c r="TX53" s="214"/>
      <c r="TY53" s="214"/>
      <c r="TZ53" s="214"/>
      <c r="UA53" s="214"/>
      <c r="UB53" s="214"/>
      <c r="UC53" s="214"/>
      <c r="UD53" s="214"/>
      <c r="UE53" s="214"/>
      <c r="UF53" s="214"/>
      <c r="UG53" s="214"/>
      <c r="UH53" s="214"/>
      <c r="UI53" s="214"/>
      <c r="UJ53" s="214"/>
      <c r="UK53" s="214"/>
      <c r="UL53" s="214"/>
      <c r="UM53" s="214"/>
      <c r="UN53" s="214"/>
      <c r="UO53" s="214"/>
      <c r="UP53" s="214"/>
      <c r="UQ53" s="214"/>
      <c r="UR53" s="214"/>
      <c r="US53" s="214"/>
      <c r="UT53" s="214"/>
      <c r="UU53" s="214"/>
      <c r="UV53" s="214"/>
      <c r="UW53" s="214"/>
      <c r="UX53" s="214"/>
      <c r="UY53" s="214"/>
      <c r="UZ53" s="214"/>
      <c r="VA53" s="214"/>
      <c r="VB53" s="214"/>
      <c r="VC53" s="214"/>
      <c r="VD53" s="214"/>
      <c r="VE53" s="214"/>
      <c r="VF53" s="214"/>
      <c r="VG53" s="214"/>
      <c r="VH53" s="214"/>
      <c r="VI53" s="214"/>
      <c r="VJ53" s="214"/>
      <c r="VK53" s="214"/>
      <c r="VL53" s="214"/>
      <c r="VM53" s="214"/>
      <c r="VN53" s="214"/>
      <c r="VO53" s="214"/>
      <c r="VP53" s="214"/>
      <c r="VQ53" s="214"/>
      <c r="VR53" s="214"/>
      <c r="VS53" s="214"/>
      <c r="VT53" s="214"/>
      <c r="VU53" s="214"/>
      <c r="VV53" s="214"/>
      <c r="VW53" s="214"/>
      <c r="VX53" s="214"/>
      <c r="VY53" s="214"/>
      <c r="VZ53" s="214"/>
      <c r="WA53" s="214"/>
      <c r="WB53" s="214"/>
      <c r="WC53" s="214"/>
      <c r="WD53" s="214"/>
      <c r="WE53" s="214"/>
      <c r="WF53" s="214"/>
      <c r="WG53" s="214"/>
      <c r="WH53" s="214"/>
      <c r="WI53" s="214"/>
      <c r="WJ53" s="214"/>
      <c r="WK53" s="214"/>
      <c r="WL53" s="214"/>
      <c r="WM53" s="214"/>
      <c r="WN53" s="214"/>
      <c r="WO53" s="214"/>
      <c r="WP53" s="214"/>
      <c r="WQ53" s="214"/>
      <c r="WR53" s="214"/>
      <c r="WS53" s="214"/>
      <c r="WT53" s="214"/>
      <c r="WU53" s="214"/>
      <c r="WV53" s="214"/>
      <c r="WW53" s="214"/>
      <c r="WX53" s="214"/>
      <c r="WY53" s="214"/>
      <c r="WZ53" s="214"/>
      <c r="XA53" s="214"/>
      <c r="XB53" s="214"/>
      <c r="XC53" s="214"/>
      <c r="XD53" s="214"/>
      <c r="XE53" s="214"/>
      <c r="XF53" s="214"/>
      <c r="XG53" s="214"/>
      <c r="XH53" s="214"/>
      <c r="XI53" s="214"/>
      <c r="XJ53" s="214"/>
      <c r="XK53" s="214"/>
      <c r="XL53" s="214"/>
      <c r="XM53" s="214"/>
      <c r="XN53" s="214"/>
      <c r="XO53" s="214"/>
      <c r="XP53" s="214"/>
      <c r="XQ53" s="214"/>
      <c r="XR53" s="214"/>
      <c r="XS53" s="214"/>
      <c r="XT53" s="214"/>
      <c r="XU53" s="214"/>
      <c r="XV53" s="214"/>
      <c r="XW53" s="214"/>
      <c r="XX53" s="214"/>
      <c r="XY53" s="214"/>
      <c r="XZ53" s="214"/>
      <c r="YA53" s="214"/>
      <c r="YB53" s="214"/>
      <c r="YC53" s="214"/>
      <c r="YD53" s="214"/>
      <c r="YE53" s="214"/>
      <c r="YF53" s="214"/>
      <c r="YG53" s="214"/>
      <c r="YH53" s="214"/>
      <c r="YI53" s="214"/>
      <c r="YJ53" s="214"/>
      <c r="YK53" s="214"/>
      <c r="YL53" s="214"/>
      <c r="YM53" s="214"/>
      <c r="YN53" s="214"/>
      <c r="YO53" s="214"/>
      <c r="YP53" s="214"/>
      <c r="YQ53" s="214"/>
      <c r="YR53" s="214"/>
      <c r="YS53" s="214"/>
      <c r="YT53" s="214"/>
      <c r="YU53" s="214"/>
      <c r="YV53" s="214"/>
      <c r="YW53" s="214"/>
      <c r="YX53" s="214"/>
      <c r="YY53" s="214"/>
      <c r="YZ53" s="214"/>
      <c r="ZA53" s="214"/>
      <c r="ZB53" s="214"/>
      <c r="ZC53" s="214"/>
      <c r="ZD53" s="214"/>
      <c r="ZE53" s="214"/>
      <c r="ZF53" s="214"/>
      <c r="ZG53" s="214"/>
      <c r="ZH53" s="214"/>
      <c r="ZI53" s="214"/>
      <c r="ZJ53" s="214"/>
      <c r="ZK53" s="214"/>
      <c r="ZL53" s="214"/>
      <c r="ZM53" s="214"/>
      <c r="ZN53" s="214"/>
      <c r="ZO53" s="214"/>
      <c r="ZP53" s="214"/>
      <c r="ZQ53" s="214"/>
      <c r="ZR53" s="214"/>
      <c r="ZS53" s="214"/>
      <c r="ZT53" s="214"/>
      <c r="ZU53" s="214"/>
      <c r="ZV53" s="214"/>
      <c r="ZW53" s="214"/>
      <c r="ZX53" s="214"/>
      <c r="ZY53" s="214"/>
      <c r="ZZ53" s="214"/>
      <c r="AAA53" s="214"/>
      <c r="AAB53" s="214"/>
      <c r="AAC53" s="214"/>
      <c r="AAD53" s="214"/>
      <c r="AAE53" s="214"/>
      <c r="AAF53" s="214"/>
      <c r="AAG53" s="214"/>
      <c r="AAH53" s="214"/>
      <c r="AAI53" s="214"/>
      <c r="AAJ53" s="214"/>
      <c r="AAK53" s="214"/>
      <c r="AAL53" s="214"/>
      <c r="AAM53" s="214"/>
      <c r="AAN53" s="214"/>
      <c r="AAO53" s="214"/>
      <c r="AAP53" s="214"/>
      <c r="AAQ53" s="214"/>
      <c r="AAR53" s="214"/>
      <c r="AAS53" s="214"/>
      <c r="AAT53" s="214"/>
      <c r="AAU53" s="214"/>
      <c r="AAV53" s="214"/>
      <c r="AAW53" s="214"/>
      <c r="AAX53" s="214"/>
      <c r="AAY53" s="214"/>
      <c r="AAZ53" s="214"/>
      <c r="ABA53" s="214"/>
      <c r="ABB53" s="214"/>
      <c r="ABC53" s="214"/>
      <c r="ABD53" s="214"/>
      <c r="ABE53" s="214"/>
      <c r="ABF53" s="214"/>
      <c r="ABG53" s="214"/>
      <c r="ABH53" s="214"/>
      <c r="ABI53" s="214"/>
      <c r="ABJ53" s="214"/>
      <c r="ABK53" s="214"/>
      <c r="ABL53" s="214"/>
      <c r="ABM53" s="214"/>
      <c r="ABN53" s="214"/>
      <c r="ABO53" s="214"/>
      <c r="ABP53" s="214"/>
      <c r="ABQ53" s="214"/>
      <c r="ABR53" s="214"/>
      <c r="ABS53" s="214"/>
      <c r="ABT53" s="214"/>
      <c r="ABU53" s="214"/>
      <c r="ABV53" s="214"/>
      <c r="ABW53" s="214"/>
      <c r="ABX53" s="214"/>
      <c r="ABY53" s="214"/>
      <c r="ABZ53" s="214"/>
      <c r="ACA53" s="214"/>
      <c r="ACB53" s="214"/>
      <c r="ACC53" s="214"/>
      <c r="ACD53" s="214"/>
      <c r="ACE53" s="214"/>
      <c r="ACF53" s="214"/>
      <c r="ACG53" s="214"/>
      <c r="ACH53" s="214"/>
      <c r="ACI53" s="214"/>
      <c r="ACJ53" s="214"/>
      <c r="ACK53" s="214"/>
      <c r="ACL53" s="214"/>
      <c r="ACM53" s="214"/>
      <c r="ACN53" s="214"/>
      <c r="ACO53" s="214"/>
      <c r="ACP53" s="214"/>
      <c r="ACQ53" s="214"/>
      <c r="ACR53" s="214"/>
      <c r="ACS53" s="214"/>
      <c r="ACT53" s="214"/>
      <c r="ACU53" s="214"/>
      <c r="ACV53" s="214"/>
      <c r="ACW53" s="214"/>
      <c r="ACX53" s="214"/>
      <c r="ACY53" s="214"/>
      <c r="ACZ53" s="214"/>
      <c r="ADA53" s="214"/>
      <c r="ADB53" s="214"/>
      <c r="ADC53" s="214"/>
      <c r="ADD53" s="214"/>
      <c r="ADE53" s="214"/>
      <c r="ADF53" s="214"/>
      <c r="ADG53" s="214"/>
      <c r="ADH53" s="214"/>
      <c r="ADI53" s="214"/>
      <c r="ADJ53" s="214"/>
      <c r="ADK53" s="214"/>
      <c r="ADL53" s="214"/>
      <c r="ADM53" s="214"/>
      <c r="ADN53" s="214"/>
      <c r="ADO53" s="214"/>
      <c r="ADP53" s="214"/>
      <c r="ADQ53" s="214"/>
      <c r="ADR53" s="214"/>
      <c r="ADS53" s="214"/>
      <c r="ADT53" s="214"/>
      <c r="ADU53" s="214"/>
      <c r="ADV53" s="214"/>
      <c r="ADW53" s="214"/>
      <c r="ADX53" s="214"/>
      <c r="ADY53" s="214"/>
      <c r="ADZ53" s="214"/>
      <c r="AEA53" s="214"/>
      <c r="AEB53" s="214"/>
      <c r="AEC53" s="214"/>
      <c r="AED53" s="214"/>
      <c r="AEE53" s="214"/>
      <c r="AEF53" s="214"/>
      <c r="AEG53" s="214"/>
      <c r="AEH53" s="214"/>
      <c r="AEI53" s="214"/>
      <c r="AEJ53" s="214"/>
      <c r="AEK53" s="214"/>
      <c r="AEL53" s="214"/>
      <c r="AEM53" s="214"/>
      <c r="AEN53" s="214"/>
      <c r="AEO53" s="214"/>
      <c r="AEP53" s="214"/>
      <c r="AEQ53" s="214"/>
      <c r="AER53" s="214"/>
      <c r="AES53" s="214"/>
      <c r="AET53" s="214"/>
      <c r="AEU53" s="214"/>
      <c r="AEV53" s="214"/>
      <c r="AEW53" s="214"/>
      <c r="AEX53" s="214"/>
      <c r="AEY53" s="214"/>
      <c r="AEZ53" s="214"/>
      <c r="AFA53" s="214"/>
      <c r="AFB53" s="214"/>
      <c r="AFC53" s="214"/>
      <c r="AFD53" s="214"/>
      <c r="AFE53" s="214"/>
      <c r="AFF53" s="214"/>
      <c r="AFG53" s="214"/>
      <c r="AFH53" s="214"/>
      <c r="AFI53" s="214"/>
      <c r="AFJ53" s="214"/>
      <c r="AFK53" s="214"/>
      <c r="AFL53" s="214"/>
      <c r="AFM53" s="214"/>
      <c r="AFN53" s="214"/>
      <c r="AFO53" s="214"/>
      <c r="AFP53" s="214"/>
      <c r="AFQ53" s="214"/>
      <c r="AFR53" s="214"/>
      <c r="AFS53" s="214"/>
      <c r="AFT53" s="214"/>
      <c r="AFU53" s="214"/>
      <c r="AFV53" s="214"/>
      <c r="AFW53" s="214"/>
      <c r="AFX53" s="214"/>
      <c r="AFY53" s="214"/>
      <c r="AFZ53" s="214"/>
      <c r="AGA53" s="214"/>
      <c r="AGB53" s="214"/>
      <c r="AGC53" s="214"/>
      <c r="AGD53" s="214"/>
      <c r="AGE53" s="214"/>
      <c r="AGF53" s="214"/>
      <c r="AGG53" s="214"/>
      <c r="AGH53" s="214"/>
      <c r="AGI53" s="214"/>
      <c r="AGJ53" s="214"/>
      <c r="AGK53" s="214"/>
      <c r="AGL53" s="214"/>
      <c r="AGM53" s="214"/>
      <c r="AGN53" s="214"/>
      <c r="AGO53" s="214"/>
      <c r="AGP53" s="214"/>
      <c r="AGQ53" s="214"/>
      <c r="AGR53" s="214"/>
      <c r="AGS53" s="214"/>
      <c r="AGT53" s="214"/>
      <c r="AGU53" s="214"/>
      <c r="AGV53" s="214"/>
      <c r="AGW53" s="214"/>
      <c r="AGX53" s="214"/>
      <c r="AGY53" s="214"/>
      <c r="AGZ53" s="214"/>
      <c r="AHA53" s="214"/>
      <c r="AHB53" s="214"/>
      <c r="AHC53" s="214"/>
      <c r="AHD53" s="214"/>
      <c r="AHE53" s="214"/>
      <c r="AHF53" s="214"/>
      <c r="AHG53" s="214"/>
      <c r="AHH53" s="214"/>
      <c r="AHI53" s="214"/>
      <c r="AHJ53" s="214"/>
      <c r="AHK53" s="214"/>
      <c r="AHL53" s="214"/>
      <c r="AHM53" s="214"/>
      <c r="AHN53" s="214"/>
      <c r="AHO53" s="214"/>
      <c r="AHP53" s="214"/>
      <c r="AHQ53" s="214"/>
      <c r="AHR53" s="214"/>
      <c r="AHS53" s="214"/>
      <c r="AHT53" s="214"/>
      <c r="AHU53" s="214"/>
      <c r="AHV53" s="214"/>
      <c r="AHW53" s="214"/>
      <c r="AHX53" s="214"/>
      <c r="AHY53" s="214"/>
      <c r="AHZ53" s="214"/>
      <c r="AIA53" s="214"/>
      <c r="AIB53" s="214"/>
      <c r="AIC53" s="214"/>
      <c r="AID53" s="214"/>
      <c r="AIE53" s="214"/>
      <c r="AIF53" s="214"/>
      <c r="AIG53" s="214"/>
      <c r="AIH53" s="214"/>
      <c r="AII53" s="214"/>
      <c r="AIJ53" s="214"/>
      <c r="AIK53" s="214"/>
      <c r="AIL53" s="214"/>
      <c r="AIM53" s="214"/>
      <c r="AIN53" s="214"/>
      <c r="AIO53" s="214"/>
      <c r="AIP53" s="214"/>
      <c r="AIQ53" s="214"/>
      <c r="AIR53" s="214"/>
      <c r="AIS53" s="214"/>
      <c r="AIT53" s="214"/>
      <c r="AIU53" s="214"/>
      <c r="AIV53" s="214"/>
      <c r="AIW53" s="214"/>
      <c r="AIX53" s="214"/>
      <c r="AIY53" s="214"/>
      <c r="AIZ53" s="214"/>
      <c r="AJA53" s="214"/>
      <c r="AJB53" s="214"/>
      <c r="AJC53" s="214"/>
      <c r="AJD53" s="214"/>
      <c r="AJE53" s="214"/>
      <c r="AJF53" s="214"/>
      <c r="AJG53" s="214"/>
      <c r="AJH53" s="214"/>
      <c r="AJI53" s="214"/>
      <c r="AJJ53" s="214"/>
      <c r="AJK53" s="214"/>
      <c r="AJL53" s="214"/>
      <c r="AJM53" s="214"/>
      <c r="AJN53" s="214"/>
      <c r="AJO53" s="214"/>
      <c r="AJP53" s="214"/>
      <c r="AJQ53" s="214"/>
      <c r="AJR53" s="214"/>
      <c r="AJS53" s="214"/>
      <c r="AJT53" s="214"/>
      <c r="AJU53" s="214"/>
      <c r="AJV53" s="214"/>
      <c r="AJW53" s="214"/>
      <c r="AJX53" s="214"/>
      <c r="AJY53" s="214"/>
      <c r="AJZ53" s="214"/>
      <c r="AKA53" s="214"/>
      <c r="AKB53" s="214"/>
      <c r="AKC53" s="214"/>
      <c r="AKD53" s="214"/>
      <c r="AKE53" s="214"/>
      <c r="AKF53" s="214"/>
      <c r="AKG53" s="214"/>
      <c r="AKH53" s="214"/>
      <c r="AKI53" s="214"/>
      <c r="AKJ53" s="214"/>
      <c r="AKK53" s="214"/>
      <c r="AKL53" s="214"/>
      <c r="AKM53" s="214"/>
      <c r="AKN53" s="214"/>
      <c r="AKO53" s="214"/>
      <c r="AKP53" s="214"/>
      <c r="AKQ53" s="214"/>
      <c r="AKR53" s="214"/>
      <c r="AKS53" s="214"/>
      <c r="AKT53" s="214"/>
      <c r="AKU53" s="214"/>
      <c r="AKV53" s="214"/>
      <c r="AKW53" s="214"/>
      <c r="AKX53" s="214"/>
      <c r="AKY53" s="214"/>
      <c r="AKZ53" s="214"/>
      <c r="ALA53" s="214"/>
      <c r="ALB53" s="214"/>
      <c r="ALC53" s="214"/>
      <c r="ALD53" s="214"/>
      <c r="ALE53" s="214"/>
      <c r="ALF53" s="214"/>
      <c r="ALG53" s="214"/>
      <c r="ALH53" s="214"/>
      <c r="ALI53" s="214"/>
      <c r="ALJ53" s="214"/>
      <c r="ALK53" s="214"/>
      <c r="ALL53" s="214"/>
      <c r="ALM53" s="214"/>
      <c r="ALN53" s="214"/>
      <c r="ALO53" s="214"/>
      <c r="ALP53" s="214"/>
      <c r="ALQ53" s="214"/>
      <c r="ALR53" s="214"/>
      <c r="ALS53" s="214"/>
      <c r="ALT53" s="214"/>
      <c r="ALU53" s="214"/>
      <c r="ALV53" s="214"/>
      <c r="ALW53" s="214"/>
      <c r="ALX53" s="214"/>
      <c r="ALY53" s="214"/>
      <c r="ALZ53" s="214"/>
      <c r="AMA53" s="214"/>
      <c r="AMB53" s="214"/>
      <c r="AMC53" s="214"/>
      <c r="AMD53" s="214"/>
      <c r="AME53" s="214"/>
      <c r="AMF53" s="214"/>
      <c r="AMG53" s="214"/>
      <c r="AMH53" s="214"/>
      <c r="AMI53" s="214"/>
      <c r="AMJ53" s="214"/>
      <c r="AMK53" s="214"/>
      <c r="AML53" s="214"/>
      <c r="AMM53" s="214"/>
      <c r="AMN53" s="214"/>
      <c r="AMO53" s="214"/>
      <c r="AMP53" s="214"/>
      <c r="AMQ53" s="214"/>
      <c r="AMR53" s="214"/>
      <c r="AMS53" s="214"/>
      <c r="AMT53" s="214"/>
      <c r="AMU53" s="214"/>
      <c r="AMV53" s="214"/>
      <c r="AMW53" s="214"/>
      <c r="AMX53" s="214"/>
      <c r="AMY53" s="214"/>
      <c r="AMZ53" s="214"/>
      <c r="ANA53" s="214"/>
      <c r="ANB53" s="214"/>
      <c r="ANC53" s="214"/>
      <c r="AND53" s="214"/>
      <c r="ANE53" s="214"/>
      <c r="ANF53" s="214"/>
      <c r="ANG53" s="214"/>
      <c r="ANH53" s="214"/>
      <c r="ANI53" s="214"/>
      <c r="ANJ53" s="214"/>
      <c r="ANK53" s="214"/>
      <c r="ANL53" s="214"/>
      <c r="ANM53" s="214"/>
      <c r="ANN53" s="214"/>
      <c r="ANO53" s="214"/>
      <c r="ANP53" s="214"/>
      <c r="ANQ53" s="214"/>
      <c r="ANR53" s="214"/>
      <c r="ANS53" s="214"/>
      <c r="ANT53" s="214"/>
      <c r="ANU53" s="214"/>
      <c r="ANV53" s="214"/>
      <c r="ANW53" s="214"/>
      <c r="ANX53" s="214"/>
      <c r="ANY53" s="214"/>
      <c r="ANZ53" s="214"/>
      <c r="AOA53" s="214"/>
      <c r="AOB53" s="214"/>
      <c r="AOC53" s="214"/>
      <c r="AOD53" s="214"/>
      <c r="AOE53" s="214"/>
      <c r="AOF53" s="214"/>
      <c r="AOG53" s="214"/>
      <c r="AOH53" s="214"/>
      <c r="AOI53" s="214"/>
      <c r="AOJ53" s="214"/>
      <c r="AOK53" s="214"/>
      <c r="AOL53" s="214"/>
      <c r="AOM53" s="214"/>
      <c r="AON53" s="214"/>
      <c r="AOO53" s="214"/>
      <c r="AOP53" s="214"/>
      <c r="AOQ53" s="214"/>
      <c r="AOR53" s="214"/>
      <c r="AOS53" s="214"/>
      <c r="AOT53" s="214"/>
      <c r="AOU53" s="214"/>
      <c r="AOV53" s="214"/>
      <c r="AOW53" s="214"/>
      <c r="AOX53" s="214"/>
      <c r="AOY53" s="214"/>
      <c r="AOZ53" s="214"/>
      <c r="APA53" s="214"/>
      <c r="APB53" s="214"/>
      <c r="APC53" s="214"/>
      <c r="APD53" s="214"/>
      <c r="APE53" s="214"/>
      <c r="APF53" s="214"/>
      <c r="APG53" s="214"/>
      <c r="APH53" s="214"/>
      <c r="API53" s="214"/>
      <c r="APJ53" s="214"/>
      <c r="APK53" s="214"/>
      <c r="APL53" s="214"/>
      <c r="APM53" s="214"/>
      <c r="APN53" s="214"/>
      <c r="APO53" s="214"/>
      <c r="APP53" s="214"/>
      <c r="APQ53" s="214"/>
      <c r="APR53" s="214"/>
      <c r="APS53" s="214"/>
      <c r="APT53" s="214"/>
      <c r="APU53" s="214"/>
      <c r="APV53" s="214"/>
      <c r="APW53" s="214"/>
      <c r="APX53" s="214"/>
      <c r="APY53" s="214"/>
      <c r="APZ53" s="214"/>
      <c r="AQA53" s="214"/>
      <c r="AQB53" s="214"/>
      <c r="AQC53" s="214"/>
      <c r="AQD53" s="214"/>
      <c r="AQE53" s="214"/>
      <c r="AQF53" s="214"/>
      <c r="AQG53" s="214"/>
      <c r="AQH53" s="214"/>
      <c r="AQI53" s="214"/>
      <c r="AQJ53" s="214"/>
      <c r="AQK53" s="214"/>
      <c r="AQL53" s="214"/>
      <c r="AQM53" s="214"/>
      <c r="AQN53" s="214"/>
      <c r="AQO53" s="214"/>
      <c r="AQP53" s="214"/>
      <c r="AQQ53" s="214"/>
      <c r="AQR53" s="214"/>
      <c r="AQS53" s="214"/>
      <c r="AQT53" s="214"/>
      <c r="AQU53" s="214"/>
      <c r="AQV53" s="214"/>
      <c r="AQW53" s="214"/>
      <c r="AQX53" s="214"/>
      <c r="AQY53" s="214"/>
      <c r="AQZ53" s="214"/>
      <c r="ARA53" s="214"/>
      <c r="ARB53" s="214"/>
      <c r="ARC53" s="214"/>
      <c r="ARD53" s="214"/>
      <c r="ARE53" s="214"/>
      <c r="ARF53" s="214"/>
      <c r="ARG53" s="214"/>
      <c r="ARH53" s="214"/>
      <c r="ARI53" s="214"/>
      <c r="ARJ53" s="214"/>
      <c r="ARK53" s="214"/>
      <c r="ARL53" s="214"/>
      <c r="ARM53" s="214"/>
      <c r="ARN53" s="214"/>
      <c r="ARO53" s="214"/>
      <c r="ARP53" s="214"/>
      <c r="ARQ53" s="214"/>
      <c r="ARR53" s="214"/>
      <c r="ARS53" s="214"/>
      <c r="ART53" s="214"/>
      <c r="ARU53" s="214"/>
      <c r="ARV53" s="214"/>
      <c r="ARW53" s="214"/>
      <c r="ARX53" s="214"/>
      <c r="ARY53" s="214"/>
      <c r="ARZ53" s="214"/>
      <c r="ASA53" s="214"/>
      <c r="ASB53" s="214"/>
      <c r="ASC53" s="214"/>
      <c r="ASD53" s="214"/>
      <c r="ASE53" s="214"/>
      <c r="ASF53" s="214"/>
      <c r="ASG53" s="214"/>
      <c r="ASH53" s="214"/>
      <c r="ASI53" s="214"/>
      <c r="ASJ53" s="214"/>
      <c r="ASK53" s="214"/>
      <c r="ASL53" s="214"/>
      <c r="ASM53" s="214"/>
      <c r="ASN53" s="214"/>
      <c r="ASO53" s="214"/>
      <c r="ASP53" s="214"/>
      <c r="ASQ53" s="214"/>
      <c r="ASR53" s="214"/>
      <c r="ASS53" s="214"/>
      <c r="AST53" s="214"/>
      <c r="ASU53" s="214"/>
      <c r="ASV53" s="214"/>
      <c r="ASW53" s="214"/>
      <c r="ASX53" s="214"/>
      <c r="ASY53" s="214"/>
      <c r="ASZ53" s="214"/>
      <c r="ATA53" s="214"/>
      <c r="ATB53" s="214"/>
      <c r="ATC53" s="214"/>
      <c r="ATD53" s="214"/>
      <c r="ATE53" s="214"/>
      <c r="ATF53" s="214"/>
      <c r="ATG53" s="214"/>
      <c r="ATH53" s="214"/>
      <c r="ATI53" s="214"/>
      <c r="ATJ53" s="214"/>
      <c r="ATK53" s="214"/>
      <c r="ATL53" s="214"/>
      <c r="ATM53" s="214"/>
      <c r="ATN53" s="214"/>
      <c r="ATO53" s="214"/>
      <c r="ATP53" s="214"/>
      <c r="ATQ53" s="214"/>
      <c r="ATR53" s="214"/>
      <c r="ATS53" s="214"/>
      <c r="ATT53" s="214"/>
      <c r="ATU53" s="214"/>
      <c r="ATV53" s="214"/>
      <c r="ATW53" s="214"/>
      <c r="ATX53" s="214"/>
      <c r="ATY53" s="214"/>
      <c r="ATZ53" s="214"/>
      <c r="AUA53" s="214"/>
      <c r="AUB53" s="214"/>
      <c r="AUC53" s="214"/>
      <c r="AUD53" s="214"/>
      <c r="AUE53" s="214"/>
      <c r="AUF53" s="214"/>
      <c r="AUG53" s="214"/>
      <c r="AUH53" s="214"/>
      <c r="AUI53" s="214"/>
      <c r="AUJ53" s="214"/>
      <c r="AUK53" s="214"/>
      <c r="AUL53" s="214"/>
      <c r="AUM53" s="214"/>
      <c r="AUN53" s="214"/>
      <c r="AUO53" s="214"/>
      <c r="AUP53" s="214"/>
      <c r="AUQ53" s="214"/>
      <c r="AUR53" s="214"/>
      <c r="AUS53" s="214"/>
      <c r="AUT53" s="214"/>
      <c r="AUU53" s="214"/>
      <c r="AUV53" s="214"/>
      <c r="AUW53" s="214"/>
      <c r="AUX53" s="214"/>
      <c r="AUY53" s="214"/>
      <c r="AUZ53" s="214"/>
      <c r="AVA53" s="214"/>
      <c r="AVB53" s="214"/>
      <c r="AVC53" s="214"/>
      <c r="AVD53" s="214"/>
      <c r="AVE53" s="214"/>
      <c r="AVF53" s="214"/>
      <c r="AVG53" s="214"/>
      <c r="AVH53" s="214"/>
      <c r="AVI53" s="214"/>
      <c r="AVJ53" s="214"/>
      <c r="AVK53" s="214"/>
      <c r="AVL53" s="214"/>
      <c r="AVM53" s="214"/>
      <c r="AVN53" s="214"/>
      <c r="AVO53" s="214"/>
      <c r="AVP53" s="214"/>
      <c r="AVQ53" s="214"/>
      <c r="AVR53" s="214"/>
      <c r="AVS53" s="214"/>
      <c r="AVT53" s="214"/>
      <c r="AVU53" s="214"/>
      <c r="AVV53" s="214"/>
      <c r="AVW53" s="214"/>
      <c r="AVX53" s="214"/>
      <c r="AVY53" s="214"/>
      <c r="AVZ53" s="214"/>
      <c r="AWA53" s="214"/>
      <c r="AWB53" s="214"/>
      <c r="AWC53" s="214"/>
      <c r="AWD53" s="214"/>
      <c r="AWE53" s="214"/>
      <c r="AWF53" s="214"/>
      <c r="AWG53" s="214"/>
      <c r="AWH53" s="214"/>
      <c r="AWI53" s="214"/>
      <c r="AWJ53" s="214"/>
      <c r="AWK53" s="214"/>
      <c r="AWL53" s="214"/>
      <c r="AWM53" s="214"/>
      <c r="AWN53" s="214"/>
      <c r="AWO53" s="214"/>
      <c r="AWP53" s="214"/>
      <c r="AWQ53" s="214"/>
      <c r="AWR53" s="214"/>
      <c r="AWS53" s="214"/>
      <c r="AWT53" s="214"/>
      <c r="AWU53" s="214"/>
      <c r="AWV53" s="214"/>
      <c r="AWW53" s="214"/>
      <c r="AWX53" s="214"/>
      <c r="AWY53" s="214"/>
      <c r="AWZ53" s="214"/>
      <c r="AXA53" s="214"/>
      <c r="AXB53" s="214"/>
      <c r="AXC53" s="214"/>
      <c r="AXD53" s="214"/>
      <c r="AXE53" s="214"/>
      <c r="AXF53" s="214"/>
      <c r="AXG53" s="214"/>
      <c r="AXH53" s="214"/>
      <c r="AXI53" s="214"/>
      <c r="AXJ53" s="214"/>
      <c r="AXK53" s="214"/>
      <c r="AXL53" s="214"/>
      <c r="AXM53" s="214"/>
      <c r="AXN53" s="214"/>
      <c r="AXO53" s="214"/>
      <c r="AXP53" s="214"/>
      <c r="AXQ53" s="214"/>
      <c r="AXR53" s="214"/>
      <c r="AXS53" s="214"/>
      <c r="AXT53" s="214"/>
      <c r="AXU53" s="214"/>
      <c r="AXV53" s="214"/>
      <c r="AXW53" s="214"/>
      <c r="AXX53" s="214"/>
      <c r="AXY53" s="214"/>
      <c r="AXZ53" s="214"/>
      <c r="AYA53" s="214"/>
      <c r="AYB53" s="214"/>
      <c r="AYC53" s="214"/>
      <c r="AYD53" s="214"/>
      <c r="AYE53" s="214"/>
      <c r="AYF53" s="214"/>
      <c r="AYG53" s="214"/>
      <c r="AYH53" s="214"/>
      <c r="AYI53" s="214"/>
      <c r="AYJ53" s="214"/>
      <c r="AYK53" s="214"/>
      <c r="AYL53" s="214"/>
      <c r="AYM53" s="214"/>
      <c r="AYN53" s="214"/>
      <c r="AYO53" s="214"/>
      <c r="AYP53" s="214"/>
      <c r="AYQ53" s="214"/>
      <c r="AYR53" s="214"/>
      <c r="AYS53" s="214"/>
      <c r="AYT53" s="214"/>
      <c r="AYU53" s="214"/>
      <c r="AYV53" s="214"/>
      <c r="AYW53" s="214"/>
      <c r="AYX53" s="214"/>
      <c r="AYY53" s="214"/>
      <c r="AYZ53" s="214"/>
      <c r="AZA53" s="214"/>
      <c r="AZB53" s="214"/>
      <c r="AZC53" s="214"/>
      <c r="AZD53" s="214"/>
      <c r="AZE53" s="214"/>
      <c r="AZF53" s="214"/>
      <c r="AZG53" s="214"/>
      <c r="AZH53" s="214"/>
      <c r="AZI53" s="214"/>
      <c r="AZJ53" s="214"/>
      <c r="AZK53" s="214"/>
      <c r="AZL53" s="214"/>
      <c r="AZM53" s="214"/>
      <c r="AZN53" s="214"/>
      <c r="AZO53" s="214"/>
      <c r="AZP53" s="214"/>
      <c r="AZQ53" s="214"/>
      <c r="AZR53" s="214"/>
      <c r="AZS53" s="214"/>
      <c r="AZT53" s="214"/>
      <c r="AZU53" s="214"/>
      <c r="AZV53" s="214"/>
      <c r="AZW53" s="214"/>
      <c r="AZX53" s="214"/>
      <c r="AZY53" s="214"/>
      <c r="AZZ53" s="214"/>
      <c r="BAA53" s="214"/>
      <c r="BAB53" s="214"/>
      <c r="BAC53" s="214"/>
      <c r="BAD53" s="214"/>
      <c r="BAE53" s="214"/>
      <c r="BAF53" s="214"/>
      <c r="BAG53" s="214"/>
      <c r="BAH53" s="214"/>
      <c r="BAI53" s="214"/>
      <c r="BAJ53" s="214"/>
      <c r="BAK53" s="214"/>
      <c r="BAL53" s="214"/>
      <c r="BAM53" s="214"/>
      <c r="BAN53" s="214"/>
      <c r="BAO53" s="214"/>
      <c r="BAP53" s="214"/>
      <c r="BAQ53" s="214"/>
      <c r="BAR53" s="214"/>
      <c r="BAS53" s="214"/>
      <c r="BAT53" s="214"/>
      <c r="BAU53" s="214"/>
      <c r="BAV53" s="214"/>
      <c r="BAW53" s="214"/>
      <c r="BAX53" s="214"/>
      <c r="BAY53" s="214"/>
      <c r="BAZ53" s="214"/>
      <c r="BBA53" s="214"/>
      <c r="BBB53" s="214"/>
      <c r="BBC53" s="214"/>
      <c r="BBD53" s="214"/>
      <c r="BBE53" s="214"/>
      <c r="BBF53" s="214"/>
      <c r="BBG53" s="214"/>
      <c r="BBH53" s="214"/>
      <c r="BBI53" s="214"/>
      <c r="BBJ53" s="214"/>
      <c r="BBK53" s="214"/>
      <c r="BBL53" s="214"/>
      <c r="BBM53" s="214"/>
      <c r="BBN53" s="214"/>
      <c r="BBO53" s="214"/>
      <c r="BBP53" s="214"/>
      <c r="BBQ53" s="214"/>
      <c r="BBR53" s="214"/>
      <c r="BBS53" s="214"/>
      <c r="BBT53" s="214"/>
      <c r="BBU53" s="214"/>
      <c r="BBV53" s="214"/>
      <c r="BBW53" s="214"/>
      <c r="BBX53" s="214"/>
      <c r="BBY53" s="214"/>
      <c r="BBZ53" s="214"/>
      <c r="BCA53" s="214"/>
      <c r="BCB53" s="214"/>
      <c r="BCC53" s="214"/>
      <c r="BCD53" s="214"/>
      <c r="BCE53" s="214"/>
      <c r="BCF53" s="214"/>
      <c r="BCG53" s="214"/>
      <c r="BCH53" s="214"/>
      <c r="BCI53" s="214"/>
      <c r="BCJ53" s="214"/>
      <c r="BCK53" s="214"/>
      <c r="BCL53" s="214"/>
      <c r="BCM53" s="214"/>
      <c r="BCN53" s="214"/>
      <c r="BCO53" s="214"/>
      <c r="BCP53" s="214"/>
      <c r="BCQ53" s="214"/>
      <c r="BCR53" s="214"/>
      <c r="BCS53" s="214"/>
      <c r="BCT53" s="214"/>
      <c r="BCU53" s="214"/>
      <c r="BCV53" s="214"/>
      <c r="BCW53" s="214"/>
      <c r="BCX53" s="214"/>
      <c r="BCY53" s="214"/>
      <c r="BCZ53" s="214"/>
      <c r="BDA53" s="214"/>
      <c r="BDB53" s="214"/>
      <c r="BDC53" s="214"/>
      <c r="BDD53" s="214"/>
      <c r="BDE53" s="214"/>
      <c r="BDF53" s="214"/>
      <c r="BDG53" s="214"/>
      <c r="BDH53" s="214"/>
      <c r="BDI53" s="214"/>
      <c r="BDJ53" s="214"/>
      <c r="BDK53" s="214"/>
      <c r="BDL53" s="214"/>
      <c r="BDM53" s="214"/>
      <c r="BDN53" s="214"/>
      <c r="BDO53" s="214"/>
      <c r="BDP53" s="214"/>
      <c r="BDQ53" s="214"/>
      <c r="BDR53" s="214"/>
      <c r="BDS53" s="214"/>
      <c r="BDT53" s="214"/>
      <c r="BDU53" s="214"/>
      <c r="BDV53" s="214"/>
      <c r="BDW53" s="214"/>
      <c r="BDX53" s="214"/>
      <c r="BDY53" s="214"/>
      <c r="BDZ53" s="214"/>
      <c r="BEA53" s="214"/>
      <c r="BEB53" s="214"/>
      <c r="BEC53" s="214"/>
      <c r="BED53" s="214"/>
      <c r="BEE53" s="214"/>
      <c r="BEF53" s="214"/>
      <c r="BEG53" s="214"/>
      <c r="BEH53" s="214"/>
      <c r="BEI53" s="214"/>
      <c r="BEJ53" s="214"/>
      <c r="BEK53" s="214"/>
      <c r="BEL53" s="214"/>
      <c r="BEM53" s="214"/>
      <c r="BEN53" s="214"/>
      <c r="BEO53" s="214"/>
      <c r="BEP53" s="214"/>
      <c r="BEQ53" s="214"/>
      <c r="BER53" s="214"/>
      <c r="BES53" s="214"/>
      <c r="BET53" s="214"/>
      <c r="BEU53" s="214"/>
      <c r="BEV53" s="214"/>
      <c r="BEW53" s="214"/>
      <c r="BEX53" s="214"/>
      <c r="BEY53" s="214"/>
      <c r="BEZ53" s="214"/>
      <c r="BFA53" s="214"/>
      <c r="BFB53" s="214"/>
      <c r="BFC53" s="214"/>
      <c r="BFD53" s="214"/>
      <c r="BFE53" s="214"/>
      <c r="BFF53" s="214"/>
      <c r="BFG53" s="214"/>
      <c r="BFH53" s="214"/>
      <c r="BFI53" s="214"/>
      <c r="BFJ53" s="214"/>
      <c r="BFK53" s="214"/>
      <c r="BFL53" s="214"/>
      <c r="BFM53" s="214"/>
      <c r="BFN53" s="214"/>
      <c r="BFO53" s="214"/>
      <c r="BFP53" s="214"/>
      <c r="BFQ53" s="214"/>
      <c r="BFR53" s="214"/>
      <c r="BFS53" s="214"/>
      <c r="BFT53" s="214"/>
      <c r="BFU53" s="214"/>
      <c r="BFV53" s="214"/>
      <c r="BFW53" s="214"/>
      <c r="BFX53" s="214"/>
      <c r="BFY53" s="214"/>
      <c r="BFZ53" s="214"/>
      <c r="BGA53" s="214"/>
      <c r="BGB53" s="214"/>
      <c r="BGC53" s="214"/>
      <c r="BGD53" s="214"/>
      <c r="BGE53" s="214"/>
      <c r="BGF53" s="214"/>
      <c r="BGG53" s="214"/>
      <c r="BGH53" s="214"/>
      <c r="BGI53" s="214"/>
      <c r="BGJ53" s="214"/>
      <c r="BGK53" s="214"/>
      <c r="BGL53" s="214"/>
      <c r="BGM53" s="214"/>
      <c r="BGN53" s="214"/>
      <c r="BGO53" s="214"/>
      <c r="BGP53" s="214"/>
      <c r="BGQ53" s="214"/>
      <c r="BGR53" s="214"/>
      <c r="BGS53" s="214"/>
      <c r="BGT53" s="214"/>
      <c r="BGU53" s="214"/>
      <c r="BGV53" s="214"/>
      <c r="BGW53" s="214"/>
      <c r="BGX53" s="214"/>
      <c r="BGY53" s="214"/>
      <c r="BGZ53" s="214"/>
      <c r="BHA53" s="214"/>
      <c r="BHB53" s="214"/>
      <c r="BHC53" s="214"/>
      <c r="BHD53" s="214"/>
      <c r="BHE53" s="214"/>
      <c r="BHF53" s="214"/>
      <c r="BHG53" s="214"/>
      <c r="BHH53" s="214"/>
      <c r="BHI53" s="214"/>
      <c r="BHJ53" s="214"/>
      <c r="BHK53" s="214"/>
      <c r="BHL53" s="214"/>
      <c r="BHM53" s="214"/>
      <c r="BHN53" s="214"/>
      <c r="BHO53" s="214"/>
      <c r="BHP53" s="214"/>
      <c r="BHQ53" s="214"/>
      <c r="BHR53" s="214"/>
      <c r="BHS53" s="214"/>
      <c r="BHT53" s="214"/>
      <c r="BHU53" s="214"/>
      <c r="BHV53" s="214"/>
      <c r="BHW53" s="214"/>
    </row>
    <row r="54" spans="1:1583" s="217" customFormat="1">
      <c r="A54" s="118" t="s">
        <v>61</v>
      </c>
      <c r="B54" s="60"/>
      <c r="C54" s="60"/>
      <c r="D54" s="423" t="s">
        <v>622</v>
      </c>
      <c r="E54" s="59" t="s">
        <v>9</v>
      </c>
      <c r="F54" s="132"/>
      <c r="G54" s="60" t="s">
        <v>708</v>
      </c>
      <c r="H54" s="473">
        <f t="shared" si="20"/>
        <v>2116.5155627010295</v>
      </c>
      <c r="I54" s="96">
        <f>(I46-I47)*24*(Analysis!J89/22.414)/1000</f>
        <v>53.127389373789036</v>
      </c>
      <c r="J54" s="437"/>
      <c r="K54" s="96">
        <f>(K46-K47)*24*(Analysis!L89/22.414)/1000</f>
        <v>61.462208155455592</v>
      </c>
      <c r="L54" s="96">
        <f>(L46-L47)*24*(Analysis!M89/22.414)/1000</f>
        <v>64.916466999319567</v>
      </c>
      <c r="M54" s="96">
        <f>(M46-M47)*24*(Analysis!N89/22.414)/1000</f>
        <v>64.008575765326484</v>
      </c>
      <c r="N54" s="96">
        <f>(N46-N47)*24*(Analysis!O89/22.414)/1000</f>
        <v>64.563560427037444</v>
      </c>
      <c r="O54" s="96">
        <f>(O46-O47)*24*(Analysis!P89/22.414)/1000</f>
        <v>66.027489873172769</v>
      </c>
      <c r="P54" s="96">
        <f>(P46-P47)*24*(Analysis!Q89/22.414)/1000</f>
        <v>64.7756276067051</v>
      </c>
      <c r="Q54" s="96">
        <f>(Q46-Q47)*24*(Analysis!R89/22.414)/1000</f>
        <v>63.537521494397922</v>
      </c>
      <c r="R54" s="96">
        <f>(R46-R47)*24*(Analysis!S89/22.414)/1000</f>
        <v>61.047649283657954</v>
      </c>
      <c r="S54" s="96">
        <f>(S46-S47)*24*(Analysis!T89/22.414)/1000</f>
        <v>59.197974043145464</v>
      </c>
      <c r="T54" s="96">
        <f>(T46-T47)*24*(Analysis!U89/22.414)/1000</f>
        <v>59.916172425587398</v>
      </c>
      <c r="U54" s="96">
        <f>(U46-U47)*24*(Analysis!V89/22.414)/1000</f>
        <v>60.960623285566726</v>
      </c>
      <c r="V54" s="96">
        <f>(V46-V47)*24*(Analysis!W89/22.414)/1000</f>
        <v>57.375407774927744</v>
      </c>
      <c r="W54" s="96">
        <f>(W46-W47)*24*(Analysis!X89/22.414)/1000</f>
        <v>58.285806376490847</v>
      </c>
      <c r="X54" s="96">
        <f>(X46-X47)*24*(Analysis!Y89/22.414)/1000</f>
        <v>57.488688724322536</v>
      </c>
      <c r="Y54" s="96">
        <f>(Y46-Y47)*24*(Analysis!Z89/22.414)/1000</f>
        <v>64.864940468814652</v>
      </c>
      <c r="Z54" s="96">
        <f>(Z46-Z47)*24*(Analysis!AA89/22.414)/1000</f>
        <v>81.462444801295206</v>
      </c>
      <c r="AA54" s="96">
        <f>(AA46-AA47)*24*(Analysis!AB89/22.414)/1000</f>
        <v>78.804953270027482</v>
      </c>
      <c r="AB54" s="96">
        <f>(AB46-AB47)*24*(Analysis!AC89/22.414)/1000</f>
        <v>88.610336133535796</v>
      </c>
      <c r="AC54" s="96">
        <f>(AC46-AC47)*24*(Analysis!AD89/22.414)/1000</f>
        <v>79.163621555595228</v>
      </c>
      <c r="AD54" s="96">
        <f>(AD46-AD47)*24*(Analysis!AE89/22.414)/1000</f>
        <v>76.214318707337412</v>
      </c>
      <c r="AE54" s="96">
        <f>(AE46-AE47)*24*(Analysis!AF89/22.414)/1000</f>
        <v>77.808441731702416</v>
      </c>
      <c r="AF54" s="96">
        <f>(AF46-AF47)*24*(Analysis!AG89/22.414)/1000</f>
        <v>78.646054804393458</v>
      </c>
      <c r="AG54" s="96">
        <f>(AG46-AG47)*24*(Analysis!AH89/22.414)/1000</f>
        <v>77.43725303432349</v>
      </c>
      <c r="AH54" s="96">
        <f>(AH46-AH47)*24*(Analysis!AI89/22.414)/1000</f>
        <v>77.368250774282217</v>
      </c>
      <c r="AI54" s="96">
        <f>(AI46-AI47)*24*(Analysis!AJ89/22.414)/1000</f>
        <v>70.239001413744504</v>
      </c>
      <c r="AJ54" s="96">
        <f>(AJ46-AJ47)*24*(Analysis!AK89/22.414)/1000</f>
        <v>67.525661603327364</v>
      </c>
      <c r="AK54" s="96">
        <f>(AK46-AK47)*24*(Analysis!AL89/22.414)/1000</f>
        <v>69.966458044875807</v>
      </c>
      <c r="AL54" s="96">
        <f>(AL46-AL47)*24*(Analysis!AM89/22.414)/1000</f>
        <v>70.872527456669445</v>
      </c>
      <c r="AM54" s="96">
        <f>(AM46-AM47)*24*(Analysis!AN89/22.414)/1000</f>
        <v>68.257961077449252</v>
      </c>
      <c r="AN54" s="96">
        <f>(AN46-AN47)*24*(Analysis!AO89/22.414)/1000</f>
        <v>72.582176214752991</v>
      </c>
      <c r="AO54" s="214"/>
      <c r="AP54" s="214"/>
      <c r="AQ54" s="214"/>
      <c r="AR54" s="214"/>
      <c r="AS54" s="214"/>
      <c r="AT54" s="214"/>
      <c r="AU54" s="214"/>
      <c r="AV54" s="214"/>
      <c r="AW54" s="214"/>
      <c r="AX54" s="214"/>
      <c r="AY54" s="214"/>
      <c r="AZ54" s="214"/>
      <c r="BA54" s="214"/>
      <c r="BB54" s="214"/>
      <c r="BC54" s="214"/>
      <c r="BD54" s="214"/>
      <c r="BE54" s="214"/>
      <c r="BF54" s="214"/>
      <c r="BG54" s="214"/>
      <c r="BH54" s="214"/>
      <c r="BI54" s="214"/>
      <c r="BJ54" s="214"/>
      <c r="BK54" s="214"/>
      <c r="BL54" s="214"/>
      <c r="BM54" s="214"/>
      <c r="BN54" s="214"/>
      <c r="BO54" s="214"/>
      <c r="BP54" s="214"/>
      <c r="BQ54" s="214"/>
      <c r="BR54" s="214"/>
      <c r="BS54" s="214"/>
      <c r="BT54" s="214"/>
      <c r="BU54" s="214"/>
      <c r="BV54" s="214"/>
      <c r="BW54" s="214"/>
      <c r="BX54" s="214"/>
      <c r="BY54" s="214"/>
      <c r="BZ54" s="214"/>
      <c r="CA54" s="214"/>
      <c r="CB54" s="214"/>
      <c r="CC54" s="214"/>
      <c r="CD54" s="214"/>
      <c r="CE54" s="214"/>
      <c r="CF54" s="214"/>
      <c r="CG54" s="214"/>
      <c r="CH54" s="214"/>
      <c r="CI54" s="214"/>
      <c r="CJ54" s="214"/>
      <c r="CK54" s="214"/>
      <c r="CL54" s="214"/>
      <c r="CM54" s="214"/>
      <c r="CN54" s="214"/>
      <c r="CO54" s="214"/>
      <c r="CP54" s="214"/>
      <c r="CQ54" s="214"/>
      <c r="CR54" s="214"/>
      <c r="CS54" s="214"/>
      <c r="CT54" s="214"/>
      <c r="CU54" s="214"/>
      <c r="CV54" s="214"/>
      <c r="CW54" s="214"/>
      <c r="CX54" s="214"/>
      <c r="CY54" s="214"/>
      <c r="CZ54" s="214"/>
      <c r="DA54" s="214"/>
      <c r="DB54" s="214"/>
      <c r="DC54" s="214"/>
      <c r="DD54" s="214"/>
      <c r="DE54" s="214"/>
      <c r="DF54" s="214"/>
      <c r="DG54" s="214"/>
      <c r="DH54" s="214"/>
      <c r="DI54" s="214"/>
      <c r="DJ54" s="214"/>
      <c r="DK54" s="214"/>
      <c r="DL54" s="214"/>
      <c r="DM54" s="214"/>
      <c r="DN54" s="214"/>
      <c r="DO54" s="214"/>
      <c r="DP54" s="214"/>
      <c r="DQ54" s="214"/>
      <c r="DR54" s="214"/>
      <c r="DS54" s="214"/>
      <c r="DT54" s="214"/>
      <c r="DU54" s="214"/>
      <c r="DV54" s="214"/>
      <c r="DW54" s="214"/>
      <c r="DX54" s="214"/>
      <c r="DY54" s="214"/>
      <c r="DZ54" s="214"/>
      <c r="EA54" s="214"/>
      <c r="EB54" s="214"/>
      <c r="EC54" s="214"/>
      <c r="ED54" s="214"/>
      <c r="EE54" s="214"/>
      <c r="EF54" s="214"/>
      <c r="EG54" s="214"/>
      <c r="EH54" s="214"/>
      <c r="EI54" s="214"/>
      <c r="EJ54" s="214"/>
      <c r="EK54" s="214"/>
      <c r="EL54" s="214"/>
      <c r="EM54" s="214"/>
      <c r="EN54" s="214"/>
      <c r="EO54" s="214"/>
      <c r="EP54" s="214"/>
      <c r="EQ54" s="214"/>
      <c r="ER54" s="214"/>
      <c r="ES54" s="214"/>
      <c r="ET54" s="214"/>
      <c r="EU54" s="214"/>
      <c r="EV54" s="214"/>
      <c r="EW54" s="214"/>
      <c r="EX54" s="214"/>
      <c r="EY54" s="214"/>
      <c r="EZ54" s="214"/>
      <c r="FA54" s="214"/>
      <c r="FB54" s="214"/>
      <c r="FC54" s="214"/>
      <c r="FD54" s="214"/>
      <c r="FE54" s="214"/>
      <c r="FF54" s="214"/>
      <c r="FG54" s="214"/>
      <c r="FH54" s="214"/>
      <c r="FI54" s="214"/>
      <c r="FJ54" s="214"/>
      <c r="FK54" s="214"/>
      <c r="FL54" s="214"/>
      <c r="FM54" s="214"/>
      <c r="FN54" s="214"/>
      <c r="FO54" s="214"/>
      <c r="FP54" s="214"/>
      <c r="FQ54" s="214"/>
      <c r="FR54" s="214"/>
      <c r="FS54" s="214"/>
      <c r="FT54" s="214"/>
      <c r="FU54" s="214"/>
      <c r="FV54" s="214"/>
      <c r="FW54" s="214"/>
      <c r="FX54" s="214"/>
      <c r="FY54" s="214"/>
      <c r="FZ54" s="214"/>
      <c r="GA54" s="214"/>
      <c r="GB54" s="214"/>
      <c r="GC54" s="214"/>
      <c r="GD54" s="214"/>
      <c r="GE54" s="214"/>
      <c r="GF54" s="214"/>
      <c r="GG54" s="214"/>
      <c r="GH54" s="214"/>
      <c r="GI54" s="214"/>
      <c r="GJ54" s="214"/>
      <c r="GK54" s="214"/>
      <c r="GL54" s="214"/>
      <c r="GM54" s="214"/>
      <c r="GN54" s="214"/>
      <c r="GO54" s="214"/>
      <c r="GP54" s="214"/>
      <c r="GQ54" s="214"/>
      <c r="GR54" s="214"/>
      <c r="GS54" s="214"/>
      <c r="GT54" s="214"/>
      <c r="GU54" s="214"/>
      <c r="GV54" s="214"/>
      <c r="GW54" s="214"/>
      <c r="GX54" s="214"/>
      <c r="GY54" s="214"/>
      <c r="GZ54" s="214"/>
      <c r="HA54" s="214"/>
      <c r="HB54" s="214"/>
      <c r="HC54" s="214"/>
      <c r="HD54" s="214"/>
      <c r="HE54" s="214"/>
      <c r="HF54" s="214"/>
      <c r="HG54" s="214"/>
      <c r="HH54" s="214"/>
      <c r="HI54" s="214"/>
      <c r="HJ54" s="214"/>
      <c r="HK54" s="214"/>
      <c r="HL54" s="214"/>
      <c r="HM54" s="214"/>
      <c r="HN54" s="214"/>
      <c r="HO54" s="214"/>
      <c r="HP54" s="214"/>
      <c r="HQ54" s="214"/>
      <c r="HR54" s="214"/>
      <c r="HS54" s="214"/>
      <c r="HT54" s="214"/>
      <c r="HU54" s="214"/>
      <c r="HV54" s="214"/>
      <c r="HW54" s="214"/>
      <c r="HX54" s="214"/>
      <c r="HY54" s="214"/>
      <c r="HZ54" s="214"/>
      <c r="IA54" s="214"/>
      <c r="IB54" s="214"/>
      <c r="IC54" s="214"/>
      <c r="ID54" s="214"/>
      <c r="IE54" s="214"/>
      <c r="IF54" s="214"/>
      <c r="IG54" s="214"/>
      <c r="IH54" s="214"/>
      <c r="II54" s="214"/>
      <c r="IJ54" s="214"/>
      <c r="IK54" s="214"/>
      <c r="IL54" s="214"/>
      <c r="IM54" s="214"/>
      <c r="IN54" s="214"/>
      <c r="IO54" s="214"/>
      <c r="IP54" s="214"/>
      <c r="IQ54" s="214"/>
      <c r="IR54" s="214"/>
      <c r="IS54" s="214"/>
      <c r="IT54" s="214"/>
      <c r="IU54" s="214"/>
      <c r="IV54" s="214"/>
      <c r="IW54" s="214"/>
      <c r="IX54" s="214"/>
      <c r="IY54" s="214"/>
      <c r="IZ54" s="214"/>
      <c r="JA54" s="214"/>
      <c r="JB54" s="214"/>
      <c r="JC54" s="214"/>
      <c r="JD54" s="214"/>
      <c r="JE54" s="214"/>
      <c r="JF54" s="214"/>
      <c r="JG54" s="214"/>
      <c r="JH54" s="214"/>
      <c r="JI54" s="214"/>
      <c r="JJ54" s="214"/>
      <c r="JK54" s="214"/>
      <c r="JL54" s="214"/>
      <c r="JM54" s="214"/>
      <c r="JN54" s="214"/>
      <c r="JO54" s="214"/>
      <c r="JP54" s="214"/>
      <c r="JQ54" s="214"/>
      <c r="JR54" s="214"/>
      <c r="JS54" s="214"/>
      <c r="JT54" s="214"/>
      <c r="JU54" s="214"/>
      <c r="JV54" s="214"/>
      <c r="JW54" s="214"/>
      <c r="JX54" s="214"/>
      <c r="JY54" s="214"/>
      <c r="JZ54" s="214"/>
      <c r="KA54" s="214"/>
      <c r="KB54" s="214"/>
      <c r="KC54" s="214"/>
      <c r="KD54" s="214"/>
      <c r="KE54" s="214"/>
      <c r="KF54" s="214"/>
      <c r="KG54" s="214"/>
      <c r="KH54" s="214"/>
      <c r="KI54" s="214"/>
      <c r="KJ54" s="214"/>
      <c r="KK54" s="214"/>
      <c r="KL54" s="214"/>
      <c r="KM54" s="214"/>
      <c r="KN54" s="214"/>
      <c r="KO54" s="214"/>
      <c r="KP54" s="214"/>
      <c r="KQ54" s="214"/>
      <c r="KR54" s="214"/>
      <c r="KS54" s="214"/>
      <c r="KT54" s="214"/>
      <c r="KU54" s="214"/>
      <c r="KV54" s="214"/>
      <c r="KW54" s="214"/>
      <c r="KX54" s="214"/>
      <c r="KY54" s="214"/>
      <c r="KZ54" s="214"/>
      <c r="LA54" s="214"/>
      <c r="LB54" s="214"/>
      <c r="LC54" s="214"/>
      <c r="LD54" s="214"/>
      <c r="LE54" s="214"/>
      <c r="LF54" s="214"/>
      <c r="LG54" s="214"/>
      <c r="LH54" s="214"/>
      <c r="LI54" s="214"/>
      <c r="LJ54" s="214"/>
      <c r="LK54" s="214"/>
      <c r="LL54" s="214"/>
      <c r="LM54" s="214"/>
      <c r="LN54" s="214"/>
      <c r="LO54" s="214"/>
      <c r="LP54" s="214"/>
      <c r="LQ54" s="214"/>
      <c r="LR54" s="214"/>
      <c r="LS54" s="214"/>
      <c r="LT54" s="214"/>
      <c r="LU54" s="214"/>
      <c r="LV54" s="214"/>
      <c r="LW54" s="214"/>
      <c r="LX54" s="214"/>
      <c r="LY54" s="214"/>
      <c r="LZ54" s="214"/>
      <c r="MA54" s="214"/>
      <c r="MB54" s="214"/>
      <c r="MC54" s="214"/>
      <c r="MD54" s="214"/>
      <c r="ME54" s="214"/>
      <c r="MF54" s="214"/>
      <c r="MG54" s="214"/>
      <c r="MH54" s="214"/>
      <c r="MI54" s="214"/>
      <c r="MJ54" s="214"/>
      <c r="MK54" s="214"/>
      <c r="ML54" s="214"/>
      <c r="MM54" s="214"/>
      <c r="MN54" s="214"/>
      <c r="MO54" s="214"/>
      <c r="MP54" s="214"/>
      <c r="MQ54" s="214"/>
      <c r="MR54" s="214"/>
      <c r="MS54" s="214"/>
      <c r="MT54" s="214"/>
      <c r="MU54" s="214"/>
      <c r="MV54" s="214"/>
      <c r="MW54" s="214"/>
      <c r="MX54" s="214"/>
      <c r="MY54" s="214"/>
      <c r="MZ54" s="214"/>
      <c r="NA54" s="214"/>
      <c r="NB54" s="214"/>
      <c r="NC54" s="214"/>
      <c r="ND54" s="214"/>
      <c r="NE54" s="214"/>
      <c r="NF54" s="214"/>
      <c r="NG54" s="214"/>
      <c r="NH54" s="214"/>
      <c r="NI54" s="214"/>
      <c r="NJ54" s="214"/>
      <c r="NK54" s="214"/>
      <c r="NL54" s="214"/>
      <c r="NM54" s="214"/>
      <c r="NN54" s="214"/>
      <c r="NO54" s="214"/>
      <c r="NP54" s="214"/>
      <c r="NQ54" s="214"/>
      <c r="NR54" s="214"/>
      <c r="NS54" s="214"/>
      <c r="NT54" s="214"/>
      <c r="NU54" s="214"/>
      <c r="NV54" s="214"/>
      <c r="NW54" s="214"/>
      <c r="NX54" s="214"/>
      <c r="NY54" s="214"/>
      <c r="NZ54" s="214"/>
      <c r="OA54" s="214"/>
      <c r="OB54" s="214"/>
      <c r="OC54" s="214"/>
      <c r="OD54" s="214"/>
      <c r="OE54" s="214"/>
      <c r="OF54" s="214"/>
      <c r="OG54" s="214"/>
      <c r="OH54" s="214"/>
      <c r="OI54" s="214"/>
      <c r="OJ54" s="214"/>
      <c r="OK54" s="214"/>
      <c r="OL54" s="214"/>
      <c r="OM54" s="214"/>
      <c r="ON54" s="214"/>
      <c r="OO54" s="214"/>
      <c r="OP54" s="214"/>
      <c r="OQ54" s="214"/>
      <c r="OR54" s="214"/>
      <c r="OS54" s="214"/>
      <c r="OT54" s="214"/>
      <c r="OU54" s="214"/>
      <c r="OV54" s="214"/>
      <c r="OW54" s="214"/>
      <c r="OX54" s="214"/>
      <c r="OY54" s="214"/>
      <c r="OZ54" s="214"/>
      <c r="PA54" s="214"/>
      <c r="PB54" s="214"/>
      <c r="PC54" s="214"/>
      <c r="PD54" s="214"/>
      <c r="PE54" s="214"/>
      <c r="PF54" s="214"/>
      <c r="PG54" s="214"/>
      <c r="PH54" s="214"/>
      <c r="PI54" s="214"/>
      <c r="PJ54" s="214"/>
      <c r="PK54" s="214"/>
      <c r="PL54" s="214"/>
      <c r="PM54" s="214"/>
      <c r="PN54" s="214"/>
      <c r="PO54" s="214"/>
      <c r="PP54" s="214"/>
      <c r="PQ54" s="214"/>
      <c r="PR54" s="214"/>
      <c r="PS54" s="214"/>
      <c r="PT54" s="214"/>
      <c r="PU54" s="214"/>
      <c r="PV54" s="214"/>
      <c r="PW54" s="214"/>
      <c r="PX54" s="214"/>
      <c r="PY54" s="214"/>
      <c r="PZ54" s="214"/>
      <c r="QA54" s="214"/>
      <c r="QB54" s="214"/>
      <c r="QC54" s="214"/>
      <c r="QD54" s="214"/>
      <c r="QE54" s="214"/>
      <c r="QF54" s="214"/>
      <c r="QG54" s="214"/>
      <c r="QH54" s="214"/>
      <c r="QI54" s="214"/>
      <c r="QJ54" s="214"/>
      <c r="QK54" s="214"/>
      <c r="QL54" s="214"/>
      <c r="QM54" s="214"/>
      <c r="QN54" s="214"/>
      <c r="QO54" s="214"/>
      <c r="QP54" s="214"/>
      <c r="QQ54" s="214"/>
      <c r="QR54" s="214"/>
      <c r="QS54" s="214"/>
      <c r="QT54" s="214"/>
      <c r="QU54" s="214"/>
      <c r="QV54" s="214"/>
      <c r="QW54" s="214"/>
      <c r="QX54" s="214"/>
      <c r="QY54" s="214"/>
      <c r="QZ54" s="214"/>
      <c r="RA54" s="214"/>
      <c r="RB54" s="214"/>
      <c r="RC54" s="214"/>
      <c r="RD54" s="214"/>
      <c r="RE54" s="214"/>
      <c r="RF54" s="214"/>
      <c r="RG54" s="214"/>
      <c r="RH54" s="214"/>
      <c r="RI54" s="214"/>
      <c r="RJ54" s="214"/>
      <c r="RK54" s="214"/>
      <c r="RL54" s="214"/>
      <c r="RM54" s="214"/>
      <c r="RN54" s="214"/>
      <c r="RO54" s="214"/>
      <c r="RP54" s="214"/>
      <c r="RQ54" s="214"/>
      <c r="RR54" s="214"/>
      <c r="RS54" s="214"/>
      <c r="RT54" s="214"/>
      <c r="RU54" s="214"/>
      <c r="RV54" s="214"/>
      <c r="RW54" s="214"/>
      <c r="RX54" s="214"/>
      <c r="RY54" s="214"/>
      <c r="RZ54" s="214"/>
      <c r="SA54" s="214"/>
      <c r="SB54" s="214"/>
      <c r="SC54" s="214"/>
      <c r="SD54" s="214"/>
      <c r="SE54" s="214"/>
      <c r="SF54" s="214"/>
      <c r="SG54" s="214"/>
      <c r="SH54" s="214"/>
      <c r="SI54" s="214"/>
      <c r="SJ54" s="214"/>
      <c r="SK54" s="214"/>
      <c r="SL54" s="214"/>
      <c r="SM54" s="214"/>
      <c r="SN54" s="214"/>
      <c r="SO54" s="214"/>
      <c r="SP54" s="214"/>
      <c r="SQ54" s="214"/>
      <c r="SR54" s="214"/>
      <c r="SS54" s="214"/>
      <c r="ST54" s="214"/>
      <c r="SU54" s="214"/>
      <c r="SV54" s="214"/>
      <c r="SW54" s="214"/>
      <c r="SX54" s="214"/>
      <c r="SY54" s="214"/>
      <c r="SZ54" s="214"/>
      <c r="TA54" s="214"/>
      <c r="TB54" s="214"/>
      <c r="TC54" s="214"/>
      <c r="TD54" s="214"/>
      <c r="TE54" s="214"/>
      <c r="TF54" s="214"/>
      <c r="TG54" s="214"/>
      <c r="TH54" s="214"/>
      <c r="TI54" s="214"/>
      <c r="TJ54" s="214"/>
      <c r="TK54" s="214"/>
      <c r="TL54" s="214"/>
      <c r="TM54" s="214"/>
      <c r="TN54" s="214"/>
      <c r="TO54" s="214"/>
      <c r="TP54" s="214"/>
      <c r="TQ54" s="214"/>
      <c r="TR54" s="214"/>
      <c r="TS54" s="214"/>
      <c r="TT54" s="214"/>
      <c r="TU54" s="214"/>
      <c r="TV54" s="214"/>
      <c r="TW54" s="214"/>
      <c r="TX54" s="214"/>
      <c r="TY54" s="214"/>
      <c r="TZ54" s="214"/>
      <c r="UA54" s="214"/>
      <c r="UB54" s="214"/>
      <c r="UC54" s="214"/>
      <c r="UD54" s="214"/>
      <c r="UE54" s="214"/>
      <c r="UF54" s="214"/>
      <c r="UG54" s="214"/>
      <c r="UH54" s="214"/>
      <c r="UI54" s="214"/>
      <c r="UJ54" s="214"/>
      <c r="UK54" s="214"/>
      <c r="UL54" s="214"/>
      <c r="UM54" s="214"/>
      <c r="UN54" s="214"/>
      <c r="UO54" s="214"/>
      <c r="UP54" s="214"/>
      <c r="UQ54" s="214"/>
      <c r="UR54" s="214"/>
      <c r="US54" s="214"/>
      <c r="UT54" s="214"/>
      <c r="UU54" s="214"/>
      <c r="UV54" s="214"/>
      <c r="UW54" s="214"/>
      <c r="UX54" s="214"/>
      <c r="UY54" s="214"/>
      <c r="UZ54" s="214"/>
      <c r="VA54" s="214"/>
      <c r="VB54" s="214"/>
      <c r="VC54" s="214"/>
      <c r="VD54" s="214"/>
      <c r="VE54" s="214"/>
      <c r="VF54" s="214"/>
      <c r="VG54" s="214"/>
      <c r="VH54" s="214"/>
      <c r="VI54" s="214"/>
      <c r="VJ54" s="214"/>
      <c r="VK54" s="214"/>
      <c r="VL54" s="214"/>
      <c r="VM54" s="214"/>
      <c r="VN54" s="214"/>
      <c r="VO54" s="214"/>
      <c r="VP54" s="214"/>
      <c r="VQ54" s="214"/>
      <c r="VR54" s="214"/>
      <c r="VS54" s="214"/>
      <c r="VT54" s="214"/>
      <c r="VU54" s="214"/>
      <c r="VV54" s="214"/>
      <c r="VW54" s="214"/>
      <c r="VX54" s="214"/>
      <c r="VY54" s="214"/>
      <c r="VZ54" s="214"/>
      <c r="WA54" s="214"/>
      <c r="WB54" s="214"/>
      <c r="WC54" s="214"/>
      <c r="WD54" s="214"/>
      <c r="WE54" s="214"/>
      <c r="WF54" s="214"/>
      <c r="WG54" s="214"/>
      <c r="WH54" s="214"/>
      <c r="WI54" s="214"/>
      <c r="WJ54" s="214"/>
      <c r="WK54" s="214"/>
      <c r="WL54" s="214"/>
      <c r="WM54" s="214"/>
      <c r="WN54" s="214"/>
      <c r="WO54" s="214"/>
      <c r="WP54" s="214"/>
      <c r="WQ54" s="214"/>
      <c r="WR54" s="214"/>
      <c r="WS54" s="214"/>
      <c r="WT54" s="214"/>
      <c r="WU54" s="214"/>
      <c r="WV54" s="214"/>
      <c r="WW54" s="214"/>
      <c r="WX54" s="214"/>
      <c r="WY54" s="214"/>
      <c r="WZ54" s="214"/>
      <c r="XA54" s="214"/>
      <c r="XB54" s="214"/>
      <c r="XC54" s="214"/>
      <c r="XD54" s="214"/>
      <c r="XE54" s="214"/>
      <c r="XF54" s="214"/>
      <c r="XG54" s="214"/>
      <c r="XH54" s="214"/>
      <c r="XI54" s="214"/>
      <c r="XJ54" s="214"/>
      <c r="XK54" s="214"/>
      <c r="XL54" s="214"/>
      <c r="XM54" s="214"/>
      <c r="XN54" s="214"/>
      <c r="XO54" s="214"/>
      <c r="XP54" s="214"/>
      <c r="XQ54" s="214"/>
      <c r="XR54" s="214"/>
      <c r="XS54" s="214"/>
      <c r="XT54" s="214"/>
      <c r="XU54" s="214"/>
      <c r="XV54" s="214"/>
      <c r="XW54" s="214"/>
      <c r="XX54" s="214"/>
      <c r="XY54" s="214"/>
      <c r="XZ54" s="214"/>
      <c r="YA54" s="214"/>
      <c r="YB54" s="214"/>
      <c r="YC54" s="214"/>
      <c r="YD54" s="214"/>
      <c r="YE54" s="214"/>
      <c r="YF54" s="214"/>
      <c r="YG54" s="214"/>
      <c r="YH54" s="214"/>
      <c r="YI54" s="214"/>
      <c r="YJ54" s="214"/>
      <c r="YK54" s="214"/>
      <c r="YL54" s="214"/>
      <c r="YM54" s="214"/>
      <c r="YN54" s="214"/>
      <c r="YO54" s="214"/>
      <c r="YP54" s="214"/>
      <c r="YQ54" s="214"/>
      <c r="YR54" s="214"/>
      <c r="YS54" s="214"/>
      <c r="YT54" s="214"/>
      <c r="YU54" s="214"/>
      <c r="YV54" s="214"/>
      <c r="YW54" s="214"/>
      <c r="YX54" s="214"/>
      <c r="YY54" s="214"/>
      <c r="YZ54" s="214"/>
      <c r="ZA54" s="214"/>
      <c r="ZB54" s="214"/>
      <c r="ZC54" s="214"/>
      <c r="ZD54" s="214"/>
      <c r="ZE54" s="214"/>
      <c r="ZF54" s="214"/>
      <c r="ZG54" s="214"/>
      <c r="ZH54" s="214"/>
      <c r="ZI54" s="214"/>
      <c r="ZJ54" s="214"/>
      <c r="ZK54" s="214"/>
      <c r="ZL54" s="214"/>
      <c r="ZM54" s="214"/>
      <c r="ZN54" s="214"/>
      <c r="ZO54" s="214"/>
      <c r="ZP54" s="214"/>
      <c r="ZQ54" s="214"/>
      <c r="ZR54" s="214"/>
      <c r="ZS54" s="214"/>
      <c r="ZT54" s="214"/>
      <c r="ZU54" s="214"/>
      <c r="ZV54" s="214"/>
      <c r="ZW54" s="214"/>
      <c r="ZX54" s="214"/>
      <c r="ZY54" s="214"/>
      <c r="ZZ54" s="214"/>
      <c r="AAA54" s="214"/>
      <c r="AAB54" s="214"/>
      <c r="AAC54" s="214"/>
      <c r="AAD54" s="214"/>
      <c r="AAE54" s="214"/>
      <c r="AAF54" s="214"/>
      <c r="AAG54" s="214"/>
      <c r="AAH54" s="214"/>
      <c r="AAI54" s="214"/>
      <c r="AAJ54" s="214"/>
      <c r="AAK54" s="214"/>
      <c r="AAL54" s="214"/>
      <c r="AAM54" s="214"/>
      <c r="AAN54" s="214"/>
      <c r="AAO54" s="214"/>
      <c r="AAP54" s="214"/>
      <c r="AAQ54" s="214"/>
      <c r="AAR54" s="214"/>
      <c r="AAS54" s="214"/>
      <c r="AAT54" s="214"/>
      <c r="AAU54" s="214"/>
      <c r="AAV54" s="214"/>
      <c r="AAW54" s="214"/>
      <c r="AAX54" s="214"/>
      <c r="AAY54" s="214"/>
      <c r="AAZ54" s="214"/>
      <c r="ABA54" s="214"/>
      <c r="ABB54" s="214"/>
      <c r="ABC54" s="214"/>
      <c r="ABD54" s="214"/>
      <c r="ABE54" s="214"/>
      <c r="ABF54" s="214"/>
      <c r="ABG54" s="214"/>
      <c r="ABH54" s="214"/>
      <c r="ABI54" s="214"/>
      <c r="ABJ54" s="214"/>
      <c r="ABK54" s="214"/>
      <c r="ABL54" s="214"/>
      <c r="ABM54" s="214"/>
      <c r="ABN54" s="214"/>
      <c r="ABO54" s="214"/>
      <c r="ABP54" s="214"/>
      <c r="ABQ54" s="214"/>
      <c r="ABR54" s="214"/>
      <c r="ABS54" s="214"/>
      <c r="ABT54" s="214"/>
      <c r="ABU54" s="214"/>
      <c r="ABV54" s="214"/>
      <c r="ABW54" s="214"/>
      <c r="ABX54" s="214"/>
      <c r="ABY54" s="214"/>
      <c r="ABZ54" s="214"/>
      <c r="ACA54" s="214"/>
      <c r="ACB54" s="214"/>
      <c r="ACC54" s="214"/>
      <c r="ACD54" s="214"/>
      <c r="ACE54" s="214"/>
      <c r="ACF54" s="214"/>
      <c r="ACG54" s="214"/>
      <c r="ACH54" s="214"/>
      <c r="ACI54" s="214"/>
      <c r="ACJ54" s="214"/>
      <c r="ACK54" s="214"/>
      <c r="ACL54" s="214"/>
      <c r="ACM54" s="214"/>
      <c r="ACN54" s="214"/>
      <c r="ACO54" s="214"/>
      <c r="ACP54" s="214"/>
      <c r="ACQ54" s="214"/>
      <c r="ACR54" s="214"/>
      <c r="ACS54" s="214"/>
      <c r="ACT54" s="214"/>
      <c r="ACU54" s="214"/>
      <c r="ACV54" s="214"/>
      <c r="ACW54" s="214"/>
      <c r="ACX54" s="214"/>
      <c r="ACY54" s="214"/>
      <c r="ACZ54" s="214"/>
      <c r="ADA54" s="214"/>
      <c r="ADB54" s="214"/>
      <c r="ADC54" s="214"/>
      <c r="ADD54" s="214"/>
      <c r="ADE54" s="214"/>
      <c r="ADF54" s="214"/>
      <c r="ADG54" s="214"/>
      <c r="ADH54" s="214"/>
      <c r="ADI54" s="214"/>
      <c r="ADJ54" s="214"/>
      <c r="ADK54" s="214"/>
      <c r="ADL54" s="214"/>
      <c r="ADM54" s="214"/>
      <c r="ADN54" s="214"/>
      <c r="ADO54" s="214"/>
      <c r="ADP54" s="214"/>
      <c r="ADQ54" s="214"/>
      <c r="ADR54" s="214"/>
      <c r="ADS54" s="214"/>
      <c r="ADT54" s="214"/>
      <c r="ADU54" s="214"/>
      <c r="ADV54" s="214"/>
      <c r="ADW54" s="214"/>
      <c r="ADX54" s="214"/>
      <c r="ADY54" s="214"/>
      <c r="ADZ54" s="214"/>
      <c r="AEA54" s="214"/>
      <c r="AEB54" s="214"/>
      <c r="AEC54" s="214"/>
      <c r="AED54" s="214"/>
      <c r="AEE54" s="214"/>
      <c r="AEF54" s="214"/>
      <c r="AEG54" s="214"/>
      <c r="AEH54" s="214"/>
      <c r="AEI54" s="214"/>
      <c r="AEJ54" s="214"/>
      <c r="AEK54" s="214"/>
      <c r="AEL54" s="214"/>
      <c r="AEM54" s="214"/>
      <c r="AEN54" s="214"/>
      <c r="AEO54" s="214"/>
      <c r="AEP54" s="214"/>
      <c r="AEQ54" s="214"/>
      <c r="AER54" s="214"/>
      <c r="AES54" s="214"/>
      <c r="AET54" s="214"/>
      <c r="AEU54" s="214"/>
      <c r="AEV54" s="214"/>
      <c r="AEW54" s="214"/>
      <c r="AEX54" s="214"/>
      <c r="AEY54" s="214"/>
      <c r="AEZ54" s="214"/>
      <c r="AFA54" s="214"/>
      <c r="AFB54" s="214"/>
      <c r="AFC54" s="214"/>
      <c r="AFD54" s="214"/>
      <c r="AFE54" s="214"/>
      <c r="AFF54" s="214"/>
      <c r="AFG54" s="214"/>
      <c r="AFH54" s="214"/>
      <c r="AFI54" s="214"/>
      <c r="AFJ54" s="214"/>
      <c r="AFK54" s="214"/>
      <c r="AFL54" s="214"/>
      <c r="AFM54" s="214"/>
      <c r="AFN54" s="214"/>
      <c r="AFO54" s="214"/>
      <c r="AFP54" s="214"/>
      <c r="AFQ54" s="214"/>
      <c r="AFR54" s="214"/>
      <c r="AFS54" s="214"/>
      <c r="AFT54" s="214"/>
      <c r="AFU54" s="214"/>
      <c r="AFV54" s="214"/>
      <c r="AFW54" s="214"/>
      <c r="AFX54" s="214"/>
      <c r="AFY54" s="214"/>
      <c r="AFZ54" s="214"/>
      <c r="AGA54" s="214"/>
      <c r="AGB54" s="214"/>
      <c r="AGC54" s="214"/>
      <c r="AGD54" s="214"/>
      <c r="AGE54" s="214"/>
      <c r="AGF54" s="214"/>
      <c r="AGG54" s="214"/>
      <c r="AGH54" s="214"/>
      <c r="AGI54" s="214"/>
      <c r="AGJ54" s="214"/>
      <c r="AGK54" s="214"/>
      <c r="AGL54" s="214"/>
      <c r="AGM54" s="214"/>
      <c r="AGN54" s="214"/>
      <c r="AGO54" s="214"/>
      <c r="AGP54" s="214"/>
      <c r="AGQ54" s="214"/>
      <c r="AGR54" s="214"/>
      <c r="AGS54" s="214"/>
      <c r="AGT54" s="214"/>
      <c r="AGU54" s="214"/>
      <c r="AGV54" s="214"/>
      <c r="AGW54" s="214"/>
      <c r="AGX54" s="214"/>
      <c r="AGY54" s="214"/>
      <c r="AGZ54" s="214"/>
      <c r="AHA54" s="214"/>
      <c r="AHB54" s="214"/>
      <c r="AHC54" s="214"/>
      <c r="AHD54" s="214"/>
      <c r="AHE54" s="214"/>
      <c r="AHF54" s="214"/>
      <c r="AHG54" s="214"/>
      <c r="AHH54" s="214"/>
      <c r="AHI54" s="214"/>
      <c r="AHJ54" s="214"/>
      <c r="AHK54" s="214"/>
      <c r="AHL54" s="214"/>
      <c r="AHM54" s="214"/>
      <c r="AHN54" s="214"/>
      <c r="AHO54" s="214"/>
      <c r="AHP54" s="214"/>
      <c r="AHQ54" s="214"/>
      <c r="AHR54" s="214"/>
      <c r="AHS54" s="214"/>
      <c r="AHT54" s="214"/>
      <c r="AHU54" s="214"/>
      <c r="AHV54" s="214"/>
      <c r="AHW54" s="214"/>
      <c r="AHX54" s="214"/>
      <c r="AHY54" s="214"/>
      <c r="AHZ54" s="214"/>
      <c r="AIA54" s="214"/>
      <c r="AIB54" s="214"/>
      <c r="AIC54" s="214"/>
      <c r="AID54" s="214"/>
      <c r="AIE54" s="214"/>
      <c r="AIF54" s="214"/>
      <c r="AIG54" s="214"/>
      <c r="AIH54" s="214"/>
      <c r="AII54" s="214"/>
      <c r="AIJ54" s="214"/>
      <c r="AIK54" s="214"/>
      <c r="AIL54" s="214"/>
      <c r="AIM54" s="214"/>
      <c r="AIN54" s="214"/>
      <c r="AIO54" s="214"/>
      <c r="AIP54" s="214"/>
      <c r="AIQ54" s="214"/>
      <c r="AIR54" s="214"/>
      <c r="AIS54" s="214"/>
      <c r="AIT54" s="214"/>
      <c r="AIU54" s="214"/>
      <c r="AIV54" s="214"/>
      <c r="AIW54" s="214"/>
      <c r="AIX54" s="214"/>
      <c r="AIY54" s="214"/>
      <c r="AIZ54" s="214"/>
      <c r="AJA54" s="214"/>
      <c r="AJB54" s="214"/>
      <c r="AJC54" s="214"/>
      <c r="AJD54" s="214"/>
      <c r="AJE54" s="214"/>
      <c r="AJF54" s="214"/>
      <c r="AJG54" s="214"/>
      <c r="AJH54" s="214"/>
      <c r="AJI54" s="214"/>
      <c r="AJJ54" s="214"/>
      <c r="AJK54" s="214"/>
      <c r="AJL54" s="214"/>
      <c r="AJM54" s="214"/>
      <c r="AJN54" s="214"/>
      <c r="AJO54" s="214"/>
      <c r="AJP54" s="214"/>
      <c r="AJQ54" s="214"/>
      <c r="AJR54" s="214"/>
      <c r="AJS54" s="214"/>
      <c r="AJT54" s="214"/>
      <c r="AJU54" s="214"/>
      <c r="AJV54" s="214"/>
      <c r="AJW54" s="214"/>
      <c r="AJX54" s="214"/>
      <c r="AJY54" s="214"/>
      <c r="AJZ54" s="214"/>
      <c r="AKA54" s="214"/>
      <c r="AKB54" s="214"/>
      <c r="AKC54" s="214"/>
      <c r="AKD54" s="214"/>
      <c r="AKE54" s="214"/>
      <c r="AKF54" s="214"/>
      <c r="AKG54" s="214"/>
      <c r="AKH54" s="214"/>
      <c r="AKI54" s="214"/>
      <c r="AKJ54" s="214"/>
      <c r="AKK54" s="214"/>
      <c r="AKL54" s="214"/>
      <c r="AKM54" s="214"/>
      <c r="AKN54" s="214"/>
      <c r="AKO54" s="214"/>
      <c r="AKP54" s="214"/>
      <c r="AKQ54" s="214"/>
      <c r="AKR54" s="214"/>
      <c r="AKS54" s="214"/>
      <c r="AKT54" s="214"/>
      <c r="AKU54" s="214"/>
      <c r="AKV54" s="214"/>
      <c r="AKW54" s="214"/>
      <c r="AKX54" s="214"/>
      <c r="AKY54" s="214"/>
      <c r="AKZ54" s="214"/>
      <c r="ALA54" s="214"/>
      <c r="ALB54" s="214"/>
      <c r="ALC54" s="214"/>
      <c r="ALD54" s="214"/>
      <c r="ALE54" s="214"/>
      <c r="ALF54" s="214"/>
      <c r="ALG54" s="214"/>
      <c r="ALH54" s="214"/>
      <c r="ALI54" s="214"/>
      <c r="ALJ54" s="214"/>
      <c r="ALK54" s="214"/>
      <c r="ALL54" s="214"/>
      <c r="ALM54" s="214"/>
      <c r="ALN54" s="214"/>
      <c r="ALO54" s="214"/>
      <c r="ALP54" s="214"/>
      <c r="ALQ54" s="214"/>
      <c r="ALR54" s="214"/>
      <c r="ALS54" s="214"/>
      <c r="ALT54" s="214"/>
      <c r="ALU54" s="214"/>
      <c r="ALV54" s="214"/>
      <c r="ALW54" s="214"/>
      <c r="ALX54" s="214"/>
      <c r="ALY54" s="214"/>
      <c r="ALZ54" s="214"/>
      <c r="AMA54" s="214"/>
      <c r="AMB54" s="214"/>
      <c r="AMC54" s="214"/>
      <c r="AMD54" s="214"/>
      <c r="AME54" s="214"/>
      <c r="AMF54" s="214"/>
      <c r="AMG54" s="214"/>
      <c r="AMH54" s="214"/>
      <c r="AMI54" s="214"/>
      <c r="AMJ54" s="214"/>
      <c r="AMK54" s="214"/>
      <c r="AML54" s="214"/>
      <c r="AMM54" s="214"/>
      <c r="AMN54" s="214"/>
      <c r="AMO54" s="214"/>
      <c r="AMP54" s="214"/>
      <c r="AMQ54" s="214"/>
      <c r="AMR54" s="214"/>
      <c r="AMS54" s="214"/>
      <c r="AMT54" s="214"/>
      <c r="AMU54" s="214"/>
      <c r="AMV54" s="214"/>
      <c r="AMW54" s="214"/>
      <c r="AMX54" s="214"/>
      <c r="AMY54" s="214"/>
      <c r="AMZ54" s="214"/>
      <c r="ANA54" s="214"/>
      <c r="ANB54" s="214"/>
      <c r="ANC54" s="214"/>
      <c r="AND54" s="214"/>
      <c r="ANE54" s="214"/>
      <c r="ANF54" s="214"/>
      <c r="ANG54" s="214"/>
      <c r="ANH54" s="214"/>
      <c r="ANI54" s="214"/>
      <c r="ANJ54" s="214"/>
      <c r="ANK54" s="214"/>
      <c r="ANL54" s="214"/>
      <c r="ANM54" s="214"/>
      <c r="ANN54" s="214"/>
      <c r="ANO54" s="214"/>
      <c r="ANP54" s="214"/>
      <c r="ANQ54" s="214"/>
      <c r="ANR54" s="214"/>
      <c r="ANS54" s="214"/>
      <c r="ANT54" s="214"/>
      <c r="ANU54" s="214"/>
      <c r="ANV54" s="214"/>
      <c r="ANW54" s="214"/>
      <c r="ANX54" s="214"/>
      <c r="ANY54" s="214"/>
      <c r="ANZ54" s="214"/>
      <c r="AOA54" s="214"/>
      <c r="AOB54" s="214"/>
      <c r="AOC54" s="214"/>
      <c r="AOD54" s="214"/>
      <c r="AOE54" s="214"/>
      <c r="AOF54" s="214"/>
      <c r="AOG54" s="214"/>
      <c r="AOH54" s="214"/>
      <c r="AOI54" s="214"/>
      <c r="AOJ54" s="214"/>
      <c r="AOK54" s="214"/>
      <c r="AOL54" s="214"/>
      <c r="AOM54" s="214"/>
      <c r="AON54" s="214"/>
      <c r="AOO54" s="214"/>
      <c r="AOP54" s="214"/>
      <c r="AOQ54" s="214"/>
      <c r="AOR54" s="214"/>
      <c r="AOS54" s="214"/>
      <c r="AOT54" s="214"/>
      <c r="AOU54" s="214"/>
      <c r="AOV54" s="214"/>
      <c r="AOW54" s="214"/>
      <c r="AOX54" s="214"/>
      <c r="AOY54" s="214"/>
      <c r="AOZ54" s="214"/>
      <c r="APA54" s="214"/>
      <c r="APB54" s="214"/>
      <c r="APC54" s="214"/>
      <c r="APD54" s="214"/>
      <c r="APE54" s="214"/>
      <c r="APF54" s="214"/>
      <c r="APG54" s="214"/>
      <c r="APH54" s="214"/>
      <c r="API54" s="214"/>
      <c r="APJ54" s="214"/>
      <c r="APK54" s="214"/>
      <c r="APL54" s="214"/>
      <c r="APM54" s="214"/>
      <c r="APN54" s="214"/>
      <c r="APO54" s="214"/>
      <c r="APP54" s="214"/>
      <c r="APQ54" s="214"/>
      <c r="APR54" s="214"/>
      <c r="APS54" s="214"/>
      <c r="APT54" s="214"/>
      <c r="APU54" s="214"/>
      <c r="APV54" s="214"/>
      <c r="APW54" s="214"/>
      <c r="APX54" s="214"/>
      <c r="APY54" s="214"/>
      <c r="APZ54" s="214"/>
      <c r="AQA54" s="214"/>
      <c r="AQB54" s="214"/>
      <c r="AQC54" s="214"/>
      <c r="AQD54" s="214"/>
      <c r="AQE54" s="214"/>
      <c r="AQF54" s="214"/>
      <c r="AQG54" s="214"/>
      <c r="AQH54" s="214"/>
      <c r="AQI54" s="214"/>
      <c r="AQJ54" s="214"/>
      <c r="AQK54" s="214"/>
      <c r="AQL54" s="214"/>
      <c r="AQM54" s="214"/>
      <c r="AQN54" s="214"/>
      <c r="AQO54" s="214"/>
      <c r="AQP54" s="214"/>
      <c r="AQQ54" s="214"/>
      <c r="AQR54" s="214"/>
      <c r="AQS54" s="214"/>
      <c r="AQT54" s="214"/>
      <c r="AQU54" s="214"/>
      <c r="AQV54" s="214"/>
      <c r="AQW54" s="214"/>
      <c r="AQX54" s="214"/>
      <c r="AQY54" s="214"/>
      <c r="AQZ54" s="214"/>
      <c r="ARA54" s="214"/>
      <c r="ARB54" s="214"/>
      <c r="ARC54" s="214"/>
      <c r="ARD54" s="214"/>
      <c r="ARE54" s="214"/>
      <c r="ARF54" s="214"/>
      <c r="ARG54" s="214"/>
      <c r="ARH54" s="214"/>
      <c r="ARI54" s="214"/>
      <c r="ARJ54" s="214"/>
      <c r="ARK54" s="214"/>
      <c r="ARL54" s="214"/>
      <c r="ARM54" s="214"/>
      <c r="ARN54" s="214"/>
      <c r="ARO54" s="214"/>
      <c r="ARP54" s="214"/>
      <c r="ARQ54" s="214"/>
      <c r="ARR54" s="214"/>
      <c r="ARS54" s="214"/>
      <c r="ART54" s="214"/>
      <c r="ARU54" s="214"/>
      <c r="ARV54" s="214"/>
      <c r="ARW54" s="214"/>
      <c r="ARX54" s="214"/>
      <c r="ARY54" s="214"/>
      <c r="ARZ54" s="214"/>
      <c r="ASA54" s="214"/>
      <c r="ASB54" s="214"/>
      <c r="ASC54" s="214"/>
      <c r="ASD54" s="214"/>
      <c r="ASE54" s="214"/>
      <c r="ASF54" s="214"/>
      <c r="ASG54" s="214"/>
      <c r="ASH54" s="214"/>
      <c r="ASI54" s="214"/>
      <c r="ASJ54" s="214"/>
      <c r="ASK54" s="214"/>
      <c r="ASL54" s="214"/>
      <c r="ASM54" s="214"/>
      <c r="ASN54" s="214"/>
      <c r="ASO54" s="214"/>
      <c r="ASP54" s="214"/>
      <c r="ASQ54" s="214"/>
      <c r="ASR54" s="214"/>
      <c r="ASS54" s="214"/>
      <c r="AST54" s="214"/>
      <c r="ASU54" s="214"/>
      <c r="ASV54" s="214"/>
      <c r="ASW54" s="214"/>
      <c r="ASX54" s="214"/>
      <c r="ASY54" s="214"/>
      <c r="ASZ54" s="214"/>
      <c r="ATA54" s="214"/>
      <c r="ATB54" s="214"/>
      <c r="ATC54" s="214"/>
      <c r="ATD54" s="214"/>
      <c r="ATE54" s="214"/>
      <c r="ATF54" s="214"/>
      <c r="ATG54" s="214"/>
      <c r="ATH54" s="214"/>
      <c r="ATI54" s="214"/>
      <c r="ATJ54" s="214"/>
      <c r="ATK54" s="214"/>
      <c r="ATL54" s="214"/>
      <c r="ATM54" s="214"/>
      <c r="ATN54" s="214"/>
      <c r="ATO54" s="214"/>
      <c r="ATP54" s="214"/>
      <c r="ATQ54" s="214"/>
      <c r="ATR54" s="214"/>
      <c r="ATS54" s="214"/>
      <c r="ATT54" s="214"/>
      <c r="ATU54" s="214"/>
      <c r="ATV54" s="214"/>
      <c r="ATW54" s="214"/>
      <c r="ATX54" s="214"/>
      <c r="ATY54" s="214"/>
      <c r="ATZ54" s="214"/>
      <c r="AUA54" s="214"/>
      <c r="AUB54" s="214"/>
      <c r="AUC54" s="214"/>
      <c r="AUD54" s="214"/>
      <c r="AUE54" s="214"/>
      <c r="AUF54" s="214"/>
      <c r="AUG54" s="214"/>
      <c r="AUH54" s="214"/>
      <c r="AUI54" s="214"/>
      <c r="AUJ54" s="214"/>
      <c r="AUK54" s="214"/>
      <c r="AUL54" s="214"/>
      <c r="AUM54" s="214"/>
      <c r="AUN54" s="214"/>
      <c r="AUO54" s="214"/>
      <c r="AUP54" s="214"/>
      <c r="AUQ54" s="214"/>
      <c r="AUR54" s="214"/>
      <c r="AUS54" s="214"/>
      <c r="AUT54" s="214"/>
      <c r="AUU54" s="214"/>
      <c r="AUV54" s="214"/>
      <c r="AUW54" s="214"/>
      <c r="AUX54" s="214"/>
      <c r="AUY54" s="214"/>
      <c r="AUZ54" s="214"/>
      <c r="AVA54" s="214"/>
      <c r="AVB54" s="214"/>
      <c r="AVC54" s="214"/>
      <c r="AVD54" s="214"/>
      <c r="AVE54" s="214"/>
      <c r="AVF54" s="214"/>
      <c r="AVG54" s="214"/>
      <c r="AVH54" s="214"/>
      <c r="AVI54" s="214"/>
      <c r="AVJ54" s="214"/>
      <c r="AVK54" s="214"/>
      <c r="AVL54" s="214"/>
      <c r="AVM54" s="214"/>
      <c r="AVN54" s="214"/>
      <c r="AVO54" s="214"/>
      <c r="AVP54" s="214"/>
      <c r="AVQ54" s="214"/>
      <c r="AVR54" s="214"/>
      <c r="AVS54" s="214"/>
      <c r="AVT54" s="214"/>
      <c r="AVU54" s="214"/>
      <c r="AVV54" s="214"/>
      <c r="AVW54" s="214"/>
      <c r="AVX54" s="214"/>
      <c r="AVY54" s="214"/>
      <c r="AVZ54" s="214"/>
      <c r="AWA54" s="214"/>
      <c r="AWB54" s="214"/>
      <c r="AWC54" s="214"/>
      <c r="AWD54" s="214"/>
      <c r="AWE54" s="214"/>
      <c r="AWF54" s="214"/>
      <c r="AWG54" s="214"/>
      <c r="AWH54" s="214"/>
      <c r="AWI54" s="214"/>
      <c r="AWJ54" s="214"/>
      <c r="AWK54" s="214"/>
      <c r="AWL54" s="214"/>
      <c r="AWM54" s="214"/>
      <c r="AWN54" s="214"/>
      <c r="AWO54" s="214"/>
      <c r="AWP54" s="214"/>
      <c r="AWQ54" s="214"/>
      <c r="AWR54" s="214"/>
      <c r="AWS54" s="214"/>
      <c r="AWT54" s="214"/>
      <c r="AWU54" s="214"/>
      <c r="AWV54" s="214"/>
      <c r="AWW54" s="214"/>
      <c r="AWX54" s="214"/>
      <c r="AWY54" s="214"/>
      <c r="AWZ54" s="214"/>
      <c r="AXA54" s="214"/>
      <c r="AXB54" s="214"/>
      <c r="AXC54" s="214"/>
      <c r="AXD54" s="214"/>
      <c r="AXE54" s="214"/>
      <c r="AXF54" s="214"/>
      <c r="AXG54" s="214"/>
      <c r="AXH54" s="214"/>
      <c r="AXI54" s="214"/>
      <c r="AXJ54" s="214"/>
      <c r="AXK54" s="214"/>
      <c r="AXL54" s="214"/>
      <c r="AXM54" s="214"/>
      <c r="AXN54" s="214"/>
      <c r="AXO54" s="214"/>
      <c r="AXP54" s="214"/>
      <c r="AXQ54" s="214"/>
      <c r="AXR54" s="214"/>
      <c r="AXS54" s="214"/>
      <c r="AXT54" s="214"/>
      <c r="AXU54" s="214"/>
      <c r="AXV54" s="214"/>
      <c r="AXW54" s="214"/>
      <c r="AXX54" s="214"/>
      <c r="AXY54" s="214"/>
      <c r="AXZ54" s="214"/>
      <c r="AYA54" s="214"/>
      <c r="AYB54" s="214"/>
      <c r="AYC54" s="214"/>
      <c r="AYD54" s="214"/>
      <c r="AYE54" s="214"/>
      <c r="AYF54" s="214"/>
      <c r="AYG54" s="214"/>
      <c r="AYH54" s="214"/>
      <c r="AYI54" s="214"/>
      <c r="AYJ54" s="214"/>
      <c r="AYK54" s="214"/>
      <c r="AYL54" s="214"/>
      <c r="AYM54" s="214"/>
      <c r="AYN54" s="214"/>
      <c r="AYO54" s="214"/>
      <c r="AYP54" s="214"/>
      <c r="AYQ54" s="214"/>
      <c r="AYR54" s="214"/>
      <c r="AYS54" s="214"/>
      <c r="AYT54" s="214"/>
      <c r="AYU54" s="214"/>
      <c r="AYV54" s="214"/>
      <c r="AYW54" s="214"/>
      <c r="AYX54" s="214"/>
      <c r="AYY54" s="214"/>
      <c r="AYZ54" s="214"/>
      <c r="AZA54" s="214"/>
      <c r="AZB54" s="214"/>
      <c r="AZC54" s="214"/>
      <c r="AZD54" s="214"/>
      <c r="AZE54" s="214"/>
      <c r="AZF54" s="214"/>
      <c r="AZG54" s="214"/>
      <c r="AZH54" s="214"/>
      <c r="AZI54" s="214"/>
      <c r="AZJ54" s="214"/>
      <c r="AZK54" s="214"/>
      <c r="AZL54" s="214"/>
      <c r="AZM54" s="214"/>
      <c r="AZN54" s="214"/>
      <c r="AZO54" s="214"/>
      <c r="AZP54" s="214"/>
      <c r="AZQ54" s="214"/>
      <c r="AZR54" s="214"/>
      <c r="AZS54" s="214"/>
      <c r="AZT54" s="214"/>
      <c r="AZU54" s="214"/>
      <c r="AZV54" s="214"/>
      <c r="AZW54" s="214"/>
      <c r="AZX54" s="214"/>
      <c r="AZY54" s="214"/>
      <c r="AZZ54" s="214"/>
      <c r="BAA54" s="214"/>
      <c r="BAB54" s="214"/>
      <c r="BAC54" s="214"/>
      <c r="BAD54" s="214"/>
      <c r="BAE54" s="214"/>
      <c r="BAF54" s="214"/>
      <c r="BAG54" s="214"/>
      <c r="BAH54" s="214"/>
      <c r="BAI54" s="214"/>
      <c r="BAJ54" s="214"/>
      <c r="BAK54" s="214"/>
      <c r="BAL54" s="214"/>
      <c r="BAM54" s="214"/>
      <c r="BAN54" s="214"/>
      <c r="BAO54" s="214"/>
      <c r="BAP54" s="214"/>
      <c r="BAQ54" s="214"/>
      <c r="BAR54" s="214"/>
      <c r="BAS54" s="214"/>
      <c r="BAT54" s="214"/>
      <c r="BAU54" s="214"/>
      <c r="BAV54" s="214"/>
      <c r="BAW54" s="214"/>
      <c r="BAX54" s="214"/>
      <c r="BAY54" s="214"/>
      <c r="BAZ54" s="214"/>
      <c r="BBA54" s="214"/>
      <c r="BBB54" s="214"/>
      <c r="BBC54" s="214"/>
      <c r="BBD54" s="214"/>
      <c r="BBE54" s="214"/>
      <c r="BBF54" s="214"/>
      <c r="BBG54" s="214"/>
      <c r="BBH54" s="214"/>
      <c r="BBI54" s="214"/>
      <c r="BBJ54" s="214"/>
      <c r="BBK54" s="214"/>
      <c r="BBL54" s="214"/>
      <c r="BBM54" s="214"/>
      <c r="BBN54" s="214"/>
      <c r="BBO54" s="214"/>
      <c r="BBP54" s="214"/>
      <c r="BBQ54" s="214"/>
      <c r="BBR54" s="214"/>
      <c r="BBS54" s="214"/>
      <c r="BBT54" s="214"/>
      <c r="BBU54" s="214"/>
      <c r="BBV54" s="214"/>
      <c r="BBW54" s="214"/>
      <c r="BBX54" s="214"/>
      <c r="BBY54" s="214"/>
      <c r="BBZ54" s="214"/>
      <c r="BCA54" s="214"/>
      <c r="BCB54" s="214"/>
      <c r="BCC54" s="214"/>
      <c r="BCD54" s="214"/>
      <c r="BCE54" s="214"/>
      <c r="BCF54" s="214"/>
      <c r="BCG54" s="214"/>
      <c r="BCH54" s="214"/>
      <c r="BCI54" s="214"/>
      <c r="BCJ54" s="214"/>
      <c r="BCK54" s="214"/>
      <c r="BCL54" s="214"/>
      <c r="BCM54" s="214"/>
      <c r="BCN54" s="214"/>
      <c r="BCO54" s="214"/>
      <c r="BCP54" s="214"/>
      <c r="BCQ54" s="214"/>
      <c r="BCR54" s="214"/>
      <c r="BCS54" s="214"/>
      <c r="BCT54" s="214"/>
      <c r="BCU54" s="214"/>
      <c r="BCV54" s="214"/>
      <c r="BCW54" s="214"/>
      <c r="BCX54" s="214"/>
      <c r="BCY54" s="214"/>
      <c r="BCZ54" s="214"/>
      <c r="BDA54" s="214"/>
      <c r="BDB54" s="214"/>
      <c r="BDC54" s="214"/>
      <c r="BDD54" s="214"/>
      <c r="BDE54" s="214"/>
      <c r="BDF54" s="214"/>
      <c r="BDG54" s="214"/>
      <c r="BDH54" s="214"/>
      <c r="BDI54" s="214"/>
      <c r="BDJ54" s="214"/>
      <c r="BDK54" s="214"/>
      <c r="BDL54" s="214"/>
      <c r="BDM54" s="214"/>
      <c r="BDN54" s="214"/>
      <c r="BDO54" s="214"/>
      <c r="BDP54" s="214"/>
      <c r="BDQ54" s="214"/>
      <c r="BDR54" s="214"/>
      <c r="BDS54" s="214"/>
      <c r="BDT54" s="214"/>
      <c r="BDU54" s="214"/>
      <c r="BDV54" s="214"/>
      <c r="BDW54" s="214"/>
      <c r="BDX54" s="214"/>
      <c r="BDY54" s="214"/>
      <c r="BDZ54" s="214"/>
      <c r="BEA54" s="214"/>
      <c r="BEB54" s="214"/>
      <c r="BEC54" s="214"/>
      <c r="BED54" s="214"/>
      <c r="BEE54" s="214"/>
      <c r="BEF54" s="214"/>
      <c r="BEG54" s="214"/>
      <c r="BEH54" s="214"/>
      <c r="BEI54" s="214"/>
      <c r="BEJ54" s="214"/>
      <c r="BEK54" s="214"/>
      <c r="BEL54" s="214"/>
      <c r="BEM54" s="214"/>
      <c r="BEN54" s="214"/>
      <c r="BEO54" s="214"/>
      <c r="BEP54" s="214"/>
      <c r="BEQ54" s="214"/>
      <c r="BER54" s="214"/>
      <c r="BES54" s="214"/>
      <c r="BET54" s="214"/>
      <c r="BEU54" s="214"/>
      <c r="BEV54" s="214"/>
      <c r="BEW54" s="214"/>
      <c r="BEX54" s="214"/>
      <c r="BEY54" s="214"/>
      <c r="BEZ54" s="214"/>
      <c r="BFA54" s="214"/>
      <c r="BFB54" s="214"/>
      <c r="BFC54" s="214"/>
      <c r="BFD54" s="214"/>
      <c r="BFE54" s="214"/>
      <c r="BFF54" s="214"/>
      <c r="BFG54" s="214"/>
      <c r="BFH54" s="214"/>
      <c r="BFI54" s="214"/>
      <c r="BFJ54" s="214"/>
      <c r="BFK54" s="214"/>
      <c r="BFL54" s="214"/>
      <c r="BFM54" s="214"/>
      <c r="BFN54" s="214"/>
      <c r="BFO54" s="214"/>
      <c r="BFP54" s="214"/>
      <c r="BFQ54" s="214"/>
      <c r="BFR54" s="214"/>
      <c r="BFS54" s="214"/>
      <c r="BFT54" s="214"/>
      <c r="BFU54" s="214"/>
      <c r="BFV54" s="214"/>
      <c r="BFW54" s="214"/>
      <c r="BFX54" s="214"/>
      <c r="BFY54" s="214"/>
      <c r="BFZ54" s="214"/>
      <c r="BGA54" s="214"/>
      <c r="BGB54" s="214"/>
      <c r="BGC54" s="214"/>
      <c r="BGD54" s="214"/>
      <c r="BGE54" s="214"/>
      <c r="BGF54" s="214"/>
      <c r="BGG54" s="214"/>
      <c r="BGH54" s="214"/>
      <c r="BGI54" s="214"/>
      <c r="BGJ54" s="214"/>
      <c r="BGK54" s="214"/>
      <c r="BGL54" s="214"/>
      <c r="BGM54" s="214"/>
      <c r="BGN54" s="214"/>
      <c r="BGO54" s="214"/>
      <c r="BGP54" s="214"/>
      <c r="BGQ54" s="214"/>
      <c r="BGR54" s="214"/>
      <c r="BGS54" s="214"/>
      <c r="BGT54" s="214"/>
      <c r="BGU54" s="214"/>
      <c r="BGV54" s="214"/>
      <c r="BGW54" s="214"/>
      <c r="BGX54" s="214"/>
      <c r="BGY54" s="214"/>
      <c r="BGZ54" s="214"/>
      <c r="BHA54" s="214"/>
      <c r="BHB54" s="214"/>
      <c r="BHC54" s="214"/>
      <c r="BHD54" s="214"/>
      <c r="BHE54" s="214"/>
      <c r="BHF54" s="214"/>
      <c r="BHG54" s="214"/>
      <c r="BHH54" s="214"/>
      <c r="BHI54" s="214"/>
      <c r="BHJ54" s="214"/>
      <c r="BHK54" s="214"/>
      <c r="BHL54" s="214"/>
      <c r="BHM54" s="214"/>
      <c r="BHN54" s="214"/>
      <c r="BHO54" s="214"/>
      <c r="BHP54" s="214"/>
      <c r="BHQ54" s="214"/>
      <c r="BHR54" s="214"/>
      <c r="BHS54" s="214"/>
      <c r="BHT54" s="214"/>
      <c r="BHU54" s="214"/>
      <c r="BHV54" s="214"/>
      <c r="BHW54" s="214"/>
    </row>
    <row r="55" spans="1:1583" s="217" customFormat="1">
      <c r="A55" s="118" t="s">
        <v>62</v>
      </c>
      <c r="B55" s="60"/>
      <c r="C55" s="60"/>
      <c r="D55" s="423" t="s">
        <v>595</v>
      </c>
      <c r="E55" s="59" t="s">
        <v>9</v>
      </c>
      <c r="F55" s="132"/>
      <c r="G55" s="60" t="s">
        <v>709</v>
      </c>
      <c r="H55" s="473">
        <f t="shared" si="20"/>
        <v>1729.8610102816622</v>
      </c>
      <c r="I55" s="96">
        <f>(I54/Analysis!J89)*(Analysis!J83/100)*2.015</f>
        <v>43.42183968564175</v>
      </c>
      <c r="J55" s="437"/>
      <c r="K55" s="96">
        <f>(K54/Analysis!L89)*(Analysis!L83/100)*2.015</f>
        <v>50.234016403004695</v>
      </c>
      <c r="L55" s="96">
        <f>(L54/Analysis!M89)*(Analysis!M83/100)*2.015</f>
        <v>53.057235754057004</v>
      </c>
      <c r="M55" s="96">
        <f>(M54/Analysis!N89)*(Analysis!N83/100)*2.015</f>
        <v>52.315202161231966</v>
      </c>
      <c r="N55" s="96">
        <f>(N54/Analysis!O89)*(Analysis!O83/100)*2.015</f>
        <v>52.768799736660597</v>
      </c>
      <c r="O55" s="96">
        <f>(O54/Analysis!P89)*(Analysis!P83/100)*2.015</f>
        <v>53.965291988029144</v>
      </c>
      <c r="P55" s="96">
        <f>(P54/Analysis!Q89)*(Analysis!Q83/100)*2.015</f>
        <v>52.942125533140597</v>
      </c>
      <c r="Q55" s="96">
        <f>(Q54/Analysis!R89)*(Analysis!R83/100)*2.015</f>
        <v>51.930202196494605</v>
      </c>
      <c r="R55" s="96">
        <f>(R54/Analysis!S89)*(Analysis!S83/100)*2.015</f>
        <v>49.895191004587161</v>
      </c>
      <c r="S55" s="96">
        <f>(S54/Analysis!T89)*(Analysis!T83/100)*2.015</f>
        <v>48.383422730054576</v>
      </c>
      <c r="T55" s="96">
        <f>(T54/Analysis!U89)*(Analysis!U83/100)*2.015</f>
        <v>48.97041741194019</v>
      </c>
      <c r="U55" s="96">
        <f>(U54/Analysis!V89)*(Analysis!V83/100)*2.015</f>
        <v>49.824063306009435</v>
      </c>
      <c r="V55" s="96">
        <f>(V54/Analysis!W89)*(Analysis!W83/100)*2.015</f>
        <v>46.893811039214519</v>
      </c>
      <c r="W55" s="96">
        <f>(W54/Analysis!X89)*(Analysis!X83/100)*2.015</f>
        <v>47.63789394246006</v>
      </c>
      <c r="X55" s="96">
        <f>(X54/Analysis!Y89)*(Analysis!Y83/100)*2.015</f>
        <v>46.986397316877245</v>
      </c>
      <c r="Y55" s="96">
        <f>(Y54/Analysis!Z89)*(Analysis!Z83/100)*2.015</f>
        <v>53.015122321164597</v>
      </c>
      <c r="Z55" s="96">
        <f>(Z54/Analysis!AA89)*(Analysis!AA83/100)*2.015</f>
        <v>66.580520147060355</v>
      </c>
      <c r="AA55" s="96">
        <f>(AA54/Analysis!AB89)*(Analysis!AB83/100)*2.015</f>
        <v>64.408511083622585</v>
      </c>
      <c r="AB55" s="96">
        <f>(AB54/Analysis!AC89)*(Analysis!AC83/100)*2.015</f>
        <v>72.422602643063172</v>
      </c>
      <c r="AC55" s="96">
        <f>(AC54/Analysis!AD89)*(Analysis!AD83/100)*2.015</f>
        <v>64.701656238688855</v>
      </c>
      <c r="AD55" s="96">
        <f>(AD54/Analysis!AE89)*(Analysis!AE83/100)*2.015</f>
        <v>62.291145257988596</v>
      </c>
      <c r="AE55" s="96">
        <f>(AE54/Analysis!AF89)*(Analysis!AF83/100)*2.015</f>
        <v>63.594046740991217</v>
      </c>
      <c r="AF55" s="96">
        <f>(AF54/Analysis!AG89)*(Analysis!AG83/100)*2.015</f>
        <v>64.278640902113921</v>
      </c>
      <c r="AG55" s="96">
        <f>(AG54/Analysis!AH89)*(Analysis!AH83/100)*2.015</f>
        <v>63.290668459078837</v>
      </c>
      <c r="AH55" s="96">
        <f>(AH54/Analysis!AI89)*(Analysis!AI83/100)*2.015</f>
        <v>63.234271841274442</v>
      </c>
      <c r="AI55" s="96">
        <f>(AI54/Analysis!AJ89)*(Analysis!AJ83/100)*2.015</f>
        <v>57.407425718002294</v>
      </c>
      <c r="AJ55" s="96">
        <f>(AJ54/Analysis!AK89)*(Analysis!AK83/100)*2.015</f>
        <v>55.189770989446608</v>
      </c>
      <c r="AK55" s="96">
        <f>(AK54/Analysis!AL89)*(Analysis!AL83/100)*2.015</f>
        <v>57.18467179371028</v>
      </c>
      <c r="AL55" s="96">
        <f>(AL54/Analysis!AM89)*(Analysis!AM83/100)*2.015</f>
        <v>57.925216382983429</v>
      </c>
      <c r="AM55" s="96">
        <f>(AM54/Analysis!AN89)*(Analysis!AN83/100)*2.015</f>
        <v>55.788290712361658</v>
      </c>
      <c r="AN55" s="96">
        <f>(AN54/Analysis!AO89)*(Analysis!AO83/100)*2.015</f>
        <v>59.32253884070775</v>
      </c>
      <c r="AO55" s="214"/>
      <c r="AP55" s="214"/>
      <c r="AQ55" s="214"/>
      <c r="AR55" s="214"/>
      <c r="AS55" s="214"/>
      <c r="AT55" s="214"/>
      <c r="AU55" s="214"/>
      <c r="AV55" s="214"/>
      <c r="AW55" s="214"/>
      <c r="AX55" s="214"/>
      <c r="AY55" s="214"/>
      <c r="AZ55" s="214"/>
      <c r="BA55" s="214"/>
      <c r="BB55" s="214"/>
      <c r="BC55" s="214"/>
      <c r="BD55" s="214"/>
      <c r="BE55" s="214"/>
      <c r="BF55" s="214"/>
      <c r="BG55" s="214"/>
      <c r="BH55" s="214"/>
      <c r="BI55" s="214"/>
      <c r="BJ55" s="214"/>
      <c r="BK55" s="214"/>
      <c r="BL55" s="214"/>
      <c r="BM55" s="214"/>
      <c r="BN55" s="214"/>
      <c r="BO55" s="214"/>
      <c r="BP55" s="214"/>
      <c r="BQ55" s="214"/>
      <c r="BR55" s="214"/>
      <c r="BS55" s="214"/>
      <c r="BT55" s="214"/>
      <c r="BU55" s="214"/>
      <c r="BV55" s="214"/>
      <c r="BW55" s="214"/>
      <c r="BX55" s="214"/>
      <c r="BY55" s="214"/>
      <c r="BZ55" s="214"/>
      <c r="CA55" s="214"/>
      <c r="CB55" s="214"/>
      <c r="CC55" s="214"/>
      <c r="CD55" s="214"/>
      <c r="CE55" s="214"/>
      <c r="CF55" s="214"/>
      <c r="CG55" s="214"/>
      <c r="CH55" s="214"/>
      <c r="CI55" s="214"/>
      <c r="CJ55" s="214"/>
      <c r="CK55" s="214"/>
      <c r="CL55" s="214"/>
      <c r="CM55" s="214"/>
      <c r="CN55" s="214"/>
      <c r="CO55" s="214"/>
      <c r="CP55" s="214"/>
      <c r="CQ55" s="214"/>
      <c r="CR55" s="214"/>
      <c r="CS55" s="214"/>
      <c r="CT55" s="214"/>
      <c r="CU55" s="214"/>
      <c r="CV55" s="214"/>
      <c r="CW55" s="214"/>
      <c r="CX55" s="214"/>
      <c r="CY55" s="214"/>
      <c r="CZ55" s="214"/>
      <c r="DA55" s="214"/>
      <c r="DB55" s="214"/>
      <c r="DC55" s="214"/>
      <c r="DD55" s="214"/>
      <c r="DE55" s="214"/>
      <c r="DF55" s="214"/>
      <c r="DG55" s="214"/>
      <c r="DH55" s="214"/>
      <c r="DI55" s="214"/>
      <c r="DJ55" s="214"/>
      <c r="DK55" s="214"/>
      <c r="DL55" s="214"/>
      <c r="DM55" s="214"/>
      <c r="DN55" s="214"/>
      <c r="DO55" s="214"/>
      <c r="DP55" s="214"/>
      <c r="DQ55" s="214"/>
      <c r="DR55" s="214"/>
      <c r="DS55" s="214"/>
      <c r="DT55" s="214"/>
      <c r="DU55" s="214"/>
      <c r="DV55" s="214"/>
      <c r="DW55" s="214"/>
      <c r="DX55" s="214"/>
      <c r="DY55" s="214"/>
      <c r="DZ55" s="214"/>
      <c r="EA55" s="214"/>
      <c r="EB55" s="214"/>
      <c r="EC55" s="214"/>
      <c r="ED55" s="214"/>
      <c r="EE55" s="214"/>
      <c r="EF55" s="214"/>
      <c r="EG55" s="214"/>
      <c r="EH55" s="214"/>
      <c r="EI55" s="214"/>
      <c r="EJ55" s="214"/>
      <c r="EK55" s="214"/>
      <c r="EL55" s="214"/>
      <c r="EM55" s="214"/>
      <c r="EN55" s="214"/>
      <c r="EO55" s="214"/>
      <c r="EP55" s="214"/>
      <c r="EQ55" s="214"/>
      <c r="ER55" s="214"/>
      <c r="ES55" s="214"/>
      <c r="ET55" s="214"/>
      <c r="EU55" s="214"/>
      <c r="EV55" s="214"/>
      <c r="EW55" s="214"/>
      <c r="EX55" s="214"/>
      <c r="EY55" s="214"/>
      <c r="EZ55" s="214"/>
      <c r="FA55" s="214"/>
      <c r="FB55" s="214"/>
      <c r="FC55" s="214"/>
      <c r="FD55" s="214"/>
      <c r="FE55" s="214"/>
      <c r="FF55" s="214"/>
      <c r="FG55" s="214"/>
      <c r="FH55" s="214"/>
      <c r="FI55" s="214"/>
      <c r="FJ55" s="214"/>
      <c r="FK55" s="214"/>
      <c r="FL55" s="214"/>
      <c r="FM55" s="214"/>
      <c r="FN55" s="214"/>
      <c r="FO55" s="214"/>
      <c r="FP55" s="214"/>
      <c r="FQ55" s="214"/>
      <c r="FR55" s="214"/>
      <c r="FS55" s="214"/>
      <c r="FT55" s="214"/>
      <c r="FU55" s="214"/>
      <c r="FV55" s="214"/>
      <c r="FW55" s="214"/>
      <c r="FX55" s="214"/>
      <c r="FY55" s="214"/>
      <c r="FZ55" s="214"/>
      <c r="GA55" s="214"/>
      <c r="GB55" s="214"/>
      <c r="GC55" s="214"/>
      <c r="GD55" s="214"/>
      <c r="GE55" s="214"/>
      <c r="GF55" s="214"/>
      <c r="GG55" s="214"/>
      <c r="GH55" s="214"/>
      <c r="GI55" s="214"/>
      <c r="GJ55" s="214"/>
      <c r="GK55" s="214"/>
      <c r="GL55" s="214"/>
      <c r="GM55" s="214"/>
      <c r="GN55" s="214"/>
      <c r="GO55" s="214"/>
      <c r="GP55" s="214"/>
      <c r="GQ55" s="214"/>
      <c r="GR55" s="214"/>
      <c r="GS55" s="214"/>
      <c r="GT55" s="214"/>
      <c r="GU55" s="214"/>
      <c r="GV55" s="214"/>
      <c r="GW55" s="214"/>
      <c r="GX55" s="214"/>
      <c r="GY55" s="214"/>
      <c r="GZ55" s="214"/>
      <c r="HA55" s="214"/>
      <c r="HB55" s="214"/>
      <c r="HC55" s="214"/>
      <c r="HD55" s="214"/>
      <c r="HE55" s="214"/>
      <c r="HF55" s="214"/>
      <c r="HG55" s="214"/>
      <c r="HH55" s="214"/>
      <c r="HI55" s="214"/>
      <c r="HJ55" s="214"/>
      <c r="HK55" s="214"/>
      <c r="HL55" s="214"/>
      <c r="HM55" s="214"/>
      <c r="HN55" s="214"/>
      <c r="HO55" s="214"/>
      <c r="HP55" s="214"/>
      <c r="HQ55" s="214"/>
      <c r="HR55" s="214"/>
      <c r="HS55" s="214"/>
      <c r="HT55" s="214"/>
      <c r="HU55" s="214"/>
      <c r="HV55" s="214"/>
      <c r="HW55" s="214"/>
      <c r="HX55" s="214"/>
      <c r="HY55" s="214"/>
      <c r="HZ55" s="214"/>
      <c r="IA55" s="214"/>
      <c r="IB55" s="214"/>
      <c r="IC55" s="214"/>
      <c r="ID55" s="214"/>
      <c r="IE55" s="214"/>
      <c r="IF55" s="214"/>
      <c r="IG55" s="214"/>
      <c r="IH55" s="214"/>
      <c r="II55" s="214"/>
      <c r="IJ55" s="214"/>
      <c r="IK55" s="214"/>
      <c r="IL55" s="214"/>
      <c r="IM55" s="214"/>
      <c r="IN55" s="214"/>
      <c r="IO55" s="214"/>
      <c r="IP55" s="214"/>
      <c r="IQ55" s="214"/>
      <c r="IR55" s="214"/>
      <c r="IS55" s="214"/>
      <c r="IT55" s="214"/>
      <c r="IU55" s="214"/>
      <c r="IV55" s="214"/>
      <c r="IW55" s="214"/>
      <c r="IX55" s="214"/>
      <c r="IY55" s="214"/>
      <c r="IZ55" s="214"/>
      <c r="JA55" s="214"/>
      <c r="JB55" s="214"/>
      <c r="JC55" s="214"/>
      <c r="JD55" s="214"/>
      <c r="JE55" s="214"/>
      <c r="JF55" s="214"/>
      <c r="JG55" s="214"/>
      <c r="JH55" s="214"/>
      <c r="JI55" s="214"/>
      <c r="JJ55" s="214"/>
      <c r="JK55" s="214"/>
      <c r="JL55" s="214"/>
      <c r="JM55" s="214"/>
      <c r="JN55" s="214"/>
      <c r="JO55" s="214"/>
      <c r="JP55" s="214"/>
      <c r="JQ55" s="214"/>
      <c r="JR55" s="214"/>
      <c r="JS55" s="214"/>
      <c r="JT55" s="214"/>
      <c r="JU55" s="214"/>
      <c r="JV55" s="214"/>
      <c r="JW55" s="214"/>
      <c r="JX55" s="214"/>
      <c r="JY55" s="214"/>
      <c r="JZ55" s="214"/>
      <c r="KA55" s="214"/>
      <c r="KB55" s="214"/>
      <c r="KC55" s="214"/>
      <c r="KD55" s="214"/>
      <c r="KE55" s="214"/>
      <c r="KF55" s="214"/>
      <c r="KG55" s="214"/>
      <c r="KH55" s="214"/>
      <c r="KI55" s="214"/>
      <c r="KJ55" s="214"/>
      <c r="KK55" s="214"/>
      <c r="KL55" s="214"/>
      <c r="KM55" s="214"/>
      <c r="KN55" s="214"/>
      <c r="KO55" s="214"/>
      <c r="KP55" s="214"/>
      <c r="KQ55" s="214"/>
      <c r="KR55" s="214"/>
      <c r="KS55" s="214"/>
      <c r="KT55" s="214"/>
      <c r="KU55" s="214"/>
      <c r="KV55" s="214"/>
      <c r="KW55" s="214"/>
      <c r="KX55" s="214"/>
      <c r="KY55" s="214"/>
      <c r="KZ55" s="214"/>
      <c r="LA55" s="214"/>
      <c r="LB55" s="214"/>
      <c r="LC55" s="214"/>
      <c r="LD55" s="214"/>
      <c r="LE55" s="214"/>
      <c r="LF55" s="214"/>
      <c r="LG55" s="214"/>
      <c r="LH55" s="214"/>
      <c r="LI55" s="214"/>
      <c r="LJ55" s="214"/>
      <c r="LK55" s="214"/>
      <c r="LL55" s="214"/>
      <c r="LM55" s="214"/>
      <c r="LN55" s="214"/>
      <c r="LO55" s="214"/>
      <c r="LP55" s="214"/>
      <c r="LQ55" s="214"/>
      <c r="LR55" s="214"/>
      <c r="LS55" s="214"/>
      <c r="LT55" s="214"/>
      <c r="LU55" s="214"/>
      <c r="LV55" s="214"/>
      <c r="LW55" s="214"/>
      <c r="LX55" s="214"/>
      <c r="LY55" s="214"/>
      <c r="LZ55" s="214"/>
      <c r="MA55" s="214"/>
      <c r="MB55" s="214"/>
      <c r="MC55" s="214"/>
      <c r="MD55" s="214"/>
      <c r="ME55" s="214"/>
      <c r="MF55" s="214"/>
      <c r="MG55" s="214"/>
      <c r="MH55" s="214"/>
      <c r="MI55" s="214"/>
      <c r="MJ55" s="214"/>
      <c r="MK55" s="214"/>
      <c r="ML55" s="214"/>
      <c r="MM55" s="214"/>
      <c r="MN55" s="214"/>
      <c r="MO55" s="214"/>
      <c r="MP55" s="214"/>
      <c r="MQ55" s="214"/>
      <c r="MR55" s="214"/>
      <c r="MS55" s="214"/>
      <c r="MT55" s="214"/>
      <c r="MU55" s="214"/>
      <c r="MV55" s="214"/>
      <c r="MW55" s="214"/>
      <c r="MX55" s="214"/>
      <c r="MY55" s="214"/>
      <c r="MZ55" s="214"/>
      <c r="NA55" s="214"/>
      <c r="NB55" s="214"/>
      <c r="NC55" s="214"/>
      <c r="ND55" s="214"/>
      <c r="NE55" s="214"/>
      <c r="NF55" s="214"/>
      <c r="NG55" s="214"/>
      <c r="NH55" s="214"/>
      <c r="NI55" s="214"/>
      <c r="NJ55" s="214"/>
      <c r="NK55" s="214"/>
      <c r="NL55" s="214"/>
      <c r="NM55" s="214"/>
      <c r="NN55" s="214"/>
      <c r="NO55" s="214"/>
      <c r="NP55" s="214"/>
      <c r="NQ55" s="214"/>
      <c r="NR55" s="214"/>
      <c r="NS55" s="214"/>
      <c r="NT55" s="214"/>
      <c r="NU55" s="214"/>
      <c r="NV55" s="214"/>
      <c r="NW55" s="214"/>
      <c r="NX55" s="214"/>
      <c r="NY55" s="214"/>
      <c r="NZ55" s="214"/>
      <c r="OA55" s="214"/>
      <c r="OB55" s="214"/>
      <c r="OC55" s="214"/>
      <c r="OD55" s="214"/>
      <c r="OE55" s="214"/>
      <c r="OF55" s="214"/>
      <c r="OG55" s="214"/>
      <c r="OH55" s="214"/>
      <c r="OI55" s="214"/>
      <c r="OJ55" s="214"/>
      <c r="OK55" s="214"/>
      <c r="OL55" s="214"/>
      <c r="OM55" s="214"/>
      <c r="ON55" s="214"/>
      <c r="OO55" s="214"/>
      <c r="OP55" s="214"/>
      <c r="OQ55" s="214"/>
      <c r="OR55" s="214"/>
      <c r="OS55" s="214"/>
      <c r="OT55" s="214"/>
      <c r="OU55" s="214"/>
      <c r="OV55" s="214"/>
      <c r="OW55" s="214"/>
      <c r="OX55" s="214"/>
      <c r="OY55" s="214"/>
      <c r="OZ55" s="214"/>
      <c r="PA55" s="214"/>
      <c r="PB55" s="214"/>
      <c r="PC55" s="214"/>
      <c r="PD55" s="214"/>
      <c r="PE55" s="214"/>
      <c r="PF55" s="214"/>
      <c r="PG55" s="214"/>
      <c r="PH55" s="214"/>
      <c r="PI55" s="214"/>
      <c r="PJ55" s="214"/>
      <c r="PK55" s="214"/>
      <c r="PL55" s="214"/>
      <c r="PM55" s="214"/>
      <c r="PN55" s="214"/>
      <c r="PO55" s="214"/>
      <c r="PP55" s="214"/>
      <c r="PQ55" s="214"/>
      <c r="PR55" s="214"/>
      <c r="PS55" s="214"/>
      <c r="PT55" s="214"/>
      <c r="PU55" s="214"/>
      <c r="PV55" s="214"/>
      <c r="PW55" s="214"/>
      <c r="PX55" s="214"/>
      <c r="PY55" s="214"/>
      <c r="PZ55" s="214"/>
      <c r="QA55" s="214"/>
      <c r="QB55" s="214"/>
      <c r="QC55" s="214"/>
      <c r="QD55" s="214"/>
      <c r="QE55" s="214"/>
      <c r="QF55" s="214"/>
      <c r="QG55" s="214"/>
      <c r="QH55" s="214"/>
      <c r="QI55" s="214"/>
      <c r="QJ55" s="214"/>
      <c r="QK55" s="214"/>
      <c r="QL55" s="214"/>
      <c r="QM55" s="214"/>
      <c r="QN55" s="214"/>
      <c r="QO55" s="214"/>
      <c r="QP55" s="214"/>
      <c r="QQ55" s="214"/>
      <c r="QR55" s="214"/>
      <c r="QS55" s="214"/>
      <c r="QT55" s="214"/>
      <c r="QU55" s="214"/>
      <c r="QV55" s="214"/>
      <c r="QW55" s="214"/>
      <c r="QX55" s="214"/>
      <c r="QY55" s="214"/>
      <c r="QZ55" s="214"/>
      <c r="RA55" s="214"/>
      <c r="RB55" s="214"/>
      <c r="RC55" s="214"/>
      <c r="RD55" s="214"/>
      <c r="RE55" s="214"/>
      <c r="RF55" s="214"/>
      <c r="RG55" s="214"/>
      <c r="RH55" s="214"/>
      <c r="RI55" s="214"/>
      <c r="RJ55" s="214"/>
      <c r="RK55" s="214"/>
      <c r="RL55" s="214"/>
      <c r="RM55" s="214"/>
      <c r="RN55" s="214"/>
      <c r="RO55" s="214"/>
      <c r="RP55" s="214"/>
      <c r="RQ55" s="214"/>
      <c r="RR55" s="214"/>
      <c r="RS55" s="214"/>
      <c r="RT55" s="214"/>
      <c r="RU55" s="214"/>
      <c r="RV55" s="214"/>
      <c r="RW55" s="214"/>
      <c r="RX55" s="214"/>
      <c r="RY55" s="214"/>
      <c r="RZ55" s="214"/>
      <c r="SA55" s="214"/>
      <c r="SB55" s="214"/>
      <c r="SC55" s="214"/>
      <c r="SD55" s="214"/>
      <c r="SE55" s="214"/>
      <c r="SF55" s="214"/>
      <c r="SG55" s="214"/>
      <c r="SH55" s="214"/>
      <c r="SI55" s="214"/>
      <c r="SJ55" s="214"/>
      <c r="SK55" s="214"/>
      <c r="SL55" s="214"/>
      <c r="SM55" s="214"/>
      <c r="SN55" s="214"/>
      <c r="SO55" s="214"/>
      <c r="SP55" s="214"/>
      <c r="SQ55" s="214"/>
      <c r="SR55" s="214"/>
      <c r="SS55" s="214"/>
      <c r="ST55" s="214"/>
      <c r="SU55" s="214"/>
      <c r="SV55" s="214"/>
      <c r="SW55" s="214"/>
      <c r="SX55" s="214"/>
      <c r="SY55" s="214"/>
      <c r="SZ55" s="214"/>
      <c r="TA55" s="214"/>
      <c r="TB55" s="214"/>
      <c r="TC55" s="214"/>
      <c r="TD55" s="214"/>
      <c r="TE55" s="214"/>
      <c r="TF55" s="214"/>
      <c r="TG55" s="214"/>
      <c r="TH55" s="214"/>
      <c r="TI55" s="214"/>
      <c r="TJ55" s="214"/>
      <c r="TK55" s="214"/>
      <c r="TL55" s="214"/>
      <c r="TM55" s="214"/>
      <c r="TN55" s="214"/>
      <c r="TO55" s="214"/>
      <c r="TP55" s="214"/>
      <c r="TQ55" s="214"/>
      <c r="TR55" s="214"/>
      <c r="TS55" s="214"/>
      <c r="TT55" s="214"/>
      <c r="TU55" s="214"/>
      <c r="TV55" s="214"/>
      <c r="TW55" s="214"/>
      <c r="TX55" s="214"/>
      <c r="TY55" s="214"/>
      <c r="TZ55" s="214"/>
      <c r="UA55" s="214"/>
      <c r="UB55" s="214"/>
      <c r="UC55" s="214"/>
      <c r="UD55" s="214"/>
      <c r="UE55" s="214"/>
      <c r="UF55" s="214"/>
      <c r="UG55" s="214"/>
      <c r="UH55" s="214"/>
      <c r="UI55" s="214"/>
      <c r="UJ55" s="214"/>
      <c r="UK55" s="214"/>
      <c r="UL55" s="214"/>
      <c r="UM55" s="214"/>
      <c r="UN55" s="214"/>
      <c r="UO55" s="214"/>
      <c r="UP55" s="214"/>
      <c r="UQ55" s="214"/>
      <c r="UR55" s="214"/>
      <c r="US55" s="214"/>
      <c r="UT55" s="214"/>
      <c r="UU55" s="214"/>
      <c r="UV55" s="214"/>
      <c r="UW55" s="214"/>
      <c r="UX55" s="214"/>
      <c r="UY55" s="214"/>
      <c r="UZ55" s="214"/>
      <c r="VA55" s="214"/>
      <c r="VB55" s="214"/>
      <c r="VC55" s="214"/>
      <c r="VD55" s="214"/>
      <c r="VE55" s="214"/>
      <c r="VF55" s="214"/>
      <c r="VG55" s="214"/>
      <c r="VH55" s="214"/>
      <c r="VI55" s="214"/>
      <c r="VJ55" s="214"/>
      <c r="VK55" s="214"/>
      <c r="VL55" s="214"/>
      <c r="VM55" s="214"/>
      <c r="VN55" s="214"/>
      <c r="VO55" s="214"/>
      <c r="VP55" s="214"/>
      <c r="VQ55" s="214"/>
      <c r="VR55" s="214"/>
      <c r="VS55" s="214"/>
      <c r="VT55" s="214"/>
      <c r="VU55" s="214"/>
      <c r="VV55" s="214"/>
      <c r="VW55" s="214"/>
      <c r="VX55" s="214"/>
      <c r="VY55" s="214"/>
      <c r="VZ55" s="214"/>
      <c r="WA55" s="214"/>
      <c r="WB55" s="214"/>
      <c r="WC55" s="214"/>
      <c r="WD55" s="214"/>
      <c r="WE55" s="214"/>
      <c r="WF55" s="214"/>
      <c r="WG55" s="214"/>
      <c r="WH55" s="214"/>
      <c r="WI55" s="214"/>
      <c r="WJ55" s="214"/>
      <c r="WK55" s="214"/>
      <c r="WL55" s="214"/>
      <c r="WM55" s="214"/>
      <c r="WN55" s="214"/>
      <c r="WO55" s="214"/>
      <c r="WP55" s="214"/>
      <c r="WQ55" s="214"/>
      <c r="WR55" s="214"/>
      <c r="WS55" s="214"/>
      <c r="WT55" s="214"/>
      <c r="WU55" s="214"/>
      <c r="WV55" s="214"/>
      <c r="WW55" s="214"/>
      <c r="WX55" s="214"/>
      <c r="WY55" s="214"/>
      <c r="WZ55" s="214"/>
      <c r="XA55" s="214"/>
      <c r="XB55" s="214"/>
      <c r="XC55" s="214"/>
      <c r="XD55" s="214"/>
      <c r="XE55" s="214"/>
      <c r="XF55" s="214"/>
      <c r="XG55" s="214"/>
      <c r="XH55" s="214"/>
      <c r="XI55" s="214"/>
      <c r="XJ55" s="214"/>
      <c r="XK55" s="214"/>
      <c r="XL55" s="214"/>
      <c r="XM55" s="214"/>
      <c r="XN55" s="214"/>
      <c r="XO55" s="214"/>
      <c r="XP55" s="214"/>
      <c r="XQ55" s="214"/>
      <c r="XR55" s="214"/>
      <c r="XS55" s="214"/>
      <c r="XT55" s="214"/>
      <c r="XU55" s="214"/>
      <c r="XV55" s="214"/>
      <c r="XW55" s="214"/>
      <c r="XX55" s="214"/>
      <c r="XY55" s="214"/>
      <c r="XZ55" s="214"/>
      <c r="YA55" s="214"/>
      <c r="YB55" s="214"/>
      <c r="YC55" s="214"/>
      <c r="YD55" s="214"/>
      <c r="YE55" s="214"/>
      <c r="YF55" s="214"/>
      <c r="YG55" s="214"/>
      <c r="YH55" s="214"/>
      <c r="YI55" s="214"/>
      <c r="YJ55" s="214"/>
      <c r="YK55" s="214"/>
      <c r="YL55" s="214"/>
      <c r="YM55" s="214"/>
      <c r="YN55" s="214"/>
      <c r="YO55" s="214"/>
      <c r="YP55" s="214"/>
      <c r="YQ55" s="214"/>
      <c r="YR55" s="214"/>
      <c r="YS55" s="214"/>
      <c r="YT55" s="214"/>
      <c r="YU55" s="214"/>
      <c r="YV55" s="214"/>
      <c r="YW55" s="214"/>
      <c r="YX55" s="214"/>
      <c r="YY55" s="214"/>
      <c r="YZ55" s="214"/>
      <c r="ZA55" s="214"/>
      <c r="ZB55" s="214"/>
      <c r="ZC55" s="214"/>
      <c r="ZD55" s="214"/>
      <c r="ZE55" s="214"/>
      <c r="ZF55" s="214"/>
      <c r="ZG55" s="214"/>
      <c r="ZH55" s="214"/>
      <c r="ZI55" s="214"/>
      <c r="ZJ55" s="214"/>
      <c r="ZK55" s="214"/>
      <c r="ZL55" s="214"/>
      <c r="ZM55" s="214"/>
      <c r="ZN55" s="214"/>
      <c r="ZO55" s="214"/>
      <c r="ZP55" s="214"/>
      <c r="ZQ55" s="214"/>
      <c r="ZR55" s="214"/>
      <c r="ZS55" s="214"/>
      <c r="ZT55" s="214"/>
      <c r="ZU55" s="214"/>
      <c r="ZV55" s="214"/>
      <c r="ZW55" s="214"/>
      <c r="ZX55" s="214"/>
      <c r="ZY55" s="214"/>
      <c r="ZZ55" s="214"/>
      <c r="AAA55" s="214"/>
      <c r="AAB55" s="214"/>
      <c r="AAC55" s="214"/>
      <c r="AAD55" s="214"/>
      <c r="AAE55" s="214"/>
      <c r="AAF55" s="214"/>
      <c r="AAG55" s="214"/>
      <c r="AAH55" s="214"/>
      <c r="AAI55" s="214"/>
      <c r="AAJ55" s="214"/>
      <c r="AAK55" s="214"/>
      <c r="AAL55" s="214"/>
      <c r="AAM55" s="214"/>
      <c r="AAN55" s="214"/>
      <c r="AAO55" s="214"/>
      <c r="AAP55" s="214"/>
      <c r="AAQ55" s="214"/>
      <c r="AAR55" s="214"/>
      <c r="AAS55" s="214"/>
      <c r="AAT55" s="214"/>
      <c r="AAU55" s="214"/>
      <c r="AAV55" s="214"/>
      <c r="AAW55" s="214"/>
      <c r="AAX55" s="214"/>
      <c r="AAY55" s="214"/>
      <c r="AAZ55" s="214"/>
      <c r="ABA55" s="214"/>
      <c r="ABB55" s="214"/>
      <c r="ABC55" s="214"/>
      <c r="ABD55" s="214"/>
      <c r="ABE55" s="214"/>
      <c r="ABF55" s="214"/>
      <c r="ABG55" s="214"/>
      <c r="ABH55" s="214"/>
      <c r="ABI55" s="214"/>
      <c r="ABJ55" s="214"/>
      <c r="ABK55" s="214"/>
      <c r="ABL55" s="214"/>
      <c r="ABM55" s="214"/>
      <c r="ABN55" s="214"/>
      <c r="ABO55" s="214"/>
      <c r="ABP55" s="214"/>
      <c r="ABQ55" s="214"/>
      <c r="ABR55" s="214"/>
      <c r="ABS55" s="214"/>
      <c r="ABT55" s="214"/>
      <c r="ABU55" s="214"/>
      <c r="ABV55" s="214"/>
      <c r="ABW55" s="214"/>
      <c r="ABX55" s="214"/>
      <c r="ABY55" s="214"/>
      <c r="ABZ55" s="214"/>
      <c r="ACA55" s="214"/>
      <c r="ACB55" s="214"/>
      <c r="ACC55" s="214"/>
      <c r="ACD55" s="214"/>
      <c r="ACE55" s="214"/>
      <c r="ACF55" s="214"/>
      <c r="ACG55" s="214"/>
      <c r="ACH55" s="214"/>
      <c r="ACI55" s="214"/>
      <c r="ACJ55" s="214"/>
      <c r="ACK55" s="214"/>
      <c r="ACL55" s="214"/>
      <c r="ACM55" s="214"/>
      <c r="ACN55" s="214"/>
      <c r="ACO55" s="214"/>
      <c r="ACP55" s="214"/>
      <c r="ACQ55" s="214"/>
      <c r="ACR55" s="214"/>
      <c r="ACS55" s="214"/>
      <c r="ACT55" s="214"/>
      <c r="ACU55" s="214"/>
      <c r="ACV55" s="214"/>
      <c r="ACW55" s="214"/>
      <c r="ACX55" s="214"/>
      <c r="ACY55" s="214"/>
      <c r="ACZ55" s="214"/>
      <c r="ADA55" s="214"/>
      <c r="ADB55" s="214"/>
      <c r="ADC55" s="214"/>
      <c r="ADD55" s="214"/>
      <c r="ADE55" s="214"/>
      <c r="ADF55" s="214"/>
      <c r="ADG55" s="214"/>
      <c r="ADH55" s="214"/>
      <c r="ADI55" s="214"/>
      <c r="ADJ55" s="214"/>
      <c r="ADK55" s="214"/>
      <c r="ADL55" s="214"/>
      <c r="ADM55" s="214"/>
      <c r="ADN55" s="214"/>
      <c r="ADO55" s="214"/>
      <c r="ADP55" s="214"/>
      <c r="ADQ55" s="214"/>
      <c r="ADR55" s="214"/>
      <c r="ADS55" s="214"/>
      <c r="ADT55" s="214"/>
      <c r="ADU55" s="214"/>
      <c r="ADV55" s="214"/>
      <c r="ADW55" s="214"/>
      <c r="ADX55" s="214"/>
      <c r="ADY55" s="214"/>
      <c r="ADZ55" s="214"/>
      <c r="AEA55" s="214"/>
      <c r="AEB55" s="214"/>
      <c r="AEC55" s="214"/>
      <c r="AED55" s="214"/>
      <c r="AEE55" s="214"/>
      <c r="AEF55" s="214"/>
      <c r="AEG55" s="214"/>
      <c r="AEH55" s="214"/>
      <c r="AEI55" s="214"/>
      <c r="AEJ55" s="214"/>
      <c r="AEK55" s="214"/>
      <c r="AEL55" s="214"/>
      <c r="AEM55" s="214"/>
      <c r="AEN55" s="214"/>
      <c r="AEO55" s="214"/>
      <c r="AEP55" s="214"/>
      <c r="AEQ55" s="214"/>
      <c r="AER55" s="214"/>
      <c r="AES55" s="214"/>
      <c r="AET55" s="214"/>
      <c r="AEU55" s="214"/>
      <c r="AEV55" s="214"/>
      <c r="AEW55" s="214"/>
      <c r="AEX55" s="214"/>
      <c r="AEY55" s="214"/>
      <c r="AEZ55" s="214"/>
      <c r="AFA55" s="214"/>
      <c r="AFB55" s="214"/>
      <c r="AFC55" s="214"/>
      <c r="AFD55" s="214"/>
      <c r="AFE55" s="214"/>
      <c r="AFF55" s="214"/>
      <c r="AFG55" s="214"/>
      <c r="AFH55" s="214"/>
      <c r="AFI55" s="214"/>
      <c r="AFJ55" s="214"/>
      <c r="AFK55" s="214"/>
      <c r="AFL55" s="214"/>
      <c r="AFM55" s="214"/>
      <c r="AFN55" s="214"/>
      <c r="AFO55" s="214"/>
      <c r="AFP55" s="214"/>
      <c r="AFQ55" s="214"/>
      <c r="AFR55" s="214"/>
      <c r="AFS55" s="214"/>
      <c r="AFT55" s="214"/>
      <c r="AFU55" s="214"/>
      <c r="AFV55" s="214"/>
      <c r="AFW55" s="214"/>
      <c r="AFX55" s="214"/>
      <c r="AFY55" s="214"/>
      <c r="AFZ55" s="214"/>
      <c r="AGA55" s="214"/>
      <c r="AGB55" s="214"/>
      <c r="AGC55" s="214"/>
      <c r="AGD55" s="214"/>
      <c r="AGE55" s="214"/>
      <c r="AGF55" s="214"/>
      <c r="AGG55" s="214"/>
      <c r="AGH55" s="214"/>
      <c r="AGI55" s="214"/>
      <c r="AGJ55" s="214"/>
      <c r="AGK55" s="214"/>
      <c r="AGL55" s="214"/>
      <c r="AGM55" s="214"/>
      <c r="AGN55" s="214"/>
      <c r="AGO55" s="214"/>
      <c r="AGP55" s="214"/>
      <c r="AGQ55" s="214"/>
      <c r="AGR55" s="214"/>
      <c r="AGS55" s="214"/>
      <c r="AGT55" s="214"/>
      <c r="AGU55" s="214"/>
      <c r="AGV55" s="214"/>
      <c r="AGW55" s="214"/>
      <c r="AGX55" s="214"/>
      <c r="AGY55" s="214"/>
      <c r="AGZ55" s="214"/>
      <c r="AHA55" s="214"/>
      <c r="AHB55" s="214"/>
      <c r="AHC55" s="214"/>
      <c r="AHD55" s="214"/>
      <c r="AHE55" s="214"/>
      <c r="AHF55" s="214"/>
      <c r="AHG55" s="214"/>
      <c r="AHH55" s="214"/>
      <c r="AHI55" s="214"/>
      <c r="AHJ55" s="214"/>
      <c r="AHK55" s="214"/>
      <c r="AHL55" s="214"/>
      <c r="AHM55" s="214"/>
      <c r="AHN55" s="214"/>
      <c r="AHO55" s="214"/>
      <c r="AHP55" s="214"/>
      <c r="AHQ55" s="214"/>
      <c r="AHR55" s="214"/>
      <c r="AHS55" s="214"/>
      <c r="AHT55" s="214"/>
      <c r="AHU55" s="214"/>
      <c r="AHV55" s="214"/>
      <c r="AHW55" s="214"/>
      <c r="AHX55" s="214"/>
      <c r="AHY55" s="214"/>
      <c r="AHZ55" s="214"/>
      <c r="AIA55" s="214"/>
      <c r="AIB55" s="214"/>
      <c r="AIC55" s="214"/>
      <c r="AID55" s="214"/>
      <c r="AIE55" s="214"/>
      <c r="AIF55" s="214"/>
      <c r="AIG55" s="214"/>
      <c r="AIH55" s="214"/>
      <c r="AII55" s="214"/>
      <c r="AIJ55" s="214"/>
      <c r="AIK55" s="214"/>
      <c r="AIL55" s="214"/>
      <c r="AIM55" s="214"/>
      <c r="AIN55" s="214"/>
      <c r="AIO55" s="214"/>
      <c r="AIP55" s="214"/>
      <c r="AIQ55" s="214"/>
      <c r="AIR55" s="214"/>
      <c r="AIS55" s="214"/>
      <c r="AIT55" s="214"/>
      <c r="AIU55" s="214"/>
      <c r="AIV55" s="214"/>
      <c r="AIW55" s="214"/>
      <c r="AIX55" s="214"/>
      <c r="AIY55" s="214"/>
      <c r="AIZ55" s="214"/>
      <c r="AJA55" s="214"/>
      <c r="AJB55" s="214"/>
      <c r="AJC55" s="214"/>
      <c r="AJD55" s="214"/>
      <c r="AJE55" s="214"/>
      <c r="AJF55" s="214"/>
      <c r="AJG55" s="214"/>
      <c r="AJH55" s="214"/>
      <c r="AJI55" s="214"/>
      <c r="AJJ55" s="214"/>
      <c r="AJK55" s="214"/>
      <c r="AJL55" s="214"/>
      <c r="AJM55" s="214"/>
      <c r="AJN55" s="214"/>
      <c r="AJO55" s="214"/>
      <c r="AJP55" s="214"/>
      <c r="AJQ55" s="214"/>
      <c r="AJR55" s="214"/>
      <c r="AJS55" s="214"/>
      <c r="AJT55" s="214"/>
      <c r="AJU55" s="214"/>
      <c r="AJV55" s="214"/>
      <c r="AJW55" s="214"/>
      <c r="AJX55" s="214"/>
      <c r="AJY55" s="214"/>
      <c r="AJZ55" s="214"/>
      <c r="AKA55" s="214"/>
      <c r="AKB55" s="214"/>
      <c r="AKC55" s="214"/>
      <c r="AKD55" s="214"/>
      <c r="AKE55" s="214"/>
      <c r="AKF55" s="214"/>
      <c r="AKG55" s="214"/>
      <c r="AKH55" s="214"/>
      <c r="AKI55" s="214"/>
      <c r="AKJ55" s="214"/>
      <c r="AKK55" s="214"/>
      <c r="AKL55" s="214"/>
      <c r="AKM55" s="214"/>
      <c r="AKN55" s="214"/>
      <c r="AKO55" s="214"/>
      <c r="AKP55" s="214"/>
      <c r="AKQ55" s="214"/>
      <c r="AKR55" s="214"/>
      <c r="AKS55" s="214"/>
      <c r="AKT55" s="214"/>
      <c r="AKU55" s="214"/>
      <c r="AKV55" s="214"/>
      <c r="AKW55" s="214"/>
      <c r="AKX55" s="214"/>
      <c r="AKY55" s="214"/>
      <c r="AKZ55" s="214"/>
      <c r="ALA55" s="214"/>
      <c r="ALB55" s="214"/>
      <c r="ALC55" s="214"/>
      <c r="ALD55" s="214"/>
      <c r="ALE55" s="214"/>
      <c r="ALF55" s="214"/>
      <c r="ALG55" s="214"/>
      <c r="ALH55" s="214"/>
      <c r="ALI55" s="214"/>
      <c r="ALJ55" s="214"/>
      <c r="ALK55" s="214"/>
      <c r="ALL55" s="214"/>
      <c r="ALM55" s="214"/>
      <c r="ALN55" s="214"/>
      <c r="ALO55" s="214"/>
      <c r="ALP55" s="214"/>
      <c r="ALQ55" s="214"/>
      <c r="ALR55" s="214"/>
      <c r="ALS55" s="214"/>
      <c r="ALT55" s="214"/>
      <c r="ALU55" s="214"/>
      <c r="ALV55" s="214"/>
      <c r="ALW55" s="214"/>
      <c r="ALX55" s="214"/>
      <c r="ALY55" s="214"/>
      <c r="ALZ55" s="214"/>
      <c r="AMA55" s="214"/>
      <c r="AMB55" s="214"/>
      <c r="AMC55" s="214"/>
      <c r="AMD55" s="214"/>
      <c r="AME55" s="214"/>
      <c r="AMF55" s="214"/>
      <c r="AMG55" s="214"/>
      <c r="AMH55" s="214"/>
      <c r="AMI55" s="214"/>
      <c r="AMJ55" s="214"/>
      <c r="AMK55" s="214"/>
      <c r="AML55" s="214"/>
      <c r="AMM55" s="214"/>
      <c r="AMN55" s="214"/>
      <c r="AMO55" s="214"/>
      <c r="AMP55" s="214"/>
      <c r="AMQ55" s="214"/>
      <c r="AMR55" s="214"/>
      <c r="AMS55" s="214"/>
      <c r="AMT55" s="214"/>
      <c r="AMU55" s="214"/>
      <c r="AMV55" s="214"/>
      <c r="AMW55" s="214"/>
      <c r="AMX55" s="214"/>
      <c r="AMY55" s="214"/>
      <c r="AMZ55" s="214"/>
      <c r="ANA55" s="214"/>
      <c r="ANB55" s="214"/>
      <c r="ANC55" s="214"/>
      <c r="AND55" s="214"/>
      <c r="ANE55" s="214"/>
      <c r="ANF55" s="214"/>
      <c r="ANG55" s="214"/>
      <c r="ANH55" s="214"/>
      <c r="ANI55" s="214"/>
      <c r="ANJ55" s="214"/>
      <c r="ANK55" s="214"/>
      <c r="ANL55" s="214"/>
      <c r="ANM55" s="214"/>
      <c r="ANN55" s="214"/>
      <c r="ANO55" s="214"/>
      <c r="ANP55" s="214"/>
      <c r="ANQ55" s="214"/>
      <c r="ANR55" s="214"/>
      <c r="ANS55" s="214"/>
      <c r="ANT55" s="214"/>
      <c r="ANU55" s="214"/>
      <c r="ANV55" s="214"/>
      <c r="ANW55" s="214"/>
      <c r="ANX55" s="214"/>
      <c r="ANY55" s="214"/>
      <c r="ANZ55" s="214"/>
      <c r="AOA55" s="214"/>
      <c r="AOB55" s="214"/>
      <c r="AOC55" s="214"/>
      <c r="AOD55" s="214"/>
      <c r="AOE55" s="214"/>
      <c r="AOF55" s="214"/>
      <c r="AOG55" s="214"/>
      <c r="AOH55" s="214"/>
      <c r="AOI55" s="214"/>
      <c r="AOJ55" s="214"/>
      <c r="AOK55" s="214"/>
      <c r="AOL55" s="214"/>
      <c r="AOM55" s="214"/>
      <c r="AON55" s="214"/>
      <c r="AOO55" s="214"/>
      <c r="AOP55" s="214"/>
      <c r="AOQ55" s="214"/>
      <c r="AOR55" s="214"/>
      <c r="AOS55" s="214"/>
      <c r="AOT55" s="214"/>
      <c r="AOU55" s="214"/>
      <c r="AOV55" s="214"/>
      <c r="AOW55" s="214"/>
      <c r="AOX55" s="214"/>
      <c r="AOY55" s="214"/>
      <c r="AOZ55" s="214"/>
      <c r="APA55" s="214"/>
      <c r="APB55" s="214"/>
      <c r="APC55" s="214"/>
      <c r="APD55" s="214"/>
      <c r="APE55" s="214"/>
      <c r="APF55" s="214"/>
      <c r="APG55" s="214"/>
      <c r="APH55" s="214"/>
      <c r="API55" s="214"/>
      <c r="APJ55" s="214"/>
      <c r="APK55" s="214"/>
      <c r="APL55" s="214"/>
      <c r="APM55" s="214"/>
      <c r="APN55" s="214"/>
      <c r="APO55" s="214"/>
      <c r="APP55" s="214"/>
      <c r="APQ55" s="214"/>
      <c r="APR55" s="214"/>
      <c r="APS55" s="214"/>
      <c r="APT55" s="214"/>
      <c r="APU55" s="214"/>
      <c r="APV55" s="214"/>
      <c r="APW55" s="214"/>
      <c r="APX55" s="214"/>
      <c r="APY55" s="214"/>
      <c r="APZ55" s="214"/>
      <c r="AQA55" s="214"/>
      <c r="AQB55" s="214"/>
      <c r="AQC55" s="214"/>
      <c r="AQD55" s="214"/>
      <c r="AQE55" s="214"/>
      <c r="AQF55" s="214"/>
      <c r="AQG55" s="214"/>
      <c r="AQH55" s="214"/>
      <c r="AQI55" s="214"/>
      <c r="AQJ55" s="214"/>
      <c r="AQK55" s="214"/>
      <c r="AQL55" s="214"/>
      <c r="AQM55" s="214"/>
      <c r="AQN55" s="214"/>
      <c r="AQO55" s="214"/>
      <c r="AQP55" s="214"/>
      <c r="AQQ55" s="214"/>
      <c r="AQR55" s="214"/>
      <c r="AQS55" s="214"/>
      <c r="AQT55" s="214"/>
      <c r="AQU55" s="214"/>
      <c r="AQV55" s="214"/>
      <c r="AQW55" s="214"/>
      <c r="AQX55" s="214"/>
      <c r="AQY55" s="214"/>
      <c r="AQZ55" s="214"/>
      <c r="ARA55" s="214"/>
      <c r="ARB55" s="214"/>
      <c r="ARC55" s="214"/>
      <c r="ARD55" s="214"/>
      <c r="ARE55" s="214"/>
      <c r="ARF55" s="214"/>
      <c r="ARG55" s="214"/>
      <c r="ARH55" s="214"/>
      <c r="ARI55" s="214"/>
      <c r="ARJ55" s="214"/>
      <c r="ARK55" s="214"/>
      <c r="ARL55" s="214"/>
      <c r="ARM55" s="214"/>
      <c r="ARN55" s="214"/>
      <c r="ARO55" s="214"/>
      <c r="ARP55" s="214"/>
      <c r="ARQ55" s="214"/>
      <c r="ARR55" s="214"/>
      <c r="ARS55" s="214"/>
      <c r="ART55" s="214"/>
      <c r="ARU55" s="214"/>
      <c r="ARV55" s="214"/>
      <c r="ARW55" s="214"/>
      <c r="ARX55" s="214"/>
      <c r="ARY55" s="214"/>
      <c r="ARZ55" s="214"/>
      <c r="ASA55" s="214"/>
      <c r="ASB55" s="214"/>
      <c r="ASC55" s="214"/>
      <c r="ASD55" s="214"/>
      <c r="ASE55" s="214"/>
      <c r="ASF55" s="214"/>
      <c r="ASG55" s="214"/>
      <c r="ASH55" s="214"/>
      <c r="ASI55" s="214"/>
      <c r="ASJ55" s="214"/>
      <c r="ASK55" s="214"/>
      <c r="ASL55" s="214"/>
      <c r="ASM55" s="214"/>
      <c r="ASN55" s="214"/>
      <c r="ASO55" s="214"/>
      <c r="ASP55" s="214"/>
      <c r="ASQ55" s="214"/>
      <c r="ASR55" s="214"/>
      <c r="ASS55" s="214"/>
      <c r="AST55" s="214"/>
      <c r="ASU55" s="214"/>
      <c r="ASV55" s="214"/>
      <c r="ASW55" s="214"/>
      <c r="ASX55" s="214"/>
      <c r="ASY55" s="214"/>
      <c r="ASZ55" s="214"/>
      <c r="ATA55" s="214"/>
      <c r="ATB55" s="214"/>
      <c r="ATC55" s="214"/>
      <c r="ATD55" s="214"/>
      <c r="ATE55" s="214"/>
      <c r="ATF55" s="214"/>
      <c r="ATG55" s="214"/>
      <c r="ATH55" s="214"/>
      <c r="ATI55" s="214"/>
      <c r="ATJ55" s="214"/>
      <c r="ATK55" s="214"/>
      <c r="ATL55" s="214"/>
      <c r="ATM55" s="214"/>
      <c r="ATN55" s="214"/>
      <c r="ATO55" s="214"/>
      <c r="ATP55" s="214"/>
      <c r="ATQ55" s="214"/>
      <c r="ATR55" s="214"/>
      <c r="ATS55" s="214"/>
      <c r="ATT55" s="214"/>
      <c r="ATU55" s="214"/>
      <c r="ATV55" s="214"/>
      <c r="ATW55" s="214"/>
      <c r="ATX55" s="214"/>
      <c r="ATY55" s="214"/>
      <c r="ATZ55" s="214"/>
      <c r="AUA55" s="214"/>
      <c r="AUB55" s="214"/>
      <c r="AUC55" s="214"/>
      <c r="AUD55" s="214"/>
      <c r="AUE55" s="214"/>
      <c r="AUF55" s="214"/>
      <c r="AUG55" s="214"/>
      <c r="AUH55" s="214"/>
      <c r="AUI55" s="214"/>
      <c r="AUJ55" s="214"/>
      <c r="AUK55" s="214"/>
      <c r="AUL55" s="214"/>
      <c r="AUM55" s="214"/>
      <c r="AUN55" s="214"/>
      <c r="AUO55" s="214"/>
      <c r="AUP55" s="214"/>
      <c r="AUQ55" s="214"/>
      <c r="AUR55" s="214"/>
      <c r="AUS55" s="214"/>
      <c r="AUT55" s="214"/>
      <c r="AUU55" s="214"/>
      <c r="AUV55" s="214"/>
      <c r="AUW55" s="214"/>
      <c r="AUX55" s="214"/>
      <c r="AUY55" s="214"/>
      <c r="AUZ55" s="214"/>
      <c r="AVA55" s="214"/>
      <c r="AVB55" s="214"/>
      <c r="AVC55" s="214"/>
      <c r="AVD55" s="214"/>
      <c r="AVE55" s="214"/>
      <c r="AVF55" s="214"/>
      <c r="AVG55" s="214"/>
      <c r="AVH55" s="214"/>
      <c r="AVI55" s="214"/>
      <c r="AVJ55" s="214"/>
      <c r="AVK55" s="214"/>
      <c r="AVL55" s="214"/>
      <c r="AVM55" s="214"/>
      <c r="AVN55" s="214"/>
      <c r="AVO55" s="214"/>
      <c r="AVP55" s="214"/>
      <c r="AVQ55" s="214"/>
      <c r="AVR55" s="214"/>
      <c r="AVS55" s="214"/>
      <c r="AVT55" s="214"/>
      <c r="AVU55" s="214"/>
      <c r="AVV55" s="214"/>
      <c r="AVW55" s="214"/>
      <c r="AVX55" s="214"/>
      <c r="AVY55" s="214"/>
      <c r="AVZ55" s="214"/>
      <c r="AWA55" s="214"/>
      <c r="AWB55" s="214"/>
      <c r="AWC55" s="214"/>
      <c r="AWD55" s="214"/>
      <c r="AWE55" s="214"/>
      <c r="AWF55" s="214"/>
      <c r="AWG55" s="214"/>
      <c r="AWH55" s="214"/>
      <c r="AWI55" s="214"/>
      <c r="AWJ55" s="214"/>
      <c r="AWK55" s="214"/>
      <c r="AWL55" s="214"/>
      <c r="AWM55" s="214"/>
      <c r="AWN55" s="214"/>
      <c r="AWO55" s="214"/>
      <c r="AWP55" s="214"/>
      <c r="AWQ55" s="214"/>
      <c r="AWR55" s="214"/>
      <c r="AWS55" s="214"/>
      <c r="AWT55" s="214"/>
      <c r="AWU55" s="214"/>
      <c r="AWV55" s="214"/>
      <c r="AWW55" s="214"/>
      <c r="AWX55" s="214"/>
      <c r="AWY55" s="214"/>
      <c r="AWZ55" s="214"/>
      <c r="AXA55" s="214"/>
      <c r="AXB55" s="214"/>
      <c r="AXC55" s="214"/>
      <c r="AXD55" s="214"/>
      <c r="AXE55" s="214"/>
      <c r="AXF55" s="214"/>
      <c r="AXG55" s="214"/>
      <c r="AXH55" s="214"/>
      <c r="AXI55" s="214"/>
      <c r="AXJ55" s="214"/>
      <c r="AXK55" s="214"/>
      <c r="AXL55" s="214"/>
      <c r="AXM55" s="214"/>
      <c r="AXN55" s="214"/>
      <c r="AXO55" s="214"/>
      <c r="AXP55" s="214"/>
      <c r="AXQ55" s="214"/>
      <c r="AXR55" s="214"/>
      <c r="AXS55" s="214"/>
      <c r="AXT55" s="214"/>
      <c r="AXU55" s="214"/>
      <c r="AXV55" s="214"/>
      <c r="AXW55" s="214"/>
      <c r="AXX55" s="214"/>
      <c r="AXY55" s="214"/>
      <c r="AXZ55" s="214"/>
      <c r="AYA55" s="214"/>
      <c r="AYB55" s="214"/>
      <c r="AYC55" s="214"/>
      <c r="AYD55" s="214"/>
      <c r="AYE55" s="214"/>
      <c r="AYF55" s="214"/>
      <c r="AYG55" s="214"/>
      <c r="AYH55" s="214"/>
      <c r="AYI55" s="214"/>
      <c r="AYJ55" s="214"/>
      <c r="AYK55" s="214"/>
      <c r="AYL55" s="214"/>
      <c r="AYM55" s="214"/>
      <c r="AYN55" s="214"/>
      <c r="AYO55" s="214"/>
      <c r="AYP55" s="214"/>
      <c r="AYQ55" s="214"/>
      <c r="AYR55" s="214"/>
      <c r="AYS55" s="214"/>
      <c r="AYT55" s="214"/>
      <c r="AYU55" s="214"/>
      <c r="AYV55" s="214"/>
      <c r="AYW55" s="214"/>
      <c r="AYX55" s="214"/>
      <c r="AYY55" s="214"/>
      <c r="AYZ55" s="214"/>
      <c r="AZA55" s="214"/>
      <c r="AZB55" s="214"/>
      <c r="AZC55" s="214"/>
      <c r="AZD55" s="214"/>
      <c r="AZE55" s="214"/>
      <c r="AZF55" s="214"/>
      <c r="AZG55" s="214"/>
      <c r="AZH55" s="214"/>
      <c r="AZI55" s="214"/>
      <c r="AZJ55" s="214"/>
      <c r="AZK55" s="214"/>
      <c r="AZL55" s="214"/>
      <c r="AZM55" s="214"/>
      <c r="AZN55" s="214"/>
      <c r="AZO55" s="214"/>
      <c r="AZP55" s="214"/>
      <c r="AZQ55" s="214"/>
      <c r="AZR55" s="214"/>
      <c r="AZS55" s="214"/>
      <c r="AZT55" s="214"/>
      <c r="AZU55" s="214"/>
      <c r="AZV55" s="214"/>
      <c r="AZW55" s="214"/>
      <c r="AZX55" s="214"/>
      <c r="AZY55" s="214"/>
      <c r="AZZ55" s="214"/>
      <c r="BAA55" s="214"/>
      <c r="BAB55" s="214"/>
      <c r="BAC55" s="214"/>
      <c r="BAD55" s="214"/>
      <c r="BAE55" s="214"/>
      <c r="BAF55" s="214"/>
      <c r="BAG55" s="214"/>
      <c r="BAH55" s="214"/>
      <c r="BAI55" s="214"/>
      <c r="BAJ55" s="214"/>
      <c r="BAK55" s="214"/>
      <c r="BAL55" s="214"/>
      <c r="BAM55" s="214"/>
      <c r="BAN55" s="214"/>
      <c r="BAO55" s="214"/>
      <c r="BAP55" s="214"/>
      <c r="BAQ55" s="214"/>
      <c r="BAR55" s="214"/>
      <c r="BAS55" s="214"/>
      <c r="BAT55" s="214"/>
      <c r="BAU55" s="214"/>
      <c r="BAV55" s="214"/>
      <c r="BAW55" s="214"/>
      <c r="BAX55" s="214"/>
      <c r="BAY55" s="214"/>
      <c r="BAZ55" s="214"/>
      <c r="BBA55" s="214"/>
      <c r="BBB55" s="214"/>
      <c r="BBC55" s="214"/>
      <c r="BBD55" s="214"/>
      <c r="BBE55" s="214"/>
      <c r="BBF55" s="214"/>
      <c r="BBG55" s="214"/>
      <c r="BBH55" s="214"/>
      <c r="BBI55" s="214"/>
      <c r="BBJ55" s="214"/>
      <c r="BBK55" s="214"/>
      <c r="BBL55" s="214"/>
      <c r="BBM55" s="214"/>
      <c r="BBN55" s="214"/>
      <c r="BBO55" s="214"/>
      <c r="BBP55" s="214"/>
      <c r="BBQ55" s="214"/>
      <c r="BBR55" s="214"/>
      <c r="BBS55" s="214"/>
      <c r="BBT55" s="214"/>
      <c r="BBU55" s="214"/>
      <c r="BBV55" s="214"/>
      <c r="BBW55" s="214"/>
      <c r="BBX55" s="214"/>
      <c r="BBY55" s="214"/>
      <c r="BBZ55" s="214"/>
      <c r="BCA55" s="214"/>
      <c r="BCB55" s="214"/>
      <c r="BCC55" s="214"/>
      <c r="BCD55" s="214"/>
      <c r="BCE55" s="214"/>
      <c r="BCF55" s="214"/>
      <c r="BCG55" s="214"/>
      <c r="BCH55" s="214"/>
      <c r="BCI55" s="214"/>
      <c r="BCJ55" s="214"/>
      <c r="BCK55" s="214"/>
      <c r="BCL55" s="214"/>
      <c r="BCM55" s="214"/>
      <c r="BCN55" s="214"/>
      <c r="BCO55" s="214"/>
      <c r="BCP55" s="214"/>
      <c r="BCQ55" s="214"/>
      <c r="BCR55" s="214"/>
      <c r="BCS55" s="214"/>
      <c r="BCT55" s="214"/>
      <c r="BCU55" s="214"/>
      <c r="BCV55" s="214"/>
      <c r="BCW55" s="214"/>
      <c r="BCX55" s="214"/>
      <c r="BCY55" s="214"/>
      <c r="BCZ55" s="214"/>
      <c r="BDA55" s="214"/>
      <c r="BDB55" s="214"/>
      <c r="BDC55" s="214"/>
      <c r="BDD55" s="214"/>
      <c r="BDE55" s="214"/>
      <c r="BDF55" s="214"/>
      <c r="BDG55" s="214"/>
      <c r="BDH55" s="214"/>
      <c r="BDI55" s="214"/>
      <c r="BDJ55" s="214"/>
      <c r="BDK55" s="214"/>
      <c r="BDL55" s="214"/>
      <c r="BDM55" s="214"/>
      <c r="BDN55" s="214"/>
      <c r="BDO55" s="214"/>
      <c r="BDP55" s="214"/>
      <c r="BDQ55" s="214"/>
      <c r="BDR55" s="214"/>
      <c r="BDS55" s="214"/>
      <c r="BDT55" s="214"/>
      <c r="BDU55" s="214"/>
      <c r="BDV55" s="214"/>
      <c r="BDW55" s="214"/>
      <c r="BDX55" s="214"/>
      <c r="BDY55" s="214"/>
      <c r="BDZ55" s="214"/>
      <c r="BEA55" s="214"/>
      <c r="BEB55" s="214"/>
      <c r="BEC55" s="214"/>
      <c r="BED55" s="214"/>
      <c r="BEE55" s="214"/>
      <c r="BEF55" s="214"/>
      <c r="BEG55" s="214"/>
      <c r="BEH55" s="214"/>
      <c r="BEI55" s="214"/>
      <c r="BEJ55" s="214"/>
      <c r="BEK55" s="214"/>
      <c r="BEL55" s="214"/>
      <c r="BEM55" s="214"/>
      <c r="BEN55" s="214"/>
      <c r="BEO55" s="214"/>
      <c r="BEP55" s="214"/>
      <c r="BEQ55" s="214"/>
      <c r="BER55" s="214"/>
      <c r="BES55" s="214"/>
      <c r="BET55" s="214"/>
      <c r="BEU55" s="214"/>
      <c r="BEV55" s="214"/>
      <c r="BEW55" s="214"/>
      <c r="BEX55" s="214"/>
      <c r="BEY55" s="214"/>
      <c r="BEZ55" s="214"/>
      <c r="BFA55" s="214"/>
      <c r="BFB55" s="214"/>
      <c r="BFC55" s="214"/>
      <c r="BFD55" s="214"/>
      <c r="BFE55" s="214"/>
      <c r="BFF55" s="214"/>
      <c r="BFG55" s="214"/>
      <c r="BFH55" s="214"/>
      <c r="BFI55" s="214"/>
      <c r="BFJ55" s="214"/>
      <c r="BFK55" s="214"/>
      <c r="BFL55" s="214"/>
      <c r="BFM55" s="214"/>
      <c r="BFN55" s="214"/>
      <c r="BFO55" s="214"/>
      <c r="BFP55" s="214"/>
      <c r="BFQ55" s="214"/>
      <c r="BFR55" s="214"/>
      <c r="BFS55" s="214"/>
      <c r="BFT55" s="214"/>
      <c r="BFU55" s="214"/>
      <c r="BFV55" s="214"/>
      <c r="BFW55" s="214"/>
      <c r="BFX55" s="214"/>
      <c r="BFY55" s="214"/>
      <c r="BFZ55" s="214"/>
      <c r="BGA55" s="214"/>
      <c r="BGB55" s="214"/>
      <c r="BGC55" s="214"/>
      <c r="BGD55" s="214"/>
      <c r="BGE55" s="214"/>
      <c r="BGF55" s="214"/>
      <c r="BGG55" s="214"/>
      <c r="BGH55" s="214"/>
      <c r="BGI55" s="214"/>
      <c r="BGJ55" s="214"/>
      <c r="BGK55" s="214"/>
      <c r="BGL55" s="214"/>
      <c r="BGM55" s="214"/>
      <c r="BGN55" s="214"/>
      <c r="BGO55" s="214"/>
      <c r="BGP55" s="214"/>
      <c r="BGQ55" s="214"/>
      <c r="BGR55" s="214"/>
      <c r="BGS55" s="214"/>
      <c r="BGT55" s="214"/>
      <c r="BGU55" s="214"/>
      <c r="BGV55" s="214"/>
      <c r="BGW55" s="214"/>
      <c r="BGX55" s="214"/>
      <c r="BGY55" s="214"/>
      <c r="BGZ55" s="214"/>
      <c r="BHA55" s="214"/>
      <c r="BHB55" s="214"/>
      <c r="BHC55" s="214"/>
      <c r="BHD55" s="214"/>
      <c r="BHE55" s="214"/>
      <c r="BHF55" s="214"/>
      <c r="BHG55" s="214"/>
      <c r="BHH55" s="214"/>
      <c r="BHI55" s="214"/>
      <c r="BHJ55" s="214"/>
      <c r="BHK55" s="214"/>
      <c r="BHL55" s="214"/>
      <c r="BHM55" s="214"/>
      <c r="BHN55" s="214"/>
      <c r="BHO55" s="214"/>
      <c r="BHP55" s="214"/>
      <c r="BHQ55" s="214"/>
      <c r="BHR55" s="214"/>
      <c r="BHS55" s="214"/>
      <c r="BHT55" s="214"/>
      <c r="BHU55" s="214"/>
      <c r="BHV55" s="214"/>
      <c r="BHW55" s="214"/>
    </row>
    <row r="56" spans="1:1583" s="221" customFormat="1" ht="15.75" thickBot="1">
      <c r="A56" s="120" t="s">
        <v>63</v>
      </c>
      <c r="B56" s="71"/>
      <c r="C56" s="71"/>
      <c r="D56" s="424" t="s">
        <v>596</v>
      </c>
      <c r="E56" s="264" t="s">
        <v>9</v>
      </c>
      <c r="F56" s="136"/>
      <c r="G56" s="60" t="s">
        <v>710</v>
      </c>
      <c r="H56" s="473">
        <f t="shared" si="20"/>
        <v>710.83501042528349</v>
      </c>
      <c r="I56" s="94">
        <f>(I47*(Analysis!J100/22.414)*24*(1-(I41/(I38+I41+I44))))/1000</f>
        <v>14.764372152121188</v>
      </c>
      <c r="J56" s="437"/>
      <c r="K56" s="94">
        <f>(K47*(Analysis!L100/22.414)*24*(1-(K41/(K38+K41+K44))))/1000</f>
        <v>20.77207741899576</v>
      </c>
      <c r="L56" s="94">
        <f>(L47*(Analysis!M100/22.414)*24*(1-(L41/(L38+L41+L44))))/1000</f>
        <v>21.245578211371786</v>
      </c>
      <c r="M56" s="94">
        <f>(M47*(Analysis!N100/22.414)*24*(1-(M41/(M38+M41+M44))))/1000</f>
        <v>21.57867728028446</v>
      </c>
      <c r="N56" s="94">
        <f>(N47*(Analysis!O100/22.414)*24*(1-(N41/(N38+N41+N44))))/1000</f>
        <v>22.591050577402509</v>
      </c>
      <c r="O56" s="94">
        <f>(O47*(Analysis!P100/22.414)*24*(1-(O41/(O38+O41+O44))))/1000</f>
        <v>20.755789511291955</v>
      </c>
      <c r="P56" s="94">
        <f>(P47*(Analysis!Q100/22.414)*24*(1-(P41/(P38+P41+P44))))/1000</f>
        <v>19.628793637320854</v>
      </c>
      <c r="Q56" s="94">
        <f>(Q47*(Analysis!R100/22.414)*24*(1-(Q41/(Q38+Q41+Q44))))/1000</f>
        <v>19.177556249812579</v>
      </c>
      <c r="R56" s="94">
        <f>(R47*(Analysis!S100/22.414)*24*(1-(R41/(R38+R41+R44))))/1000</f>
        <v>16.780525696343464</v>
      </c>
      <c r="S56" s="94">
        <f>(S47*(Analysis!T100/22.414)*24*(1-(S41/(S38+S41+S44))))/1000</f>
        <v>15.717808425746419</v>
      </c>
      <c r="T56" s="94">
        <f>(T47*(Analysis!U100/22.414)*24*(1-(T41/(T38+T41+T44))))/1000</f>
        <v>15.481285191832564</v>
      </c>
      <c r="U56" s="94">
        <f>(U47*(Analysis!V100/22.414)*24*(1-(U41/(U38+U41+U44))))/1000</f>
        <v>15.278252346830762</v>
      </c>
      <c r="V56" s="94">
        <f>(V47*(Analysis!W100/22.414)*24*(1-(V41/(V38+V41+V44))))/1000</f>
        <v>12.003849804272029</v>
      </c>
      <c r="W56" s="94">
        <f>(W47*(Analysis!X100/22.414)*24*(1-(W41/(W38+W41+W44))))/1000</f>
        <v>13.278271237852451</v>
      </c>
      <c r="X56" s="94">
        <f>(X47*(Analysis!Y100/22.414)*24*(1-(X41/(X38+X41+X44))))/1000</f>
        <v>11.590264827586411</v>
      </c>
      <c r="Y56" s="94">
        <f>(Y47*(Analysis!Z100/22.414)*24*(1-(Y41/(Y38+Y41+Y44))))/1000</f>
        <v>17.718557156688117</v>
      </c>
      <c r="Z56" s="94">
        <f>(Z47*(Analysis!AA100/22.414)*24*(1-(Z41/(Z38+Z41+Z44))))/1000</f>
        <v>39.498707845182956</v>
      </c>
      <c r="AA56" s="94">
        <f>(AA47*(Analysis!AB100/22.414)*24*(1-(AA41/(AA38+AA41+AA44))))/1000</f>
        <v>41.443373540054594</v>
      </c>
      <c r="AB56" s="94">
        <f>(AB47*(Analysis!AC100/22.414)*24*(1-(AB41/(AB38+AB41+AB44))))/1000</f>
        <v>38.857119734424614</v>
      </c>
      <c r="AC56" s="94">
        <f>(AC47*(Analysis!AD100/22.414)*24*(1-(AC41/(AC38+AC41+AC44))))/1000</f>
        <v>31.225297333720828</v>
      </c>
      <c r="AD56" s="94">
        <f>(AD47*(Analysis!AE100/22.414)*24*(1-(AD41/(AD38+AD41+AD44))))/1000</f>
        <v>27.362201524994983</v>
      </c>
      <c r="AE56" s="94">
        <f>(AE47*(Analysis!AF100/22.414)*24*(1-(AE41/(AE38+AE41+AE44))))/1000</f>
        <v>29.042847486645762</v>
      </c>
      <c r="AF56" s="94">
        <f>(AF47*(Analysis!AG100/22.414)*24*(1-(AF41/(AF38+AF41+AF44))))/1000</f>
        <v>28.498291485162866</v>
      </c>
      <c r="AG56" s="94">
        <f>(AG47*(Analysis!AH100/22.414)*24*(1-(AG41/(AG38+AG41+AG44))))/1000</f>
        <v>27.286786811160013</v>
      </c>
      <c r="AH56" s="94">
        <f>(AH47*(Analysis!AI100/22.414)*24*(1-(AH41/(AH38+AH41+AH44))))/1000</f>
        <v>28.545369942301882</v>
      </c>
      <c r="AI56" s="94">
        <f>(AI47*(Analysis!AJ100/22.414)*24*(1-(AI41/(AI38+AI41+AI44))))/1000</f>
        <v>26.24165178322173</v>
      </c>
      <c r="AJ56" s="94">
        <f>(AJ47*(Analysis!AK100/22.414)*24*(1-(AJ41/(AJ38+AJ41+AJ44))))/1000</f>
        <v>22.340383463425812</v>
      </c>
      <c r="AK56" s="94">
        <f>(AK47*(Analysis!AL100/22.414)*24*(1-(AK41/(AK38+AK41+AK44))))/1000</f>
        <v>23.010326481026343</v>
      </c>
      <c r="AL56" s="94">
        <f>(AL47*(Analysis!AM100/22.414)*24*(1-(AL41/(AL38+AL41+AL44))))/1000</f>
        <v>23.478869245992684</v>
      </c>
      <c r="AM56" s="94">
        <f>(AM47*(Analysis!AN100/22.414)*24*(1-(AM41/(AM38+AM41+AM44))))/1000</f>
        <v>22.589063896940903</v>
      </c>
      <c r="AN56" s="94">
        <f>(AN47*(Analysis!AO100/22.414)*24*(1-(AN41/(AN38+AN41+AN44))))/1000</f>
        <v>23.052010125273995</v>
      </c>
      <c r="AO56" s="214"/>
      <c r="AP56" s="214"/>
      <c r="AQ56" s="214"/>
      <c r="AR56" s="214"/>
      <c r="AS56" s="214"/>
      <c r="AT56" s="214"/>
      <c r="AU56" s="214"/>
      <c r="AV56" s="214"/>
      <c r="AW56" s="214"/>
      <c r="AX56" s="214"/>
      <c r="AY56" s="214"/>
      <c r="AZ56" s="214"/>
      <c r="BA56" s="214"/>
      <c r="BB56" s="214"/>
      <c r="BC56" s="214"/>
      <c r="BD56" s="214"/>
      <c r="BE56" s="214"/>
      <c r="BF56" s="214"/>
      <c r="BG56" s="214"/>
      <c r="BH56" s="214"/>
      <c r="BI56" s="214"/>
      <c r="BJ56" s="214"/>
      <c r="BK56" s="214"/>
      <c r="BL56" s="214"/>
      <c r="BM56" s="214"/>
      <c r="BN56" s="214"/>
      <c r="BO56" s="214"/>
      <c r="BP56" s="214"/>
      <c r="BQ56" s="214"/>
      <c r="BR56" s="214"/>
      <c r="BS56" s="214"/>
      <c r="BT56" s="214"/>
      <c r="BU56" s="214"/>
      <c r="BV56" s="214"/>
      <c r="BW56" s="214"/>
      <c r="BX56" s="214"/>
      <c r="BY56" s="214"/>
      <c r="BZ56" s="214"/>
      <c r="CA56" s="214"/>
      <c r="CB56" s="214"/>
      <c r="CC56" s="214"/>
      <c r="CD56" s="214"/>
      <c r="CE56" s="214"/>
      <c r="CF56" s="214"/>
      <c r="CG56" s="214"/>
      <c r="CH56" s="214"/>
      <c r="CI56" s="214"/>
      <c r="CJ56" s="214"/>
      <c r="CK56" s="214"/>
      <c r="CL56" s="214"/>
      <c r="CM56" s="214"/>
      <c r="CN56" s="214"/>
      <c r="CO56" s="214"/>
      <c r="CP56" s="214"/>
      <c r="CQ56" s="214"/>
      <c r="CR56" s="214"/>
      <c r="CS56" s="214"/>
      <c r="CT56" s="214"/>
      <c r="CU56" s="214"/>
      <c r="CV56" s="214"/>
      <c r="CW56" s="214"/>
      <c r="CX56" s="214"/>
      <c r="CY56" s="214"/>
      <c r="CZ56" s="214"/>
      <c r="DA56" s="214"/>
      <c r="DB56" s="214"/>
      <c r="DC56" s="214"/>
      <c r="DD56" s="214"/>
      <c r="DE56" s="214"/>
      <c r="DF56" s="214"/>
      <c r="DG56" s="214"/>
      <c r="DH56" s="214"/>
      <c r="DI56" s="214"/>
      <c r="DJ56" s="214"/>
      <c r="DK56" s="214"/>
      <c r="DL56" s="214"/>
      <c r="DM56" s="214"/>
      <c r="DN56" s="214"/>
      <c r="DO56" s="214"/>
      <c r="DP56" s="214"/>
      <c r="DQ56" s="214"/>
      <c r="DR56" s="214"/>
      <c r="DS56" s="214"/>
      <c r="DT56" s="214"/>
      <c r="DU56" s="214"/>
      <c r="DV56" s="214"/>
      <c r="DW56" s="214"/>
      <c r="DX56" s="214"/>
      <c r="DY56" s="214"/>
      <c r="DZ56" s="214"/>
      <c r="EA56" s="214"/>
      <c r="EB56" s="214"/>
      <c r="EC56" s="214"/>
      <c r="ED56" s="214"/>
      <c r="EE56" s="214"/>
      <c r="EF56" s="214"/>
      <c r="EG56" s="214"/>
      <c r="EH56" s="214"/>
      <c r="EI56" s="214"/>
      <c r="EJ56" s="214"/>
      <c r="EK56" s="214"/>
      <c r="EL56" s="214"/>
      <c r="EM56" s="214"/>
      <c r="EN56" s="214"/>
      <c r="EO56" s="214"/>
      <c r="EP56" s="214"/>
      <c r="EQ56" s="214"/>
      <c r="ER56" s="214"/>
      <c r="ES56" s="214"/>
      <c r="ET56" s="214"/>
      <c r="EU56" s="214"/>
      <c r="EV56" s="214"/>
      <c r="EW56" s="214"/>
      <c r="EX56" s="214"/>
      <c r="EY56" s="214"/>
      <c r="EZ56" s="214"/>
      <c r="FA56" s="214"/>
      <c r="FB56" s="214"/>
      <c r="FC56" s="214"/>
      <c r="FD56" s="214"/>
      <c r="FE56" s="214"/>
      <c r="FF56" s="214"/>
      <c r="FG56" s="214"/>
      <c r="FH56" s="214"/>
      <c r="FI56" s="214"/>
      <c r="FJ56" s="214"/>
      <c r="FK56" s="214"/>
      <c r="FL56" s="214"/>
      <c r="FM56" s="214"/>
      <c r="FN56" s="214"/>
      <c r="FO56" s="214"/>
      <c r="FP56" s="214"/>
      <c r="FQ56" s="214"/>
      <c r="FR56" s="214"/>
      <c r="FS56" s="214"/>
      <c r="FT56" s="214"/>
      <c r="FU56" s="214"/>
      <c r="FV56" s="214"/>
      <c r="FW56" s="214"/>
      <c r="FX56" s="214"/>
      <c r="FY56" s="214"/>
      <c r="FZ56" s="214"/>
      <c r="GA56" s="214"/>
      <c r="GB56" s="214"/>
      <c r="GC56" s="214"/>
      <c r="GD56" s="214"/>
      <c r="GE56" s="214"/>
      <c r="GF56" s="214"/>
      <c r="GG56" s="214"/>
      <c r="GH56" s="214"/>
      <c r="GI56" s="214"/>
      <c r="GJ56" s="214"/>
      <c r="GK56" s="214"/>
      <c r="GL56" s="214"/>
      <c r="GM56" s="214"/>
      <c r="GN56" s="214"/>
      <c r="GO56" s="214"/>
      <c r="GP56" s="214"/>
      <c r="GQ56" s="214"/>
      <c r="GR56" s="214"/>
      <c r="GS56" s="214"/>
      <c r="GT56" s="214"/>
      <c r="GU56" s="214"/>
      <c r="GV56" s="214"/>
      <c r="GW56" s="214"/>
      <c r="GX56" s="214"/>
      <c r="GY56" s="214"/>
      <c r="GZ56" s="214"/>
      <c r="HA56" s="214"/>
      <c r="HB56" s="214"/>
      <c r="HC56" s="214"/>
      <c r="HD56" s="214"/>
      <c r="HE56" s="214"/>
      <c r="HF56" s="214"/>
      <c r="HG56" s="214"/>
      <c r="HH56" s="214"/>
      <c r="HI56" s="214"/>
      <c r="HJ56" s="214"/>
      <c r="HK56" s="214"/>
      <c r="HL56" s="214"/>
      <c r="HM56" s="214"/>
      <c r="HN56" s="214"/>
      <c r="HO56" s="214"/>
      <c r="HP56" s="214"/>
      <c r="HQ56" s="214"/>
      <c r="HR56" s="214"/>
      <c r="HS56" s="214"/>
      <c r="HT56" s="214"/>
      <c r="HU56" s="214"/>
      <c r="HV56" s="214"/>
      <c r="HW56" s="214"/>
      <c r="HX56" s="214"/>
      <c r="HY56" s="214"/>
      <c r="HZ56" s="214"/>
      <c r="IA56" s="214"/>
      <c r="IB56" s="214"/>
      <c r="IC56" s="214"/>
      <c r="ID56" s="214"/>
      <c r="IE56" s="214"/>
      <c r="IF56" s="214"/>
      <c r="IG56" s="214"/>
      <c r="IH56" s="214"/>
      <c r="II56" s="214"/>
      <c r="IJ56" s="214"/>
      <c r="IK56" s="214"/>
      <c r="IL56" s="214"/>
      <c r="IM56" s="214"/>
      <c r="IN56" s="214"/>
      <c r="IO56" s="214"/>
      <c r="IP56" s="214"/>
      <c r="IQ56" s="214"/>
      <c r="IR56" s="214"/>
      <c r="IS56" s="214"/>
      <c r="IT56" s="214"/>
      <c r="IU56" s="214"/>
      <c r="IV56" s="214"/>
      <c r="IW56" s="214"/>
      <c r="IX56" s="214"/>
      <c r="IY56" s="214"/>
      <c r="IZ56" s="214"/>
      <c r="JA56" s="214"/>
      <c r="JB56" s="214"/>
      <c r="JC56" s="214"/>
      <c r="JD56" s="214"/>
      <c r="JE56" s="214"/>
      <c r="JF56" s="214"/>
      <c r="JG56" s="214"/>
      <c r="JH56" s="214"/>
      <c r="JI56" s="214"/>
      <c r="JJ56" s="214"/>
      <c r="JK56" s="214"/>
      <c r="JL56" s="214"/>
      <c r="JM56" s="214"/>
      <c r="JN56" s="214"/>
      <c r="JO56" s="214"/>
      <c r="JP56" s="214"/>
      <c r="JQ56" s="214"/>
      <c r="JR56" s="214"/>
      <c r="JS56" s="214"/>
      <c r="JT56" s="214"/>
      <c r="JU56" s="214"/>
      <c r="JV56" s="214"/>
      <c r="JW56" s="214"/>
      <c r="JX56" s="214"/>
      <c r="JY56" s="214"/>
      <c r="JZ56" s="214"/>
      <c r="KA56" s="214"/>
      <c r="KB56" s="214"/>
      <c r="KC56" s="214"/>
      <c r="KD56" s="214"/>
      <c r="KE56" s="214"/>
      <c r="KF56" s="214"/>
      <c r="KG56" s="214"/>
      <c r="KH56" s="214"/>
      <c r="KI56" s="214"/>
      <c r="KJ56" s="214"/>
      <c r="KK56" s="214"/>
      <c r="KL56" s="214"/>
      <c r="KM56" s="214"/>
      <c r="KN56" s="214"/>
      <c r="KO56" s="214"/>
      <c r="KP56" s="214"/>
      <c r="KQ56" s="214"/>
      <c r="KR56" s="214"/>
      <c r="KS56" s="214"/>
      <c r="KT56" s="214"/>
      <c r="KU56" s="214"/>
      <c r="KV56" s="214"/>
      <c r="KW56" s="214"/>
      <c r="KX56" s="214"/>
      <c r="KY56" s="214"/>
      <c r="KZ56" s="214"/>
      <c r="LA56" s="214"/>
      <c r="LB56" s="214"/>
      <c r="LC56" s="214"/>
      <c r="LD56" s="214"/>
      <c r="LE56" s="214"/>
      <c r="LF56" s="214"/>
      <c r="LG56" s="214"/>
      <c r="LH56" s="214"/>
      <c r="LI56" s="214"/>
      <c r="LJ56" s="214"/>
      <c r="LK56" s="214"/>
      <c r="LL56" s="214"/>
      <c r="LM56" s="214"/>
      <c r="LN56" s="214"/>
      <c r="LO56" s="214"/>
      <c r="LP56" s="214"/>
      <c r="LQ56" s="214"/>
      <c r="LR56" s="214"/>
      <c r="LS56" s="214"/>
      <c r="LT56" s="214"/>
      <c r="LU56" s="214"/>
      <c r="LV56" s="214"/>
      <c r="LW56" s="214"/>
      <c r="LX56" s="214"/>
      <c r="LY56" s="214"/>
      <c r="LZ56" s="214"/>
      <c r="MA56" s="214"/>
      <c r="MB56" s="214"/>
      <c r="MC56" s="214"/>
      <c r="MD56" s="214"/>
      <c r="ME56" s="214"/>
      <c r="MF56" s="214"/>
      <c r="MG56" s="214"/>
      <c r="MH56" s="214"/>
      <c r="MI56" s="214"/>
      <c r="MJ56" s="214"/>
      <c r="MK56" s="214"/>
      <c r="ML56" s="214"/>
      <c r="MM56" s="214"/>
      <c r="MN56" s="214"/>
      <c r="MO56" s="214"/>
      <c r="MP56" s="214"/>
      <c r="MQ56" s="214"/>
      <c r="MR56" s="214"/>
      <c r="MS56" s="214"/>
      <c r="MT56" s="214"/>
      <c r="MU56" s="214"/>
      <c r="MV56" s="214"/>
      <c r="MW56" s="214"/>
      <c r="MX56" s="214"/>
      <c r="MY56" s="214"/>
      <c r="MZ56" s="214"/>
      <c r="NA56" s="214"/>
      <c r="NB56" s="214"/>
      <c r="NC56" s="214"/>
      <c r="ND56" s="214"/>
      <c r="NE56" s="214"/>
      <c r="NF56" s="214"/>
      <c r="NG56" s="214"/>
      <c r="NH56" s="214"/>
      <c r="NI56" s="214"/>
      <c r="NJ56" s="214"/>
      <c r="NK56" s="214"/>
      <c r="NL56" s="214"/>
      <c r="NM56" s="214"/>
      <c r="NN56" s="214"/>
      <c r="NO56" s="214"/>
      <c r="NP56" s="214"/>
      <c r="NQ56" s="214"/>
      <c r="NR56" s="214"/>
      <c r="NS56" s="214"/>
      <c r="NT56" s="214"/>
      <c r="NU56" s="214"/>
      <c r="NV56" s="214"/>
      <c r="NW56" s="214"/>
      <c r="NX56" s="214"/>
      <c r="NY56" s="214"/>
      <c r="NZ56" s="214"/>
      <c r="OA56" s="214"/>
      <c r="OB56" s="214"/>
      <c r="OC56" s="214"/>
      <c r="OD56" s="214"/>
      <c r="OE56" s="214"/>
      <c r="OF56" s="214"/>
      <c r="OG56" s="214"/>
      <c r="OH56" s="214"/>
      <c r="OI56" s="214"/>
      <c r="OJ56" s="214"/>
      <c r="OK56" s="214"/>
      <c r="OL56" s="214"/>
      <c r="OM56" s="214"/>
      <c r="ON56" s="214"/>
      <c r="OO56" s="214"/>
      <c r="OP56" s="214"/>
      <c r="OQ56" s="214"/>
      <c r="OR56" s="214"/>
      <c r="OS56" s="214"/>
      <c r="OT56" s="214"/>
      <c r="OU56" s="214"/>
      <c r="OV56" s="214"/>
      <c r="OW56" s="214"/>
      <c r="OX56" s="214"/>
      <c r="OY56" s="214"/>
      <c r="OZ56" s="214"/>
      <c r="PA56" s="214"/>
      <c r="PB56" s="214"/>
      <c r="PC56" s="214"/>
      <c r="PD56" s="214"/>
      <c r="PE56" s="214"/>
      <c r="PF56" s="214"/>
      <c r="PG56" s="214"/>
      <c r="PH56" s="214"/>
      <c r="PI56" s="214"/>
      <c r="PJ56" s="214"/>
      <c r="PK56" s="214"/>
      <c r="PL56" s="214"/>
      <c r="PM56" s="214"/>
      <c r="PN56" s="214"/>
      <c r="PO56" s="214"/>
      <c r="PP56" s="214"/>
      <c r="PQ56" s="214"/>
      <c r="PR56" s="214"/>
      <c r="PS56" s="214"/>
      <c r="PT56" s="214"/>
      <c r="PU56" s="214"/>
      <c r="PV56" s="214"/>
      <c r="PW56" s="214"/>
      <c r="PX56" s="214"/>
      <c r="PY56" s="214"/>
      <c r="PZ56" s="214"/>
      <c r="QA56" s="214"/>
      <c r="QB56" s="214"/>
      <c r="QC56" s="214"/>
      <c r="QD56" s="214"/>
      <c r="QE56" s="214"/>
      <c r="QF56" s="214"/>
      <c r="QG56" s="214"/>
      <c r="QH56" s="214"/>
      <c r="QI56" s="214"/>
      <c r="QJ56" s="214"/>
      <c r="QK56" s="214"/>
      <c r="QL56" s="214"/>
      <c r="QM56" s="214"/>
      <c r="QN56" s="214"/>
      <c r="QO56" s="214"/>
      <c r="QP56" s="214"/>
      <c r="QQ56" s="214"/>
      <c r="QR56" s="214"/>
      <c r="QS56" s="214"/>
      <c r="QT56" s="214"/>
      <c r="QU56" s="214"/>
      <c r="QV56" s="214"/>
      <c r="QW56" s="214"/>
      <c r="QX56" s="214"/>
      <c r="QY56" s="214"/>
      <c r="QZ56" s="214"/>
      <c r="RA56" s="214"/>
      <c r="RB56" s="214"/>
      <c r="RC56" s="214"/>
      <c r="RD56" s="214"/>
      <c r="RE56" s="214"/>
      <c r="RF56" s="214"/>
      <c r="RG56" s="214"/>
      <c r="RH56" s="214"/>
      <c r="RI56" s="214"/>
      <c r="RJ56" s="214"/>
      <c r="RK56" s="214"/>
      <c r="RL56" s="214"/>
      <c r="RM56" s="214"/>
      <c r="RN56" s="214"/>
      <c r="RO56" s="214"/>
      <c r="RP56" s="214"/>
      <c r="RQ56" s="214"/>
      <c r="RR56" s="214"/>
      <c r="RS56" s="214"/>
      <c r="RT56" s="214"/>
      <c r="RU56" s="214"/>
      <c r="RV56" s="214"/>
      <c r="RW56" s="214"/>
      <c r="RX56" s="214"/>
      <c r="RY56" s="214"/>
      <c r="RZ56" s="214"/>
      <c r="SA56" s="214"/>
      <c r="SB56" s="214"/>
      <c r="SC56" s="214"/>
      <c r="SD56" s="214"/>
      <c r="SE56" s="214"/>
      <c r="SF56" s="214"/>
      <c r="SG56" s="214"/>
      <c r="SH56" s="214"/>
      <c r="SI56" s="214"/>
      <c r="SJ56" s="214"/>
      <c r="SK56" s="214"/>
      <c r="SL56" s="214"/>
      <c r="SM56" s="214"/>
      <c r="SN56" s="214"/>
      <c r="SO56" s="214"/>
      <c r="SP56" s="214"/>
      <c r="SQ56" s="214"/>
      <c r="SR56" s="214"/>
      <c r="SS56" s="214"/>
      <c r="ST56" s="214"/>
      <c r="SU56" s="214"/>
      <c r="SV56" s="214"/>
      <c r="SW56" s="214"/>
      <c r="SX56" s="214"/>
      <c r="SY56" s="214"/>
      <c r="SZ56" s="214"/>
      <c r="TA56" s="214"/>
      <c r="TB56" s="214"/>
      <c r="TC56" s="214"/>
      <c r="TD56" s="214"/>
      <c r="TE56" s="214"/>
      <c r="TF56" s="214"/>
      <c r="TG56" s="214"/>
      <c r="TH56" s="214"/>
      <c r="TI56" s="214"/>
      <c r="TJ56" s="214"/>
      <c r="TK56" s="214"/>
      <c r="TL56" s="214"/>
      <c r="TM56" s="214"/>
      <c r="TN56" s="214"/>
      <c r="TO56" s="214"/>
      <c r="TP56" s="214"/>
      <c r="TQ56" s="214"/>
      <c r="TR56" s="214"/>
      <c r="TS56" s="214"/>
      <c r="TT56" s="214"/>
      <c r="TU56" s="214"/>
      <c r="TV56" s="214"/>
      <c r="TW56" s="214"/>
      <c r="TX56" s="214"/>
      <c r="TY56" s="214"/>
      <c r="TZ56" s="214"/>
      <c r="UA56" s="214"/>
      <c r="UB56" s="214"/>
      <c r="UC56" s="214"/>
      <c r="UD56" s="214"/>
      <c r="UE56" s="214"/>
      <c r="UF56" s="214"/>
      <c r="UG56" s="214"/>
      <c r="UH56" s="214"/>
      <c r="UI56" s="214"/>
      <c r="UJ56" s="214"/>
      <c r="UK56" s="214"/>
      <c r="UL56" s="214"/>
      <c r="UM56" s="214"/>
      <c r="UN56" s="214"/>
      <c r="UO56" s="214"/>
      <c r="UP56" s="214"/>
      <c r="UQ56" s="214"/>
      <c r="UR56" s="214"/>
      <c r="US56" s="214"/>
      <c r="UT56" s="214"/>
      <c r="UU56" s="214"/>
      <c r="UV56" s="214"/>
      <c r="UW56" s="214"/>
      <c r="UX56" s="214"/>
      <c r="UY56" s="214"/>
      <c r="UZ56" s="214"/>
      <c r="VA56" s="214"/>
      <c r="VB56" s="214"/>
      <c r="VC56" s="214"/>
      <c r="VD56" s="214"/>
      <c r="VE56" s="214"/>
      <c r="VF56" s="214"/>
      <c r="VG56" s="214"/>
      <c r="VH56" s="214"/>
      <c r="VI56" s="214"/>
      <c r="VJ56" s="214"/>
      <c r="VK56" s="214"/>
      <c r="VL56" s="214"/>
      <c r="VM56" s="214"/>
      <c r="VN56" s="214"/>
      <c r="VO56" s="214"/>
      <c r="VP56" s="214"/>
      <c r="VQ56" s="214"/>
      <c r="VR56" s="214"/>
      <c r="VS56" s="214"/>
      <c r="VT56" s="214"/>
      <c r="VU56" s="214"/>
      <c r="VV56" s="214"/>
      <c r="VW56" s="214"/>
      <c r="VX56" s="214"/>
      <c r="VY56" s="214"/>
      <c r="VZ56" s="214"/>
      <c r="WA56" s="214"/>
      <c r="WB56" s="214"/>
      <c r="WC56" s="214"/>
      <c r="WD56" s="214"/>
      <c r="WE56" s="214"/>
      <c r="WF56" s="214"/>
      <c r="WG56" s="214"/>
      <c r="WH56" s="214"/>
      <c r="WI56" s="214"/>
      <c r="WJ56" s="214"/>
      <c r="WK56" s="214"/>
      <c r="WL56" s="214"/>
      <c r="WM56" s="214"/>
      <c r="WN56" s="214"/>
      <c r="WO56" s="214"/>
      <c r="WP56" s="214"/>
      <c r="WQ56" s="214"/>
      <c r="WR56" s="214"/>
      <c r="WS56" s="214"/>
      <c r="WT56" s="214"/>
      <c r="WU56" s="214"/>
      <c r="WV56" s="214"/>
      <c r="WW56" s="214"/>
      <c r="WX56" s="214"/>
      <c r="WY56" s="214"/>
      <c r="WZ56" s="214"/>
      <c r="XA56" s="214"/>
      <c r="XB56" s="214"/>
      <c r="XC56" s="214"/>
      <c r="XD56" s="214"/>
      <c r="XE56" s="214"/>
      <c r="XF56" s="214"/>
      <c r="XG56" s="214"/>
      <c r="XH56" s="214"/>
      <c r="XI56" s="214"/>
      <c r="XJ56" s="214"/>
      <c r="XK56" s="214"/>
      <c r="XL56" s="214"/>
      <c r="XM56" s="214"/>
      <c r="XN56" s="214"/>
      <c r="XO56" s="214"/>
      <c r="XP56" s="214"/>
      <c r="XQ56" s="214"/>
      <c r="XR56" s="214"/>
      <c r="XS56" s="214"/>
      <c r="XT56" s="214"/>
      <c r="XU56" s="214"/>
      <c r="XV56" s="214"/>
      <c r="XW56" s="214"/>
      <c r="XX56" s="214"/>
      <c r="XY56" s="214"/>
      <c r="XZ56" s="214"/>
      <c r="YA56" s="214"/>
      <c r="YB56" s="214"/>
      <c r="YC56" s="214"/>
      <c r="YD56" s="214"/>
      <c r="YE56" s="214"/>
      <c r="YF56" s="214"/>
      <c r="YG56" s="214"/>
      <c r="YH56" s="214"/>
      <c r="YI56" s="214"/>
      <c r="YJ56" s="214"/>
      <c r="YK56" s="214"/>
      <c r="YL56" s="214"/>
      <c r="YM56" s="214"/>
      <c r="YN56" s="214"/>
      <c r="YO56" s="214"/>
      <c r="YP56" s="214"/>
      <c r="YQ56" s="214"/>
      <c r="YR56" s="214"/>
      <c r="YS56" s="214"/>
      <c r="YT56" s="214"/>
      <c r="YU56" s="214"/>
      <c r="YV56" s="214"/>
      <c r="YW56" s="214"/>
      <c r="YX56" s="214"/>
      <c r="YY56" s="214"/>
      <c r="YZ56" s="214"/>
      <c r="ZA56" s="214"/>
      <c r="ZB56" s="214"/>
      <c r="ZC56" s="214"/>
      <c r="ZD56" s="214"/>
      <c r="ZE56" s="214"/>
      <c r="ZF56" s="214"/>
      <c r="ZG56" s="214"/>
      <c r="ZH56" s="214"/>
      <c r="ZI56" s="214"/>
      <c r="ZJ56" s="214"/>
      <c r="ZK56" s="214"/>
      <c r="ZL56" s="214"/>
      <c r="ZM56" s="214"/>
      <c r="ZN56" s="214"/>
      <c r="ZO56" s="214"/>
      <c r="ZP56" s="214"/>
      <c r="ZQ56" s="214"/>
      <c r="ZR56" s="214"/>
      <c r="ZS56" s="214"/>
      <c r="ZT56" s="214"/>
      <c r="ZU56" s="214"/>
      <c r="ZV56" s="214"/>
      <c r="ZW56" s="214"/>
      <c r="ZX56" s="214"/>
      <c r="ZY56" s="214"/>
      <c r="ZZ56" s="214"/>
      <c r="AAA56" s="214"/>
      <c r="AAB56" s="214"/>
      <c r="AAC56" s="214"/>
      <c r="AAD56" s="214"/>
      <c r="AAE56" s="214"/>
      <c r="AAF56" s="214"/>
      <c r="AAG56" s="214"/>
      <c r="AAH56" s="214"/>
      <c r="AAI56" s="214"/>
      <c r="AAJ56" s="214"/>
      <c r="AAK56" s="214"/>
      <c r="AAL56" s="214"/>
      <c r="AAM56" s="214"/>
      <c r="AAN56" s="214"/>
      <c r="AAO56" s="214"/>
      <c r="AAP56" s="214"/>
      <c r="AAQ56" s="214"/>
      <c r="AAR56" s="214"/>
      <c r="AAS56" s="214"/>
      <c r="AAT56" s="214"/>
      <c r="AAU56" s="214"/>
      <c r="AAV56" s="214"/>
      <c r="AAW56" s="214"/>
      <c r="AAX56" s="214"/>
      <c r="AAY56" s="214"/>
      <c r="AAZ56" s="214"/>
      <c r="ABA56" s="214"/>
      <c r="ABB56" s="214"/>
      <c r="ABC56" s="214"/>
      <c r="ABD56" s="214"/>
      <c r="ABE56" s="214"/>
      <c r="ABF56" s="214"/>
      <c r="ABG56" s="214"/>
      <c r="ABH56" s="214"/>
      <c r="ABI56" s="214"/>
      <c r="ABJ56" s="214"/>
      <c r="ABK56" s="214"/>
      <c r="ABL56" s="214"/>
      <c r="ABM56" s="214"/>
      <c r="ABN56" s="214"/>
      <c r="ABO56" s="214"/>
      <c r="ABP56" s="214"/>
      <c r="ABQ56" s="214"/>
      <c r="ABR56" s="214"/>
      <c r="ABS56" s="214"/>
      <c r="ABT56" s="214"/>
      <c r="ABU56" s="214"/>
      <c r="ABV56" s="214"/>
      <c r="ABW56" s="214"/>
      <c r="ABX56" s="214"/>
      <c r="ABY56" s="214"/>
      <c r="ABZ56" s="214"/>
      <c r="ACA56" s="214"/>
      <c r="ACB56" s="214"/>
      <c r="ACC56" s="214"/>
      <c r="ACD56" s="214"/>
      <c r="ACE56" s="214"/>
      <c r="ACF56" s="214"/>
      <c r="ACG56" s="214"/>
      <c r="ACH56" s="214"/>
      <c r="ACI56" s="214"/>
      <c r="ACJ56" s="214"/>
      <c r="ACK56" s="214"/>
      <c r="ACL56" s="214"/>
      <c r="ACM56" s="214"/>
      <c r="ACN56" s="214"/>
      <c r="ACO56" s="214"/>
      <c r="ACP56" s="214"/>
      <c r="ACQ56" s="214"/>
      <c r="ACR56" s="214"/>
      <c r="ACS56" s="214"/>
      <c r="ACT56" s="214"/>
      <c r="ACU56" s="214"/>
      <c r="ACV56" s="214"/>
      <c r="ACW56" s="214"/>
      <c r="ACX56" s="214"/>
      <c r="ACY56" s="214"/>
      <c r="ACZ56" s="214"/>
      <c r="ADA56" s="214"/>
      <c r="ADB56" s="214"/>
      <c r="ADC56" s="214"/>
      <c r="ADD56" s="214"/>
      <c r="ADE56" s="214"/>
      <c r="ADF56" s="214"/>
      <c r="ADG56" s="214"/>
      <c r="ADH56" s="214"/>
      <c r="ADI56" s="214"/>
      <c r="ADJ56" s="214"/>
      <c r="ADK56" s="214"/>
      <c r="ADL56" s="214"/>
      <c r="ADM56" s="214"/>
      <c r="ADN56" s="214"/>
      <c r="ADO56" s="214"/>
      <c r="ADP56" s="214"/>
      <c r="ADQ56" s="214"/>
      <c r="ADR56" s="214"/>
      <c r="ADS56" s="214"/>
      <c r="ADT56" s="214"/>
      <c r="ADU56" s="214"/>
      <c r="ADV56" s="214"/>
      <c r="ADW56" s="214"/>
      <c r="ADX56" s="214"/>
      <c r="ADY56" s="214"/>
      <c r="ADZ56" s="214"/>
      <c r="AEA56" s="214"/>
      <c r="AEB56" s="214"/>
      <c r="AEC56" s="214"/>
      <c r="AED56" s="214"/>
      <c r="AEE56" s="214"/>
      <c r="AEF56" s="214"/>
      <c r="AEG56" s="214"/>
      <c r="AEH56" s="214"/>
      <c r="AEI56" s="214"/>
      <c r="AEJ56" s="214"/>
      <c r="AEK56" s="214"/>
      <c r="AEL56" s="214"/>
      <c r="AEM56" s="214"/>
      <c r="AEN56" s="214"/>
      <c r="AEO56" s="214"/>
      <c r="AEP56" s="214"/>
      <c r="AEQ56" s="214"/>
      <c r="AER56" s="214"/>
      <c r="AES56" s="214"/>
      <c r="AET56" s="214"/>
      <c r="AEU56" s="214"/>
      <c r="AEV56" s="214"/>
      <c r="AEW56" s="214"/>
      <c r="AEX56" s="214"/>
      <c r="AEY56" s="214"/>
      <c r="AEZ56" s="214"/>
      <c r="AFA56" s="214"/>
      <c r="AFB56" s="214"/>
      <c r="AFC56" s="214"/>
      <c r="AFD56" s="214"/>
      <c r="AFE56" s="214"/>
      <c r="AFF56" s="214"/>
      <c r="AFG56" s="214"/>
      <c r="AFH56" s="214"/>
      <c r="AFI56" s="214"/>
      <c r="AFJ56" s="214"/>
      <c r="AFK56" s="214"/>
      <c r="AFL56" s="214"/>
      <c r="AFM56" s="214"/>
      <c r="AFN56" s="214"/>
      <c r="AFO56" s="214"/>
      <c r="AFP56" s="214"/>
      <c r="AFQ56" s="214"/>
      <c r="AFR56" s="214"/>
      <c r="AFS56" s="214"/>
      <c r="AFT56" s="214"/>
      <c r="AFU56" s="214"/>
      <c r="AFV56" s="214"/>
      <c r="AFW56" s="214"/>
      <c r="AFX56" s="214"/>
      <c r="AFY56" s="214"/>
      <c r="AFZ56" s="214"/>
      <c r="AGA56" s="214"/>
      <c r="AGB56" s="214"/>
      <c r="AGC56" s="214"/>
      <c r="AGD56" s="214"/>
      <c r="AGE56" s="214"/>
      <c r="AGF56" s="214"/>
      <c r="AGG56" s="214"/>
      <c r="AGH56" s="214"/>
      <c r="AGI56" s="214"/>
      <c r="AGJ56" s="214"/>
      <c r="AGK56" s="214"/>
      <c r="AGL56" s="214"/>
      <c r="AGM56" s="214"/>
      <c r="AGN56" s="214"/>
      <c r="AGO56" s="214"/>
      <c r="AGP56" s="214"/>
      <c r="AGQ56" s="214"/>
      <c r="AGR56" s="214"/>
      <c r="AGS56" s="214"/>
      <c r="AGT56" s="214"/>
      <c r="AGU56" s="214"/>
      <c r="AGV56" s="214"/>
      <c r="AGW56" s="214"/>
      <c r="AGX56" s="214"/>
      <c r="AGY56" s="214"/>
      <c r="AGZ56" s="214"/>
      <c r="AHA56" s="214"/>
      <c r="AHB56" s="214"/>
      <c r="AHC56" s="214"/>
      <c r="AHD56" s="214"/>
      <c r="AHE56" s="214"/>
      <c r="AHF56" s="214"/>
      <c r="AHG56" s="214"/>
      <c r="AHH56" s="214"/>
      <c r="AHI56" s="214"/>
      <c r="AHJ56" s="214"/>
      <c r="AHK56" s="214"/>
      <c r="AHL56" s="214"/>
      <c r="AHM56" s="214"/>
      <c r="AHN56" s="214"/>
      <c r="AHO56" s="214"/>
      <c r="AHP56" s="214"/>
      <c r="AHQ56" s="214"/>
      <c r="AHR56" s="214"/>
      <c r="AHS56" s="214"/>
      <c r="AHT56" s="214"/>
      <c r="AHU56" s="214"/>
      <c r="AHV56" s="214"/>
      <c r="AHW56" s="214"/>
      <c r="AHX56" s="214"/>
      <c r="AHY56" s="214"/>
      <c r="AHZ56" s="214"/>
      <c r="AIA56" s="214"/>
      <c r="AIB56" s="214"/>
      <c r="AIC56" s="214"/>
      <c r="AID56" s="214"/>
      <c r="AIE56" s="214"/>
      <c r="AIF56" s="214"/>
      <c r="AIG56" s="214"/>
      <c r="AIH56" s="214"/>
      <c r="AII56" s="214"/>
      <c r="AIJ56" s="214"/>
      <c r="AIK56" s="214"/>
      <c r="AIL56" s="214"/>
      <c r="AIM56" s="214"/>
      <c r="AIN56" s="214"/>
      <c r="AIO56" s="214"/>
      <c r="AIP56" s="214"/>
      <c r="AIQ56" s="214"/>
      <c r="AIR56" s="214"/>
      <c r="AIS56" s="214"/>
      <c r="AIT56" s="214"/>
      <c r="AIU56" s="214"/>
      <c r="AIV56" s="214"/>
      <c r="AIW56" s="214"/>
      <c r="AIX56" s="214"/>
      <c r="AIY56" s="214"/>
      <c r="AIZ56" s="214"/>
      <c r="AJA56" s="214"/>
      <c r="AJB56" s="214"/>
      <c r="AJC56" s="214"/>
      <c r="AJD56" s="214"/>
      <c r="AJE56" s="214"/>
      <c r="AJF56" s="214"/>
      <c r="AJG56" s="214"/>
      <c r="AJH56" s="214"/>
      <c r="AJI56" s="214"/>
      <c r="AJJ56" s="214"/>
      <c r="AJK56" s="214"/>
      <c r="AJL56" s="214"/>
      <c r="AJM56" s="214"/>
      <c r="AJN56" s="214"/>
      <c r="AJO56" s="214"/>
      <c r="AJP56" s="214"/>
      <c r="AJQ56" s="214"/>
      <c r="AJR56" s="214"/>
      <c r="AJS56" s="214"/>
      <c r="AJT56" s="214"/>
      <c r="AJU56" s="214"/>
      <c r="AJV56" s="214"/>
      <c r="AJW56" s="214"/>
      <c r="AJX56" s="214"/>
      <c r="AJY56" s="214"/>
      <c r="AJZ56" s="214"/>
      <c r="AKA56" s="214"/>
      <c r="AKB56" s="214"/>
      <c r="AKC56" s="214"/>
      <c r="AKD56" s="214"/>
      <c r="AKE56" s="214"/>
      <c r="AKF56" s="214"/>
      <c r="AKG56" s="214"/>
      <c r="AKH56" s="214"/>
      <c r="AKI56" s="214"/>
      <c r="AKJ56" s="214"/>
      <c r="AKK56" s="214"/>
      <c r="AKL56" s="214"/>
      <c r="AKM56" s="214"/>
      <c r="AKN56" s="214"/>
      <c r="AKO56" s="214"/>
      <c r="AKP56" s="214"/>
      <c r="AKQ56" s="214"/>
      <c r="AKR56" s="214"/>
      <c r="AKS56" s="214"/>
      <c r="AKT56" s="214"/>
      <c r="AKU56" s="214"/>
      <c r="AKV56" s="214"/>
      <c r="AKW56" s="214"/>
      <c r="AKX56" s="214"/>
      <c r="AKY56" s="214"/>
      <c r="AKZ56" s="214"/>
      <c r="ALA56" s="214"/>
      <c r="ALB56" s="214"/>
      <c r="ALC56" s="214"/>
      <c r="ALD56" s="214"/>
      <c r="ALE56" s="214"/>
      <c r="ALF56" s="214"/>
      <c r="ALG56" s="214"/>
      <c r="ALH56" s="214"/>
      <c r="ALI56" s="214"/>
      <c r="ALJ56" s="214"/>
      <c r="ALK56" s="214"/>
      <c r="ALL56" s="214"/>
      <c r="ALM56" s="214"/>
      <c r="ALN56" s="214"/>
      <c r="ALO56" s="214"/>
      <c r="ALP56" s="214"/>
      <c r="ALQ56" s="214"/>
      <c r="ALR56" s="214"/>
      <c r="ALS56" s="214"/>
      <c r="ALT56" s="214"/>
      <c r="ALU56" s="214"/>
      <c r="ALV56" s="214"/>
      <c r="ALW56" s="214"/>
      <c r="ALX56" s="214"/>
      <c r="ALY56" s="214"/>
      <c r="ALZ56" s="214"/>
      <c r="AMA56" s="214"/>
      <c r="AMB56" s="214"/>
      <c r="AMC56" s="214"/>
      <c r="AMD56" s="214"/>
      <c r="AME56" s="214"/>
      <c r="AMF56" s="214"/>
      <c r="AMG56" s="214"/>
      <c r="AMH56" s="214"/>
      <c r="AMI56" s="214"/>
      <c r="AMJ56" s="214"/>
      <c r="AMK56" s="214"/>
      <c r="AML56" s="214"/>
      <c r="AMM56" s="214"/>
      <c r="AMN56" s="214"/>
      <c r="AMO56" s="214"/>
      <c r="AMP56" s="214"/>
      <c r="AMQ56" s="214"/>
      <c r="AMR56" s="214"/>
      <c r="AMS56" s="214"/>
      <c r="AMT56" s="214"/>
      <c r="AMU56" s="214"/>
      <c r="AMV56" s="214"/>
      <c r="AMW56" s="214"/>
      <c r="AMX56" s="214"/>
      <c r="AMY56" s="214"/>
      <c r="AMZ56" s="214"/>
      <c r="ANA56" s="214"/>
      <c r="ANB56" s="214"/>
      <c r="ANC56" s="214"/>
      <c r="AND56" s="214"/>
      <c r="ANE56" s="214"/>
      <c r="ANF56" s="214"/>
      <c r="ANG56" s="214"/>
      <c r="ANH56" s="214"/>
      <c r="ANI56" s="214"/>
      <c r="ANJ56" s="214"/>
      <c r="ANK56" s="214"/>
      <c r="ANL56" s="214"/>
      <c r="ANM56" s="214"/>
      <c r="ANN56" s="214"/>
      <c r="ANO56" s="214"/>
      <c r="ANP56" s="214"/>
      <c r="ANQ56" s="214"/>
      <c r="ANR56" s="214"/>
      <c r="ANS56" s="214"/>
      <c r="ANT56" s="214"/>
      <c r="ANU56" s="214"/>
      <c r="ANV56" s="214"/>
      <c r="ANW56" s="214"/>
      <c r="ANX56" s="214"/>
      <c r="ANY56" s="214"/>
      <c r="ANZ56" s="214"/>
      <c r="AOA56" s="214"/>
      <c r="AOB56" s="214"/>
      <c r="AOC56" s="214"/>
      <c r="AOD56" s="214"/>
      <c r="AOE56" s="214"/>
      <c r="AOF56" s="214"/>
      <c r="AOG56" s="214"/>
      <c r="AOH56" s="214"/>
      <c r="AOI56" s="214"/>
      <c r="AOJ56" s="214"/>
      <c r="AOK56" s="214"/>
      <c r="AOL56" s="214"/>
      <c r="AOM56" s="214"/>
      <c r="AON56" s="214"/>
      <c r="AOO56" s="214"/>
      <c r="AOP56" s="214"/>
      <c r="AOQ56" s="214"/>
      <c r="AOR56" s="214"/>
      <c r="AOS56" s="214"/>
      <c r="AOT56" s="214"/>
      <c r="AOU56" s="214"/>
      <c r="AOV56" s="214"/>
      <c r="AOW56" s="214"/>
      <c r="AOX56" s="214"/>
      <c r="AOY56" s="214"/>
      <c r="AOZ56" s="214"/>
      <c r="APA56" s="214"/>
      <c r="APB56" s="214"/>
      <c r="APC56" s="214"/>
      <c r="APD56" s="214"/>
      <c r="APE56" s="214"/>
      <c r="APF56" s="214"/>
      <c r="APG56" s="214"/>
      <c r="APH56" s="214"/>
      <c r="API56" s="214"/>
      <c r="APJ56" s="214"/>
      <c r="APK56" s="214"/>
      <c r="APL56" s="214"/>
      <c r="APM56" s="214"/>
      <c r="APN56" s="214"/>
      <c r="APO56" s="214"/>
      <c r="APP56" s="214"/>
      <c r="APQ56" s="214"/>
      <c r="APR56" s="214"/>
      <c r="APS56" s="214"/>
      <c r="APT56" s="214"/>
      <c r="APU56" s="214"/>
      <c r="APV56" s="214"/>
      <c r="APW56" s="214"/>
      <c r="APX56" s="214"/>
      <c r="APY56" s="214"/>
      <c r="APZ56" s="214"/>
      <c r="AQA56" s="214"/>
      <c r="AQB56" s="214"/>
      <c r="AQC56" s="214"/>
      <c r="AQD56" s="214"/>
      <c r="AQE56" s="214"/>
      <c r="AQF56" s="214"/>
      <c r="AQG56" s="214"/>
      <c r="AQH56" s="214"/>
      <c r="AQI56" s="214"/>
      <c r="AQJ56" s="214"/>
      <c r="AQK56" s="214"/>
      <c r="AQL56" s="214"/>
      <c r="AQM56" s="214"/>
      <c r="AQN56" s="214"/>
      <c r="AQO56" s="214"/>
      <c r="AQP56" s="214"/>
      <c r="AQQ56" s="214"/>
      <c r="AQR56" s="214"/>
      <c r="AQS56" s="214"/>
      <c r="AQT56" s="214"/>
      <c r="AQU56" s="214"/>
      <c r="AQV56" s="214"/>
      <c r="AQW56" s="214"/>
      <c r="AQX56" s="214"/>
      <c r="AQY56" s="214"/>
      <c r="AQZ56" s="214"/>
      <c r="ARA56" s="214"/>
      <c r="ARB56" s="214"/>
      <c r="ARC56" s="214"/>
      <c r="ARD56" s="214"/>
      <c r="ARE56" s="214"/>
      <c r="ARF56" s="214"/>
      <c r="ARG56" s="214"/>
      <c r="ARH56" s="214"/>
      <c r="ARI56" s="214"/>
      <c r="ARJ56" s="214"/>
      <c r="ARK56" s="214"/>
      <c r="ARL56" s="214"/>
      <c r="ARM56" s="214"/>
      <c r="ARN56" s="214"/>
      <c r="ARO56" s="214"/>
      <c r="ARP56" s="214"/>
      <c r="ARQ56" s="214"/>
      <c r="ARR56" s="214"/>
      <c r="ARS56" s="214"/>
      <c r="ART56" s="214"/>
      <c r="ARU56" s="214"/>
      <c r="ARV56" s="214"/>
      <c r="ARW56" s="214"/>
      <c r="ARX56" s="214"/>
      <c r="ARY56" s="214"/>
      <c r="ARZ56" s="214"/>
      <c r="ASA56" s="214"/>
      <c r="ASB56" s="214"/>
      <c r="ASC56" s="214"/>
      <c r="ASD56" s="214"/>
      <c r="ASE56" s="214"/>
      <c r="ASF56" s="214"/>
      <c r="ASG56" s="214"/>
      <c r="ASH56" s="214"/>
      <c r="ASI56" s="214"/>
      <c r="ASJ56" s="214"/>
      <c r="ASK56" s="214"/>
      <c r="ASL56" s="214"/>
      <c r="ASM56" s="214"/>
      <c r="ASN56" s="214"/>
      <c r="ASO56" s="214"/>
      <c r="ASP56" s="214"/>
      <c r="ASQ56" s="214"/>
      <c r="ASR56" s="214"/>
      <c r="ASS56" s="214"/>
      <c r="AST56" s="214"/>
      <c r="ASU56" s="214"/>
      <c r="ASV56" s="214"/>
      <c r="ASW56" s="214"/>
      <c r="ASX56" s="214"/>
      <c r="ASY56" s="214"/>
      <c r="ASZ56" s="214"/>
      <c r="ATA56" s="214"/>
      <c r="ATB56" s="214"/>
      <c r="ATC56" s="214"/>
      <c r="ATD56" s="214"/>
      <c r="ATE56" s="214"/>
      <c r="ATF56" s="214"/>
      <c r="ATG56" s="214"/>
      <c r="ATH56" s="214"/>
      <c r="ATI56" s="214"/>
      <c r="ATJ56" s="214"/>
      <c r="ATK56" s="214"/>
      <c r="ATL56" s="214"/>
      <c r="ATM56" s="214"/>
      <c r="ATN56" s="214"/>
      <c r="ATO56" s="214"/>
      <c r="ATP56" s="214"/>
      <c r="ATQ56" s="214"/>
      <c r="ATR56" s="214"/>
      <c r="ATS56" s="214"/>
      <c r="ATT56" s="214"/>
      <c r="ATU56" s="214"/>
      <c r="ATV56" s="214"/>
      <c r="ATW56" s="214"/>
      <c r="ATX56" s="214"/>
      <c r="ATY56" s="214"/>
      <c r="ATZ56" s="214"/>
      <c r="AUA56" s="214"/>
      <c r="AUB56" s="214"/>
      <c r="AUC56" s="214"/>
      <c r="AUD56" s="214"/>
      <c r="AUE56" s="214"/>
      <c r="AUF56" s="214"/>
      <c r="AUG56" s="214"/>
      <c r="AUH56" s="214"/>
      <c r="AUI56" s="214"/>
      <c r="AUJ56" s="214"/>
      <c r="AUK56" s="214"/>
      <c r="AUL56" s="214"/>
      <c r="AUM56" s="214"/>
      <c r="AUN56" s="214"/>
      <c r="AUO56" s="214"/>
      <c r="AUP56" s="214"/>
      <c r="AUQ56" s="214"/>
      <c r="AUR56" s="214"/>
      <c r="AUS56" s="214"/>
      <c r="AUT56" s="214"/>
      <c r="AUU56" s="214"/>
      <c r="AUV56" s="214"/>
      <c r="AUW56" s="214"/>
      <c r="AUX56" s="214"/>
      <c r="AUY56" s="214"/>
      <c r="AUZ56" s="214"/>
      <c r="AVA56" s="214"/>
      <c r="AVB56" s="214"/>
      <c r="AVC56" s="214"/>
      <c r="AVD56" s="214"/>
      <c r="AVE56" s="214"/>
      <c r="AVF56" s="214"/>
      <c r="AVG56" s="214"/>
      <c r="AVH56" s="214"/>
      <c r="AVI56" s="214"/>
      <c r="AVJ56" s="214"/>
      <c r="AVK56" s="214"/>
      <c r="AVL56" s="214"/>
      <c r="AVM56" s="214"/>
      <c r="AVN56" s="214"/>
      <c r="AVO56" s="214"/>
      <c r="AVP56" s="214"/>
      <c r="AVQ56" s="214"/>
      <c r="AVR56" s="214"/>
      <c r="AVS56" s="214"/>
      <c r="AVT56" s="214"/>
      <c r="AVU56" s="214"/>
      <c r="AVV56" s="214"/>
      <c r="AVW56" s="214"/>
      <c r="AVX56" s="214"/>
      <c r="AVY56" s="214"/>
      <c r="AVZ56" s="214"/>
      <c r="AWA56" s="214"/>
      <c r="AWB56" s="214"/>
      <c r="AWC56" s="214"/>
      <c r="AWD56" s="214"/>
      <c r="AWE56" s="214"/>
      <c r="AWF56" s="214"/>
      <c r="AWG56" s="214"/>
      <c r="AWH56" s="214"/>
      <c r="AWI56" s="214"/>
      <c r="AWJ56" s="214"/>
      <c r="AWK56" s="214"/>
      <c r="AWL56" s="214"/>
      <c r="AWM56" s="214"/>
      <c r="AWN56" s="214"/>
      <c r="AWO56" s="214"/>
      <c r="AWP56" s="214"/>
      <c r="AWQ56" s="214"/>
      <c r="AWR56" s="214"/>
      <c r="AWS56" s="214"/>
      <c r="AWT56" s="214"/>
      <c r="AWU56" s="214"/>
      <c r="AWV56" s="214"/>
      <c r="AWW56" s="214"/>
      <c r="AWX56" s="214"/>
      <c r="AWY56" s="214"/>
      <c r="AWZ56" s="214"/>
      <c r="AXA56" s="214"/>
      <c r="AXB56" s="214"/>
      <c r="AXC56" s="214"/>
      <c r="AXD56" s="214"/>
      <c r="AXE56" s="214"/>
      <c r="AXF56" s="214"/>
      <c r="AXG56" s="214"/>
      <c r="AXH56" s="214"/>
      <c r="AXI56" s="214"/>
      <c r="AXJ56" s="214"/>
      <c r="AXK56" s="214"/>
      <c r="AXL56" s="214"/>
      <c r="AXM56" s="214"/>
      <c r="AXN56" s="214"/>
      <c r="AXO56" s="214"/>
      <c r="AXP56" s="214"/>
      <c r="AXQ56" s="214"/>
      <c r="AXR56" s="214"/>
      <c r="AXS56" s="214"/>
      <c r="AXT56" s="214"/>
      <c r="AXU56" s="214"/>
      <c r="AXV56" s="214"/>
      <c r="AXW56" s="214"/>
      <c r="AXX56" s="214"/>
      <c r="AXY56" s="214"/>
      <c r="AXZ56" s="214"/>
      <c r="AYA56" s="214"/>
      <c r="AYB56" s="214"/>
      <c r="AYC56" s="214"/>
      <c r="AYD56" s="214"/>
      <c r="AYE56" s="214"/>
      <c r="AYF56" s="214"/>
      <c r="AYG56" s="214"/>
      <c r="AYH56" s="214"/>
      <c r="AYI56" s="214"/>
      <c r="AYJ56" s="214"/>
      <c r="AYK56" s="214"/>
      <c r="AYL56" s="214"/>
      <c r="AYM56" s="214"/>
      <c r="AYN56" s="214"/>
      <c r="AYO56" s="214"/>
      <c r="AYP56" s="214"/>
      <c r="AYQ56" s="214"/>
      <c r="AYR56" s="214"/>
      <c r="AYS56" s="214"/>
      <c r="AYT56" s="214"/>
      <c r="AYU56" s="214"/>
      <c r="AYV56" s="214"/>
      <c r="AYW56" s="214"/>
      <c r="AYX56" s="214"/>
      <c r="AYY56" s="214"/>
      <c r="AYZ56" s="214"/>
      <c r="AZA56" s="214"/>
      <c r="AZB56" s="214"/>
      <c r="AZC56" s="214"/>
      <c r="AZD56" s="214"/>
      <c r="AZE56" s="214"/>
      <c r="AZF56" s="214"/>
      <c r="AZG56" s="214"/>
      <c r="AZH56" s="214"/>
      <c r="AZI56" s="214"/>
      <c r="AZJ56" s="214"/>
      <c r="AZK56" s="214"/>
      <c r="AZL56" s="214"/>
      <c r="AZM56" s="214"/>
      <c r="AZN56" s="214"/>
      <c r="AZO56" s="214"/>
      <c r="AZP56" s="214"/>
      <c r="AZQ56" s="214"/>
      <c r="AZR56" s="214"/>
      <c r="AZS56" s="214"/>
      <c r="AZT56" s="214"/>
      <c r="AZU56" s="214"/>
      <c r="AZV56" s="214"/>
      <c r="AZW56" s="214"/>
      <c r="AZX56" s="214"/>
      <c r="AZY56" s="214"/>
      <c r="AZZ56" s="214"/>
      <c r="BAA56" s="214"/>
      <c r="BAB56" s="214"/>
      <c r="BAC56" s="214"/>
      <c r="BAD56" s="214"/>
      <c r="BAE56" s="214"/>
      <c r="BAF56" s="214"/>
      <c r="BAG56" s="214"/>
      <c r="BAH56" s="214"/>
      <c r="BAI56" s="214"/>
      <c r="BAJ56" s="214"/>
      <c r="BAK56" s="214"/>
      <c r="BAL56" s="214"/>
      <c r="BAM56" s="214"/>
      <c r="BAN56" s="214"/>
      <c r="BAO56" s="214"/>
      <c r="BAP56" s="214"/>
      <c r="BAQ56" s="214"/>
      <c r="BAR56" s="214"/>
      <c r="BAS56" s="214"/>
      <c r="BAT56" s="214"/>
      <c r="BAU56" s="214"/>
      <c r="BAV56" s="214"/>
      <c r="BAW56" s="214"/>
      <c r="BAX56" s="214"/>
      <c r="BAY56" s="214"/>
      <c r="BAZ56" s="214"/>
      <c r="BBA56" s="214"/>
      <c r="BBB56" s="214"/>
      <c r="BBC56" s="214"/>
      <c r="BBD56" s="214"/>
      <c r="BBE56" s="214"/>
      <c r="BBF56" s="214"/>
      <c r="BBG56" s="214"/>
      <c r="BBH56" s="214"/>
      <c r="BBI56" s="214"/>
      <c r="BBJ56" s="214"/>
      <c r="BBK56" s="214"/>
      <c r="BBL56" s="214"/>
      <c r="BBM56" s="214"/>
      <c r="BBN56" s="214"/>
      <c r="BBO56" s="214"/>
      <c r="BBP56" s="214"/>
      <c r="BBQ56" s="214"/>
      <c r="BBR56" s="214"/>
      <c r="BBS56" s="214"/>
      <c r="BBT56" s="214"/>
      <c r="BBU56" s="214"/>
      <c r="BBV56" s="214"/>
      <c r="BBW56" s="214"/>
      <c r="BBX56" s="214"/>
      <c r="BBY56" s="214"/>
      <c r="BBZ56" s="214"/>
      <c r="BCA56" s="214"/>
      <c r="BCB56" s="214"/>
      <c r="BCC56" s="214"/>
      <c r="BCD56" s="214"/>
      <c r="BCE56" s="214"/>
      <c r="BCF56" s="214"/>
      <c r="BCG56" s="214"/>
      <c r="BCH56" s="214"/>
      <c r="BCI56" s="214"/>
      <c r="BCJ56" s="214"/>
      <c r="BCK56" s="214"/>
      <c r="BCL56" s="214"/>
      <c r="BCM56" s="214"/>
      <c r="BCN56" s="214"/>
      <c r="BCO56" s="214"/>
      <c r="BCP56" s="214"/>
      <c r="BCQ56" s="214"/>
      <c r="BCR56" s="214"/>
      <c r="BCS56" s="214"/>
      <c r="BCT56" s="214"/>
      <c r="BCU56" s="214"/>
      <c r="BCV56" s="214"/>
      <c r="BCW56" s="214"/>
      <c r="BCX56" s="214"/>
      <c r="BCY56" s="214"/>
      <c r="BCZ56" s="214"/>
      <c r="BDA56" s="214"/>
      <c r="BDB56" s="214"/>
      <c r="BDC56" s="214"/>
      <c r="BDD56" s="214"/>
      <c r="BDE56" s="214"/>
      <c r="BDF56" s="214"/>
      <c r="BDG56" s="214"/>
      <c r="BDH56" s="214"/>
      <c r="BDI56" s="214"/>
      <c r="BDJ56" s="214"/>
      <c r="BDK56" s="214"/>
      <c r="BDL56" s="214"/>
      <c r="BDM56" s="214"/>
      <c r="BDN56" s="214"/>
      <c r="BDO56" s="214"/>
      <c r="BDP56" s="214"/>
      <c r="BDQ56" s="214"/>
      <c r="BDR56" s="214"/>
      <c r="BDS56" s="214"/>
      <c r="BDT56" s="214"/>
      <c r="BDU56" s="214"/>
      <c r="BDV56" s="214"/>
      <c r="BDW56" s="214"/>
      <c r="BDX56" s="214"/>
      <c r="BDY56" s="214"/>
      <c r="BDZ56" s="214"/>
      <c r="BEA56" s="214"/>
      <c r="BEB56" s="214"/>
      <c r="BEC56" s="214"/>
      <c r="BED56" s="214"/>
      <c r="BEE56" s="214"/>
      <c r="BEF56" s="214"/>
      <c r="BEG56" s="214"/>
      <c r="BEH56" s="214"/>
      <c r="BEI56" s="214"/>
      <c r="BEJ56" s="214"/>
      <c r="BEK56" s="214"/>
      <c r="BEL56" s="214"/>
      <c r="BEM56" s="214"/>
      <c r="BEN56" s="214"/>
      <c r="BEO56" s="214"/>
      <c r="BEP56" s="214"/>
      <c r="BEQ56" s="214"/>
      <c r="BER56" s="214"/>
      <c r="BES56" s="214"/>
      <c r="BET56" s="214"/>
      <c r="BEU56" s="214"/>
      <c r="BEV56" s="214"/>
      <c r="BEW56" s="214"/>
      <c r="BEX56" s="214"/>
      <c r="BEY56" s="214"/>
      <c r="BEZ56" s="214"/>
      <c r="BFA56" s="214"/>
      <c r="BFB56" s="214"/>
      <c r="BFC56" s="214"/>
      <c r="BFD56" s="214"/>
      <c r="BFE56" s="214"/>
      <c r="BFF56" s="214"/>
      <c r="BFG56" s="214"/>
      <c r="BFH56" s="214"/>
      <c r="BFI56" s="214"/>
      <c r="BFJ56" s="214"/>
      <c r="BFK56" s="214"/>
      <c r="BFL56" s="214"/>
      <c r="BFM56" s="214"/>
      <c r="BFN56" s="214"/>
      <c r="BFO56" s="214"/>
      <c r="BFP56" s="214"/>
      <c r="BFQ56" s="214"/>
      <c r="BFR56" s="214"/>
      <c r="BFS56" s="214"/>
      <c r="BFT56" s="214"/>
      <c r="BFU56" s="214"/>
      <c r="BFV56" s="214"/>
      <c r="BFW56" s="214"/>
      <c r="BFX56" s="214"/>
      <c r="BFY56" s="214"/>
      <c r="BFZ56" s="214"/>
      <c r="BGA56" s="214"/>
      <c r="BGB56" s="214"/>
      <c r="BGC56" s="214"/>
      <c r="BGD56" s="214"/>
      <c r="BGE56" s="214"/>
      <c r="BGF56" s="214"/>
      <c r="BGG56" s="214"/>
      <c r="BGH56" s="214"/>
      <c r="BGI56" s="214"/>
      <c r="BGJ56" s="214"/>
      <c r="BGK56" s="214"/>
      <c r="BGL56" s="214"/>
      <c r="BGM56" s="214"/>
      <c r="BGN56" s="214"/>
      <c r="BGO56" s="214"/>
      <c r="BGP56" s="214"/>
      <c r="BGQ56" s="214"/>
      <c r="BGR56" s="214"/>
      <c r="BGS56" s="214"/>
      <c r="BGT56" s="214"/>
      <c r="BGU56" s="214"/>
      <c r="BGV56" s="214"/>
      <c r="BGW56" s="214"/>
      <c r="BGX56" s="214"/>
      <c r="BGY56" s="214"/>
      <c r="BGZ56" s="214"/>
      <c r="BHA56" s="214"/>
      <c r="BHB56" s="214"/>
      <c r="BHC56" s="214"/>
      <c r="BHD56" s="214"/>
      <c r="BHE56" s="214"/>
      <c r="BHF56" s="214"/>
      <c r="BHG56" s="214"/>
      <c r="BHH56" s="214"/>
      <c r="BHI56" s="214"/>
      <c r="BHJ56" s="214"/>
      <c r="BHK56" s="214"/>
      <c r="BHL56" s="214"/>
      <c r="BHM56" s="214"/>
      <c r="BHN56" s="214"/>
      <c r="BHO56" s="214"/>
      <c r="BHP56" s="214"/>
      <c r="BHQ56" s="214"/>
      <c r="BHR56" s="214"/>
      <c r="BHS56" s="214"/>
      <c r="BHT56" s="214"/>
      <c r="BHU56" s="214"/>
      <c r="BHV56" s="214"/>
      <c r="BHW56" s="214"/>
    </row>
    <row r="57" spans="1:1583" s="216" customFormat="1">
      <c r="A57" s="251" t="s">
        <v>64</v>
      </c>
      <c r="B57" s="184" t="s">
        <v>372</v>
      </c>
      <c r="C57" s="416" t="s">
        <v>493</v>
      </c>
      <c r="D57" s="435" t="s">
        <v>493</v>
      </c>
      <c r="E57" s="63" t="s">
        <v>9</v>
      </c>
      <c r="F57" s="131">
        <v>3.5</v>
      </c>
      <c r="G57" s="60" t="s">
        <v>711</v>
      </c>
      <c r="H57" s="473">
        <f t="shared" si="20"/>
        <v>108.49865145132308</v>
      </c>
      <c r="I57" s="95">
        <f>VLOOKUP($B57,'DCS Data'!$E$2:$AJ$100,MATCH('Daily Report'!I$1,'DCS Data'!$E$2:$AJ$2,0),0)</f>
        <v>3.4997912354832872</v>
      </c>
      <c r="J57" s="255"/>
      <c r="K57" s="95">
        <f>VLOOKUP($B57,'DCS Data'!$E$2:$AJ$100,MATCH('Daily Report'!K$1,'DCS Data'!$E$2:$AJ$2,0),0)</f>
        <v>3.4996422141924572</v>
      </c>
      <c r="L57" s="95">
        <f>VLOOKUP($B57,'DCS Data'!$E$2:$AJ$100,MATCH('Daily Report'!L$1,'DCS Data'!$E$2:$AJ$2,0),0)</f>
        <v>3.4998225140911918</v>
      </c>
      <c r="M57" s="95">
        <f>VLOOKUP($B57,'DCS Data'!$E$2:$AJ$100,MATCH('Daily Report'!M$1,'DCS Data'!$E$2:$AJ$2,0),0)</f>
        <v>3.5001771879891748</v>
      </c>
      <c r="N57" s="95">
        <f>VLOOKUP($B57,'DCS Data'!$E$2:$AJ$100,MATCH('Daily Report'!N$1,'DCS Data'!$E$2:$AJ$2,0),0)</f>
        <v>3.5000370019679874</v>
      </c>
      <c r="O57" s="95">
        <f>VLOOKUP($B57,'DCS Data'!$E$2:$AJ$100,MATCH('Daily Report'!O$1,'DCS Data'!$E$2:$AJ$2,0),0)</f>
        <v>3.4999756267581028</v>
      </c>
      <c r="P57" s="95">
        <f>VLOOKUP($B57,'DCS Data'!$E$2:$AJ$100,MATCH('Daily Report'!P$1,'DCS Data'!$E$2:$AJ$2,0),0)</f>
        <v>3.499856332688553</v>
      </c>
      <c r="Q57" s="95">
        <f>VLOOKUP($B57,'DCS Data'!$E$2:$AJ$100,MATCH('Daily Report'!Q$1,'DCS Data'!$E$2:$AJ$2,0),0)</f>
        <v>3.4997384309883084</v>
      </c>
      <c r="R57" s="95">
        <f>VLOOKUP($B57,'DCS Data'!$E$2:$AJ$100,MATCH('Daily Report'!R$1,'DCS Data'!$E$2:$AJ$2,0),0)</f>
        <v>3.4999436796534367</v>
      </c>
      <c r="S57" s="95">
        <f>VLOOKUP($B57,'DCS Data'!$E$2:$AJ$100,MATCH('Daily Report'!S$1,'DCS Data'!$E$2:$AJ$2,0),0)</f>
        <v>3.5002458868748247</v>
      </c>
      <c r="T57" s="95">
        <f>VLOOKUP($B57,'DCS Data'!$E$2:$AJ$100,MATCH('Daily Report'!T$1,'DCS Data'!$E$2:$AJ$2,0),0)</f>
        <v>3.5000611896511171</v>
      </c>
      <c r="U57" s="95">
        <f>VLOOKUP($B57,'DCS Data'!$E$2:$AJ$100,MATCH('Daily Report'!U$1,'DCS Data'!$E$2:$AJ$2,0),0)</f>
        <v>3.4999062349982792</v>
      </c>
      <c r="V57" s="95">
        <f>VLOOKUP($B57,'DCS Data'!$E$2:$AJ$100,MATCH('Daily Report'!V$1,'DCS Data'!$E$2:$AJ$2,0),0)</f>
        <v>3.5000269492445026</v>
      </c>
      <c r="W57" s="95">
        <f>VLOOKUP($B57,'DCS Data'!$E$2:$AJ$100,MATCH('Daily Report'!W$1,'DCS Data'!$E$2:$AJ$2,0),0)</f>
        <v>3.49987347243784</v>
      </c>
      <c r="X57" s="95">
        <f>VLOOKUP($B57,'DCS Data'!$E$2:$AJ$100,MATCH('Daily Report'!X$1,'DCS Data'!$E$2:$AJ$2,0),0)</f>
        <v>3.4998924321228064</v>
      </c>
      <c r="Y57" s="95">
        <f>VLOOKUP($B57,'DCS Data'!$E$2:$AJ$100,MATCH('Daily Report'!Y$1,'DCS Data'!$E$2:$AJ$2,0),0)</f>
        <v>3.4998975464180608</v>
      </c>
      <c r="Z57" s="95">
        <f>VLOOKUP($B57,'DCS Data'!$E$2:$AJ$100,MATCH('Daily Report'!Z$1,'DCS Data'!$E$2:$AJ$2,0),0)</f>
        <v>3.5000461761536599</v>
      </c>
      <c r="AA57" s="95">
        <f>VLOOKUP($B57,'DCS Data'!$E$2:$AJ$100,MATCH('Daily Report'!AA$1,'DCS Data'!$E$2:$AJ$2,0),0)</f>
        <v>3.4999050690322635</v>
      </c>
      <c r="AB57" s="95">
        <f>VLOOKUP($B57,'DCS Data'!$E$2:$AJ$100,MATCH('Daily Report'!AB$1,'DCS Data'!$E$2:$AJ$2,0),0)</f>
        <v>3.4997082361792531</v>
      </c>
      <c r="AC57" s="95">
        <f>VLOOKUP($B57,'DCS Data'!$E$2:$AJ$100,MATCH('Daily Report'!AC$1,'DCS Data'!$E$2:$AJ$2,0),0)</f>
        <v>3.4999716236277205</v>
      </c>
      <c r="AD57" s="95">
        <f>VLOOKUP($B57,'DCS Data'!$E$2:$AJ$100,MATCH('Daily Report'!AD$1,'DCS Data'!$E$2:$AJ$2,0),0)</f>
        <v>3.5002829264065212</v>
      </c>
      <c r="AE57" s="95">
        <f>VLOOKUP($B57,'DCS Data'!$E$2:$AJ$100,MATCH('Daily Report'!AE$1,'DCS Data'!$E$2:$AJ$2,0),0)</f>
        <v>3.499926328334213</v>
      </c>
      <c r="AF57" s="95">
        <f>VLOOKUP($B57,'DCS Data'!$E$2:$AJ$100,MATCH('Daily Report'!AF$1,'DCS Data'!$E$2:$AJ$2,0),0)</f>
        <v>3.5001380194173812</v>
      </c>
      <c r="AG57" s="95">
        <f>VLOOKUP($B57,'DCS Data'!$E$2:$AJ$100,MATCH('Daily Report'!AG$1,'DCS Data'!$E$2:$AJ$2,0),0)</f>
        <v>3.4999511223365993</v>
      </c>
      <c r="AH57" s="95">
        <f>VLOOKUP($B57,'DCS Data'!$E$2:$AJ$100,MATCH('Daily Report'!AH$1,'DCS Data'!$E$2:$AJ$2,0),0)</f>
        <v>3.4999887202678082</v>
      </c>
      <c r="AI57" s="95">
        <f>VLOOKUP($B57,'DCS Data'!$E$2:$AJ$100,MATCH('Daily Report'!AI$1,'DCS Data'!$E$2:$AJ$2,0),0)</f>
        <v>3.5000125953424956</v>
      </c>
      <c r="AJ57" s="95">
        <f>VLOOKUP($B57,'DCS Data'!$E$2:$AJ$100,MATCH('Daily Report'!AJ$1,'DCS Data'!$E$2:$AJ$2,0),0)</f>
        <v>3.499931188884764</v>
      </c>
      <c r="AK57" s="95">
        <f>VLOOKUP($B57,'DCS Data'!$E$2:$AJ$100,MATCH('Daily Report'!AK$1,'DCS Data'!$E$2:$AJ$2,0),0)</f>
        <v>3.5000869239664052</v>
      </c>
      <c r="AL57" s="95">
        <f>VLOOKUP($B57,'DCS Data'!$E$2:$AJ$100,MATCH('Daily Report'!AL$1,'DCS Data'!$E$2:$AJ$2,0),0)</f>
        <v>3.5000863737636951</v>
      </c>
      <c r="AM57" s="95">
        <f>VLOOKUP($B57,'DCS Data'!$E$2:$AJ$100,MATCH('Daily Report'!AM$1,'DCS Data'!$E$2:$AJ$2,0),0)</f>
        <v>3.4998704820441016</v>
      </c>
      <c r="AN57" s="95">
        <f>VLOOKUP($B57,'DCS Data'!$E$2:$AJ$100,MATCH('Daily Report'!AN$1,'DCS Data'!$E$2:$AJ$2,0),0)</f>
        <v>3.4998577300062874</v>
      </c>
      <c r="AO57" s="215"/>
      <c r="AP57" s="215"/>
      <c r="AQ57" s="215"/>
      <c r="AR57" s="215"/>
      <c r="AS57" s="215"/>
      <c r="AT57" s="215"/>
      <c r="AU57" s="215"/>
      <c r="AV57" s="215"/>
      <c r="AW57" s="215"/>
      <c r="AX57" s="215"/>
      <c r="AY57" s="215"/>
      <c r="AZ57" s="215"/>
      <c r="BA57" s="215"/>
      <c r="BB57" s="215"/>
      <c r="BC57" s="215"/>
      <c r="BD57" s="215"/>
      <c r="BE57" s="215"/>
      <c r="BF57" s="215"/>
      <c r="BG57" s="215"/>
      <c r="BH57" s="215"/>
      <c r="BI57" s="215"/>
      <c r="BJ57" s="215"/>
      <c r="BK57" s="215"/>
      <c r="BL57" s="215"/>
      <c r="BM57" s="215"/>
      <c r="BN57" s="215"/>
      <c r="BO57" s="215"/>
      <c r="BP57" s="215"/>
      <c r="BQ57" s="215"/>
      <c r="BR57" s="215"/>
      <c r="BS57" s="215"/>
      <c r="BT57" s="215"/>
      <c r="BU57" s="215"/>
      <c r="BV57" s="215"/>
      <c r="BW57" s="215"/>
      <c r="BX57" s="215"/>
      <c r="BY57" s="215"/>
      <c r="BZ57" s="215"/>
      <c r="CA57" s="215"/>
      <c r="CB57" s="215"/>
      <c r="CC57" s="215"/>
      <c r="CD57" s="215"/>
      <c r="CE57" s="215"/>
      <c r="CF57" s="215"/>
      <c r="CG57" s="215"/>
      <c r="CH57" s="215"/>
      <c r="CI57" s="215"/>
      <c r="CJ57" s="215"/>
      <c r="CK57" s="215"/>
      <c r="CL57" s="215"/>
      <c r="CM57" s="215"/>
      <c r="CN57" s="215"/>
      <c r="CO57" s="215"/>
      <c r="CP57" s="215"/>
      <c r="CQ57" s="215"/>
      <c r="CR57" s="215"/>
      <c r="CS57" s="215"/>
      <c r="CT57" s="215"/>
      <c r="CU57" s="215"/>
      <c r="CV57" s="215"/>
      <c r="CW57" s="215"/>
      <c r="CX57" s="215"/>
      <c r="CY57" s="215"/>
      <c r="CZ57" s="215"/>
      <c r="DA57" s="215"/>
      <c r="DB57" s="215"/>
      <c r="DC57" s="215"/>
      <c r="DD57" s="215"/>
      <c r="DE57" s="215"/>
      <c r="DF57" s="215"/>
      <c r="DG57" s="215"/>
      <c r="DH57" s="215"/>
      <c r="DI57" s="215"/>
      <c r="DJ57" s="215"/>
      <c r="DK57" s="215"/>
      <c r="DL57" s="215"/>
      <c r="DM57" s="215"/>
      <c r="DN57" s="215"/>
      <c r="DO57" s="215"/>
      <c r="DP57" s="215"/>
      <c r="DQ57" s="215"/>
      <c r="DR57" s="215"/>
      <c r="DS57" s="215"/>
      <c r="DT57" s="215"/>
      <c r="DU57" s="215"/>
      <c r="DV57" s="215"/>
      <c r="DW57" s="215"/>
      <c r="DX57" s="215"/>
      <c r="DY57" s="215"/>
      <c r="DZ57" s="215"/>
      <c r="EA57" s="215"/>
      <c r="EB57" s="215"/>
      <c r="EC57" s="215"/>
      <c r="ED57" s="215"/>
      <c r="EE57" s="215"/>
      <c r="EF57" s="215"/>
      <c r="EG57" s="215"/>
      <c r="EH57" s="215"/>
      <c r="EI57" s="215"/>
      <c r="EJ57" s="215"/>
      <c r="EK57" s="215"/>
      <c r="EL57" s="215"/>
      <c r="EM57" s="215"/>
      <c r="EN57" s="215"/>
      <c r="EO57" s="215"/>
      <c r="EP57" s="215"/>
      <c r="EQ57" s="215"/>
      <c r="ER57" s="215"/>
      <c r="ES57" s="215"/>
      <c r="ET57" s="215"/>
      <c r="EU57" s="215"/>
      <c r="EV57" s="215"/>
      <c r="EW57" s="215"/>
      <c r="EX57" s="215"/>
      <c r="EY57" s="215"/>
      <c r="EZ57" s="215"/>
      <c r="FA57" s="215"/>
      <c r="FB57" s="215"/>
      <c r="FC57" s="215"/>
      <c r="FD57" s="215"/>
      <c r="FE57" s="215"/>
      <c r="FF57" s="215"/>
      <c r="FG57" s="215"/>
      <c r="FH57" s="215"/>
      <c r="FI57" s="215"/>
      <c r="FJ57" s="215"/>
      <c r="FK57" s="215"/>
      <c r="FL57" s="215"/>
      <c r="FM57" s="215"/>
      <c r="FN57" s="215"/>
      <c r="FO57" s="215"/>
      <c r="FP57" s="215"/>
      <c r="FQ57" s="215"/>
      <c r="FR57" s="215"/>
      <c r="FS57" s="215"/>
      <c r="FT57" s="215"/>
      <c r="FU57" s="215"/>
      <c r="FV57" s="215"/>
      <c r="FW57" s="215"/>
      <c r="FX57" s="215"/>
      <c r="FY57" s="215"/>
      <c r="FZ57" s="215"/>
      <c r="GA57" s="215"/>
      <c r="GB57" s="215"/>
      <c r="GC57" s="215"/>
      <c r="GD57" s="215"/>
      <c r="GE57" s="215"/>
      <c r="GF57" s="215"/>
      <c r="GG57" s="215"/>
      <c r="GH57" s="215"/>
      <c r="GI57" s="215"/>
      <c r="GJ57" s="215"/>
      <c r="GK57" s="215"/>
      <c r="GL57" s="215"/>
      <c r="GM57" s="215"/>
      <c r="GN57" s="215"/>
      <c r="GO57" s="215"/>
      <c r="GP57" s="215"/>
      <c r="GQ57" s="215"/>
      <c r="GR57" s="215"/>
      <c r="GS57" s="215"/>
      <c r="GT57" s="215"/>
      <c r="GU57" s="215"/>
      <c r="GV57" s="215"/>
      <c r="GW57" s="215"/>
      <c r="GX57" s="215"/>
      <c r="GY57" s="215"/>
      <c r="GZ57" s="215"/>
      <c r="HA57" s="215"/>
      <c r="HB57" s="215"/>
      <c r="HC57" s="215"/>
      <c r="HD57" s="215"/>
      <c r="HE57" s="215"/>
      <c r="HF57" s="215"/>
      <c r="HG57" s="215"/>
      <c r="HH57" s="215"/>
      <c r="HI57" s="215"/>
      <c r="HJ57" s="215"/>
      <c r="HK57" s="215"/>
      <c r="HL57" s="215"/>
      <c r="HM57" s="215"/>
      <c r="HN57" s="215"/>
      <c r="HO57" s="215"/>
      <c r="HP57" s="215"/>
      <c r="HQ57" s="215"/>
      <c r="HR57" s="215"/>
      <c r="HS57" s="215"/>
      <c r="HT57" s="215"/>
      <c r="HU57" s="215"/>
      <c r="HV57" s="215"/>
      <c r="HW57" s="215"/>
      <c r="HX57" s="215"/>
      <c r="HY57" s="215"/>
      <c r="HZ57" s="215"/>
      <c r="IA57" s="215"/>
      <c r="IB57" s="215"/>
      <c r="IC57" s="215"/>
      <c r="ID57" s="215"/>
      <c r="IE57" s="215"/>
      <c r="IF57" s="215"/>
      <c r="IG57" s="215"/>
      <c r="IH57" s="215"/>
      <c r="II57" s="215"/>
      <c r="IJ57" s="215"/>
      <c r="IK57" s="215"/>
      <c r="IL57" s="215"/>
      <c r="IM57" s="215"/>
      <c r="IN57" s="215"/>
      <c r="IO57" s="215"/>
      <c r="IP57" s="215"/>
      <c r="IQ57" s="215"/>
      <c r="IR57" s="215"/>
      <c r="IS57" s="215"/>
      <c r="IT57" s="215"/>
      <c r="IU57" s="215"/>
      <c r="IV57" s="215"/>
      <c r="IW57" s="215"/>
      <c r="IX57" s="215"/>
      <c r="IY57" s="215"/>
      <c r="IZ57" s="215"/>
      <c r="JA57" s="215"/>
      <c r="JB57" s="215"/>
      <c r="JC57" s="215"/>
      <c r="JD57" s="215"/>
      <c r="JE57" s="215"/>
      <c r="JF57" s="215"/>
      <c r="JG57" s="215"/>
      <c r="JH57" s="215"/>
      <c r="JI57" s="215"/>
      <c r="JJ57" s="215"/>
      <c r="JK57" s="215"/>
      <c r="JL57" s="215"/>
      <c r="JM57" s="215"/>
      <c r="JN57" s="215"/>
      <c r="JO57" s="215"/>
      <c r="JP57" s="215"/>
      <c r="JQ57" s="215"/>
      <c r="JR57" s="215"/>
      <c r="JS57" s="215"/>
      <c r="JT57" s="215"/>
      <c r="JU57" s="215"/>
      <c r="JV57" s="215"/>
      <c r="JW57" s="215"/>
      <c r="JX57" s="215"/>
      <c r="JY57" s="215"/>
      <c r="JZ57" s="215"/>
      <c r="KA57" s="215"/>
      <c r="KB57" s="215"/>
      <c r="KC57" s="215"/>
      <c r="KD57" s="215"/>
      <c r="KE57" s="215"/>
      <c r="KF57" s="215"/>
      <c r="KG57" s="215"/>
      <c r="KH57" s="215"/>
      <c r="KI57" s="215"/>
      <c r="KJ57" s="215"/>
      <c r="KK57" s="215"/>
      <c r="KL57" s="215"/>
      <c r="KM57" s="215"/>
      <c r="KN57" s="215"/>
      <c r="KO57" s="215"/>
      <c r="KP57" s="215"/>
      <c r="KQ57" s="215"/>
      <c r="KR57" s="215"/>
      <c r="KS57" s="215"/>
      <c r="KT57" s="215"/>
      <c r="KU57" s="215"/>
      <c r="KV57" s="215"/>
      <c r="KW57" s="215"/>
      <c r="KX57" s="215"/>
      <c r="KY57" s="215"/>
      <c r="KZ57" s="215"/>
      <c r="LA57" s="215"/>
      <c r="LB57" s="215"/>
      <c r="LC57" s="215"/>
      <c r="LD57" s="215"/>
      <c r="LE57" s="215"/>
      <c r="LF57" s="215"/>
      <c r="LG57" s="215"/>
      <c r="LH57" s="215"/>
      <c r="LI57" s="215"/>
      <c r="LJ57" s="215"/>
      <c r="LK57" s="215"/>
      <c r="LL57" s="215"/>
      <c r="LM57" s="215"/>
      <c r="LN57" s="215"/>
      <c r="LO57" s="215"/>
      <c r="LP57" s="215"/>
      <c r="LQ57" s="215"/>
      <c r="LR57" s="215"/>
      <c r="LS57" s="215"/>
      <c r="LT57" s="215"/>
      <c r="LU57" s="215"/>
      <c r="LV57" s="215"/>
      <c r="LW57" s="215"/>
      <c r="LX57" s="215"/>
      <c r="LY57" s="215"/>
      <c r="LZ57" s="215"/>
      <c r="MA57" s="215"/>
      <c r="MB57" s="215"/>
      <c r="MC57" s="215"/>
      <c r="MD57" s="215"/>
      <c r="ME57" s="215"/>
      <c r="MF57" s="215"/>
      <c r="MG57" s="215"/>
      <c r="MH57" s="215"/>
      <c r="MI57" s="215"/>
      <c r="MJ57" s="215"/>
      <c r="MK57" s="215"/>
      <c r="ML57" s="215"/>
      <c r="MM57" s="215"/>
      <c r="MN57" s="215"/>
      <c r="MO57" s="215"/>
      <c r="MP57" s="215"/>
      <c r="MQ57" s="215"/>
      <c r="MR57" s="215"/>
      <c r="MS57" s="215"/>
      <c r="MT57" s="215"/>
      <c r="MU57" s="215"/>
      <c r="MV57" s="215"/>
      <c r="MW57" s="215"/>
      <c r="MX57" s="215"/>
      <c r="MY57" s="215"/>
      <c r="MZ57" s="215"/>
      <c r="NA57" s="215"/>
      <c r="NB57" s="215"/>
      <c r="NC57" s="215"/>
      <c r="ND57" s="215"/>
      <c r="NE57" s="215"/>
      <c r="NF57" s="215"/>
      <c r="NG57" s="215"/>
      <c r="NH57" s="215"/>
      <c r="NI57" s="215"/>
      <c r="NJ57" s="215"/>
      <c r="NK57" s="215"/>
      <c r="NL57" s="215"/>
      <c r="NM57" s="215"/>
      <c r="NN57" s="215"/>
      <c r="NO57" s="215"/>
      <c r="NP57" s="215"/>
      <c r="NQ57" s="215"/>
      <c r="NR57" s="215"/>
      <c r="NS57" s="215"/>
      <c r="NT57" s="215"/>
      <c r="NU57" s="215"/>
      <c r="NV57" s="215"/>
      <c r="NW57" s="215"/>
      <c r="NX57" s="215"/>
      <c r="NY57" s="215"/>
      <c r="NZ57" s="215"/>
      <c r="OA57" s="215"/>
      <c r="OB57" s="215"/>
      <c r="OC57" s="215"/>
      <c r="OD57" s="215"/>
      <c r="OE57" s="215"/>
      <c r="OF57" s="215"/>
      <c r="OG57" s="215"/>
      <c r="OH57" s="215"/>
      <c r="OI57" s="215"/>
      <c r="OJ57" s="215"/>
      <c r="OK57" s="215"/>
      <c r="OL57" s="215"/>
      <c r="OM57" s="215"/>
      <c r="ON57" s="215"/>
      <c r="OO57" s="215"/>
      <c r="OP57" s="215"/>
      <c r="OQ57" s="215"/>
      <c r="OR57" s="215"/>
      <c r="OS57" s="215"/>
      <c r="OT57" s="215"/>
      <c r="OU57" s="215"/>
      <c r="OV57" s="215"/>
      <c r="OW57" s="215"/>
      <c r="OX57" s="215"/>
      <c r="OY57" s="215"/>
      <c r="OZ57" s="215"/>
      <c r="PA57" s="215"/>
      <c r="PB57" s="215"/>
      <c r="PC57" s="215"/>
      <c r="PD57" s="215"/>
      <c r="PE57" s="215"/>
      <c r="PF57" s="215"/>
      <c r="PG57" s="215"/>
      <c r="PH57" s="215"/>
      <c r="PI57" s="215"/>
      <c r="PJ57" s="215"/>
      <c r="PK57" s="215"/>
      <c r="PL57" s="215"/>
      <c r="PM57" s="215"/>
      <c r="PN57" s="215"/>
      <c r="PO57" s="215"/>
      <c r="PP57" s="215"/>
      <c r="PQ57" s="215"/>
      <c r="PR57" s="215"/>
      <c r="PS57" s="215"/>
      <c r="PT57" s="215"/>
      <c r="PU57" s="215"/>
      <c r="PV57" s="215"/>
      <c r="PW57" s="215"/>
      <c r="PX57" s="215"/>
      <c r="PY57" s="215"/>
      <c r="PZ57" s="215"/>
      <c r="QA57" s="215"/>
      <c r="QB57" s="215"/>
      <c r="QC57" s="215"/>
      <c r="QD57" s="215"/>
      <c r="QE57" s="215"/>
      <c r="QF57" s="215"/>
      <c r="QG57" s="215"/>
      <c r="QH57" s="215"/>
      <c r="QI57" s="215"/>
      <c r="QJ57" s="215"/>
      <c r="QK57" s="215"/>
      <c r="QL57" s="215"/>
      <c r="QM57" s="215"/>
      <c r="QN57" s="215"/>
      <c r="QO57" s="215"/>
      <c r="QP57" s="215"/>
      <c r="QQ57" s="215"/>
      <c r="QR57" s="215"/>
      <c r="QS57" s="215"/>
      <c r="QT57" s="215"/>
      <c r="QU57" s="215"/>
      <c r="QV57" s="215"/>
      <c r="QW57" s="215"/>
      <c r="QX57" s="215"/>
      <c r="QY57" s="215"/>
      <c r="QZ57" s="215"/>
      <c r="RA57" s="215"/>
      <c r="RB57" s="215"/>
      <c r="RC57" s="215"/>
      <c r="RD57" s="215"/>
      <c r="RE57" s="215"/>
      <c r="RF57" s="215"/>
      <c r="RG57" s="215"/>
      <c r="RH57" s="215"/>
      <c r="RI57" s="215"/>
      <c r="RJ57" s="215"/>
      <c r="RK57" s="215"/>
      <c r="RL57" s="215"/>
      <c r="RM57" s="215"/>
      <c r="RN57" s="215"/>
      <c r="RO57" s="215"/>
      <c r="RP57" s="215"/>
      <c r="RQ57" s="215"/>
      <c r="RR57" s="215"/>
      <c r="RS57" s="215"/>
      <c r="RT57" s="215"/>
      <c r="RU57" s="215"/>
      <c r="RV57" s="215"/>
      <c r="RW57" s="215"/>
      <c r="RX57" s="215"/>
      <c r="RY57" s="215"/>
      <c r="RZ57" s="215"/>
      <c r="SA57" s="215"/>
      <c r="SB57" s="215"/>
      <c r="SC57" s="215"/>
      <c r="SD57" s="215"/>
      <c r="SE57" s="215"/>
      <c r="SF57" s="215"/>
      <c r="SG57" s="215"/>
      <c r="SH57" s="215"/>
      <c r="SI57" s="215"/>
      <c r="SJ57" s="215"/>
      <c r="SK57" s="215"/>
      <c r="SL57" s="215"/>
      <c r="SM57" s="215"/>
      <c r="SN57" s="215"/>
      <c r="SO57" s="215"/>
      <c r="SP57" s="215"/>
      <c r="SQ57" s="215"/>
      <c r="SR57" s="215"/>
      <c r="SS57" s="215"/>
      <c r="ST57" s="215"/>
      <c r="SU57" s="215"/>
      <c r="SV57" s="215"/>
      <c r="SW57" s="215"/>
      <c r="SX57" s="215"/>
      <c r="SY57" s="215"/>
      <c r="SZ57" s="215"/>
      <c r="TA57" s="215"/>
      <c r="TB57" s="215"/>
      <c r="TC57" s="215"/>
      <c r="TD57" s="215"/>
      <c r="TE57" s="215"/>
      <c r="TF57" s="215"/>
      <c r="TG57" s="215"/>
      <c r="TH57" s="215"/>
      <c r="TI57" s="215"/>
      <c r="TJ57" s="215"/>
      <c r="TK57" s="215"/>
      <c r="TL57" s="215"/>
      <c r="TM57" s="215"/>
      <c r="TN57" s="215"/>
      <c r="TO57" s="215"/>
      <c r="TP57" s="215"/>
      <c r="TQ57" s="215"/>
      <c r="TR57" s="215"/>
      <c r="TS57" s="215"/>
      <c r="TT57" s="215"/>
      <c r="TU57" s="215"/>
      <c r="TV57" s="215"/>
      <c r="TW57" s="215"/>
      <c r="TX57" s="215"/>
      <c r="TY57" s="215"/>
      <c r="TZ57" s="215"/>
      <c r="UA57" s="215"/>
      <c r="UB57" s="215"/>
      <c r="UC57" s="215"/>
      <c r="UD57" s="215"/>
      <c r="UE57" s="215"/>
      <c r="UF57" s="215"/>
      <c r="UG57" s="215"/>
      <c r="UH57" s="215"/>
      <c r="UI57" s="215"/>
      <c r="UJ57" s="215"/>
      <c r="UK57" s="215"/>
      <c r="UL57" s="215"/>
      <c r="UM57" s="215"/>
      <c r="UN57" s="215"/>
      <c r="UO57" s="215"/>
      <c r="UP57" s="215"/>
      <c r="UQ57" s="215"/>
      <c r="UR57" s="215"/>
      <c r="US57" s="215"/>
      <c r="UT57" s="215"/>
      <c r="UU57" s="215"/>
      <c r="UV57" s="215"/>
      <c r="UW57" s="215"/>
      <c r="UX57" s="215"/>
      <c r="UY57" s="215"/>
      <c r="UZ57" s="215"/>
      <c r="VA57" s="215"/>
      <c r="VB57" s="215"/>
      <c r="VC57" s="215"/>
      <c r="VD57" s="215"/>
      <c r="VE57" s="215"/>
      <c r="VF57" s="215"/>
      <c r="VG57" s="215"/>
      <c r="VH57" s="215"/>
      <c r="VI57" s="215"/>
      <c r="VJ57" s="215"/>
      <c r="VK57" s="215"/>
      <c r="VL57" s="215"/>
      <c r="VM57" s="215"/>
      <c r="VN57" s="215"/>
      <c r="VO57" s="215"/>
      <c r="VP57" s="215"/>
      <c r="VQ57" s="215"/>
      <c r="VR57" s="215"/>
      <c r="VS57" s="215"/>
      <c r="VT57" s="215"/>
      <c r="VU57" s="215"/>
      <c r="VV57" s="215"/>
      <c r="VW57" s="215"/>
      <c r="VX57" s="215"/>
      <c r="VY57" s="215"/>
      <c r="VZ57" s="215"/>
      <c r="WA57" s="215"/>
      <c r="WB57" s="215"/>
      <c r="WC57" s="215"/>
      <c r="WD57" s="215"/>
      <c r="WE57" s="215"/>
      <c r="WF57" s="215"/>
      <c r="WG57" s="215"/>
      <c r="WH57" s="215"/>
      <c r="WI57" s="215"/>
      <c r="WJ57" s="215"/>
      <c r="WK57" s="215"/>
      <c r="WL57" s="215"/>
      <c r="WM57" s="215"/>
      <c r="WN57" s="215"/>
      <c r="WO57" s="215"/>
      <c r="WP57" s="215"/>
      <c r="WQ57" s="215"/>
      <c r="WR57" s="215"/>
      <c r="WS57" s="215"/>
      <c r="WT57" s="215"/>
      <c r="WU57" s="215"/>
      <c r="WV57" s="215"/>
      <c r="WW57" s="215"/>
      <c r="WX57" s="215"/>
      <c r="WY57" s="215"/>
      <c r="WZ57" s="215"/>
      <c r="XA57" s="215"/>
      <c r="XB57" s="215"/>
      <c r="XC57" s="215"/>
      <c r="XD57" s="215"/>
      <c r="XE57" s="215"/>
      <c r="XF57" s="215"/>
      <c r="XG57" s="215"/>
      <c r="XH57" s="215"/>
      <c r="XI57" s="215"/>
      <c r="XJ57" s="215"/>
      <c r="XK57" s="215"/>
      <c r="XL57" s="215"/>
      <c r="XM57" s="215"/>
      <c r="XN57" s="215"/>
      <c r="XO57" s="215"/>
      <c r="XP57" s="215"/>
      <c r="XQ57" s="215"/>
      <c r="XR57" s="215"/>
      <c r="XS57" s="215"/>
      <c r="XT57" s="215"/>
      <c r="XU57" s="215"/>
      <c r="XV57" s="215"/>
      <c r="XW57" s="215"/>
      <c r="XX57" s="215"/>
      <c r="XY57" s="215"/>
      <c r="XZ57" s="215"/>
      <c r="YA57" s="215"/>
      <c r="YB57" s="215"/>
      <c r="YC57" s="215"/>
      <c r="YD57" s="215"/>
      <c r="YE57" s="215"/>
      <c r="YF57" s="215"/>
      <c r="YG57" s="215"/>
      <c r="YH57" s="215"/>
      <c r="YI57" s="215"/>
      <c r="YJ57" s="215"/>
      <c r="YK57" s="215"/>
      <c r="YL57" s="215"/>
      <c r="YM57" s="215"/>
      <c r="YN57" s="215"/>
      <c r="YO57" s="215"/>
      <c r="YP57" s="215"/>
      <c r="YQ57" s="215"/>
      <c r="YR57" s="215"/>
      <c r="YS57" s="215"/>
      <c r="YT57" s="215"/>
      <c r="YU57" s="215"/>
      <c r="YV57" s="215"/>
      <c r="YW57" s="215"/>
      <c r="YX57" s="215"/>
      <c r="YY57" s="215"/>
      <c r="YZ57" s="215"/>
      <c r="ZA57" s="215"/>
      <c r="ZB57" s="215"/>
      <c r="ZC57" s="215"/>
      <c r="ZD57" s="215"/>
      <c r="ZE57" s="215"/>
      <c r="ZF57" s="215"/>
      <c r="ZG57" s="215"/>
      <c r="ZH57" s="215"/>
      <c r="ZI57" s="215"/>
      <c r="ZJ57" s="215"/>
      <c r="ZK57" s="215"/>
      <c r="ZL57" s="215"/>
      <c r="ZM57" s="215"/>
      <c r="ZN57" s="215"/>
      <c r="ZO57" s="215"/>
      <c r="ZP57" s="215"/>
      <c r="ZQ57" s="215"/>
      <c r="ZR57" s="215"/>
      <c r="ZS57" s="215"/>
      <c r="ZT57" s="215"/>
      <c r="ZU57" s="215"/>
      <c r="ZV57" s="215"/>
      <c r="ZW57" s="215"/>
      <c r="ZX57" s="215"/>
      <c r="ZY57" s="215"/>
      <c r="ZZ57" s="215"/>
      <c r="AAA57" s="215"/>
      <c r="AAB57" s="215"/>
      <c r="AAC57" s="215"/>
      <c r="AAD57" s="215"/>
      <c r="AAE57" s="215"/>
      <c r="AAF57" s="215"/>
      <c r="AAG57" s="215"/>
      <c r="AAH57" s="215"/>
      <c r="AAI57" s="215"/>
      <c r="AAJ57" s="215"/>
      <c r="AAK57" s="215"/>
      <c r="AAL57" s="215"/>
      <c r="AAM57" s="215"/>
      <c r="AAN57" s="215"/>
      <c r="AAO57" s="215"/>
      <c r="AAP57" s="215"/>
      <c r="AAQ57" s="215"/>
      <c r="AAR57" s="215"/>
      <c r="AAS57" s="215"/>
      <c r="AAT57" s="215"/>
      <c r="AAU57" s="215"/>
      <c r="AAV57" s="215"/>
      <c r="AAW57" s="215"/>
      <c r="AAX57" s="215"/>
      <c r="AAY57" s="215"/>
      <c r="AAZ57" s="215"/>
      <c r="ABA57" s="215"/>
      <c r="ABB57" s="215"/>
      <c r="ABC57" s="215"/>
      <c r="ABD57" s="215"/>
      <c r="ABE57" s="215"/>
      <c r="ABF57" s="215"/>
      <c r="ABG57" s="215"/>
      <c r="ABH57" s="215"/>
      <c r="ABI57" s="215"/>
      <c r="ABJ57" s="215"/>
      <c r="ABK57" s="215"/>
      <c r="ABL57" s="215"/>
      <c r="ABM57" s="215"/>
      <c r="ABN57" s="215"/>
      <c r="ABO57" s="215"/>
      <c r="ABP57" s="215"/>
      <c r="ABQ57" s="215"/>
      <c r="ABR57" s="215"/>
      <c r="ABS57" s="215"/>
      <c r="ABT57" s="215"/>
      <c r="ABU57" s="215"/>
      <c r="ABV57" s="215"/>
      <c r="ABW57" s="215"/>
      <c r="ABX57" s="215"/>
      <c r="ABY57" s="215"/>
      <c r="ABZ57" s="215"/>
      <c r="ACA57" s="215"/>
      <c r="ACB57" s="215"/>
      <c r="ACC57" s="215"/>
      <c r="ACD57" s="215"/>
      <c r="ACE57" s="215"/>
      <c r="ACF57" s="215"/>
      <c r="ACG57" s="215"/>
      <c r="ACH57" s="215"/>
      <c r="ACI57" s="215"/>
      <c r="ACJ57" s="215"/>
      <c r="ACK57" s="215"/>
      <c r="ACL57" s="215"/>
      <c r="ACM57" s="215"/>
      <c r="ACN57" s="215"/>
      <c r="ACO57" s="215"/>
      <c r="ACP57" s="215"/>
      <c r="ACQ57" s="215"/>
      <c r="ACR57" s="215"/>
      <c r="ACS57" s="215"/>
      <c r="ACT57" s="215"/>
      <c r="ACU57" s="215"/>
      <c r="ACV57" s="215"/>
      <c r="ACW57" s="215"/>
      <c r="ACX57" s="215"/>
      <c r="ACY57" s="215"/>
      <c r="ACZ57" s="215"/>
      <c r="ADA57" s="215"/>
      <c r="ADB57" s="215"/>
      <c r="ADC57" s="215"/>
      <c r="ADD57" s="215"/>
      <c r="ADE57" s="215"/>
      <c r="ADF57" s="215"/>
      <c r="ADG57" s="215"/>
      <c r="ADH57" s="215"/>
      <c r="ADI57" s="215"/>
      <c r="ADJ57" s="215"/>
      <c r="ADK57" s="215"/>
      <c r="ADL57" s="215"/>
      <c r="ADM57" s="215"/>
      <c r="ADN57" s="215"/>
      <c r="ADO57" s="215"/>
      <c r="ADP57" s="215"/>
      <c r="ADQ57" s="215"/>
      <c r="ADR57" s="215"/>
      <c r="ADS57" s="215"/>
      <c r="ADT57" s="215"/>
      <c r="ADU57" s="215"/>
      <c r="ADV57" s="215"/>
      <c r="ADW57" s="215"/>
      <c r="ADX57" s="215"/>
      <c r="ADY57" s="215"/>
      <c r="ADZ57" s="215"/>
      <c r="AEA57" s="215"/>
      <c r="AEB57" s="215"/>
      <c r="AEC57" s="215"/>
      <c r="AED57" s="215"/>
      <c r="AEE57" s="215"/>
      <c r="AEF57" s="215"/>
      <c r="AEG57" s="215"/>
      <c r="AEH57" s="215"/>
      <c r="AEI57" s="215"/>
      <c r="AEJ57" s="215"/>
      <c r="AEK57" s="215"/>
      <c r="AEL57" s="215"/>
      <c r="AEM57" s="215"/>
      <c r="AEN57" s="215"/>
      <c r="AEO57" s="215"/>
      <c r="AEP57" s="215"/>
      <c r="AEQ57" s="215"/>
      <c r="AER57" s="215"/>
      <c r="AES57" s="215"/>
      <c r="AET57" s="215"/>
      <c r="AEU57" s="215"/>
      <c r="AEV57" s="215"/>
      <c r="AEW57" s="215"/>
      <c r="AEX57" s="215"/>
      <c r="AEY57" s="215"/>
      <c r="AEZ57" s="215"/>
      <c r="AFA57" s="215"/>
      <c r="AFB57" s="215"/>
      <c r="AFC57" s="215"/>
      <c r="AFD57" s="215"/>
      <c r="AFE57" s="215"/>
      <c r="AFF57" s="215"/>
      <c r="AFG57" s="215"/>
      <c r="AFH57" s="215"/>
      <c r="AFI57" s="215"/>
      <c r="AFJ57" s="215"/>
      <c r="AFK57" s="215"/>
      <c r="AFL57" s="215"/>
      <c r="AFM57" s="215"/>
      <c r="AFN57" s="215"/>
      <c r="AFO57" s="215"/>
      <c r="AFP57" s="215"/>
      <c r="AFQ57" s="215"/>
      <c r="AFR57" s="215"/>
      <c r="AFS57" s="215"/>
      <c r="AFT57" s="215"/>
      <c r="AFU57" s="215"/>
      <c r="AFV57" s="215"/>
      <c r="AFW57" s="215"/>
      <c r="AFX57" s="215"/>
      <c r="AFY57" s="215"/>
      <c r="AFZ57" s="215"/>
      <c r="AGA57" s="215"/>
      <c r="AGB57" s="215"/>
      <c r="AGC57" s="215"/>
      <c r="AGD57" s="215"/>
      <c r="AGE57" s="215"/>
      <c r="AGF57" s="215"/>
      <c r="AGG57" s="215"/>
      <c r="AGH57" s="215"/>
      <c r="AGI57" s="215"/>
      <c r="AGJ57" s="215"/>
      <c r="AGK57" s="215"/>
      <c r="AGL57" s="215"/>
      <c r="AGM57" s="215"/>
      <c r="AGN57" s="215"/>
      <c r="AGO57" s="215"/>
      <c r="AGP57" s="215"/>
      <c r="AGQ57" s="215"/>
      <c r="AGR57" s="215"/>
      <c r="AGS57" s="215"/>
      <c r="AGT57" s="215"/>
      <c r="AGU57" s="215"/>
      <c r="AGV57" s="215"/>
      <c r="AGW57" s="215"/>
      <c r="AGX57" s="215"/>
      <c r="AGY57" s="215"/>
      <c r="AGZ57" s="215"/>
      <c r="AHA57" s="215"/>
      <c r="AHB57" s="215"/>
      <c r="AHC57" s="215"/>
      <c r="AHD57" s="215"/>
      <c r="AHE57" s="215"/>
      <c r="AHF57" s="215"/>
      <c r="AHG57" s="215"/>
      <c r="AHH57" s="215"/>
      <c r="AHI57" s="215"/>
      <c r="AHJ57" s="215"/>
      <c r="AHK57" s="215"/>
      <c r="AHL57" s="215"/>
      <c r="AHM57" s="215"/>
      <c r="AHN57" s="215"/>
      <c r="AHO57" s="215"/>
      <c r="AHP57" s="215"/>
      <c r="AHQ57" s="215"/>
      <c r="AHR57" s="215"/>
      <c r="AHS57" s="215"/>
      <c r="AHT57" s="215"/>
      <c r="AHU57" s="215"/>
      <c r="AHV57" s="215"/>
      <c r="AHW57" s="215"/>
      <c r="AHX57" s="215"/>
      <c r="AHY57" s="215"/>
      <c r="AHZ57" s="215"/>
      <c r="AIA57" s="215"/>
      <c r="AIB57" s="215"/>
      <c r="AIC57" s="215"/>
      <c r="AID57" s="215"/>
      <c r="AIE57" s="215"/>
      <c r="AIF57" s="215"/>
      <c r="AIG57" s="215"/>
      <c r="AIH57" s="215"/>
      <c r="AII57" s="215"/>
      <c r="AIJ57" s="215"/>
      <c r="AIK57" s="215"/>
      <c r="AIL57" s="215"/>
      <c r="AIM57" s="215"/>
      <c r="AIN57" s="215"/>
      <c r="AIO57" s="215"/>
      <c r="AIP57" s="215"/>
      <c r="AIQ57" s="215"/>
      <c r="AIR57" s="215"/>
      <c r="AIS57" s="215"/>
      <c r="AIT57" s="215"/>
      <c r="AIU57" s="215"/>
      <c r="AIV57" s="215"/>
      <c r="AIW57" s="215"/>
      <c r="AIX57" s="215"/>
      <c r="AIY57" s="215"/>
      <c r="AIZ57" s="215"/>
      <c r="AJA57" s="215"/>
      <c r="AJB57" s="215"/>
      <c r="AJC57" s="215"/>
      <c r="AJD57" s="215"/>
      <c r="AJE57" s="215"/>
      <c r="AJF57" s="215"/>
      <c r="AJG57" s="215"/>
      <c r="AJH57" s="215"/>
      <c r="AJI57" s="215"/>
      <c r="AJJ57" s="215"/>
      <c r="AJK57" s="215"/>
      <c r="AJL57" s="215"/>
      <c r="AJM57" s="215"/>
      <c r="AJN57" s="215"/>
      <c r="AJO57" s="215"/>
      <c r="AJP57" s="215"/>
      <c r="AJQ57" s="215"/>
      <c r="AJR57" s="215"/>
      <c r="AJS57" s="215"/>
      <c r="AJT57" s="215"/>
      <c r="AJU57" s="215"/>
      <c r="AJV57" s="215"/>
      <c r="AJW57" s="215"/>
      <c r="AJX57" s="215"/>
      <c r="AJY57" s="215"/>
      <c r="AJZ57" s="215"/>
      <c r="AKA57" s="215"/>
      <c r="AKB57" s="215"/>
      <c r="AKC57" s="215"/>
      <c r="AKD57" s="215"/>
      <c r="AKE57" s="215"/>
      <c r="AKF57" s="215"/>
      <c r="AKG57" s="215"/>
      <c r="AKH57" s="215"/>
      <c r="AKI57" s="215"/>
      <c r="AKJ57" s="215"/>
      <c r="AKK57" s="215"/>
      <c r="AKL57" s="215"/>
      <c r="AKM57" s="215"/>
      <c r="AKN57" s="215"/>
      <c r="AKO57" s="215"/>
      <c r="AKP57" s="215"/>
      <c r="AKQ57" s="215"/>
      <c r="AKR57" s="215"/>
      <c r="AKS57" s="215"/>
      <c r="AKT57" s="215"/>
      <c r="AKU57" s="215"/>
      <c r="AKV57" s="215"/>
      <c r="AKW57" s="215"/>
      <c r="AKX57" s="215"/>
      <c r="AKY57" s="215"/>
      <c r="AKZ57" s="215"/>
      <c r="ALA57" s="215"/>
      <c r="ALB57" s="215"/>
      <c r="ALC57" s="215"/>
      <c r="ALD57" s="215"/>
      <c r="ALE57" s="215"/>
      <c r="ALF57" s="215"/>
      <c r="ALG57" s="215"/>
      <c r="ALH57" s="215"/>
      <c r="ALI57" s="215"/>
      <c r="ALJ57" s="215"/>
      <c r="ALK57" s="215"/>
      <c r="ALL57" s="215"/>
      <c r="ALM57" s="215"/>
      <c r="ALN57" s="215"/>
      <c r="ALO57" s="215"/>
      <c r="ALP57" s="215"/>
      <c r="ALQ57" s="215"/>
      <c r="ALR57" s="215"/>
      <c r="ALS57" s="215"/>
      <c r="ALT57" s="215"/>
      <c r="ALU57" s="215"/>
      <c r="ALV57" s="215"/>
      <c r="ALW57" s="215"/>
      <c r="ALX57" s="215"/>
      <c r="ALY57" s="215"/>
      <c r="ALZ57" s="215"/>
      <c r="AMA57" s="215"/>
      <c r="AMB57" s="215"/>
      <c r="AMC57" s="215"/>
      <c r="AMD57" s="215"/>
      <c r="AME57" s="215"/>
      <c r="AMF57" s="215"/>
      <c r="AMG57" s="215"/>
      <c r="AMH57" s="215"/>
      <c r="AMI57" s="215"/>
      <c r="AMJ57" s="215"/>
      <c r="AMK57" s="215"/>
      <c r="AML57" s="215"/>
      <c r="AMM57" s="215"/>
      <c r="AMN57" s="215"/>
      <c r="AMO57" s="215"/>
      <c r="AMP57" s="215"/>
      <c r="AMQ57" s="215"/>
      <c r="AMR57" s="215"/>
      <c r="AMS57" s="215"/>
      <c r="AMT57" s="215"/>
      <c r="AMU57" s="215"/>
      <c r="AMV57" s="215"/>
      <c r="AMW57" s="215"/>
      <c r="AMX57" s="215"/>
      <c r="AMY57" s="215"/>
      <c r="AMZ57" s="215"/>
      <c r="ANA57" s="215"/>
      <c r="ANB57" s="215"/>
      <c r="ANC57" s="215"/>
      <c r="AND57" s="215"/>
      <c r="ANE57" s="215"/>
      <c r="ANF57" s="215"/>
      <c r="ANG57" s="215"/>
      <c r="ANH57" s="215"/>
      <c r="ANI57" s="215"/>
      <c r="ANJ57" s="215"/>
      <c r="ANK57" s="215"/>
      <c r="ANL57" s="215"/>
      <c r="ANM57" s="215"/>
      <c r="ANN57" s="215"/>
      <c r="ANO57" s="215"/>
      <c r="ANP57" s="215"/>
      <c r="ANQ57" s="215"/>
      <c r="ANR57" s="215"/>
      <c r="ANS57" s="215"/>
      <c r="ANT57" s="215"/>
      <c r="ANU57" s="215"/>
      <c r="ANV57" s="215"/>
      <c r="ANW57" s="215"/>
      <c r="ANX57" s="215"/>
      <c r="ANY57" s="215"/>
      <c r="ANZ57" s="215"/>
      <c r="AOA57" s="215"/>
      <c r="AOB57" s="215"/>
      <c r="AOC57" s="215"/>
      <c r="AOD57" s="215"/>
      <c r="AOE57" s="215"/>
      <c r="AOF57" s="215"/>
      <c r="AOG57" s="215"/>
      <c r="AOH57" s="215"/>
      <c r="AOI57" s="215"/>
      <c r="AOJ57" s="215"/>
      <c r="AOK57" s="215"/>
      <c r="AOL57" s="215"/>
      <c r="AOM57" s="215"/>
      <c r="AON57" s="215"/>
      <c r="AOO57" s="215"/>
      <c r="AOP57" s="215"/>
      <c r="AOQ57" s="215"/>
      <c r="AOR57" s="215"/>
      <c r="AOS57" s="215"/>
      <c r="AOT57" s="215"/>
      <c r="AOU57" s="215"/>
      <c r="AOV57" s="215"/>
      <c r="AOW57" s="215"/>
      <c r="AOX57" s="215"/>
      <c r="AOY57" s="215"/>
      <c r="AOZ57" s="215"/>
      <c r="APA57" s="215"/>
      <c r="APB57" s="215"/>
      <c r="APC57" s="215"/>
      <c r="APD57" s="215"/>
      <c r="APE57" s="215"/>
      <c r="APF57" s="215"/>
      <c r="APG57" s="215"/>
      <c r="APH57" s="215"/>
      <c r="API57" s="215"/>
      <c r="APJ57" s="215"/>
      <c r="APK57" s="215"/>
      <c r="APL57" s="215"/>
      <c r="APM57" s="215"/>
      <c r="APN57" s="215"/>
      <c r="APO57" s="215"/>
      <c r="APP57" s="215"/>
      <c r="APQ57" s="215"/>
      <c r="APR57" s="215"/>
      <c r="APS57" s="215"/>
      <c r="APT57" s="215"/>
      <c r="APU57" s="215"/>
      <c r="APV57" s="215"/>
      <c r="APW57" s="215"/>
      <c r="APX57" s="215"/>
      <c r="APY57" s="215"/>
      <c r="APZ57" s="215"/>
      <c r="AQA57" s="215"/>
      <c r="AQB57" s="215"/>
      <c r="AQC57" s="215"/>
      <c r="AQD57" s="215"/>
      <c r="AQE57" s="215"/>
      <c r="AQF57" s="215"/>
      <c r="AQG57" s="215"/>
      <c r="AQH57" s="215"/>
      <c r="AQI57" s="215"/>
      <c r="AQJ57" s="215"/>
      <c r="AQK57" s="215"/>
      <c r="AQL57" s="215"/>
      <c r="AQM57" s="215"/>
      <c r="AQN57" s="215"/>
      <c r="AQO57" s="215"/>
      <c r="AQP57" s="215"/>
      <c r="AQQ57" s="215"/>
      <c r="AQR57" s="215"/>
      <c r="AQS57" s="215"/>
      <c r="AQT57" s="215"/>
      <c r="AQU57" s="215"/>
      <c r="AQV57" s="215"/>
      <c r="AQW57" s="215"/>
      <c r="AQX57" s="215"/>
      <c r="AQY57" s="215"/>
      <c r="AQZ57" s="215"/>
      <c r="ARA57" s="215"/>
      <c r="ARB57" s="215"/>
      <c r="ARC57" s="215"/>
      <c r="ARD57" s="215"/>
      <c r="ARE57" s="215"/>
      <c r="ARF57" s="215"/>
      <c r="ARG57" s="215"/>
      <c r="ARH57" s="215"/>
      <c r="ARI57" s="215"/>
      <c r="ARJ57" s="215"/>
      <c r="ARK57" s="215"/>
      <c r="ARL57" s="215"/>
      <c r="ARM57" s="215"/>
      <c r="ARN57" s="215"/>
      <c r="ARO57" s="215"/>
      <c r="ARP57" s="215"/>
      <c r="ARQ57" s="215"/>
      <c r="ARR57" s="215"/>
      <c r="ARS57" s="215"/>
      <c r="ART57" s="215"/>
      <c r="ARU57" s="215"/>
      <c r="ARV57" s="215"/>
      <c r="ARW57" s="215"/>
      <c r="ARX57" s="215"/>
      <c r="ARY57" s="215"/>
      <c r="ARZ57" s="215"/>
      <c r="ASA57" s="215"/>
      <c r="ASB57" s="215"/>
      <c r="ASC57" s="215"/>
      <c r="ASD57" s="215"/>
      <c r="ASE57" s="215"/>
      <c r="ASF57" s="215"/>
      <c r="ASG57" s="215"/>
      <c r="ASH57" s="215"/>
      <c r="ASI57" s="215"/>
      <c r="ASJ57" s="215"/>
      <c r="ASK57" s="215"/>
      <c r="ASL57" s="215"/>
      <c r="ASM57" s="215"/>
      <c r="ASN57" s="215"/>
      <c r="ASO57" s="215"/>
      <c r="ASP57" s="215"/>
      <c r="ASQ57" s="215"/>
      <c r="ASR57" s="215"/>
      <c r="ASS57" s="215"/>
      <c r="AST57" s="215"/>
      <c r="ASU57" s="215"/>
      <c r="ASV57" s="215"/>
      <c r="ASW57" s="215"/>
      <c r="ASX57" s="215"/>
      <c r="ASY57" s="215"/>
      <c r="ASZ57" s="215"/>
      <c r="ATA57" s="215"/>
      <c r="ATB57" s="215"/>
      <c r="ATC57" s="215"/>
      <c r="ATD57" s="215"/>
      <c r="ATE57" s="215"/>
      <c r="ATF57" s="215"/>
      <c r="ATG57" s="215"/>
      <c r="ATH57" s="215"/>
      <c r="ATI57" s="215"/>
      <c r="ATJ57" s="215"/>
      <c r="ATK57" s="215"/>
      <c r="ATL57" s="215"/>
      <c r="ATM57" s="215"/>
      <c r="ATN57" s="215"/>
      <c r="ATO57" s="215"/>
      <c r="ATP57" s="215"/>
      <c r="ATQ57" s="215"/>
      <c r="ATR57" s="215"/>
      <c r="ATS57" s="215"/>
      <c r="ATT57" s="215"/>
      <c r="ATU57" s="215"/>
      <c r="ATV57" s="215"/>
      <c r="ATW57" s="215"/>
      <c r="ATX57" s="215"/>
      <c r="ATY57" s="215"/>
      <c r="ATZ57" s="215"/>
      <c r="AUA57" s="215"/>
      <c r="AUB57" s="215"/>
      <c r="AUC57" s="215"/>
      <c r="AUD57" s="215"/>
      <c r="AUE57" s="215"/>
      <c r="AUF57" s="215"/>
      <c r="AUG57" s="215"/>
      <c r="AUH57" s="215"/>
      <c r="AUI57" s="215"/>
      <c r="AUJ57" s="215"/>
      <c r="AUK57" s="215"/>
      <c r="AUL57" s="215"/>
      <c r="AUM57" s="215"/>
      <c r="AUN57" s="215"/>
      <c r="AUO57" s="215"/>
      <c r="AUP57" s="215"/>
      <c r="AUQ57" s="215"/>
      <c r="AUR57" s="215"/>
      <c r="AUS57" s="215"/>
      <c r="AUT57" s="215"/>
      <c r="AUU57" s="215"/>
      <c r="AUV57" s="215"/>
      <c r="AUW57" s="215"/>
      <c r="AUX57" s="215"/>
      <c r="AUY57" s="215"/>
      <c r="AUZ57" s="215"/>
      <c r="AVA57" s="215"/>
      <c r="AVB57" s="215"/>
      <c r="AVC57" s="215"/>
      <c r="AVD57" s="215"/>
      <c r="AVE57" s="215"/>
      <c r="AVF57" s="215"/>
      <c r="AVG57" s="215"/>
      <c r="AVH57" s="215"/>
      <c r="AVI57" s="215"/>
      <c r="AVJ57" s="215"/>
      <c r="AVK57" s="215"/>
      <c r="AVL57" s="215"/>
      <c r="AVM57" s="215"/>
      <c r="AVN57" s="215"/>
      <c r="AVO57" s="215"/>
      <c r="AVP57" s="215"/>
      <c r="AVQ57" s="215"/>
      <c r="AVR57" s="215"/>
      <c r="AVS57" s="215"/>
      <c r="AVT57" s="215"/>
      <c r="AVU57" s="215"/>
      <c r="AVV57" s="215"/>
      <c r="AVW57" s="215"/>
      <c r="AVX57" s="215"/>
      <c r="AVY57" s="215"/>
      <c r="AVZ57" s="215"/>
      <c r="AWA57" s="215"/>
      <c r="AWB57" s="215"/>
      <c r="AWC57" s="215"/>
      <c r="AWD57" s="215"/>
      <c r="AWE57" s="215"/>
      <c r="AWF57" s="215"/>
      <c r="AWG57" s="215"/>
      <c r="AWH57" s="215"/>
      <c r="AWI57" s="215"/>
      <c r="AWJ57" s="215"/>
      <c r="AWK57" s="215"/>
      <c r="AWL57" s="215"/>
      <c r="AWM57" s="215"/>
      <c r="AWN57" s="215"/>
      <c r="AWO57" s="215"/>
      <c r="AWP57" s="215"/>
      <c r="AWQ57" s="215"/>
      <c r="AWR57" s="215"/>
      <c r="AWS57" s="215"/>
      <c r="AWT57" s="215"/>
      <c r="AWU57" s="215"/>
      <c r="AWV57" s="215"/>
      <c r="AWW57" s="215"/>
      <c r="AWX57" s="215"/>
      <c r="AWY57" s="215"/>
      <c r="AWZ57" s="215"/>
      <c r="AXA57" s="215"/>
      <c r="AXB57" s="215"/>
      <c r="AXC57" s="215"/>
      <c r="AXD57" s="215"/>
      <c r="AXE57" s="215"/>
      <c r="AXF57" s="215"/>
      <c r="AXG57" s="215"/>
      <c r="AXH57" s="215"/>
      <c r="AXI57" s="215"/>
      <c r="AXJ57" s="215"/>
      <c r="AXK57" s="215"/>
      <c r="AXL57" s="215"/>
      <c r="AXM57" s="215"/>
      <c r="AXN57" s="215"/>
      <c r="AXO57" s="215"/>
      <c r="AXP57" s="215"/>
      <c r="AXQ57" s="215"/>
      <c r="AXR57" s="215"/>
      <c r="AXS57" s="215"/>
      <c r="AXT57" s="215"/>
      <c r="AXU57" s="215"/>
      <c r="AXV57" s="215"/>
      <c r="AXW57" s="215"/>
      <c r="AXX57" s="215"/>
      <c r="AXY57" s="215"/>
      <c r="AXZ57" s="215"/>
      <c r="AYA57" s="215"/>
      <c r="AYB57" s="215"/>
      <c r="AYC57" s="215"/>
      <c r="AYD57" s="215"/>
      <c r="AYE57" s="215"/>
      <c r="AYF57" s="215"/>
      <c r="AYG57" s="215"/>
      <c r="AYH57" s="215"/>
      <c r="AYI57" s="215"/>
      <c r="AYJ57" s="215"/>
      <c r="AYK57" s="215"/>
      <c r="AYL57" s="215"/>
      <c r="AYM57" s="215"/>
      <c r="AYN57" s="215"/>
      <c r="AYO57" s="215"/>
      <c r="AYP57" s="215"/>
      <c r="AYQ57" s="215"/>
      <c r="AYR57" s="215"/>
      <c r="AYS57" s="215"/>
      <c r="AYT57" s="215"/>
      <c r="AYU57" s="215"/>
      <c r="AYV57" s="215"/>
      <c r="AYW57" s="215"/>
      <c r="AYX57" s="215"/>
      <c r="AYY57" s="215"/>
      <c r="AYZ57" s="215"/>
      <c r="AZA57" s="215"/>
      <c r="AZB57" s="215"/>
      <c r="AZC57" s="215"/>
      <c r="AZD57" s="215"/>
      <c r="AZE57" s="215"/>
      <c r="AZF57" s="215"/>
      <c r="AZG57" s="215"/>
      <c r="AZH57" s="215"/>
      <c r="AZI57" s="215"/>
      <c r="AZJ57" s="215"/>
      <c r="AZK57" s="215"/>
      <c r="AZL57" s="215"/>
      <c r="AZM57" s="215"/>
      <c r="AZN57" s="215"/>
      <c r="AZO57" s="215"/>
      <c r="AZP57" s="215"/>
      <c r="AZQ57" s="215"/>
      <c r="AZR57" s="215"/>
      <c r="AZS57" s="215"/>
      <c r="AZT57" s="215"/>
      <c r="AZU57" s="215"/>
      <c r="AZV57" s="215"/>
      <c r="AZW57" s="215"/>
      <c r="AZX57" s="215"/>
      <c r="AZY57" s="215"/>
      <c r="AZZ57" s="215"/>
      <c r="BAA57" s="215"/>
      <c r="BAB57" s="215"/>
      <c r="BAC57" s="215"/>
      <c r="BAD57" s="215"/>
      <c r="BAE57" s="215"/>
      <c r="BAF57" s="215"/>
      <c r="BAG57" s="215"/>
      <c r="BAH57" s="215"/>
      <c r="BAI57" s="215"/>
      <c r="BAJ57" s="215"/>
      <c r="BAK57" s="215"/>
      <c r="BAL57" s="215"/>
      <c r="BAM57" s="215"/>
      <c r="BAN57" s="215"/>
      <c r="BAO57" s="215"/>
      <c r="BAP57" s="215"/>
      <c r="BAQ57" s="215"/>
      <c r="BAR57" s="215"/>
      <c r="BAS57" s="215"/>
      <c r="BAT57" s="215"/>
      <c r="BAU57" s="215"/>
      <c r="BAV57" s="215"/>
      <c r="BAW57" s="215"/>
      <c r="BAX57" s="215"/>
      <c r="BAY57" s="215"/>
      <c r="BAZ57" s="215"/>
      <c r="BBA57" s="215"/>
      <c r="BBB57" s="215"/>
      <c r="BBC57" s="215"/>
      <c r="BBD57" s="215"/>
      <c r="BBE57" s="215"/>
      <c r="BBF57" s="215"/>
      <c r="BBG57" s="215"/>
      <c r="BBH57" s="215"/>
      <c r="BBI57" s="215"/>
      <c r="BBJ57" s="215"/>
      <c r="BBK57" s="215"/>
      <c r="BBL57" s="215"/>
      <c r="BBM57" s="215"/>
      <c r="BBN57" s="215"/>
      <c r="BBO57" s="215"/>
      <c r="BBP57" s="215"/>
      <c r="BBQ57" s="215"/>
      <c r="BBR57" s="215"/>
      <c r="BBS57" s="215"/>
      <c r="BBT57" s="215"/>
      <c r="BBU57" s="215"/>
      <c r="BBV57" s="215"/>
      <c r="BBW57" s="215"/>
      <c r="BBX57" s="215"/>
      <c r="BBY57" s="215"/>
      <c r="BBZ57" s="215"/>
      <c r="BCA57" s="215"/>
      <c r="BCB57" s="215"/>
      <c r="BCC57" s="215"/>
      <c r="BCD57" s="215"/>
      <c r="BCE57" s="215"/>
      <c r="BCF57" s="215"/>
      <c r="BCG57" s="215"/>
      <c r="BCH57" s="215"/>
      <c r="BCI57" s="215"/>
      <c r="BCJ57" s="215"/>
      <c r="BCK57" s="215"/>
      <c r="BCL57" s="215"/>
      <c r="BCM57" s="215"/>
      <c r="BCN57" s="215"/>
      <c r="BCO57" s="215"/>
      <c r="BCP57" s="215"/>
      <c r="BCQ57" s="215"/>
      <c r="BCR57" s="215"/>
      <c r="BCS57" s="215"/>
      <c r="BCT57" s="215"/>
      <c r="BCU57" s="215"/>
      <c r="BCV57" s="215"/>
      <c r="BCW57" s="215"/>
      <c r="BCX57" s="215"/>
      <c r="BCY57" s="215"/>
      <c r="BCZ57" s="215"/>
      <c r="BDA57" s="215"/>
      <c r="BDB57" s="215"/>
      <c r="BDC57" s="215"/>
      <c r="BDD57" s="215"/>
      <c r="BDE57" s="215"/>
      <c r="BDF57" s="215"/>
      <c r="BDG57" s="215"/>
      <c r="BDH57" s="215"/>
      <c r="BDI57" s="215"/>
      <c r="BDJ57" s="215"/>
      <c r="BDK57" s="215"/>
      <c r="BDL57" s="215"/>
      <c r="BDM57" s="215"/>
      <c r="BDN57" s="215"/>
      <c r="BDO57" s="215"/>
      <c r="BDP57" s="215"/>
      <c r="BDQ57" s="215"/>
      <c r="BDR57" s="215"/>
      <c r="BDS57" s="215"/>
      <c r="BDT57" s="215"/>
      <c r="BDU57" s="215"/>
      <c r="BDV57" s="215"/>
      <c r="BDW57" s="215"/>
      <c r="BDX57" s="215"/>
      <c r="BDY57" s="215"/>
      <c r="BDZ57" s="215"/>
      <c r="BEA57" s="215"/>
      <c r="BEB57" s="215"/>
      <c r="BEC57" s="215"/>
      <c r="BED57" s="215"/>
      <c r="BEE57" s="215"/>
      <c r="BEF57" s="215"/>
      <c r="BEG57" s="215"/>
      <c r="BEH57" s="215"/>
      <c r="BEI57" s="215"/>
      <c r="BEJ57" s="215"/>
      <c r="BEK57" s="215"/>
      <c r="BEL57" s="215"/>
      <c r="BEM57" s="215"/>
      <c r="BEN57" s="215"/>
      <c r="BEO57" s="215"/>
      <c r="BEP57" s="215"/>
      <c r="BEQ57" s="215"/>
      <c r="BER57" s="215"/>
      <c r="BES57" s="215"/>
      <c r="BET57" s="215"/>
      <c r="BEU57" s="215"/>
      <c r="BEV57" s="215"/>
      <c r="BEW57" s="215"/>
      <c r="BEX57" s="215"/>
      <c r="BEY57" s="215"/>
      <c r="BEZ57" s="215"/>
      <c r="BFA57" s="215"/>
      <c r="BFB57" s="215"/>
      <c r="BFC57" s="215"/>
      <c r="BFD57" s="215"/>
      <c r="BFE57" s="215"/>
      <c r="BFF57" s="215"/>
      <c r="BFG57" s="215"/>
      <c r="BFH57" s="215"/>
      <c r="BFI57" s="215"/>
      <c r="BFJ57" s="215"/>
      <c r="BFK57" s="215"/>
      <c r="BFL57" s="215"/>
      <c r="BFM57" s="215"/>
      <c r="BFN57" s="215"/>
      <c r="BFO57" s="215"/>
      <c r="BFP57" s="215"/>
      <c r="BFQ57" s="215"/>
      <c r="BFR57" s="215"/>
      <c r="BFS57" s="215"/>
      <c r="BFT57" s="215"/>
      <c r="BFU57" s="215"/>
      <c r="BFV57" s="215"/>
      <c r="BFW57" s="215"/>
      <c r="BFX57" s="215"/>
      <c r="BFY57" s="215"/>
      <c r="BFZ57" s="215"/>
      <c r="BGA57" s="215"/>
      <c r="BGB57" s="215"/>
      <c r="BGC57" s="215"/>
      <c r="BGD57" s="215"/>
      <c r="BGE57" s="215"/>
      <c r="BGF57" s="215"/>
      <c r="BGG57" s="215"/>
      <c r="BGH57" s="215"/>
      <c r="BGI57" s="215"/>
      <c r="BGJ57" s="215"/>
      <c r="BGK57" s="215"/>
      <c r="BGL57" s="215"/>
      <c r="BGM57" s="215"/>
      <c r="BGN57" s="215"/>
      <c r="BGO57" s="215"/>
      <c r="BGP57" s="215"/>
      <c r="BGQ57" s="215"/>
      <c r="BGR57" s="215"/>
      <c r="BGS57" s="215"/>
      <c r="BGT57" s="215"/>
      <c r="BGU57" s="215"/>
      <c r="BGV57" s="215"/>
      <c r="BGW57" s="215"/>
      <c r="BGX57" s="215"/>
      <c r="BGY57" s="215"/>
      <c r="BGZ57" s="215"/>
      <c r="BHA57" s="215"/>
      <c r="BHB57" s="215"/>
      <c r="BHC57" s="215"/>
      <c r="BHD57" s="215"/>
      <c r="BHE57" s="215"/>
      <c r="BHF57" s="215"/>
      <c r="BHG57" s="215"/>
      <c r="BHH57" s="215"/>
      <c r="BHI57" s="215"/>
      <c r="BHJ57" s="215"/>
      <c r="BHK57" s="215"/>
      <c r="BHL57" s="215"/>
      <c r="BHM57" s="215"/>
      <c r="BHN57" s="215"/>
      <c r="BHO57" s="215"/>
      <c r="BHP57" s="215"/>
      <c r="BHQ57" s="215"/>
      <c r="BHR57" s="215"/>
      <c r="BHS57" s="215"/>
      <c r="BHT57" s="215"/>
      <c r="BHU57" s="215"/>
      <c r="BHV57" s="215"/>
      <c r="BHW57" s="215"/>
    </row>
    <row r="58" spans="1:1583" s="221" customFormat="1" ht="19.5" thickBot="1">
      <c r="A58" s="336" t="s">
        <v>65</v>
      </c>
      <c r="B58" s="337"/>
      <c r="C58" s="337"/>
      <c r="D58" s="425" t="s">
        <v>600</v>
      </c>
      <c r="E58" s="264" t="s">
        <v>5</v>
      </c>
      <c r="F58" s="136"/>
      <c r="G58" s="60" t="s">
        <v>712</v>
      </c>
      <c r="H58" s="473">
        <f>AVERAGE(I58:AN58)</f>
        <v>67.166843982656985</v>
      </c>
      <c r="I58" s="94">
        <f>(((I33/Analysis!J50)*2.015*(Analysis!J45/100)+((I36/Analysis!J38)*2.015))/(I33+I36)*100)</f>
        <v>67.166843982656999</v>
      </c>
      <c r="J58" s="437">
        <v>67.166843982656999</v>
      </c>
      <c r="K58" s="94">
        <f>(((K33/Analysis!L50)*2.015*(Analysis!L45/100)+((K36/Analysis!L38)*2.015))/(K33+K36)*100)</f>
        <v>67.166843982656999</v>
      </c>
      <c r="L58" s="94">
        <f>(((L33/Analysis!M50)*2.015*(Analysis!M45/100)+((L36/Analysis!M38)*2.015))/(L33+L36)*100)</f>
        <v>67.166843982656999</v>
      </c>
      <c r="M58" s="94">
        <f>(((M33/Analysis!N50)*2.015*(Analysis!N45/100)+((M36/Analysis!N38)*2.015))/(M33+M36)*100)</f>
        <v>67.166843982656999</v>
      </c>
      <c r="N58" s="94">
        <f>(((N33/Analysis!O50)*2.015*(Analysis!O45/100)+((N36/Analysis!O38)*2.015))/(N33+N36)*100)</f>
        <v>67.166843982656999</v>
      </c>
      <c r="O58" s="94">
        <f>(((O33/Analysis!P50)*2.015*(Analysis!P45/100)+((O36/Analysis!P38)*2.015))/(O33+O36)*100)</f>
        <v>67.166843982656999</v>
      </c>
      <c r="P58" s="94">
        <f>(((P33/Analysis!Q50)*2.015*(Analysis!Q45/100)+((P36/Analysis!Q38)*2.015))/(P33+P36)*100)</f>
        <v>67.166843982656999</v>
      </c>
      <c r="Q58" s="94">
        <f>(((Q33/Analysis!R50)*2.015*(Analysis!R45/100)+((Q36/Analysis!R38)*2.015))/(Q33+Q36)*100)</f>
        <v>67.166843982656999</v>
      </c>
      <c r="R58" s="94">
        <f>(((R33/Analysis!S50)*2.015*(Analysis!S45/100)+((R36/Analysis!S38)*2.015))/(R33+R36)*100)</f>
        <v>67.166843982656999</v>
      </c>
      <c r="S58" s="94">
        <f>(((S33/Analysis!T50)*2.015*(Analysis!T45/100)+((S36/Analysis!T38)*2.015))/(S33+S36)*100)</f>
        <v>67.166843982656999</v>
      </c>
      <c r="T58" s="94">
        <f>(((T33/Analysis!U50)*2.015*(Analysis!U45/100)+((T36/Analysis!U38)*2.015))/(T33+T36)*100)</f>
        <v>67.166843982656999</v>
      </c>
      <c r="U58" s="94">
        <f>(((U33/Analysis!V50)*2.015*(Analysis!V45/100)+((U36/Analysis!V38)*2.015))/(U33+U36)*100)</f>
        <v>67.166843982656999</v>
      </c>
      <c r="V58" s="94">
        <f>(((V33/Analysis!W50)*2.015*(Analysis!W45/100)+((V36/Analysis!W38)*2.015))/(V33+V36)*100)</f>
        <v>67.166843982656999</v>
      </c>
      <c r="W58" s="94">
        <f>(((W33/Analysis!X50)*2.015*(Analysis!X45/100)+((W36/Analysis!X38)*2.015))/(W33+W36)*100)</f>
        <v>67.166843982657014</v>
      </c>
      <c r="X58" s="94">
        <f>(((X33/Analysis!Y50)*2.015*(Analysis!Y45/100)+((X36/Analysis!Y38)*2.015))/(X33+X36)*100)</f>
        <v>67.166843982656999</v>
      </c>
      <c r="Y58" s="94">
        <f>(((Y33/Analysis!Z50)*2.015*(Analysis!Z45/100)+((Y36/Analysis!Z38)*2.015))/(Y33+Y36)*100)</f>
        <v>67.166843982656999</v>
      </c>
      <c r="Z58" s="94">
        <f>(((Z33/Analysis!AA50)*2.015*(Analysis!AA45/100)+((Z36/Analysis!AA38)*2.015))/(Z33+Z36)*100)</f>
        <v>67.166843982656999</v>
      </c>
      <c r="AA58" s="94">
        <f>(((AA33/Analysis!AB50)*2.015*(Analysis!AB45/100)+((AA36/Analysis!AB38)*2.015))/(AA33+AA36)*100)</f>
        <v>67.166843982656999</v>
      </c>
      <c r="AB58" s="94">
        <f>(((AB33/Analysis!AC50)*2.015*(Analysis!AC45/100)+((AB36/Analysis!AC38)*2.015))/(AB33+AB36)*100)</f>
        <v>67.166843982656999</v>
      </c>
      <c r="AC58" s="94">
        <f>(((AC33/Analysis!AD50)*2.015*(Analysis!AD45/100)+((AC36/Analysis!AD38)*2.015))/(AC33+AC36)*100)</f>
        <v>67.166843982657014</v>
      </c>
      <c r="AD58" s="94">
        <f>(((AD33/Analysis!AE50)*2.015*(Analysis!AE45/100)+((AD36/Analysis!AE38)*2.015))/(AD33+AD36)*100)</f>
        <v>67.166843982657014</v>
      </c>
      <c r="AE58" s="94">
        <f>(((AE33/Analysis!AF50)*2.015*(Analysis!AF45/100)+((AE36/Analysis!AF38)*2.015))/(AE33+AE36)*100)</f>
        <v>67.166843982656999</v>
      </c>
      <c r="AF58" s="94">
        <f>(((AF33/Analysis!AG50)*2.015*(Analysis!AG45/100)+((AF36/Analysis!AG38)*2.015))/(AF33+AF36)*100)</f>
        <v>67.166843982656999</v>
      </c>
      <c r="AG58" s="94">
        <f>(((AG33/Analysis!AH50)*2.015*(Analysis!AH45/100)+((AG36/Analysis!AH38)*2.015))/(AG33+AG36)*100)</f>
        <v>67.166843982657014</v>
      </c>
      <c r="AH58" s="94">
        <f>(((AH33/Analysis!AI50)*2.015*(Analysis!AI45/100)+((AH36/Analysis!AI38)*2.015))/(AH33+AH36)*100)</f>
        <v>67.166843982656999</v>
      </c>
      <c r="AI58" s="94">
        <f>(((AI33/Analysis!AJ50)*2.015*(Analysis!AJ45/100)+((AI36/Analysis!AJ38)*2.015))/(AI33+AI36)*100)</f>
        <v>67.166843982656999</v>
      </c>
      <c r="AJ58" s="94">
        <f>(((AJ33/Analysis!AK50)*2.015*(Analysis!AK45/100)+((AJ36/Analysis!AK38)*2.015))/(AJ33+AJ36)*100)</f>
        <v>67.166843982656999</v>
      </c>
      <c r="AK58" s="94">
        <f>(((AK33/Analysis!AL50)*2.015*(Analysis!AL45/100)+((AK36/Analysis!AL38)*2.015))/(AK33+AK36)*100)</f>
        <v>67.166843982656999</v>
      </c>
      <c r="AL58" s="94">
        <f>(((AL33/Analysis!AM50)*2.015*(Analysis!AM45/100)+((AL36/Analysis!AM38)*2.015))/(AL33+AL36)*100)</f>
        <v>67.166843982656999</v>
      </c>
      <c r="AM58" s="94">
        <f>(((AM33/Analysis!AN50)*2.015*(Analysis!AN45/100)+((AM36/Analysis!AN38)*2.015))/(AM33+AM36)*100)</f>
        <v>67.166843982656999</v>
      </c>
      <c r="AN58" s="94">
        <f>(((AN33/Analysis!AO50)*2.015*(Analysis!AO45/100)+((AN36/Analysis!AO38)*2.015))/(AN33+AN36)*100)</f>
        <v>67.166843982657014</v>
      </c>
      <c r="AO58" s="214"/>
      <c r="AP58" s="214"/>
      <c r="AQ58" s="214"/>
      <c r="AR58" s="214"/>
      <c r="AS58" s="214"/>
      <c r="AT58" s="214"/>
      <c r="AU58" s="214"/>
      <c r="AV58" s="214"/>
      <c r="AW58" s="214"/>
      <c r="AX58" s="214"/>
      <c r="AY58" s="214"/>
      <c r="AZ58" s="214"/>
      <c r="BA58" s="214"/>
      <c r="BB58" s="214"/>
      <c r="BC58" s="214"/>
      <c r="BD58" s="214"/>
      <c r="BE58" s="214"/>
      <c r="BF58" s="214"/>
      <c r="BG58" s="214"/>
      <c r="BH58" s="214"/>
      <c r="BI58" s="214"/>
      <c r="BJ58" s="214"/>
      <c r="BK58" s="214"/>
      <c r="BL58" s="214"/>
      <c r="BM58" s="214"/>
      <c r="BN58" s="214"/>
      <c r="BO58" s="214"/>
      <c r="BP58" s="214"/>
      <c r="BQ58" s="214"/>
      <c r="BR58" s="214"/>
      <c r="BS58" s="214"/>
      <c r="BT58" s="214"/>
      <c r="BU58" s="214"/>
      <c r="BV58" s="214"/>
      <c r="BW58" s="214"/>
      <c r="BX58" s="214"/>
      <c r="BY58" s="214"/>
      <c r="BZ58" s="214"/>
      <c r="CA58" s="214"/>
      <c r="CB58" s="214"/>
      <c r="CC58" s="214"/>
      <c r="CD58" s="214"/>
      <c r="CE58" s="214"/>
      <c r="CF58" s="214"/>
      <c r="CG58" s="214"/>
      <c r="CH58" s="214"/>
      <c r="CI58" s="214"/>
      <c r="CJ58" s="214"/>
      <c r="CK58" s="214"/>
      <c r="CL58" s="214"/>
      <c r="CM58" s="214"/>
      <c r="CN58" s="214"/>
      <c r="CO58" s="214"/>
      <c r="CP58" s="214"/>
      <c r="CQ58" s="214"/>
      <c r="CR58" s="214"/>
      <c r="CS58" s="214"/>
      <c r="CT58" s="214"/>
      <c r="CU58" s="214"/>
      <c r="CV58" s="214"/>
      <c r="CW58" s="214"/>
      <c r="CX58" s="214"/>
      <c r="CY58" s="214"/>
      <c r="CZ58" s="214"/>
      <c r="DA58" s="214"/>
      <c r="DB58" s="214"/>
      <c r="DC58" s="214"/>
      <c r="DD58" s="214"/>
      <c r="DE58" s="214"/>
      <c r="DF58" s="214"/>
      <c r="DG58" s="214"/>
      <c r="DH58" s="214"/>
      <c r="DI58" s="214"/>
      <c r="DJ58" s="214"/>
      <c r="DK58" s="214"/>
      <c r="DL58" s="214"/>
      <c r="DM58" s="214"/>
      <c r="DN58" s="214"/>
      <c r="DO58" s="214"/>
      <c r="DP58" s="214"/>
      <c r="DQ58" s="214"/>
      <c r="DR58" s="214"/>
      <c r="DS58" s="214"/>
      <c r="DT58" s="214"/>
      <c r="DU58" s="214"/>
      <c r="DV58" s="214"/>
      <c r="DW58" s="214"/>
      <c r="DX58" s="214"/>
      <c r="DY58" s="214"/>
      <c r="DZ58" s="214"/>
      <c r="EA58" s="214"/>
      <c r="EB58" s="214"/>
      <c r="EC58" s="214"/>
      <c r="ED58" s="214"/>
      <c r="EE58" s="214"/>
      <c r="EF58" s="214"/>
      <c r="EG58" s="214"/>
      <c r="EH58" s="214"/>
      <c r="EI58" s="214"/>
      <c r="EJ58" s="214"/>
      <c r="EK58" s="214"/>
      <c r="EL58" s="214"/>
      <c r="EM58" s="214"/>
      <c r="EN58" s="214"/>
      <c r="EO58" s="214"/>
      <c r="EP58" s="214"/>
      <c r="EQ58" s="214"/>
      <c r="ER58" s="214"/>
      <c r="ES58" s="214"/>
      <c r="ET58" s="214"/>
      <c r="EU58" s="214"/>
      <c r="EV58" s="214"/>
      <c r="EW58" s="214"/>
      <c r="EX58" s="214"/>
      <c r="EY58" s="214"/>
      <c r="EZ58" s="214"/>
      <c r="FA58" s="214"/>
      <c r="FB58" s="214"/>
      <c r="FC58" s="214"/>
      <c r="FD58" s="214"/>
      <c r="FE58" s="214"/>
      <c r="FF58" s="214"/>
      <c r="FG58" s="214"/>
      <c r="FH58" s="214"/>
      <c r="FI58" s="214"/>
      <c r="FJ58" s="214"/>
      <c r="FK58" s="214"/>
      <c r="FL58" s="214"/>
      <c r="FM58" s="214"/>
      <c r="FN58" s="214"/>
      <c r="FO58" s="214"/>
      <c r="FP58" s="214"/>
      <c r="FQ58" s="214"/>
      <c r="FR58" s="214"/>
      <c r="FS58" s="214"/>
      <c r="FT58" s="214"/>
      <c r="FU58" s="214"/>
      <c r="FV58" s="214"/>
      <c r="FW58" s="214"/>
      <c r="FX58" s="214"/>
      <c r="FY58" s="214"/>
      <c r="FZ58" s="214"/>
      <c r="GA58" s="214"/>
      <c r="GB58" s="214"/>
      <c r="GC58" s="214"/>
      <c r="GD58" s="214"/>
      <c r="GE58" s="214"/>
      <c r="GF58" s="214"/>
      <c r="GG58" s="214"/>
      <c r="GH58" s="214"/>
      <c r="GI58" s="214"/>
      <c r="GJ58" s="214"/>
      <c r="GK58" s="214"/>
      <c r="GL58" s="214"/>
      <c r="GM58" s="214"/>
      <c r="GN58" s="214"/>
      <c r="GO58" s="214"/>
      <c r="GP58" s="214"/>
      <c r="GQ58" s="214"/>
      <c r="GR58" s="214"/>
      <c r="GS58" s="214"/>
      <c r="GT58" s="214"/>
      <c r="GU58" s="214"/>
      <c r="GV58" s="214"/>
      <c r="GW58" s="214"/>
      <c r="GX58" s="214"/>
      <c r="GY58" s="214"/>
      <c r="GZ58" s="214"/>
      <c r="HA58" s="214"/>
      <c r="HB58" s="214"/>
      <c r="HC58" s="214"/>
      <c r="HD58" s="214"/>
      <c r="HE58" s="214"/>
      <c r="HF58" s="214"/>
      <c r="HG58" s="214"/>
      <c r="HH58" s="214"/>
      <c r="HI58" s="214"/>
      <c r="HJ58" s="214"/>
      <c r="HK58" s="214"/>
      <c r="HL58" s="214"/>
      <c r="HM58" s="214"/>
      <c r="HN58" s="214"/>
      <c r="HO58" s="214"/>
      <c r="HP58" s="214"/>
      <c r="HQ58" s="214"/>
      <c r="HR58" s="214"/>
      <c r="HS58" s="214"/>
      <c r="HT58" s="214"/>
      <c r="HU58" s="214"/>
      <c r="HV58" s="214"/>
      <c r="HW58" s="214"/>
      <c r="HX58" s="214"/>
      <c r="HY58" s="214"/>
      <c r="HZ58" s="214"/>
      <c r="IA58" s="214"/>
      <c r="IB58" s="214"/>
      <c r="IC58" s="214"/>
      <c r="ID58" s="214"/>
      <c r="IE58" s="214"/>
      <c r="IF58" s="214"/>
      <c r="IG58" s="214"/>
      <c r="IH58" s="214"/>
      <c r="II58" s="214"/>
      <c r="IJ58" s="214"/>
      <c r="IK58" s="214"/>
      <c r="IL58" s="214"/>
      <c r="IM58" s="214"/>
      <c r="IN58" s="214"/>
      <c r="IO58" s="214"/>
      <c r="IP58" s="214"/>
      <c r="IQ58" s="214"/>
      <c r="IR58" s="214"/>
      <c r="IS58" s="214"/>
      <c r="IT58" s="214"/>
      <c r="IU58" s="214"/>
      <c r="IV58" s="214"/>
      <c r="IW58" s="214"/>
      <c r="IX58" s="214"/>
      <c r="IY58" s="214"/>
      <c r="IZ58" s="214"/>
      <c r="JA58" s="214"/>
      <c r="JB58" s="214"/>
      <c r="JC58" s="214"/>
      <c r="JD58" s="214"/>
      <c r="JE58" s="214"/>
      <c r="JF58" s="214"/>
      <c r="JG58" s="214"/>
      <c r="JH58" s="214"/>
      <c r="JI58" s="214"/>
      <c r="JJ58" s="214"/>
      <c r="JK58" s="214"/>
      <c r="JL58" s="214"/>
      <c r="JM58" s="214"/>
      <c r="JN58" s="214"/>
      <c r="JO58" s="214"/>
      <c r="JP58" s="214"/>
      <c r="JQ58" s="214"/>
      <c r="JR58" s="214"/>
      <c r="JS58" s="214"/>
      <c r="JT58" s="214"/>
      <c r="JU58" s="214"/>
      <c r="JV58" s="214"/>
      <c r="JW58" s="214"/>
      <c r="JX58" s="214"/>
      <c r="JY58" s="214"/>
      <c r="JZ58" s="214"/>
      <c r="KA58" s="214"/>
      <c r="KB58" s="214"/>
      <c r="KC58" s="214"/>
      <c r="KD58" s="214"/>
      <c r="KE58" s="214"/>
      <c r="KF58" s="214"/>
      <c r="KG58" s="214"/>
      <c r="KH58" s="214"/>
      <c r="KI58" s="214"/>
      <c r="KJ58" s="214"/>
      <c r="KK58" s="214"/>
      <c r="KL58" s="214"/>
      <c r="KM58" s="214"/>
      <c r="KN58" s="214"/>
      <c r="KO58" s="214"/>
      <c r="KP58" s="214"/>
      <c r="KQ58" s="214"/>
      <c r="KR58" s="214"/>
      <c r="KS58" s="214"/>
      <c r="KT58" s="214"/>
      <c r="KU58" s="214"/>
      <c r="KV58" s="214"/>
      <c r="KW58" s="214"/>
      <c r="KX58" s="214"/>
      <c r="KY58" s="214"/>
      <c r="KZ58" s="214"/>
      <c r="LA58" s="214"/>
      <c r="LB58" s="214"/>
      <c r="LC58" s="214"/>
      <c r="LD58" s="214"/>
      <c r="LE58" s="214"/>
      <c r="LF58" s="214"/>
      <c r="LG58" s="214"/>
      <c r="LH58" s="214"/>
      <c r="LI58" s="214"/>
      <c r="LJ58" s="214"/>
      <c r="LK58" s="214"/>
      <c r="LL58" s="214"/>
      <c r="LM58" s="214"/>
      <c r="LN58" s="214"/>
      <c r="LO58" s="214"/>
      <c r="LP58" s="214"/>
      <c r="LQ58" s="214"/>
      <c r="LR58" s="214"/>
      <c r="LS58" s="214"/>
      <c r="LT58" s="214"/>
      <c r="LU58" s="214"/>
      <c r="LV58" s="214"/>
      <c r="LW58" s="214"/>
      <c r="LX58" s="214"/>
      <c r="LY58" s="214"/>
      <c r="LZ58" s="214"/>
      <c r="MA58" s="214"/>
      <c r="MB58" s="214"/>
      <c r="MC58" s="214"/>
      <c r="MD58" s="214"/>
      <c r="ME58" s="214"/>
      <c r="MF58" s="214"/>
      <c r="MG58" s="214"/>
      <c r="MH58" s="214"/>
      <c r="MI58" s="214"/>
      <c r="MJ58" s="214"/>
      <c r="MK58" s="214"/>
      <c r="ML58" s="214"/>
      <c r="MM58" s="214"/>
      <c r="MN58" s="214"/>
      <c r="MO58" s="214"/>
      <c r="MP58" s="214"/>
      <c r="MQ58" s="214"/>
      <c r="MR58" s="214"/>
      <c r="MS58" s="214"/>
      <c r="MT58" s="214"/>
      <c r="MU58" s="214"/>
      <c r="MV58" s="214"/>
      <c r="MW58" s="214"/>
      <c r="MX58" s="214"/>
      <c r="MY58" s="214"/>
      <c r="MZ58" s="214"/>
      <c r="NA58" s="214"/>
      <c r="NB58" s="214"/>
      <c r="NC58" s="214"/>
      <c r="ND58" s="214"/>
      <c r="NE58" s="214"/>
      <c r="NF58" s="214"/>
      <c r="NG58" s="214"/>
      <c r="NH58" s="214"/>
      <c r="NI58" s="214"/>
      <c r="NJ58" s="214"/>
      <c r="NK58" s="214"/>
      <c r="NL58" s="214"/>
      <c r="NM58" s="214"/>
      <c r="NN58" s="214"/>
      <c r="NO58" s="214"/>
      <c r="NP58" s="214"/>
      <c r="NQ58" s="214"/>
      <c r="NR58" s="214"/>
      <c r="NS58" s="214"/>
      <c r="NT58" s="214"/>
      <c r="NU58" s="214"/>
      <c r="NV58" s="214"/>
      <c r="NW58" s="214"/>
      <c r="NX58" s="214"/>
      <c r="NY58" s="214"/>
      <c r="NZ58" s="214"/>
      <c r="OA58" s="214"/>
      <c r="OB58" s="214"/>
      <c r="OC58" s="214"/>
      <c r="OD58" s="214"/>
      <c r="OE58" s="214"/>
      <c r="OF58" s="214"/>
      <c r="OG58" s="214"/>
      <c r="OH58" s="214"/>
      <c r="OI58" s="214"/>
      <c r="OJ58" s="214"/>
      <c r="OK58" s="214"/>
      <c r="OL58" s="214"/>
      <c r="OM58" s="214"/>
      <c r="ON58" s="214"/>
      <c r="OO58" s="214"/>
      <c r="OP58" s="214"/>
      <c r="OQ58" s="214"/>
      <c r="OR58" s="214"/>
      <c r="OS58" s="214"/>
      <c r="OT58" s="214"/>
      <c r="OU58" s="214"/>
      <c r="OV58" s="214"/>
      <c r="OW58" s="214"/>
      <c r="OX58" s="214"/>
      <c r="OY58" s="214"/>
      <c r="OZ58" s="214"/>
      <c r="PA58" s="214"/>
      <c r="PB58" s="214"/>
      <c r="PC58" s="214"/>
      <c r="PD58" s="214"/>
      <c r="PE58" s="214"/>
      <c r="PF58" s="214"/>
      <c r="PG58" s="214"/>
      <c r="PH58" s="214"/>
      <c r="PI58" s="214"/>
      <c r="PJ58" s="214"/>
      <c r="PK58" s="214"/>
      <c r="PL58" s="214"/>
      <c r="PM58" s="214"/>
      <c r="PN58" s="214"/>
      <c r="PO58" s="214"/>
      <c r="PP58" s="214"/>
      <c r="PQ58" s="214"/>
      <c r="PR58" s="214"/>
      <c r="PS58" s="214"/>
      <c r="PT58" s="214"/>
      <c r="PU58" s="214"/>
      <c r="PV58" s="214"/>
      <c r="PW58" s="214"/>
      <c r="PX58" s="214"/>
      <c r="PY58" s="214"/>
      <c r="PZ58" s="214"/>
      <c r="QA58" s="214"/>
      <c r="QB58" s="214"/>
      <c r="QC58" s="214"/>
      <c r="QD58" s="214"/>
      <c r="QE58" s="214"/>
      <c r="QF58" s="214"/>
      <c r="QG58" s="214"/>
      <c r="QH58" s="214"/>
      <c r="QI58" s="214"/>
      <c r="QJ58" s="214"/>
      <c r="QK58" s="214"/>
      <c r="QL58" s="214"/>
      <c r="QM58" s="214"/>
      <c r="QN58" s="214"/>
      <c r="QO58" s="214"/>
      <c r="QP58" s="214"/>
      <c r="QQ58" s="214"/>
      <c r="QR58" s="214"/>
      <c r="QS58" s="214"/>
      <c r="QT58" s="214"/>
      <c r="QU58" s="214"/>
      <c r="QV58" s="214"/>
      <c r="QW58" s="214"/>
      <c r="QX58" s="214"/>
      <c r="QY58" s="214"/>
      <c r="QZ58" s="214"/>
      <c r="RA58" s="214"/>
      <c r="RB58" s="214"/>
      <c r="RC58" s="214"/>
      <c r="RD58" s="214"/>
      <c r="RE58" s="214"/>
      <c r="RF58" s="214"/>
      <c r="RG58" s="214"/>
      <c r="RH58" s="214"/>
      <c r="RI58" s="214"/>
      <c r="RJ58" s="214"/>
      <c r="RK58" s="214"/>
      <c r="RL58" s="214"/>
      <c r="RM58" s="214"/>
      <c r="RN58" s="214"/>
      <c r="RO58" s="214"/>
      <c r="RP58" s="214"/>
      <c r="RQ58" s="214"/>
      <c r="RR58" s="214"/>
      <c r="RS58" s="214"/>
      <c r="RT58" s="214"/>
      <c r="RU58" s="214"/>
      <c r="RV58" s="214"/>
      <c r="RW58" s="214"/>
      <c r="RX58" s="214"/>
      <c r="RY58" s="214"/>
      <c r="RZ58" s="214"/>
      <c r="SA58" s="214"/>
      <c r="SB58" s="214"/>
      <c r="SC58" s="214"/>
      <c r="SD58" s="214"/>
      <c r="SE58" s="214"/>
      <c r="SF58" s="214"/>
      <c r="SG58" s="214"/>
      <c r="SH58" s="214"/>
      <c r="SI58" s="214"/>
      <c r="SJ58" s="214"/>
      <c r="SK58" s="214"/>
      <c r="SL58" s="214"/>
      <c r="SM58" s="214"/>
      <c r="SN58" s="214"/>
      <c r="SO58" s="214"/>
      <c r="SP58" s="214"/>
      <c r="SQ58" s="214"/>
      <c r="SR58" s="214"/>
      <c r="SS58" s="214"/>
      <c r="ST58" s="214"/>
      <c r="SU58" s="214"/>
      <c r="SV58" s="214"/>
      <c r="SW58" s="214"/>
      <c r="SX58" s="214"/>
      <c r="SY58" s="214"/>
      <c r="SZ58" s="214"/>
      <c r="TA58" s="214"/>
      <c r="TB58" s="214"/>
      <c r="TC58" s="214"/>
      <c r="TD58" s="214"/>
      <c r="TE58" s="214"/>
      <c r="TF58" s="214"/>
      <c r="TG58" s="214"/>
      <c r="TH58" s="214"/>
      <c r="TI58" s="214"/>
      <c r="TJ58" s="214"/>
      <c r="TK58" s="214"/>
      <c r="TL58" s="214"/>
      <c r="TM58" s="214"/>
      <c r="TN58" s="214"/>
      <c r="TO58" s="214"/>
      <c r="TP58" s="214"/>
      <c r="TQ58" s="214"/>
      <c r="TR58" s="214"/>
      <c r="TS58" s="214"/>
      <c r="TT58" s="214"/>
      <c r="TU58" s="214"/>
      <c r="TV58" s="214"/>
      <c r="TW58" s="214"/>
      <c r="TX58" s="214"/>
      <c r="TY58" s="214"/>
      <c r="TZ58" s="214"/>
      <c r="UA58" s="214"/>
      <c r="UB58" s="214"/>
      <c r="UC58" s="214"/>
      <c r="UD58" s="214"/>
      <c r="UE58" s="214"/>
      <c r="UF58" s="214"/>
      <c r="UG58" s="214"/>
      <c r="UH58" s="214"/>
      <c r="UI58" s="214"/>
      <c r="UJ58" s="214"/>
      <c r="UK58" s="214"/>
      <c r="UL58" s="214"/>
      <c r="UM58" s="214"/>
      <c r="UN58" s="214"/>
      <c r="UO58" s="214"/>
      <c r="UP58" s="214"/>
      <c r="UQ58" s="214"/>
      <c r="UR58" s="214"/>
      <c r="US58" s="214"/>
      <c r="UT58" s="214"/>
      <c r="UU58" s="214"/>
      <c r="UV58" s="214"/>
      <c r="UW58" s="214"/>
      <c r="UX58" s="214"/>
      <c r="UY58" s="214"/>
      <c r="UZ58" s="214"/>
      <c r="VA58" s="214"/>
      <c r="VB58" s="214"/>
      <c r="VC58" s="214"/>
      <c r="VD58" s="214"/>
      <c r="VE58" s="214"/>
      <c r="VF58" s="214"/>
      <c r="VG58" s="214"/>
      <c r="VH58" s="214"/>
      <c r="VI58" s="214"/>
      <c r="VJ58" s="214"/>
      <c r="VK58" s="214"/>
      <c r="VL58" s="214"/>
      <c r="VM58" s="214"/>
      <c r="VN58" s="214"/>
      <c r="VO58" s="214"/>
      <c r="VP58" s="214"/>
      <c r="VQ58" s="214"/>
      <c r="VR58" s="214"/>
      <c r="VS58" s="214"/>
      <c r="VT58" s="214"/>
      <c r="VU58" s="214"/>
      <c r="VV58" s="214"/>
      <c r="VW58" s="214"/>
      <c r="VX58" s="214"/>
      <c r="VY58" s="214"/>
      <c r="VZ58" s="214"/>
      <c r="WA58" s="214"/>
      <c r="WB58" s="214"/>
      <c r="WC58" s="214"/>
      <c r="WD58" s="214"/>
      <c r="WE58" s="214"/>
      <c r="WF58" s="214"/>
      <c r="WG58" s="214"/>
      <c r="WH58" s="214"/>
      <c r="WI58" s="214"/>
      <c r="WJ58" s="214"/>
      <c r="WK58" s="214"/>
      <c r="WL58" s="214"/>
      <c r="WM58" s="214"/>
      <c r="WN58" s="214"/>
      <c r="WO58" s="214"/>
      <c r="WP58" s="214"/>
      <c r="WQ58" s="214"/>
      <c r="WR58" s="214"/>
      <c r="WS58" s="214"/>
      <c r="WT58" s="214"/>
      <c r="WU58" s="214"/>
      <c r="WV58" s="214"/>
      <c r="WW58" s="214"/>
      <c r="WX58" s="214"/>
      <c r="WY58" s="214"/>
      <c r="WZ58" s="214"/>
      <c r="XA58" s="214"/>
      <c r="XB58" s="214"/>
      <c r="XC58" s="214"/>
      <c r="XD58" s="214"/>
      <c r="XE58" s="214"/>
      <c r="XF58" s="214"/>
      <c r="XG58" s="214"/>
      <c r="XH58" s="214"/>
      <c r="XI58" s="214"/>
      <c r="XJ58" s="214"/>
      <c r="XK58" s="214"/>
      <c r="XL58" s="214"/>
      <c r="XM58" s="214"/>
      <c r="XN58" s="214"/>
      <c r="XO58" s="214"/>
      <c r="XP58" s="214"/>
      <c r="XQ58" s="214"/>
      <c r="XR58" s="214"/>
      <c r="XS58" s="214"/>
      <c r="XT58" s="214"/>
      <c r="XU58" s="214"/>
      <c r="XV58" s="214"/>
      <c r="XW58" s="214"/>
      <c r="XX58" s="214"/>
      <c r="XY58" s="214"/>
      <c r="XZ58" s="214"/>
      <c r="YA58" s="214"/>
      <c r="YB58" s="214"/>
      <c r="YC58" s="214"/>
      <c r="YD58" s="214"/>
      <c r="YE58" s="214"/>
      <c r="YF58" s="214"/>
      <c r="YG58" s="214"/>
      <c r="YH58" s="214"/>
      <c r="YI58" s="214"/>
      <c r="YJ58" s="214"/>
      <c r="YK58" s="214"/>
      <c r="YL58" s="214"/>
      <c r="YM58" s="214"/>
      <c r="YN58" s="214"/>
      <c r="YO58" s="214"/>
      <c r="YP58" s="214"/>
      <c r="YQ58" s="214"/>
      <c r="YR58" s="214"/>
      <c r="YS58" s="214"/>
      <c r="YT58" s="214"/>
      <c r="YU58" s="214"/>
      <c r="YV58" s="214"/>
      <c r="YW58" s="214"/>
      <c r="YX58" s="214"/>
      <c r="YY58" s="214"/>
      <c r="YZ58" s="214"/>
      <c r="ZA58" s="214"/>
      <c r="ZB58" s="214"/>
      <c r="ZC58" s="214"/>
      <c r="ZD58" s="214"/>
      <c r="ZE58" s="214"/>
      <c r="ZF58" s="214"/>
      <c r="ZG58" s="214"/>
      <c r="ZH58" s="214"/>
      <c r="ZI58" s="214"/>
      <c r="ZJ58" s="214"/>
      <c r="ZK58" s="214"/>
      <c r="ZL58" s="214"/>
      <c r="ZM58" s="214"/>
      <c r="ZN58" s="214"/>
      <c r="ZO58" s="214"/>
      <c r="ZP58" s="214"/>
      <c r="ZQ58" s="214"/>
      <c r="ZR58" s="214"/>
      <c r="ZS58" s="214"/>
      <c r="ZT58" s="214"/>
      <c r="ZU58" s="214"/>
      <c r="ZV58" s="214"/>
      <c r="ZW58" s="214"/>
      <c r="ZX58" s="214"/>
      <c r="ZY58" s="214"/>
      <c r="ZZ58" s="214"/>
      <c r="AAA58" s="214"/>
      <c r="AAB58" s="214"/>
      <c r="AAC58" s="214"/>
      <c r="AAD58" s="214"/>
      <c r="AAE58" s="214"/>
      <c r="AAF58" s="214"/>
      <c r="AAG58" s="214"/>
      <c r="AAH58" s="214"/>
      <c r="AAI58" s="214"/>
      <c r="AAJ58" s="214"/>
      <c r="AAK58" s="214"/>
      <c r="AAL58" s="214"/>
      <c r="AAM58" s="214"/>
      <c r="AAN58" s="214"/>
      <c r="AAO58" s="214"/>
      <c r="AAP58" s="214"/>
      <c r="AAQ58" s="214"/>
      <c r="AAR58" s="214"/>
      <c r="AAS58" s="214"/>
      <c r="AAT58" s="214"/>
      <c r="AAU58" s="214"/>
      <c r="AAV58" s="214"/>
      <c r="AAW58" s="214"/>
      <c r="AAX58" s="214"/>
      <c r="AAY58" s="214"/>
      <c r="AAZ58" s="214"/>
      <c r="ABA58" s="214"/>
      <c r="ABB58" s="214"/>
      <c r="ABC58" s="214"/>
      <c r="ABD58" s="214"/>
      <c r="ABE58" s="214"/>
      <c r="ABF58" s="214"/>
      <c r="ABG58" s="214"/>
      <c r="ABH58" s="214"/>
      <c r="ABI58" s="214"/>
      <c r="ABJ58" s="214"/>
      <c r="ABK58" s="214"/>
      <c r="ABL58" s="214"/>
      <c r="ABM58" s="214"/>
      <c r="ABN58" s="214"/>
      <c r="ABO58" s="214"/>
      <c r="ABP58" s="214"/>
      <c r="ABQ58" s="214"/>
      <c r="ABR58" s="214"/>
      <c r="ABS58" s="214"/>
      <c r="ABT58" s="214"/>
      <c r="ABU58" s="214"/>
      <c r="ABV58" s="214"/>
      <c r="ABW58" s="214"/>
      <c r="ABX58" s="214"/>
      <c r="ABY58" s="214"/>
      <c r="ABZ58" s="214"/>
      <c r="ACA58" s="214"/>
      <c r="ACB58" s="214"/>
      <c r="ACC58" s="214"/>
      <c r="ACD58" s="214"/>
      <c r="ACE58" s="214"/>
      <c r="ACF58" s="214"/>
      <c r="ACG58" s="214"/>
      <c r="ACH58" s="214"/>
      <c r="ACI58" s="214"/>
      <c r="ACJ58" s="214"/>
      <c r="ACK58" s="214"/>
      <c r="ACL58" s="214"/>
      <c r="ACM58" s="214"/>
      <c r="ACN58" s="214"/>
      <c r="ACO58" s="214"/>
      <c r="ACP58" s="214"/>
      <c r="ACQ58" s="214"/>
      <c r="ACR58" s="214"/>
      <c r="ACS58" s="214"/>
      <c r="ACT58" s="214"/>
      <c r="ACU58" s="214"/>
      <c r="ACV58" s="214"/>
      <c r="ACW58" s="214"/>
      <c r="ACX58" s="214"/>
      <c r="ACY58" s="214"/>
      <c r="ACZ58" s="214"/>
      <c r="ADA58" s="214"/>
      <c r="ADB58" s="214"/>
      <c r="ADC58" s="214"/>
      <c r="ADD58" s="214"/>
      <c r="ADE58" s="214"/>
      <c r="ADF58" s="214"/>
      <c r="ADG58" s="214"/>
      <c r="ADH58" s="214"/>
      <c r="ADI58" s="214"/>
      <c r="ADJ58" s="214"/>
      <c r="ADK58" s="214"/>
      <c r="ADL58" s="214"/>
      <c r="ADM58" s="214"/>
      <c r="ADN58" s="214"/>
      <c r="ADO58" s="214"/>
      <c r="ADP58" s="214"/>
      <c r="ADQ58" s="214"/>
      <c r="ADR58" s="214"/>
      <c r="ADS58" s="214"/>
      <c r="ADT58" s="214"/>
      <c r="ADU58" s="214"/>
      <c r="ADV58" s="214"/>
      <c r="ADW58" s="214"/>
      <c r="ADX58" s="214"/>
      <c r="ADY58" s="214"/>
      <c r="ADZ58" s="214"/>
      <c r="AEA58" s="214"/>
      <c r="AEB58" s="214"/>
      <c r="AEC58" s="214"/>
      <c r="AED58" s="214"/>
      <c r="AEE58" s="214"/>
      <c r="AEF58" s="214"/>
      <c r="AEG58" s="214"/>
      <c r="AEH58" s="214"/>
      <c r="AEI58" s="214"/>
      <c r="AEJ58" s="214"/>
      <c r="AEK58" s="214"/>
      <c r="AEL58" s="214"/>
      <c r="AEM58" s="214"/>
      <c r="AEN58" s="214"/>
      <c r="AEO58" s="214"/>
      <c r="AEP58" s="214"/>
      <c r="AEQ58" s="214"/>
      <c r="AER58" s="214"/>
      <c r="AES58" s="214"/>
      <c r="AET58" s="214"/>
      <c r="AEU58" s="214"/>
      <c r="AEV58" s="214"/>
      <c r="AEW58" s="214"/>
      <c r="AEX58" s="214"/>
      <c r="AEY58" s="214"/>
      <c r="AEZ58" s="214"/>
      <c r="AFA58" s="214"/>
      <c r="AFB58" s="214"/>
      <c r="AFC58" s="214"/>
      <c r="AFD58" s="214"/>
      <c r="AFE58" s="214"/>
      <c r="AFF58" s="214"/>
      <c r="AFG58" s="214"/>
      <c r="AFH58" s="214"/>
      <c r="AFI58" s="214"/>
      <c r="AFJ58" s="214"/>
      <c r="AFK58" s="214"/>
      <c r="AFL58" s="214"/>
      <c r="AFM58" s="214"/>
      <c r="AFN58" s="214"/>
      <c r="AFO58" s="214"/>
      <c r="AFP58" s="214"/>
      <c r="AFQ58" s="214"/>
      <c r="AFR58" s="214"/>
      <c r="AFS58" s="214"/>
      <c r="AFT58" s="214"/>
      <c r="AFU58" s="214"/>
      <c r="AFV58" s="214"/>
      <c r="AFW58" s="214"/>
      <c r="AFX58" s="214"/>
      <c r="AFY58" s="214"/>
      <c r="AFZ58" s="214"/>
      <c r="AGA58" s="214"/>
      <c r="AGB58" s="214"/>
      <c r="AGC58" s="214"/>
      <c r="AGD58" s="214"/>
      <c r="AGE58" s="214"/>
      <c r="AGF58" s="214"/>
      <c r="AGG58" s="214"/>
      <c r="AGH58" s="214"/>
      <c r="AGI58" s="214"/>
      <c r="AGJ58" s="214"/>
      <c r="AGK58" s="214"/>
      <c r="AGL58" s="214"/>
      <c r="AGM58" s="214"/>
      <c r="AGN58" s="214"/>
      <c r="AGO58" s="214"/>
      <c r="AGP58" s="214"/>
      <c r="AGQ58" s="214"/>
      <c r="AGR58" s="214"/>
      <c r="AGS58" s="214"/>
      <c r="AGT58" s="214"/>
      <c r="AGU58" s="214"/>
      <c r="AGV58" s="214"/>
      <c r="AGW58" s="214"/>
      <c r="AGX58" s="214"/>
      <c r="AGY58" s="214"/>
      <c r="AGZ58" s="214"/>
      <c r="AHA58" s="214"/>
      <c r="AHB58" s="214"/>
      <c r="AHC58" s="214"/>
      <c r="AHD58" s="214"/>
      <c r="AHE58" s="214"/>
      <c r="AHF58" s="214"/>
      <c r="AHG58" s="214"/>
      <c r="AHH58" s="214"/>
      <c r="AHI58" s="214"/>
      <c r="AHJ58" s="214"/>
      <c r="AHK58" s="214"/>
      <c r="AHL58" s="214"/>
      <c r="AHM58" s="214"/>
      <c r="AHN58" s="214"/>
      <c r="AHO58" s="214"/>
      <c r="AHP58" s="214"/>
      <c r="AHQ58" s="214"/>
      <c r="AHR58" s="214"/>
      <c r="AHS58" s="214"/>
      <c r="AHT58" s="214"/>
      <c r="AHU58" s="214"/>
      <c r="AHV58" s="214"/>
      <c r="AHW58" s="214"/>
      <c r="AHX58" s="214"/>
      <c r="AHY58" s="214"/>
      <c r="AHZ58" s="214"/>
      <c r="AIA58" s="214"/>
      <c r="AIB58" s="214"/>
      <c r="AIC58" s="214"/>
      <c r="AID58" s="214"/>
      <c r="AIE58" s="214"/>
      <c r="AIF58" s="214"/>
      <c r="AIG58" s="214"/>
      <c r="AIH58" s="214"/>
      <c r="AII58" s="214"/>
      <c r="AIJ58" s="214"/>
      <c r="AIK58" s="214"/>
      <c r="AIL58" s="214"/>
      <c r="AIM58" s="214"/>
      <c r="AIN58" s="214"/>
      <c r="AIO58" s="214"/>
      <c r="AIP58" s="214"/>
      <c r="AIQ58" s="214"/>
      <c r="AIR58" s="214"/>
      <c r="AIS58" s="214"/>
      <c r="AIT58" s="214"/>
      <c r="AIU58" s="214"/>
      <c r="AIV58" s="214"/>
      <c r="AIW58" s="214"/>
      <c r="AIX58" s="214"/>
      <c r="AIY58" s="214"/>
      <c r="AIZ58" s="214"/>
      <c r="AJA58" s="214"/>
      <c r="AJB58" s="214"/>
      <c r="AJC58" s="214"/>
      <c r="AJD58" s="214"/>
      <c r="AJE58" s="214"/>
      <c r="AJF58" s="214"/>
      <c r="AJG58" s="214"/>
      <c r="AJH58" s="214"/>
      <c r="AJI58" s="214"/>
      <c r="AJJ58" s="214"/>
      <c r="AJK58" s="214"/>
      <c r="AJL58" s="214"/>
      <c r="AJM58" s="214"/>
      <c r="AJN58" s="214"/>
      <c r="AJO58" s="214"/>
      <c r="AJP58" s="214"/>
      <c r="AJQ58" s="214"/>
      <c r="AJR58" s="214"/>
      <c r="AJS58" s="214"/>
      <c r="AJT58" s="214"/>
      <c r="AJU58" s="214"/>
      <c r="AJV58" s="214"/>
      <c r="AJW58" s="214"/>
      <c r="AJX58" s="214"/>
      <c r="AJY58" s="214"/>
      <c r="AJZ58" s="214"/>
      <c r="AKA58" s="214"/>
      <c r="AKB58" s="214"/>
      <c r="AKC58" s="214"/>
      <c r="AKD58" s="214"/>
      <c r="AKE58" s="214"/>
      <c r="AKF58" s="214"/>
      <c r="AKG58" s="214"/>
      <c r="AKH58" s="214"/>
      <c r="AKI58" s="214"/>
      <c r="AKJ58" s="214"/>
      <c r="AKK58" s="214"/>
      <c r="AKL58" s="214"/>
      <c r="AKM58" s="214"/>
      <c r="AKN58" s="214"/>
      <c r="AKO58" s="214"/>
      <c r="AKP58" s="214"/>
      <c r="AKQ58" s="214"/>
      <c r="AKR58" s="214"/>
      <c r="AKS58" s="214"/>
      <c r="AKT58" s="214"/>
      <c r="AKU58" s="214"/>
      <c r="AKV58" s="214"/>
      <c r="AKW58" s="214"/>
      <c r="AKX58" s="214"/>
      <c r="AKY58" s="214"/>
      <c r="AKZ58" s="214"/>
      <c r="ALA58" s="214"/>
      <c r="ALB58" s="214"/>
      <c r="ALC58" s="214"/>
      <c r="ALD58" s="214"/>
      <c r="ALE58" s="214"/>
      <c r="ALF58" s="214"/>
      <c r="ALG58" s="214"/>
      <c r="ALH58" s="214"/>
      <c r="ALI58" s="214"/>
      <c r="ALJ58" s="214"/>
      <c r="ALK58" s="214"/>
      <c r="ALL58" s="214"/>
      <c r="ALM58" s="214"/>
      <c r="ALN58" s="214"/>
      <c r="ALO58" s="214"/>
      <c r="ALP58" s="214"/>
      <c r="ALQ58" s="214"/>
      <c r="ALR58" s="214"/>
      <c r="ALS58" s="214"/>
      <c r="ALT58" s="214"/>
      <c r="ALU58" s="214"/>
      <c r="ALV58" s="214"/>
      <c r="ALW58" s="214"/>
      <c r="ALX58" s="214"/>
      <c r="ALY58" s="214"/>
      <c r="ALZ58" s="214"/>
      <c r="AMA58" s="214"/>
      <c r="AMB58" s="214"/>
      <c r="AMC58" s="214"/>
      <c r="AMD58" s="214"/>
      <c r="AME58" s="214"/>
      <c r="AMF58" s="214"/>
      <c r="AMG58" s="214"/>
      <c r="AMH58" s="214"/>
      <c r="AMI58" s="214"/>
      <c r="AMJ58" s="214"/>
      <c r="AMK58" s="214"/>
      <c r="AML58" s="214"/>
      <c r="AMM58" s="214"/>
      <c r="AMN58" s="214"/>
      <c r="AMO58" s="214"/>
      <c r="AMP58" s="214"/>
      <c r="AMQ58" s="214"/>
      <c r="AMR58" s="214"/>
      <c r="AMS58" s="214"/>
      <c r="AMT58" s="214"/>
      <c r="AMU58" s="214"/>
      <c r="AMV58" s="214"/>
      <c r="AMW58" s="214"/>
      <c r="AMX58" s="214"/>
      <c r="AMY58" s="214"/>
      <c r="AMZ58" s="214"/>
      <c r="ANA58" s="214"/>
      <c r="ANB58" s="214"/>
      <c r="ANC58" s="214"/>
      <c r="AND58" s="214"/>
      <c r="ANE58" s="214"/>
      <c r="ANF58" s="214"/>
      <c r="ANG58" s="214"/>
      <c r="ANH58" s="214"/>
      <c r="ANI58" s="214"/>
      <c r="ANJ58" s="214"/>
      <c r="ANK58" s="214"/>
      <c r="ANL58" s="214"/>
      <c r="ANM58" s="214"/>
      <c r="ANN58" s="214"/>
      <c r="ANO58" s="214"/>
      <c r="ANP58" s="214"/>
      <c r="ANQ58" s="214"/>
      <c r="ANR58" s="214"/>
      <c r="ANS58" s="214"/>
      <c r="ANT58" s="214"/>
      <c r="ANU58" s="214"/>
      <c r="ANV58" s="214"/>
      <c r="ANW58" s="214"/>
      <c r="ANX58" s="214"/>
      <c r="ANY58" s="214"/>
      <c r="ANZ58" s="214"/>
      <c r="AOA58" s="214"/>
      <c r="AOB58" s="214"/>
      <c r="AOC58" s="214"/>
      <c r="AOD58" s="214"/>
      <c r="AOE58" s="214"/>
      <c r="AOF58" s="214"/>
      <c r="AOG58" s="214"/>
      <c r="AOH58" s="214"/>
      <c r="AOI58" s="214"/>
      <c r="AOJ58" s="214"/>
      <c r="AOK58" s="214"/>
      <c r="AOL58" s="214"/>
      <c r="AOM58" s="214"/>
      <c r="AON58" s="214"/>
      <c r="AOO58" s="214"/>
      <c r="AOP58" s="214"/>
      <c r="AOQ58" s="214"/>
      <c r="AOR58" s="214"/>
      <c r="AOS58" s="214"/>
      <c r="AOT58" s="214"/>
      <c r="AOU58" s="214"/>
      <c r="AOV58" s="214"/>
      <c r="AOW58" s="214"/>
      <c r="AOX58" s="214"/>
      <c r="AOY58" s="214"/>
      <c r="AOZ58" s="214"/>
      <c r="APA58" s="214"/>
      <c r="APB58" s="214"/>
      <c r="APC58" s="214"/>
      <c r="APD58" s="214"/>
      <c r="APE58" s="214"/>
      <c r="APF58" s="214"/>
      <c r="APG58" s="214"/>
      <c r="APH58" s="214"/>
      <c r="API58" s="214"/>
      <c r="APJ58" s="214"/>
      <c r="APK58" s="214"/>
      <c r="APL58" s="214"/>
      <c r="APM58" s="214"/>
      <c r="APN58" s="214"/>
      <c r="APO58" s="214"/>
      <c r="APP58" s="214"/>
      <c r="APQ58" s="214"/>
      <c r="APR58" s="214"/>
      <c r="APS58" s="214"/>
      <c r="APT58" s="214"/>
      <c r="APU58" s="214"/>
      <c r="APV58" s="214"/>
      <c r="APW58" s="214"/>
      <c r="APX58" s="214"/>
      <c r="APY58" s="214"/>
      <c r="APZ58" s="214"/>
      <c r="AQA58" s="214"/>
      <c r="AQB58" s="214"/>
      <c r="AQC58" s="214"/>
      <c r="AQD58" s="214"/>
      <c r="AQE58" s="214"/>
      <c r="AQF58" s="214"/>
      <c r="AQG58" s="214"/>
      <c r="AQH58" s="214"/>
      <c r="AQI58" s="214"/>
      <c r="AQJ58" s="214"/>
      <c r="AQK58" s="214"/>
      <c r="AQL58" s="214"/>
      <c r="AQM58" s="214"/>
      <c r="AQN58" s="214"/>
      <c r="AQO58" s="214"/>
      <c r="AQP58" s="214"/>
      <c r="AQQ58" s="214"/>
      <c r="AQR58" s="214"/>
      <c r="AQS58" s="214"/>
      <c r="AQT58" s="214"/>
      <c r="AQU58" s="214"/>
      <c r="AQV58" s="214"/>
      <c r="AQW58" s="214"/>
      <c r="AQX58" s="214"/>
      <c r="AQY58" s="214"/>
      <c r="AQZ58" s="214"/>
      <c r="ARA58" s="214"/>
      <c r="ARB58" s="214"/>
      <c r="ARC58" s="214"/>
      <c r="ARD58" s="214"/>
      <c r="ARE58" s="214"/>
      <c r="ARF58" s="214"/>
      <c r="ARG58" s="214"/>
      <c r="ARH58" s="214"/>
      <c r="ARI58" s="214"/>
      <c r="ARJ58" s="214"/>
      <c r="ARK58" s="214"/>
      <c r="ARL58" s="214"/>
      <c r="ARM58" s="214"/>
      <c r="ARN58" s="214"/>
      <c r="ARO58" s="214"/>
      <c r="ARP58" s="214"/>
      <c r="ARQ58" s="214"/>
      <c r="ARR58" s="214"/>
      <c r="ARS58" s="214"/>
      <c r="ART58" s="214"/>
      <c r="ARU58" s="214"/>
      <c r="ARV58" s="214"/>
      <c r="ARW58" s="214"/>
      <c r="ARX58" s="214"/>
      <c r="ARY58" s="214"/>
      <c r="ARZ58" s="214"/>
      <c r="ASA58" s="214"/>
      <c r="ASB58" s="214"/>
      <c r="ASC58" s="214"/>
      <c r="ASD58" s="214"/>
      <c r="ASE58" s="214"/>
      <c r="ASF58" s="214"/>
      <c r="ASG58" s="214"/>
      <c r="ASH58" s="214"/>
      <c r="ASI58" s="214"/>
      <c r="ASJ58" s="214"/>
      <c r="ASK58" s="214"/>
      <c r="ASL58" s="214"/>
      <c r="ASM58" s="214"/>
      <c r="ASN58" s="214"/>
      <c r="ASO58" s="214"/>
      <c r="ASP58" s="214"/>
      <c r="ASQ58" s="214"/>
      <c r="ASR58" s="214"/>
      <c r="ASS58" s="214"/>
      <c r="AST58" s="214"/>
      <c r="ASU58" s="214"/>
      <c r="ASV58" s="214"/>
      <c r="ASW58" s="214"/>
      <c r="ASX58" s="214"/>
      <c r="ASY58" s="214"/>
      <c r="ASZ58" s="214"/>
      <c r="ATA58" s="214"/>
      <c r="ATB58" s="214"/>
      <c r="ATC58" s="214"/>
      <c r="ATD58" s="214"/>
      <c r="ATE58" s="214"/>
      <c r="ATF58" s="214"/>
      <c r="ATG58" s="214"/>
      <c r="ATH58" s="214"/>
      <c r="ATI58" s="214"/>
      <c r="ATJ58" s="214"/>
      <c r="ATK58" s="214"/>
      <c r="ATL58" s="214"/>
      <c r="ATM58" s="214"/>
      <c r="ATN58" s="214"/>
      <c r="ATO58" s="214"/>
      <c r="ATP58" s="214"/>
      <c r="ATQ58" s="214"/>
      <c r="ATR58" s="214"/>
      <c r="ATS58" s="214"/>
      <c r="ATT58" s="214"/>
      <c r="ATU58" s="214"/>
      <c r="ATV58" s="214"/>
      <c r="ATW58" s="214"/>
      <c r="ATX58" s="214"/>
      <c r="ATY58" s="214"/>
      <c r="ATZ58" s="214"/>
      <c r="AUA58" s="214"/>
      <c r="AUB58" s="214"/>
      <c r="AUC58" s="214"/>
      <c r="AUD58" s="214"/>
      <c r="AUE58" s="214"/>
      <c r="AUF58" s="214"/>
      <c r="AUG58" s="214"/>
      <c r="AUH58" s="214"/>
      <c r="AUI58" s="214"/>
      <c r="AUJ58" s="214"/>
      <c r="AUK58" s="214"/>
      <c r="AUL58" s="214"/>
      <c r="AUM58" s="214"/>
      <c r="AUN58" s="214"/>
      <c r="AUO58" s="214"/>
      <c r="AUP58" s="214"/>
      <c r="AUQ58" s="214"/>
      <c r="AUR58" s="214"/>
      <c r="AUS58" s="214"/>
      <c r="AUT58" s="214"/>
      <c r="AUU58" s="214"/>
      <c r="AUV58" s="214"/>
      <c r="AUW58" s="214"/>
      <c r="AUX58" s="214"/>
      <c r="AUY58" s="214"/>
      <c r="AUZ58" s="214"/>
      <c r="AVA58" s="214"/>
      <c r="AVB58" s="214"/>
      <c r="AVC58" s="214"/>
      <c r="AVD58" s="214"/>
      <c r="AVE58" s="214"/>
      <c r="AVF58" s="214"/>
      <c r="AVG58" s="214"/>
      <c r="AVH58" s="214"/>
      <c r="AVI58" s="214"/>
      <c r="AVJ58" s="214"/>
      <c r="AVK58" s="214"/>
      <c r="AVL58" s="214"/>
      <c r="AVM58" s="214"/>
      <c r="AVN58" s="214"/>
      <c r="AVO58" s="214"/>
      <c r="AVP58" s="214"/>
      <c r="AVQ58" s="214"/>
      <c r="AVR58" s="214"/>
      <c r="AVS58" s="214"/>
      <c r="AVT58" s="214"/>
      <c r="AVU58" s="214"/>
      <c r="AVV58" s="214"/>
      <c r="AVW58" s="214"/>
      <c r="AVX58" s="214"/>
      <c r="AVY58" s="214"/>
      <c r="AVZ58" s="214"/>
      <c r="AWA58" s="214"/>
      <c r="AWB58" s="214"/>
      <c r="AWC58" s="214"/>
      <c r="AWD58" s="214"/>
      <c r="AWE58" s="214"/>
      <c r="AWF58" s="214"/>
      <c r="AWG58" s="214"/>
      <c r="AWH58" s="214"/>
      <c r="AWI58" s="214"/>
      <c r="AWJ58" s="214"/>
      <c r="AWK58" s="214"/>
      <c r="AWL58" s="214"/>
      <c r="AWM58" s="214"/>
      <c r="AWN58" s="214"/>
      <c r="AWO58" s="214"/>
      <c r="AWP58" s="214"/>
      <c r="AWQ58" s="214"/>
      <c r="AWR58" s="214"/>
      <c r="AWS58" s="214"/>
      <c r="AWT58" s="214"/>
      <c r="AWU58" s="214"/>
      <c r="AWV58" s="214"/>
      <c r="AWW58" s="214"/>
      <c r="AWX58" s="214"/>
      <c r="AWY58" s="214"/>
      <c r="AWZ58" s="214"/>
      <c r="AXA58" s="214"/>
      <c r="AXB58" s="214"/>
      <c r="AXC58" s="214"/>
      <c r="AXD58" s="214"/>
      <c r="AXE58" s="214"/>
      <c r="AXF58" s="214"/>
      <c r="AXG58" s="214"/>
      <c r="AXH58" s="214"/>
      <c r="AXI58" s="214"/>
      <c r="AXJ58" s="214"/>
      <c r="AXK58" s="214"/>
      <c r="AXL58" s="214"/>
      <c r="AXM58" s="214"/>
      <c r="AXN58" s="214"/>
      <c r="AXO58" s="214"/>
      <c r="AXP58" s="214"/>
      <c r="AXQ58" s="214"/>
      <c r="AXR58" s="214"/>
      <c r="AXS58" s="214"/>
      <c r="AXT58" s="214"/>
      <c r="AXU58" s="214"/>
      <c r="AXV58" s="214"/>
      <c r="AXW58" s="214"/>
      <c r="AXX58" s="214"/>
      <c r="AXY58" s="214"/>
      <c r="AXZ58" s="214"/>
      <c r="AYA58" s="214"/>
      <c r="AYB58" s="214"/>
      <c r="AYC58" s="214"/>
      <c r="AYD58" s="214"/>
      <c r="AYE58" s="214"/>
      <c r="AYF58" s="214"/>
      <c r="AYG58" s="214"/>
      <c r="AYH58" s="214"/>
      <c r="AYI58" s="214"/>
      <c r="AYJ58" s="214"/>
      <c r="AYK58" s="214"/>
      <c r="AYL58" s="214"/>
      <c r="AYM58" s="214"/>
      <c r="AYN58" s="214"/>
      <c r="AYO58" s="214"/>
      <c r="AYP58" s="214"/>
      <c r="AYQ58" s="214"/>
      <c r="AYR58" s="214"/>
      <c r="AYS58" s="214"/>
      <c r="AYT58" s="214"/>
      <c r="AYU58" s="214"/>
      <c r="AYV58" s="214"/>
      <c r="AYW58" s="214"/>
      <c r="AYX58" s="214"/>
      <c r="AYY58" s="214"/>
      <c r="AYZ58" s="214"/>
      <c r="AZA58" s="214"/>
      <c r="AZB58" s="214"/>
      <c r="AZC58" s="214"/>
      <c r="AZD58" s="214"/>
      <c r="AZE58" s="214"/>
      <c r="AZF58" s="214"/>
      <c r="AZG58" s="214"/>
      <c r="AZH58" s="214"/>
      <c r="AZI58" s="214"/>
      <c r="AZJ58" s="214"/>
      <c r="AZK58" s="214"/>
      <c r="AZL58" s="214"/>
      <c r="AZM58" s="214"/>
      <c r="AZN58" s="214"/>
      <c r="AZO58" s="214"/>
      <c r="AZP58" s="214"/>
      <c r="AZQ58" s="214"/>
      <c r="AZR58" s="214"/>
      <c r="AZS58" s="214"/>
      <c r="AZT58" s="214"/>
      <c r="AZU58" s="214"/>
      <c r="AZV58" s="214"/>
      <c r="AZW58" s="214"/>
      <c r="AZX58" s="214"/>
      <c r="AZY58" s="214"/>
      <c r="AZZ58" s="214"/>
      <c r="BAA58" s="214"/>
      <c r="BAB58" s="214"/>
      <c r="BAC58" s="214"/>
      <c r="BAD58" s="214"/>
      <c r="BAE58" s="214"/>
      <c r="BAF58" s="214"/>
      <c r="BAG58" s="214"/>
      <c r="BAH58" s="214"/>
      <c r="BAI58" s="214"/>
      <c r="BAJ58" s="214"/>
      <c r="BAK58" s="214"/>
      <c r="BAL58" s="214"/>
      <c r="BAM58" s="214"/>
      <c r="BAN58" s="214"/>
      <c r="BAO58" s="214"/>
      <c r="BAP58" s="214"/>
      <c r="BAQ58" s="214"/>
      <c r="BAR58" s="214"/>
      <c r="BAS58" s="214"/>
      <c r="BAT58" s="214"/>
      <c r="BAU58" s="214"/>
      <c r="BAV58" s="214"/>
      <c r="BAW58" s="214"/>
      <c r="BAX58" s="214"/>
      <c r="BAY58" s="214"/>
      <c r="BAZ58" s="214"/>
      <c r="BBA58" s="214"/>
      <c r="BBB58" s="214"/>
      <c r="BBC58" s="214"/>
      <c r="BBD58" s="214"/>
      <c r="BBE58" s="214"/>
      <c r="BBF58" s="214"/>
      <c r="BBG58" s="214"/>
      <c r="BBH58" s="214"/>
      <c r="BBI58" s="214"/>
      <c r="BBJ58" s="214"/>
      <c r="BBK58" s="214"/>
      <c r="BBL58" s="214"/>
      <c r="BBM58" s="214"/>
      <c r="BBN58" s="214"/>
      <c r="BBO58" s="214"/>
      <c r="BBP58" s="214"/>
      <c r="BBQ58" s="214"/>
      <c r="BBR58" s="214"/>
      <c r="BBS58" s="214"/>
      <c r="BBT58" s="214"/>
      <c r="BBU58" s="214"/>
      <c r="BBV58" s="214"/>
      <c r="BBW58" s="214"/>
      <c r="BBX58" s="214"/>
      <c r="BBY58" s="214"/>
      <c r="BBZ58" s="214"/>
      <c r="BCA58" s="214"/>
      <c r="BCB58" s="214"/>
      <c r="BCC58" s="214"/>
      <c r="BCD58" s="214"/>
      <c r="BCE58" s="214"/>
      <c r="BCF58" s="214"/>
      <c r="BCG58" s="214"/>
      <c r="BCH58" s="214"/>
      <c r="BCI58" s="214"/>
      <c r="BCJ58" s="214"/>
      <c r="BCK58" s="214"/>
      <c r="BCL58" s="214"/>
      <c r="BCM58" s="214"/>
      <c r="BCN58" s="214"/>
      <c r="BCO58" s="214"/>
      <c r="BCP58" s="214"/>
      <c r="BCQ58" s="214"/>
      <c r="BCR58" s="214"/>
      <c r="BCS58" s="214"/>
      <c r="BCT58" s="214"/>
      <c r="BCU58" s="214"/>
      <c r="BCV58" s="214"/>
      <c r="BCW58" s="214"/>
      <c r="BCX58" s="214"/>
      <c r="BCY58" s="214"/>
      <c r="BCZ58" s="214"/>
      <c r="BDA58" s="214"/>
      <c r="BDB58" s="214"/>
      <c r="BDC58" s="214"/>
      <c r="BDD58" s="214"/>
      <c r="BDE58" s="214"/>
      <c r="BDF58" s="214"/>
      <c r="BDG58" s="214"/>
      <c r="BDH58" s="214"/>
      <c r="BDI58" s="214"/>
      <c r="BDJ58" s="214"/>
      <c r="BDK58" s="214"/>
      <c r="BDL58" s="214"/>
      <c r="BDM58" s="214"/>
      <c r="BDN58" s="214"/>
      <c r="BDO58" s="214"/>
      <c r="BDP58" s="214"/>
      <c r="BDQ58" s="214"/>
      <c r="BDR58" s="214"/>
      <c r="BDS58" s="214"/>
      <c r="BDT58" s="214"/>
      <c r="BDU58" s="214"/>
      <c r="BDV58" s="214"/>
      <c r="BDW58" s="214"/>
      <c r="BDX58" s="214"/>
      <c r="BDY58" s="214"/>
      <c r="BDZ58" s="214"/>
      <c r="BEA58" s="214"/>
      <c r="BEB58" s="214"/>
      <c r="BEC58" s="214"/>
      <c r="BED58" s="214"/>
      <c r="BEE58" s="214"/>
      <c r="BEF58" s="214"/>
      <c r="BEG58" s="214"/>
      <c r="BEH58" s="214"/>
      <c r="BEI58" s="214"/>
      <c r="BEJ58" s="214"/>
      <c r="BEK58" s="214"/>
      <c r="BEL58" s="214"/>
      <c r="BEM58" s="214"/>
      <c r="BEN58" s="214"/>
      <c r="BEO58" s="214"/>
      <c r="BEP58" s="214"/>
      <c r="BEQ58" s="214"/>
      <c r="BER58" s="214"/>
      <c r="BES58" s="214"/>
      <c r="BET58" s="214"/>
      <c r="BEU58" s="214"/>
      <c r="BEV58" s="214"/>
      <c r="BEW58" s="214"/>
      <c r="BEX58" s="214"/>
      <c r="BEY58" s="214"/>
      <c r="BEZ58" s="214"/>
      <c r="BFA58" s="214"/>
      <c r="BFB58" s="214"/>
      <c r="BFC58" s="214"/>
      <c r="BFD58" s="214"/>
      <c r="BFE58" s="214"/>
      <c r="BFF58" s="214"/>
      <c r="BFG58" s="214"/>
      <c r="BFH58" s="214"/>
      <c r="BFI58" s="214"/>
      <c r="BFJ58" s="214"/>
      <c r="BFK58" s="214"/>
      <c r="BFL58" s="214"/>
      <c r="BFM58" s="214"/>
      <c r="BFN58" s="214"/>
      <c r="BFO58" s="214"/>
      <c r="BFP58" s="214"/>
      <c r="BFQ58" s="214"/>
      <c r="BFR58" s="214"/>
      <c r="BFS58" s="214"/>
      <c r="BFT58" s="214"/>
      <c r="BFU58" s="214"/>
      <c r="BFV58" s="214"/>
      <c r="BFW58" s="214"/>
      <c r="BFX58" s="214"/>
      <c r="BFY58" s="214"/>
      <c r="BFZ58" s="214"/>
      <c r="BGA58" s="214"/>
      <c r="BGB58" s="214"/>
      <c r="BGC58" s="214"/>
      <c r="BGD58" s="214"/>
      <c r="BGE58" s="214"/>
      <c r="BGF58" s="214"/>
      <c r="BGG58" s="214"/>
      <c r="BGH58" s="214"/>
      <c r="BGI58" s="214"/>
      <c r="BGJ58" s="214"/>
      <c r="BGK58" s="214"/>
      <c r="BGL58" s="214"/>
      <c r="BGM58" s="214"/>
      <c r="BGN58" s="214"/>
      <c r="BGO58" s="214"/>
      <c r="BGP58" s="214"/>
      <c r="BGQ58" s="214"/>
      <c r="BGR58" s="214"/>
      <c r="BGS58" s="214"/>
      <c r="BGT58" s="214"/>
      <c r="BGU58" s="214"/>
      <c r="BGV58" s="214"/>
      <c r="BGW58" s="214"/>
      <c r="BGX58" s="214"/>
      <c r="BGY58" s="214"/>
      <c r="BGZ58" s="214"/>
      <c r="BHA58" s="214"/>
      <c r="BHB58" s="214"/>
      <c r="BHC58" s="214"/>
      <c r="BHD58" s="214"/>
      <c r="BHE58" s="214"/>
      <c r="BHF58" s="214"/>
      <c r="BHG58" s="214"/>
      <c r="BHH58" s="214"/>
      <c r="BHI58" s="214"/>
      <c r="BHJ58" s="214"/>
      <c r="BHK58" s="214"/>
      <c r="BHL58" s="214"/>
      <c r="BHM58" s="214"/>
      <c r="BHN58" s="214"/>
      <c r="BHO58" s="214"/>
      <c r="BHP58" s="214"/>
      <c r="BHQ58" s="214"/>
      <c r="BHR58" s="214"/>
      <c r="BHS58" s="214"/>
      <c r="BHT58" s="214"/>
      <c r="BHU58" s="214"/>
      <c r="BHV58" s="214"/>
      <c r="BHW58" s="214"/>
    </row>
    <row r="59" spans="1:1583" s="216" customFormat="1" ht="22.5" customHeight="1">
      <c r="A59" s="157" t="s">
        <v>66</v>
      </c>
      <c r="B59" s="77"/>
      <c r="C59" s="77"/>
      <c r="D59" s="426" t="s">
        <v>599</v>
      </c>
      <c r="E59" s="63" t="s">
        <v>9</v>
      </c>
      <c r="F59" s="131"/>
      <c r="G59" s="60" t="s">
        <v>713</v>
      </c>
      <c r="H59" s="473">
        <f>SUM(I59:AN59)</f>
        <v>6668.51797357539</v>
      </c>
      <c r="I59" s="147">
        <f>(I33)+((I47*24*(Analysis!J90/100)*2.015)/(1000*22.414))+((I46-I47)*24*2.015*(Analysis!J83/100)/(1000*22.414))-((I41/Analysis!J71)*(Analysis!J61/100)*2.015*0.8357)+((I36/Analysis!J38)*(Analysis!J33/100)*2.015)-(I57*I58/100)</f>
        <v>207.75257014713205</v>
      </c>
      <c r="J59" s="437"/>
      <c r="K59" s="147">
        <f>(K33)+((K47*24*(Analysis!L90/100)*2.015)/(1000*22.414))+((K46-K47)*24*2.015*(Analysis!L83/100)/(1000*22.414))-((K41/Analysis!L71)*(Analysis!L61/100)*2.015*0.8357)+((K36/Analysis!L38)*(Analysis!L33/100)*2.015)-(K57*K58/100)</f>
        <v>237.04341269178298</v>
      </c>
      <c r="L59" s="106">
        <f>(L33)+((L47*24*(Analysis!M90/100)*2.015)/(1000*22.414))+((L46-L47)*24*2.015*(Analysis!M83/100)/(1000*22.414))-((L41/Analysis!M71)*(Analysis!M61/100)*2.015*0.8357)+((L36/Analysis!M38)*(Analysis!M33/100)*2.015)-(L57*L58/100)</f>
        <v>237.49955225998613</v>
      </c>
      <c r="M59" s="106">
        <f>(M33)+((M47*24*(Analysis!N90/100)*2.015)/(1000*22.414))+((M46-M47)*24*2.015*(Analysis!N83/100)/(1000*22.414))-((M41/Analysis!N71)*(Analysis!N61/100)*2.015*0.8357)+((M36/Analysis!N38)*(Analysis!N33/100)*2.015)-(M57*M58/100)</f>
        <v>236.38104330009114</v>
      </c>
      <c r="N59" s="106">
        <f>(N33)+((N47*24*(Analysis!O90/100)*2.015)/(1000*22.414))+((N46-N47)*24*2.015*(Analysis!O83/100)/(1000*22.414))-((N41/Analysis!O71)*(Analysis!O61/100)*2.015*0.8357)+((N36/Analysis!O38)*(Analysis!O33/100)*2.015)-(N57*N58/100)</f>
        <v>237.58303312555856</v>
      </c>
      <c r="O59" s="106">
        <f>(O33)+((O47*24*(Analysis!P90/100)*2.015)/(1000*22.414))+((O46-O47)*24*2.015*(Analysis!P83/100)/(1000*22.414))-((O41/Analysis!P71)*(Analysis!P61/100)*2.015*0.8357)+((O36/Analysis!P38)*(Analysis!P33/100)*2.015)-(O57*O58/100)</f>
        <v>245.08900123058604</v>
      </c>
      <c r="P59" s="106">
        <f>(P33)+((P47*24*(Analysis!Q90/100)*2.015)/(1000*22.414))+((P46-P47)*24*2.015*(Analysis!Q83/100)/(1000*22.414))-((P41/Analysis!Q71)*(Analysis!Q61/100)*2.015*0.8357)+((P36/Analysis!Q38)*(Analysis!Q33/100)*2.015)-(P57*P58/100)</f>
        <v>244.60640782944375</v>
      </c>
      <c r="Q59" s="106">
        <f>(Q33)+((Q47*24*(Analysis!R90/100)*2.015)/(1000*22.414))+((Q46-Q47)*24*2.015*(Analysis!R83/100)/(1000*22.414))-((Q41/Analysis!R71)*(Analysis!R61/100)*2.015*0.8357)+((Q36/Analysis!R38)*(Analysis!R33/100)*2.015)-(Q57*Q58/100)</f>
        <v>239.89834541106435</v>
      </c>
      <c r="R59" s="106">
        <f>(R33)+((R47*24*(Analysis!S90/100)*2.015)/(1000*22.414))+((R46-R47)*24*2.015*(Analysis!S83/100)/(1000*22.414))-((R41/Analysis!S71)*(Analysis!S61/100)*2.015*0.8357)+((R36/Analysis!S38)*(Analysis!S33/100)*2.015)-(R57*R58/100)</f>
        <v>236.22498897555397</v>
      </c>
      <c r="S59" s="106">
        <f>(S33)+((S47*24*(Analysis!T90/100)*2.015)/(1000*22.414))+((S46-S47)*24*2.015*(Analysis!T83/100)/(1000*22.414))-((S41/Analysis!T71)*(Analysis!T61/100)*2.015*0.8357)+((S36/Analysis!T38)*(Analysis!T33/100)*2.015)-(S57*S58/100)</f>
        <v>235.49347053418936</v>
      </c>
      <c r="T59" s="106">
        <f>(T33)+((T47*24*(Analysis!U90/100)*2.015)/(1000*22.414))+((T46-T47)*24*2.015*(Analysis!U83/100)/(1000*22.414))-((T41/Analysis!U71)*(Analysis!U61/100)*2.015*0.8357)+((T36/Analysis!U38)*(Analysis!U33/100)*2.015)-(T57*T58/100)</f>
        <v>233.03591657144142</v>
      </c>
      <c r="U59" s="106">
        <f>(U33)+((U47*24*(Analysis!V90/100)*2.015)/(1000*22.414))+((U46-U47)*24*2.015*(Analysis!V83/100)/(1000*22.414))-((U41/Analysis!V71)*(Analysis!V61/100)*2.015*0.8357)+((U36/Analysis!V38)*(Analysis!V33/100)*2.015)-(U57*U58/100)</f>
        <v>231.89655660643771</v>
      </c>
      <c r="V59" s="106">
        <f>(V33)+((V47*24*(Analysis!W90/100)*2.015)/(1000*22.414))+((V46-V47)*24*2.015*(Analysis!W83/100)/(1000*22.414))-((V41/Analysis!W71)*(Analysis!W61/100)*2.015*0.8357)+((V36/Analysis!W38)*(Analysis!W33/100)*2.015)-(V57*V58/100)</f>
        <v>233.53714490886719</v>
      </c>
      <c r="W59" s="106">
        <f>(W33)+((W47*24*(Analysis!X90/100)*2.015)/(1000*22.414))+((W46-W47)*24*2.015*(Analysis!X83/100)/(1000*22.414))-((W41/Analysis!X71)*(Analysis!X61/100)*2.015*0.8357)+((W36/Analysis!X38)*(Analysis!X33/100)*2.015)-(W57*W58/100)</f>
        <v>235.19603111988988</v>
      </c>
      <c r="X59" s="106">
        <f>(X33)+((X47*24*(Analysis!Y90/100)*2.015)/(1000*22.414))+((X46-X47)*24*2.015*(Analysis!Y83/100)/(1000*22.414))-((X41/Analysis!Y71)*(Analysis!Y61/100)*2.015*0.8357)+((X36/Analysis!Y38)*(Analysis!Y33/100)*2.015)-(X57*X58/100)</f>
        <v>195.98662427245702</v>
      </c>
      <c r="Y59" s="106">
        <f>(Y33)+((Y47*24*(Analysis!Z90/100)*2.015)/(1000*22.414))+((Y46-Y47)*24*2.015*(Analysis!Z83/100)/(1000*22.414))-((Y41/Analysis!Z71)*(Analysis!Z61/100)*2.015*0.8357)+((Y36/Analysis!Z38)*(Analysis!Z33/100)*2.015)-(Y57*Y58/100)</f>
        <v>147.68401935099467</v>
      </c>
      <c r="Z59" s="106">
        <f>(Z33)+((Z47*24*(Analysis!AA90/100)*2.015)/(1000*22.414))+((Z46-Z47)*24*2.015*(Analysis!AA83/100)/(1000*22.414))-((Z41/Analysis!AA71)*(Analysis!AA61/100)*2.015*0.8357)+((Z36/Analysis!AA38)*(Analysis!AA33/100)*2.015)-(Z57*Z58/100)</f>
        <v>116.42156458838303</v>
      </c>
      <c r="AA59" s="106">
        <f>(AA33)+((AA47*24*(Analysis!AB90/100)*2.015)/(1000*22.414))+((AA46-AA47)*24*2.015*(Analysis!AB83/100)/(1000*22.414))-((AA41/Analysis!AB71)*(Analysis!AB61/100)*2.015*0.8357)+((AA36/Analysis!AB38)*(Analysis!AB33/100)*2.015)-(AA57*AA58/100)</f>
        <v>88.209994985309081</v>
      </c>
      <c r="AB59" s="106">
        <f>(AB33)+((AB47*24*(Analysis!AC90/100)*2.015)/(1000*22.414))+((AB46-AB47)*24*2.015*(Analysis!AC83/100)/(1000*22.414))-((AB41/Analysis!AC71)*(Analysis!AC61/100)*2.015*0.8357)+((AB36/Analysis!AC38)*(Analysis!AC33/100)*2.015)-(AB57*AB58/100)</f>
        <v>88.284027149188603</v>
      </c>
      <c r="AC59" s="106">
        <f>(AC33)+((AC47*24*(Analysis!AD90/100)*2.015)/(1000*22.414))+((AC46-AC47)*24*2.015*(Analysis!AD83/100)/(1000*22.414))-((AC41/Analysis!AD71)*(Analysis!AD61/100)*2.015*0.8357)+((AC36/Analysis!AD38)*(Analysis!AD33/100)*2.015)-(AC57*AC58/100)</f>
        <v>169.38176650108414</v>
      </c>
      <c r="AD59" s="106">
        <f>(AD33)+((AD47*24*(Analysis!AE90/100)*2.015)/(1000*22.414))+((AD46-AD47)*24*2.015*(Analysis!AE83/100)/(1000*22.414))-((AD41/Analysis!AE71)*(Analysis!AE61/100)*2.015*0.8357)+((AD36/Analysis!AE38)*(Analysis!AE33/100)*2.015)-(AD57*AD58/100)</f>
        <v>226.03452650515456</v>
      </c>
      <c r="AE59" s="106">
        <f>(AE33)+((AE47*24*(Analysis!AF90/100)*2.015)/(1000*22.414))+((AE46-AE47)*24*2.015*(Analysis!AF83/100)/(1000*22.414))-((AE41/Analysis!AF71)*(Analysis!AF61/100)*2.015*0.8357)+((AE36/Analysis!AF38)*(Analysis!AF33/100)*2.015)-(AE57*AE58/100)</f>
        <v>237.86534398265039</v>
      </c>
      <c r="AF59" s="106">
        <f>(AF33)+((AF47*24*(Analysis!AG90/100)*2.015)/(1000*22.414))+((AF46-AF47)*24*2.015*(Analysis!AG83/100)/(1000*22.414))-((AF41/Analysis!AG71)*(Analysis!AG61/100)*2.015*0.8357)+((AF36/Analysis!AG38)*(Analysis!AG33/100)*2.015)-(AF57*AF58/100)</f>
        <v>238.57063075511283</v>
      </c>
      <c r="AG59" s="106">
        <f>(AG33)+((AG47*24*(Analysis!AH90/100)*2.015)/(1000*22.414))+((AG46-AG47)*24*2.015*(Analysis!AH83/100)/(1000*22.414))-((AG41/Analysis!AH71)*(Analysis!AH61/100)*2.015*0.8357)+((AG36/Analysis!AH38)*(Analysis!AH33/100)*2.015)-(AG57*AG58/100)</f>
        <v>235.35330018546838</v>
      </c>
      <c r="AH59" s="106">
        <f>(AH33)+((AH47*24*(Analysis!AI90/100)*2.015)/(1000*22.414))+((AH46-AH47)*24*2.015*(Analysis!AI83/100)/(1000*22.414))-((AH41/Analysis!AI71)*(Analysis!AI61/100)*2.015*0.8357)+((AH36/Analysis!AI38)*(Analysis!AI33/100)*2.015)-(AH57*AH58/100)</f>
        <v>235.90820601774573</v>
      </c>
      <c r="AI59" s="106">
        <f>(AI33)+((AI47*24*(Analysis!AJ90/100)*2.015)/(1000*22.414))+((AI46-AI47)*24*2.015*(Analysis!AJ83/100)/(1000*22.414))-((AI41/Analysis!AJ71)*(Analysis!AJ61/100)*2.015*0.8357)+((AI36/Analysis!AJ38)*(Analysis!AJ33/100)*2.015)-(AI57*AI58/100)</f>
        <v>231.98497185605228</v>
      </c>
      <c r="AJ59" s="106">
        <f>(AJ33)+((AJ47*24*(Analysis!AK90/100)*2.015)/(1000*22.414))+((AJ46-AJ47)*24*2.015*(Analysis!AK83/100)/(1000*22.414))-((AJ41/Analysis!AK71)*(Analysis!AK61/100)*2.015*0.8357)+((AJ36/Analysis!AK38)*(Analysis!AK33/100)*2.015)-(AJ57*AJ58/100)</f>
        <v>232.2862344363721</v>
      </c>
      <c r="AK59" s="106">
        <f>(AK33)+((AK47*24*(Analysis!AL90/100)*2.015)/(1000*22.414))+((AK46-AK47)*24*2.015*(Analysis!AL83/100)/(1000*22.414))-((AK41/Analysis!AL71)*(Analysis!AL61/100)*2.015*0.8357)+((AK36/Analysis!AL38)*(Analysis!AL33/100)*2.015)-(AK57*AK58/100)</f>
        <v>232.65790945419818</v>
      </c>
      <c r="AL59" s="106">
        <f>(AL33)+((AL47*24*(Analysis!AM90/100)*2.015)/(1000*22.414))+((AL46-AL47)*24*2.015*(Analysis!AM83/100)/(1000*22.414))-((AL41/Analysis!AM71)*(Analysis!AM61/100)*2.015*0.8357)+((AL36/Analysis!AM38)*(Analysis!AM33/100)*2.015)-(AL57*AL58/100)</f>
        <v>233.71424831850575</v>
      </c>
      <c r="AM59" s="106">
        <f>(AM33)+((AM47*24*(Analysis!AN90/100)*2.015)/(1000*22.414))+((AM46-AM47)*24*2.015*(Analysis!AN83/100)/(1000*22.414))-((AM41/Analysis!AN71)*(Analysis!AN61/100)*2.015*0.8357)+((AM36/Analysis!AN38)*(Analysis!AN33/100)*2.015)-(AM57*AM58/100)</f>
        <v>231.58462741280115</v>
      </c>
      <c r="AN59" s="106">
        <f>(AN33)+((AN47*24*(Analysis!AO90/100)*2.015)/(1000*22.414))+((AN46-AN47)*24*2.015*(Analysis!AO83/100)/(1000*22.414))-((AN41/Analysis!AO71)*(Analysis!AO61/100)*2.015*0.8357)+((AN36/Analysis!AO38)*(Analysis!AO33/100)*2.015)-(AN57*AN58/100)</f>
        <v>235.35250309188712</v>
      </c>
    </row>
    <row r="60" spans="1:1583" s="219" customFormat="1" ht="21" customHeight="1" thickBot="1">
      <c r="A60" s="159" t="s">
        <v>418</v>
      </c>
      <c r="B60" s="257"/>
      <c r="C60" s="257"/>
      <c r="D60" s="427" t="s">
        <v>643</v>
      </c>
      <c r="E60" s="265" t="s">
        <v>9</v>
      </c>
      <c r="F60" s="137"/>
      <c r="G60" s="60" t="s">
        <v>714</v>
      </c>
      <c r="H60" s="473">
        <f>SUM(I60:AN60)</f>
        <v>6526.4939828041524</v>
      </c>
      <c r="I60" s="148">
        <f>(I33)+((0*24*(Analysis!J90/100)*2.015)/(1000*22.414))+((I46-I47)*24*2.015*(Analysis!J83/100)/(1000*22.414))-((I41/Analysis!J71)*(Analysis!J61/100)*2.015*0.8357)+((I36/Analysis!J38)*(Analysis!J33/100)*2.015)-(I57*I58/100)</f>
        <v>203.53607755480309</v>
      </c>
      <c r="J60" s="437"/>
      <c r="K60" s="148">
        <f>((K33)+((0*24*(Analysis!L90/100)*2.015)/(1000*22.414))+((K46-K47)*24*2.015*(Analysis!L83/100)/(1000*22.414))-((K41/Analysis!L71)*(Analysis!L61/100)*2.015*0.8357)+((K36/Analysis!L38)*(Analysis!L33/100)*2.015)-(K57*K58/100))</f>
        <v>232.09590131974636</v>
      </c>
      <c r="L60" s="107">
        <f>((L33)+((0*24*(Analysis!M90/100)*2.015)/(1000*22.414))+((L46-L47)*24*2.015*(Analysis!M83/100)/(1000*22.414))-((L41/Analysis!M71)*(Analysis!M61/100)*2.015*0.8357)+((L36/Analysis!M38)*(Analysis!M33/100)*2.015)-(L57*L58/100))</f>
        <v>232.53875277643132</v>
      </c>
      <c r="M60" s="107">
        <f>((M33)+((0*24*(Analysis!N90/100)*2.015)/(1000*22.414))+((M46-M47)*24*2.015*(Analysis!N83/100)/(1000*22.414))-((M41/Analysis!N71)*(Analysis!N61/100)*2.015*0.8357)+((M36/Analysis!N38)*(Analysis!N33/100)*2.015)-(M57*M58/100))</f>
        <v>231.50714011609904</v>
      </c>
      <c r="N60" s="107">
        <f>((N33)+((0*24*(Analysis!O90/100)*2.015)/(1000*22.414))+((N46-N47)*24*2.015*(Analysis!O83/100)/(1000*22.414))-((N41/Analysis!O71)*(Analysis!O61/100)*2.015*0.8357)+((N36/Analysis!O38)*(Analysis!O33/100)*2.015)-(N57*N58/100))</f>
        <v>232.51659075910189</v>
      </c>
      <c r="O60" s="107">
        <f>((O33)+((0*24*(Analysis!P90/100)*2.015)/(1000*22.414))+((O46-O47)*24*2.015*(Analysis!P83/100)/(1000*22.414))-((O41/Analysis!P71)*(Analysis!P61/100)*2.015*0.8357)+((O36/Analysis!P38)*(Analysis!P33/100)*2.015)-(O57*O58/100))</f>
        <v>241.02596661503935</v>
      </c>
      <c r="P60" s="107">
        <f>((P33)+((0*24*(Analysis!Q90/100)*2.015)/(1000*22.414))+((P46-P47)*24*2.015*(Analysis!Q83/100)/(1000*22.414))-((P41/Analysis!Q71)*(Analysis!Q61/100)*2.015*0.8357)+((P36/Analysis!Q38)*(Analysis!Q33/100)*2.015)-(P57*P58/100))</f>
        <v>240.81103851283598</v>
      </c>
      <c r="Q60" s="107">
        <f>((Q33)+((0*24*(Analysis!R90/100)*2.015)/(1000*22.414))+((Q46-Q47)*24*2.015*(Analysis!R83/100)/(1000*22.414))-((Q41/Analysis!R71)*(Analysis!R61/100)*2.015*0.8357)+((Q36/Analysis!R38)*(Analysis!R33/100)*2.015)-(Q57*Q58/100))</f>
        <v>235.93091287176972</v>
      </c>
      <c r="R60" s="107">
        <f>((R33)+((0*24*(Analysis!S90/100)*2.015)/(1000*22.414))+((R46-R47)*24*2.015*(Analysis!S83/100)/(1000*22.414))-((R41/Analysis!S71)*(Analysis!S61/100)*2.015*0.8357)+((R36/Analysis!S38)*(Analysis!S33/100)*2.015)-(R57*R58/100))</f>
        <v>232.40836154592978</v>
      </c>
      <c r="S60" s="107">
        <f>((S33)+((0*24*(Analysis!T90/100)*2.015)/(1000*22.414))+((S46-S47)*24*2.015*(Analysis!T83/100)/(1000*22.414))-((S41/Analysis!T71)*(Analysis!T61/100)*2.015*0.8357)+((S36/Analysis!T38)*(Analysis!T33/100)*2.015)-(S57*S58/100))</f>
        <v>231.94361500641031</v>
      </c>
      <c r="T60" s="107">
        <f>((T33)+((0*24*(Analysis!U90/100)*2.015)/(1000*22.414))+((T46-T47)*24*2.015*(Analysis!U83/100)/(1000*22.414))-((T41/Analysis!U71)*(Analysis!U61/100)*2.015*0.8357)+((T36/Analysis!U38)*(Analysis!U33/100)*2.015)-(T57*T58/100))</f>
        <v>229.08131365463424</v>
      </c>
      <c r="U60" s="107">
        <f>((U33)+((0*24*(Analysis!V90/100)*2.015)/(1000*22.414))+((U46-U47)*24*2.015*(Analysis!V83/100)/(1000*22.414))-((U41/Analysis!V71)*(Analysis!V61/100)*2.015*0.8357)+((U36/Analysis!V38)*(Analysis!V33/100)*2.015)-(U57*U58/100))</f>
        <v>227.6084409185566</v>
      </c>
      <c r="V60" s="107">
        <f>((V33)+((0*24*(Analysis!W90/100)*2.015)/(1000*22.414))+((V46-V47)*24*2.015*(Analysis!W83/100)/(1000*22.414))-((V41/Analysis!W71)*(Analysis!W61/100)*2.015*0.8357)+((V36/Analysis!W38)*(Analysis!W33/100)*2.015)-(V57*V58/100))</f>
        <v>230.54278413223716</v>
      </c>
      <c r="W60" s="107">
        <f>((W33)+((0*24*(Analysis!X90/100)*2.015)/(1000*22.414))+((W46-W47)*24*2.015*(Analysis!X83/100)/(1000*22.414))-((W41/Analysis!X71)*(Analysis!X61/100)*2.015*0.8357)+((W36/Analysis!X38)*(Analysis!X33/100)*2.015)-(W57*W58/100))</f>
        <v>232.25579470370423</v>
      </c>
      <c r="X60" s="107">
        <f>((X33)+((0*24*(Analysis!Y90/100)*2.015)/(1000*22.414))+((X46-X47)*24*2.015*(Analysis!Y83/100)/(1000*22.414))-((X41/Analysis!Y71)*(Analysis!Y61/100)*2.015*0.8357)+((X36/Analysis!Y38)*(Analysis!Y33/100)*2.015)-(X57*X58/100))</f>
        <v>192.69665047513885</v>
      </c>
      <c r="Y60" s="107">
        <f>((Y33)+((0*24*(Analysis!Z90/100)*2.015)/(1000*22.414))+((Y46-Y47)*24*2.015*(Analysis!Z83/100)/(1000*22.414))-((Y41/Analysis!Z71)*(Analysis!Z61/100)*2.015*0.8357)+((Y36/Analysis!Z38)*(Analysis!Z33/100)*2.015)-(Y57*Y58/100))</f>
        <v>143.26324382517149</v>
      </c>
      <c r="Z60" s="107">
        <f>((Z33)+((0*24*(Analysis!AA90/100)*2.015)/(1000*22.414))+((Z46-Z47)*24*2.015*(Analysis!AA83/100)/(1000*22.414))-((Z41/Analysis!AA71)*(Analysis!AA61/100)*2.015*0.8357)+((Z36/Analysis!AA38)*(Analysis!AA33/100)*2.015)-(Z57*Z58/100))</f>
        <v>110.91587704006542</v>
      </c>
      <c r="AA60" s="107">
        <f>((AA33)+((0*24*(Analysis!AB90/100)*2.015)/(1000*22.414))+((AA46-AA47)*24*2.015*(Analysis!AB83/100)/(1000*22.414))-((AA41/Analysis!AB71)*(Analysis!AB61/100)*2.015*0.8357)+((AA36/Analysis!AB38)*(Analysis!AB33/100)*2.015)-(AA57*AA58/100))</f>
        <v>82.876767461860993</v>
      </c>
      <c r="AB60" s="107">
        <f>((AB33)+((0*24*(Analysis!AC90/100)*2.015)/(1000*22.414))+((AB46-AB47)*24*2.015*(Analysis!AC83/100)/(1000*22.414))-((AB41/Analysis!AC71)*(Analysis!AC61/100)*2.015*0.8357)+((AB36/Analysis!AC38)*(Analysis!AC33/100)*2.015)-(AB57*AB58/100))</f>
        <v>82.837151186924274</v>
      </c>
      <c r="AC60" s="107">
        <f>((AC33)+((0*24*(Analysis!AD90/100)*2.015)/(1000*22.414))+((AC46-AC47)*24*2.015*(Analysis!AD83/100)/(1000*22.414))-((AC41/Analysis!AD71)*(Analysis!AD61/100)*2.015*0.8357)+((AC36/Analysis!AD38)*(Analysis!AD33/100)*2.015)-(AC57*AC58/100))</f>
        <v>164.2571438879242</v>
      </c>
      <c r="AD60" s="107">
        <f>((AD33)+((0*24*(Analysis!AE90/100)*2.015)/(1000*22.414))+((AD46-AD47)*24*2.015*(Analysis!AE83/100)/(1000*22.414))-((AD41/Analysis!AE71)*(Analysis!AE61/100)*2.015*0.8357)+((AD36/Analysis!AE38)*(Analysis!AE33/100)*2.015)-(AD57*AD58/100))</f>
        <v>221.0698291261584</v>
      </c>
      <c r="AE60" s="107">
        <f>((AE33)+((0*24*(Analysis!AF90/100)*2.015)/(1000*22.414))+((AE46-AE47)*24*2.015*(Analysis!AF83/100)/(1000*22.414))-((AE41/Analysis!AF71)*(Analysis!AF61/100)*2.015*0.8357)+((AE36/Analysis!AF38)*(Analysis!AF33/100)*2.015)-(AE57*AE58/100))</f>
        <v>232.82583969151045</v>
      </c>
      <c r="AF60" s="107">
        <f>((AF33)+((0*24*(Analysis!AG90/100)*2.015)/(1000*22.414))+((AF46-AF47)*24*2.015*(Analysis!AG83/100)/(1000*22.414))-((AF41/Analysis!AG71)*(Analysis!AG61/100)*2.015*0.8357)+((AF36/Analysis!AG38)*(Analysis!AG33/100)*2.015)-(AF57*AF58/100))</f>
        <v>233.45867440164108</v>
      </c>
      <c r="AG60" s="107">
        <f>((AG33)+((0*24*(Analysis!AH90/100)*2.015)/(1000*22.414))+((AG46-AG47)*24*2.015*(Analysis!AH83/100)/(1000*22.414))-((AG41/Analysis!AH71)*(Analysis!AH61/100)*2.015*0.8357)+((AG36/Analysis!AH38)*(Analysis!AH33/100)*2.015)-(AG57*AG58/100))</f>
        <v>230.27799973035488</v>
      </c>
      <c r="AH60" s="107">
        <f>((AH33)+((0*24*(Analysis!AI90/100)*2.015)/(1000*22.414))+((AH46-AH47)*24*2.015*(Analysis!AI83/100)/(1000*22.414))-((AH41/Analysis!AI71)*(Analysis!AI61/100)*2.015*0.8357)+((AH36/Analysis!AI38)*(Analysis!AI33/100)*2.015)-(AH57*AH58/100))</f>
        <v>230.83437500259333</v>
      </c>
      <c r="AI60" s="107">
        <f>((AI33)+((0*24*(Analysis!AJ90/100)*2.015)/(1000*22.414))+((AI46-AI47)*24*2.015*(Analysis!AJ83/100)/(1000*22.414))-((AI41/Analysis!AJ71)*(Analysis!AJ61/100)*2.015*0.8357)+((AI36/Analysis!AJ38)*(Analysis!AJ33/100)*2.015)-(AI57*AI58/100))</f>
        <v>227.06196200775352</v>
      </c>
      <c r="AJ60" s="107">
        <f>((AJ33)+((0*24*(Analysis!AK90/100)*2.015)/(1000*22.414))+((AJ46-AJ47)*24*2.015*(Analysis!AK83/100)/(1000*22.414))-((AJ41/Analysis!AK71)*(Analysis!AK61/100)*2.015*0.8357)+((AJ36/Analysis!AK38)*(Analysis!AK33/100)*2.015)-(AJ57*AJ58/100))</f>
        <v>227.40121973523557</v>
      </c>
      <c r="AK60" s="107">
        <f>((AK33)+((0*24*(Analysis!AL90/100)*2.015)/(1000*22.414))+((AK46-AK47)*24*2.015*(Analysis!AL83/100)/(1000*22.414))-((AK41/Analysis!AL71)*(Analysis!AL61/100)*2.015*0.8357)+((AK36/Analysis!AL38)*(Analysis!AL33/100)*2.015)-(AK57*AK58/100))</f>
        <v>227.57647323388127</v>
      </c>
      <c r="AL60" s="107">
        <f>((AL33)+((0*24*(Analysis!AM90/100)*2.015)/(1000*22.414))+((AL46-AL47)*24*2.015*(Analysis!AM83/100)/(1000*22.414))-((AL41/Analysis!AM71)*(Analysis!AM61/100)*2.015*0.8357)+((AL36/Analysis!AM38)*(Analysis!AM33/100)*2.015)-(AL57*AL58/100))</f>
        <v>228.60327701261141</v>
      </c>
      <c r="AM60" s="107">
        <f>((AM33)+((0*24*(Analysis!AN90/100)*2.015)/(1000*22.414))+((AM46-AM47)*24*2.015*(Analysis!AN83/100)/(1000*22.414))-((AM41/Analysis!AN71)*(Analysis!AN61/100)*2.015*0.8357)+((AM36/Analysis!AN38)*(Analysis!AN33/100)*2.015)-(AM57*AM58/100))</f>
        <v>226.53186397988884</v>
      </c>
      <c r="AN60" s="107">
        <f>((AN33)+((0*24*(Analysis!AO90/100)*2.015)/(1000*22.414))+((AN46-AN47)*24*2.015*(Analysis!AO83/100)/(1000*22.414))-((AN41/Analysis!AO71)*(Analysis!AO61/100)*2.015*0.8357)+((AN36/Analysis!AO38)*(Analysis!AO33/100)*2.015)-(AN57*AN58/100))</f>
        <v>230.20294451813857</v>
      </c>
    </row>
    <row r="61" spans="1:1583" ht="18.95" customHeight="1" thickBot="1">
      <c r="A61" s="250" t="s">
        <v>67</v>
      </c>
      <c r="B61" s="338"/>
      <c r="C61" s="338"/>
      <c r="D61" s="428" t="s">
        <v>598</v>
      </c>
      <c r="E61" s="339"/>
      <c r="F61" s="340"/>
      <c r="G61" s="60" t="s">
        <v>715</v>
      </c>
      <c r="H61" s="473">
        <f>AVERAGE(I61:AN61)</f>
        <v>0</v>
      </c>
      <c r="I61" s="117">
        <f>((I33*(Analysis!J45/100))/((I23/Analysis!J38)*(Analysis!J33/100)*2.015))*100</f>
        <v>0</v>
      </c>
      <c r="J61" s="437"/>
      <c r="K61" s="117">
        <f>((K33*(Analysis!L45/100))/((K23/Analysis!L38)*(Analysis!L33/100)*2.015))*100</f>
        <v>0</v>
      </c>
      <c r="L61" s="117">
        <f>((L33*(Analysis!M45/100))/((L23/Analysis!M38)*(Analysis!M33/100)*2.015))*100</f>
        <v>0</v>
      </c>
      <c r="M61" s="117">
        <f>((M33*(Analysis!N45/100))/((M23/Analysis!N38)*(Analysis!N33/100)*2.015))*100</f>
        <v>0</v>
      </c>
      <c r="N61" s="117">
        <f>((N33*(Analysis!O45/100))/((N23/Analysis!O38)*(Analysis!O33/100)*2.015))*100</f>
        <v>0</v>
      </c>
      <c r="O61" s="117">
        <f>((O33*(Analysis!P45/100))/((O23/Analysis!P38)*(Analysis!P33/100)*2.015))*100</f>
        <v>0</v>
      </c>
      <c r="P61" s="117">
        <f>((P33*(Analysis!Q45/100))/((P23/Analysis!Q38)*(Analysis!Q33/100)*2.015))*100</f>
        <v>0</v>
      </c>
      <c r="Q61" s="117">
        <f>((Q33*(Analysis!R45/100))/((Q23/Analysis!R38)*(Analysis!R33/100)*2.015))*100</f>
        <v>0</v>
      </c>
      <c r="R61" s="117">
        <f>((R33*(Analysis!S45/100))/((R23/Analysis!S38)*(Analysis!S33/100)*2.015))*100</f>
        <v>0</v>
      </c>
      <c r="S61" s="117">
        <f>((S33*(Analysis!T45/100))/((S23/Analysis!T38)*(Analysis!T33/100)*2.015))*100</f>
        <v>0</v>
      </c>
      <c r="T61" s="117">
        <f>((T33*(Analysis!U45/100))/((T23/Analysis!U38)*(Analysis!U33/100)*2.015))*100</f>
        <v>0</v>
      </c>
      <c r="U61" s="117">
        <f>((U33*(Analysis!V45/100))/((U23/Analysis!V38)*(Analysis!V33/100)*2.015))*100</f>
        <v>0</v>
      </c>
      <c r="V61" s="117">
        <f>((V33*(Analysis!W45/100))/((V23/Analysis!W38)*(Analysis!W33/100)*2.015))*100</f>
        <v>0</v>
      </c>
      <c r="W61" s="117">
        <f>((W33*(Analysis!X45/100))/((W23/Analysis!X38)*(Analysis!X33/100)*2.015))*100</f>
        <v>0</v>
      </c>
      <c r="X61" s="117">
        <f>((X33*(Analysis!Y45/100))/((X23/Analysis!Y38)*(Analysis!Y33/100)*2.015))*100</f>
        <v>0</v>
      </c>
      <c r="Y61" s="117">
        <f>((Y33*(Analysis!Z45/100))/((Y23/Analysis!Z38)*(Analysis!Z33/100)*2.015))*100</f>
        <v>0</v>
      </c>
      <c r="Z61" s="117">
        <f>((Z33*(Analysis!AA45/100))/((Z23/Analysis!AA38)*(Analysis!AA33/100)*2.015))*100</f>
        <v>0</v>
      </c>
      <c r="AA61" s="117">
        <f>((AA33*(Analysis!AB45/100))/((AA23/Analysis!AB38)*(Analysis!AB33/100)*2.015))*100</f>
        <v>0</v>
      </c>
      <c r="AB61" s="117">
        <f>((AB33*(Analysis!AC45/100))/((AB23/Analysis!AC38)*(Analysis!AC33/100)*2.015))*100</f>
        <v>0</v>
      </c>
      <c r="AC61" s="117">
        <f>((AC33*(Analysis!AD45/100))/((AC23/Analysis!AD38)*(Analysis!AD33/100)*2.015))*100</f>
        <v>0</v>
      </c>
      <c r="AD61" s="117">
        <f>((AD33*(Analysis!AE45/100))/((AD23/Analysis!AE38)*(Analysis!AE33/100)*2.015))*100</f>
        <v>0</v>
      </c>
      <c r="AE61" s="117">
        <f>((AE33*(Analysis!AF45/100))/((AE23/Analysis!AF38)*(Analysis!AF33/100)*2.015))*100</f>
        <v>0</v>
      </c>
      <c r="AF61" s="117">
        <f>((AF33*(Analysis!AG45/100))/((AF23/Analysis!AG38)*(Analysis!AG33/100)*2.015))*100</f>
        <v>0</v>
      </c>
      <c r="AG61" s="117">
        <f>((AG33*(Analysis!AH45/100))/((AG23/Analysis!AH38)*(Analysis!AH33/100)*2.015))*100</f>
        <v>0</v>
      </c>
      <c r="AH61" s="117">
        <f>((AH33*(Analysis!AI45/100))/((AH23/Analysis!AI38)*(Analysis!AI33/100)*2.015))*100</f>
        <v>0</v>
      </c>
      <c r="AI61" s="117">
        <f>((AI33*(Analysis!AJ45/100))/((AI23/Analysis!AJ38)*(Analysis!AJ33/100)*2.015))*100</f>
        <v>0</v>
      </c>
      <c r="AJ61" s="117">
        <f>((AJ33*(Analysis!AK45/100))/((AJ23/Analysis!AK38)*(Analysis!AK33/100)*2.015))*100</f>
        <v>0</v>
      </c>
      <c r="AK61" s="117">
        <f>((AK33*(Analysis!AL45/100))/((AK23/Analysis!AL38)*(Analysis!AL33/100)*2.015))*100</f>
        <v>0</v>
      </c>
      <c r="AL61" s="117">
        <f>((AL33*(Analysis!AM45/100))/((AL23/Analysis!AM38)*(Analysis!AM33/100)*2.015))*100</f>
        <v>0</v>
      </c>
      <c r="AM61" s="117">
        <f>((AM33*(Analysis!AN45/100))/((AM23/Analysis!AN38)*(Analysis!AN33/100)*2.015))*100</f>
        <v>0</v>
      </c>
      <c r="AN61" s="117">
        <f>((AN33*(Analysis!AO45/100))/((AN23/Analysis!AO38)*(Analysis!AO33/100)*2.015))*100</f>
        <v>0</v>
      </c>
    </row>
    <row r="62" spans="1:1583" s="225" customFormat="1" ht="48.6" customHeight="1" thickBot="1">
      <c r="A62" s="122" t="s">
        <v>405</v>
      </c>
      <c r="B62" s="193"/>
      <c r="C62" s="193"/>
      <c r="D62" s="429" t="s">
        <v>601</v>
      </c>
      <c r="E62" s="81"/>
      <c r="F62" s="129" t="s">
        <v>68</v>
      </c>
      <c r="G62" s="60" t="s">
        <v>716</v>
      </c>
      <c r="H62" s="473">
        <f>AVERAGE(I62:AN62)</f>
        <v>93.738396987312129</v>
      </c>
      <c r="I62" s="98">
        <f>((I46-I47)*(Analysis!J83/100))/(I46*Analysis!J72/100)*100</f>
        <v>92.400656786375094</v>
      </c>
      <c r="J62" s="437"/>
      <c r="K62" s="98">
        <f>((K46-K47)*(Analysis!L83/100))/(K46*Analysis!L72/100)*100</f>
        <v>91.387592278327759</v>
      </c>
      <c r="L62" s="98">
        <f>((L46-L47)*(Analysis!M83/100))/(L46*Analysis!M72/100)*100</f>
        <v>92.223639931980827</v>
      </c>
      <c r="M62" s="98">
        <f>((M46-M47)*(Analysis!N83/100))/(M46*Analysis!N72/100)*100</f>
        <v>91.988316739199519</v>
      </c>
      <c r="N62" s="98">
        <f>((N46-N47)*(Analysis!O83/100))/(N46*Analysis!O72/100)*100</f>
        <v>91.697683241746603</v>
      </c>
      <c r="O62" s="98">
        <f>((O46-O47)*(Analysis!P83/100))/(O46*Analysis!P72/100)*100</f>
        <v>94.703641856220983</v>
      </c>
      <c r="P62" s="98">
        <f>((P46-P47)*(Analysis!Q83/100))/(P46*Analysis!Q72/100)*100</f>
        <v>95.125666577882924</v>
      </c>
      <c r="Q62" s="98">
        <f>((Q46-Q47)*(Analysis!R83/100))/(Q46*Analysis!R72/100)*100</f>
        <v>94.80415526122195</v>
      </c>
      <c r="R62" s="98">
        <f>((R46-R47)*(Analysis!S83/100))/(R46*Analysis!S72/100)*100</f>
        <v>95.23801961723494</v>
      </c>
      <c r="S62" s="98">
        <f>((S46-S47)*(Analysis!T83/100))/(S46*Analysis!T72/100)*100</f>
        <v>95.541327665464721</v>
      </c>
      <c r="T62" s="98">
        <f>((T46-T47)*(Analysis!U83/100))/(T46*Analysis!U72/100)*100</f>
        <v>94.832600004859017</v>
      </c>
      <c r="U62" s="98">
        <f>((U46-U47)*(Analysis!V83/100))/(U46*Analysis!V72/100)*100</f>
        <v>94.213055166748603</v>
      </c>
      <c r="V62" s="98">
        <f>((V46-V47)*(Analysis!W83/100))/(V46*Analysis!W72/100)*100</f>
        <v>98.016669045705896</v>
      </c>
      <c r="W62" s="98">
        <f>((W46-W47)*(Analysis!X83/100))/(W46*Analysis!X72/100)*100</f>
        <v>97.914778707356732</v>
      </c>
      <c r="X62" s="98">
        <f>((X46-X47)*(Analysis!Y83/100))/(X46*Analysis!Y72/100)*100</f>
        <v>97.15870747719994</v>
      </c>
      <c r="Y62" s="98">
        <f>((Y46-Y47)*(Analysis!Z83/100))/(Y46*Analysis!Z72/100)*100</f>
        <v>94.393284790248828</v>
      </c>
      <c r="Z62" s="98">
        <f>((Z46-Z47)*(Analysis!AA83/100))/(Z46*Analysis!AA72/100)*100</f>
        <v>91.847091653559218</v>
      </c>
      <c r="AA62" s="98">
        <f>((AA46-AA47)*(Analysis!AB83/100))/(AA46*Analysis!AB72/100)*100</f>
        <v>91.351645627897028</v>
      </c>
      <c r="AB62" s="98">
        <f>((AB46-AB47)*(Analysis!AC83/100))/(AB46*Analysis!AC72/100)*100</f>
        <v>92.988016045879547</v>
      </c>
      <c r="AC62" s="98">
        <f>((AC46-AC47)*(Analysis!AD83/100))/(AC46*Analysis!AD72/100)*100</f>
        <v>93.081052362779459</v>
      </c>
      <c r="AD62" s="98">
        <f>((AD46-AD47)*(Analysis!AE83/100))/(AD46*Analysis!AE72/100)*100</f>
        <v>93.650851522032369</v>
      </c>
      <c r="AE62" s="98">
        <f>((AE46-AE47)*(Analysis!AF83/100))/(AE46*Analysis!AF72/100)*100</f>
        <v>93.502791357518873</v>
      </c>
      <c r="AF62" s="98">
        <f>((AF46-AF47)*(Analysis!AG83/100))/(AF46*Analysis!AG72/100)*100</f>
        <v>93.408746413029149</v>
      </c>
      <c r="AG62" s="98">
        <f>((AG46-AG47)*(Analysis!AH83/100))/(AG46*Analysis!AH72/100)*100</f>
        <v>93.341964005018781</v>
      </c>
      <c r="AH62" s="98">
        <f>((AH46-AH47)*(Analysis!AI83/100))/(AH46*Analysis!AI72/100)*100</f>
        <v>93.352189096711356</v>
      </c>
      <c r="AI62" s="98">
        <f>((AI46-AI47)*(Analysis!AJ83/100))/(AI46*Analysis!AJ72/100)*100</f>
        <v>92.786536493267036</v>
      </c>
      <c r="AJ62" s="98">
        <f>((AJ46-AJ47)*(Analysis!AK83/100))/(AJ46*Analysis!AK72/100)*100</f>
        <v>92.803539619979105</v>
      </c>
      <c r="AK62" s="98">
        <f>((AK46-AK47)*(Analysis!AL83/100))/(AK46*Analysis!AL72/100)*100</f>
        <v>92.965782565569555</v>
      </c>
      <c r="AL62" s="98">
        <f>((AL46-AL47)*(Analysis!AM83/100))/(AL46*Analysis!AM72/100)*100</f>
        <v>93.061248406847113</v>
      </c>
      <c r="AM62" s="98">
        <f>((AM46-AM47)*(Analysis!AN83/100))/(AM46*Analysis!AN72/100)*100</f>
        <v>92.722037047363742</v>
      </c>
      <c r="AN62" s="98">
        <f>((AN46-AN47)*(Analysis!AO83/100))/(AN46*Analysis!AO72/100)*100</f>
        <v>93.387019241449551</v>
      </c>
    </row>
    <row r="63" spans="1:1583" s="220" customFormat="1" ht="20.100000000000001" customHeight="1">
      <c r="A63" s="110" t="s">
        <v>69</v>
      </c>
      <c r="B63" s="186" t="s">
        <v>373</v>
      </c>
      <c r="C63" s="416" t="s">
        <v>494</v>
      </c>
      <c r="D63" s="435" t="s">
        <v>494</v>
      </c>
      <c r="E63" s="68" t="s">
        <v>9</v>
      </c>
      <c r="F63" s="138"/>
      <c r="G63" s="60" t="s">
        <v>717</v>
      </c>
      <c r="H63" s="473">
        <f>SUM(I63:AN63)</f>
        <v>470.78464619046963</v>
      </c>
      <c r="I63" s="103">
        <f>VLOOKUP($B63,'DCS Data'!$E$2:$AJ$100,MATCH('Daily Report'!I$1,'DCS Data'!$E$2:$AJ$2,0),0)</f>
        <v>8.0266814130637609</v>
      </c>
      <c r="J63" s="255"/>
      <c r="K63" s="103">
        <f>VLOOKUP($B63,'DCS Data'!$E$2:$AJ$100,MATCH('Daily Report'!K$1,'DCS Data'!$E$2:$AJ$2,0),0)</f>
        <v>11.578448309262011</v>
      </c>
      <c r="L63" s="103">
        <f>VLOOKUP($B63,'DCS Data'!$E$2:$AJ$100,MATCH('Daily Report'!L$1,'DCS Data'!$E$2:$AJ$2,0),0)</f>
        <v>11.953033176505997</v>
      </c>
      <c r="M63" s="103">
        <f>VLOOKUP($B63,'DCS Data'!$E$2:$AJ$100,MATCH('Daily Report'!M$1,'DCS Data'!$E$2:$AJ$2,0),0)</f>
        <v>12.075272480360589</v>
      </c>
      <c r="N63" s="103">
        <f>VLOOKUP($B63,'DCS Data'!$E$2:$AJ$100,MATCH('Daily Report'!N$1,'DCS Data'!$E$2:$AJ$2,0),0)</f>
        <v>12.060502672947521</v>
      </c>
      <c r="O63" s="103">
        <f>VLOOKUP($B63,'DCS Data'!$E$2:$AJ$100,MATCH('Daily Report'!O$1,'DCS Data'!$E$2:$AJ$2,0),0)</f>
        <v>12.136465773795129</v>
      </c>
      <c r="P63" s="103">
        <f>VLOOKUP($B63,'DCS Data'!$E$2:$AJ$100,MATCH('Daily Report'!P$1,'DCS Data'!$E$2:$AJ$2,0),0)</f>
        <v>12.583466743525165</v>
      </c>
      <c r="Q63" s="103">
        <f>VLOOKUP($B63,'DCS Data'!$E$2:$AJ$100,MATCH('Daily Report'!Q$1,'DCS Data'!$E$2:$AJ$2,0),0)</f>
        <v>12.286707736563605</v>
      </c>
      <c r="R63" s="103">
        <f>VLOOKUP($B63,'DCS Data'!$E$2:$AJ$100,MATCH('Daily Report'!R$1,'DCS Data'!$E$2:$AJ$2,0),0)</f>
        <v>14.308876775034342</v>
      </c>
      <c r="S63" s="103">
        <f>VLOOKUP($B63,'DCS Data'!$E$2:$AJ$100,MATCH('Daily Report'!S$1,'DCS Data'!$E$2:$AJ$2,0),0)</f>
        <v>15.039738469057479</v>
      </c>
      <c r="T63" s="103">
        <f>VLOOKUP($B63,'DCS Data'!$E$2:$AJ$100,MATCH('Daily Report'!T$1,'DCS Data'!$E$2:$AJ$2,0),0)</f>
        <v>14.747526839990886</v>
      </c>
      <c r="U63" s="103">
        <f>VLOOKUP($B63,'DCS Data'!$E$2:$AJ$100,MATCH('Daily Report'!U$1,'DCS Data'!$E$2:$AJ$2,0),0)</f>
        <v>14.262079487506551</v>
      </c>
      <c r="V63" s="103">
        <f>VLOOKUP($B63,'DCS Data'!$E$2:$AJ$100,MATCH('Daily Report'!V$1,'DCS Data'!$E$2:$AJ$2,0),0)</f>
        <v>14.21235233046472</v>
      </c>
      <c r="W63" s="103">
        <f>VLOOKUP($B63,'DCS Data'!$E$2:$AJ$100,MATCH('Daily Report'!W$1,'DCS Data'!$E$2:$AJ$2,0),0)</f>
        <v>14.094345188237435</v>
      </c>
      <c r="X63" s="103">
        <f>VLOOKUP($B63,'DCS Data'!$E$2:$AJ$100,MATCH('Daily Report'!X$1,'DCS Data'!$E$2:$AJ$2,0),0)</f>
        <v>14.10189133671588</v>
      </c>
      <c r="Y63" s="103">
        <f>VLOOKUP($B63,'DCS Data'!$E$2:$AJ$100,MATCH('Daily Report'!Y$1,'DCS Data'!$E$2:$AJ$2,0),0)</f>
        <v>13.918446624068828</v>
      </c>
      <c r="Z63" s="103">
        <f>VLOOKUP($B63,'DCS Data'!$E$2:$AJ$100,MATCH('Daily Report'!Z$1,'DCS Data'!$E$2:$AJ$2,0),0)</f>
        <v>13.882125451902711</v>
      </c>
      <c r="AA63" s="103">
        <f>VLOOKUP($B63,'DCS Data'!$E$2:$AJ$100,MATCH('Daily Report'!AA$1,'DCS Data'!$E$2:$AJ$2,0),0)</f>
        <v>13.840987333322708</v>
      </c>
      <c r="AB63" s="103">
        <f>VLOOKUP($B63,'DCS Data'!$E$2:$AJ$100,MATCH('Daily Report'!AB$1,'DCS Data'!$E$2:$AJ$2,0),0)</f>
        <v>13.644897492303146</v>
      </c>
      <c r="AC63" s="103">
        <f>VLOOKUP($B63,'DCS Data'!$E$2:$AJ$100,MATCH('Daily Report'!AC$1,'DCS Data'!$E$2:$AJ$2,0),0)</f>
        <v>12.958606726549759</v>
      </c>
      <c r="AD63" s="103">
        <f>VLOOKUP($B63,'DCS Data'!$E$2:$AJ$100,MATCH('Daily Report'!AD$1,'DCS Data'!$E$2:$AJ$2,0),0)</f>
        <v>14.461660532758124</v>
      </c>
      <c r="AE63" s="103">
        <f>VLOOKUP($B63,'DCS Data'!$E$2:$AJ$100,MATCH('Daily Report'!AE$1,'DCS Data'!$E$2:$AJ$2,0),0)</f>
        <v>16.995293647545857</v>
      </c>
      <c r="AF63" s="103">
        <f>VLOOKUP($B63,'DCS Data'!$E$2:$AJ$100,MATCH('Daily Report'!AF$1,'DCS Data'!$E$2:$AJ$2,0),0)</f>
        <v>19.771210687533678</v>
      </c>
      <c r="AG63" s="103">
        <f>VLOOKUP($B63,'DCS Data'!$E$2:$AJ$100,MATCH('Daily Report'!AG$1,'DCS Data'!$E$2:$AJ$2,0),0)</f>
        <v>19.577009574968187</v>
      </c>
      <c r="AH63" s="103">
        <f>VLOOKUP($B63,'DCS Data'!$E$2:$AJ$100,MATCH('Daily Report'!AH$1,'DCS Data'!$E$2:$AJ$2,0),0)</f>
        <v>19.432510317579865</v>
      </c>
      <c r="AI63" s="103">
        <f>VLOOKUP($B63,'DCS Data'!$E$2:$AJ$100,MATCH('Daily Report'!AI$1,'DCS Data'!$E$2:$AJ$2,0),0)</f>
        <v>19.620219618515701</v>
      </c>
      <c r="AJ63" s="103">
        <f>VLOOKUP($B63,'DCS Data'!$E$2:$AJ$100,MATCH('Daily Report'!AJ$1,'DCS Data'!$E$2:$AJ$2,0),0)</f>
        <v>19.790423482852713</v>
      </c>
      <c r="AK63" s="103">
        <f>VLOOKUP($B63,'DCS Data'!$E$2:$AJ$100,MATCH('Daily Report'!AK$1,'DCS Data'!$E$2:$AJ$2,0),0)</f>
        <v>19.84853435091609</v>
      </c>
      <c r="AL63" s="103">
        <f>VLOOKUP($B63,'DCS Data'!$E$2:$AJ$100,MATCH('Daily Report'!AL$1,'DCS Data'!$E$2:$AJ$2,0),0)</f>
        <v>19.872612838545564</v>
      </c>
      <c r="AM63" s="103">
        <f>VLOOKUP($B63,'DCS Data'!$E$2:$AJ$100,MATCH('Daily Report'!AM$1,'DCS Data'!$E$2:$AJ$2,0),0)</f>
        <v>19.734870956552662</v>
      </c>
      <c r="AN63" s="103">
        <f>VLOOKUP($B63,'DCS Data'!$E$2:$AJ$100,MATCH('Daily Report'!AN$1,'DCS Data'!$E$2:$AJ$2,0),0)</f>
        <v>19.967847821523016</v>
      </c>
      <c r="AO63" s="214"/>
      <c r="AP63" s="214"/>
      <c r="AQ63" s="214"/>
      <c r="AR63" s="214"/>
      <c r="AS63" s="214"/>
      <c r="AT63" s="214"/>
      <c r="AU63" s="214"/>
      <c r="AV63" s="214"/>
      <c r="AW63" s="214"/>
      <c r="AX63" s="214"/>
      <c r="AY63" s="214"/>
      <c r="AZ63" s="214"/>
      <c r="BA63" s="214"/>
      <c r="BB63" s="214"/>
      <c r="BC63" s="214"/>
      <c r="BD63" s="214"/>
      <c r="BE63" s="214"/>
      <c r="BF63" s="214"/>
      <c r="BG63" s="214"/>
      <c r="BH63" s="214"/>
      <c r="BI63" s="214"/>
      <c r="BJ63" s="214"/>
      <c r="BK63" s="214"/>
      <c r="BL63" s="214"/>
      <c r="BM63" s="214"/>
      <c r="BN63" s="214"/>
      <c r="BO63" s="214"/>
      <c r="BP63" s="214"/>
      <c r="BQ63" s="214"/>
      <c r="BR63" s="214"/>
      <c r="BS63" s="214"/>
      <c r="BT63" s="214"/>
      <c r="BU63" s="214"/>
      <c r="BV63" s="214"/>
      <c r="BW63" s="214"/>
      <c r="BX63" s="214"/>
      <c r="BY63" s="214"/>
      <c r="BZ63" s="214"/>
      <c r="CA63" s="214"/>
      <c r="CB63" s="214"/>
      <c r="CC63" s="214"/>
      <c r="CD63" s="214"/>
      <c r="CE63" s="214"/>
      <c r="CF63" s="214"/>
      <c r="CG63" s="214"/>
      <c r="CH63" s="214"/>
      <c r="CI63" s="214"/>
      <c r="CJ63" s="214"/>
      <c r="CK63" s="214"/>
      <c r="CL63" s="214"/>
      <c r="CM63" s="214"/>
      <c r="CN63" s="214"/>
      <c r="CO63" s="214"/>
      <c r="CP63" s="214"/>
      <c r="CQ63" s="214"/>
      <c r="CR63" s="214"/>
      <c r="CS63" s="214"/>
      <c r="CT63" s="214"/>
      <c r="CU63" s="214"/>
      <c r="CV63" s="214"/>
      <c r="CW63" s="214"/>
      <c r="CX63" s="214"/>
      <c r="CY63" s="214"/>
      <c r="CZ63" s="214"/>
      <c r="DA63" s="214"/>
      <c r="DB63" s="214"/>
      <c r="DC63" s="214"/>
      <c r="DD63" s="214"/>
      <c r="DE63" s="214"/>
      <c r="DF63" s="214"/>
      <c r="DG63" s="214"/>
      <c r="DH63" s="214"/>
      <c r="DI63" s="214"/>
      <c r="DJ63" s="214"/>
      <c r="DK63" s="214"/>
      <c r="DL63" s="214"/>
      <c r="DM63" s="214"/>
      <c r="DN63" s="214"/>
      <c r="DO63" s="214"/>
      <c r="DP63" s="214"/>
      <c r="DQ63" s="214"/>
      <c r="DR63" s="214"/>
      <c r="DS63" s="214"/>
      <c r="DT63" s="214"/>
      <c r="DU63" s="214"/>
      <c r="DV63" s="214"/>
      <c r="DW63" s="214"/>
      <c r="DX63" s="214"/>
      <c r="DY63" s="214"/>
      <c r="DZ63" s="214"/>
      <c r="EA63" s="214"/>
      <c r="EB63" s="214"/>
      <c r="EC63" s="214"/>
      <c r="ED63" s="214"/>
      <c r="EE63" s="214"/>
      <c r="EF63" s="214"/>
      <c r="EG63" s="214"/>
      <c r="EH63" s="214"/>
      <c r="EI63" s="214"/>
      <c r="EJ63" s="214"/>
      <c r="EK63" s="214"/>
      <c r="EL63" s="214"/>
      <c r="EM63" s="214"/>
      <c r="EN63" s="214"/>
      <c r="EO63" s="214"/>
      <c r="EP63" s="214"/>
      <c r="EQ63" s="214"/>
      <c r="ER63" s="214"/>
      <c r="ES63" s="214"/>
      <c r="ET63" s="214"/>
      <c r="EU63" s="214"/>
      <c r="EV63" s="214"/>
      <c r="EW63" s="214"/>
      <c r="EX63" s="214"/>
      <c r="EY63" s="214"/>
      <c r="EZ63" s="214"/>
      <c r="FA63" s="214"/>
      <c r="FB63" s="214"/>
      <c r="FC63" s="214"/>
      <c r="FD63" s="214"/>
      <c r="FE63" s="214"/>
      <c r="FF63" s="214"/>
      <c r="FG63" s="214"/>
      <c r="FH63" s="214"/>
      <c r="FI63" s="214"/>
      <c r="FJ63" s="214"/>
      <c r="FK63" s="214"/>
      <c r="FL63" s="214"/>
      <c r="FM63" s="214"/>
      <c r="FN63" s="214"/>
      <c r="FO63" s="214"/>
      <c r="FP63" s="214"/>
      <c r="FQ63" s="214"/>
      <c r="FR63" s="214"/>
      <c r="FS63" s="214"/>
      <c r="FT63" s="214"/>
      <c r="FU63" s="214"/>
      <c r="FV63" s="214"/>
      <c r="FW63" s="214"/>
      <c r="FX63" s="214"/>
      <c r="FY63" s="214"/>
      <c r="FZ63" s="214"/>
      <c r="GA63" s="214"/>
      <c r="GB63" s="214"/>
      <c r="GC63" s="214"/>
      <c r="GD63" s="214"/>
      <c r="GE63" s="214"/>
      <c r="GF63" s="214"/>
      <c r="GG63" s="214"/>
      <c r="GH63" s="214"/>
      <c r="GI63" s="214"/>
      <c r="GJ63" s="214"/>
      <c r="GK63" s="214"/>
      <c r="GL63" s="214"/>
      <c r="GM63" s="214"/>
      <c r="GN63" s="214"/>
      <c r="GO63" s="214"/>
      <c r="GP63" s="214"/>
      <c r="GQ63" s="214"/>
      <c r="GR63" s="214"/>
      <c r="GS63" s="214"/>
      <c r="GT63" s="214"/>
      <c r="GU63" s="214"/>
      <c r="GV63" s="214"/>
      <c r="GW63" s="214"/>
      <c r="GX63" s="214"/>
      <c r="GY63" s="214"/>
      <c r="GZ63" s="214"/>
      <c r="HA63" s="214"/>
      <c r="HB63" s="214"/>
      <c r="HC63" s="214"/>
      <c r="HD63" s="214"/>
      <c r="HE63" s="214"/>
      <c r="HF63" s="214"/>
      <c r="HG63" s="214"/>
      <c r="HH63" s="214"/>
      <c r="HI63" s="214"/>
      <c r="HJ63" s="214"/>
      <c r="HK63" s="214"/>
      <c r="HL63" s="214"/>
      <c r="HM63" s="214"/>
      <c r="HN63" s="214"/>
      <c r="HO63" s="214"/>
      <c r="HP63" s="214"/>
      <c r="HQ63" s="214"/>
      <c r="HR63" s="214"/>
      <c r="HS63" s="214"/>
      <c r="HT63" s="214"/>
      <c r="HU63" s="214"/>
      <c r="HV63" s="214"/>
      <c r="HW63" s="214"/>
      <c r="HX63" s="214"/>
      <c r="HY63" s="214"/>
      <c r="HZ63" s="214"/>
      <c r="IA63" s="214"/>
      <c r="IB63" s="214"/>
      <c r="IC63" s="214"/>
      <c r="ID63" s="214"/>
      <c r="IE63" s="214"/>
      <c r="IF63" s="214"/>
      <c r="IG63" s="214"/>
      <c r="IH63" s="214"/>
      <c r="II63" s="214"/>
      <c r="IJ63" s="214"/>
      <c r="IK63" s="214"/>
      <c r="IL63" s="214"/>
      <c r="IM63" s="214"/>
      <c r="IN63" s="214"/>
      <c r="IO63" s="214"/>
      <c r="IP63" s="214"/>
      <c r="IQ63" s="214"/>
      <c r="IR63" s="214"/>
      <c r="IS63" s="214"/>
      <c r="IT63" s="214"/>
      <c r="IU63" s="214"/>
      <c r="IV63" s="214"/>
      <c r="IW63" s="214"/>
      <c r="IX63" s="214"/>
      <c r="IY63" s="214"/>
      <c r="IZ63" s="214"/>
      <c r="JA63" s="214"/>
      <c r="JB63" s="214"/>
      <c r="JC63" s="214"/>
      <c r="JD63" s="214"/>
      <c r="JE63" s="214"/>
      <c r="JF63" s="214"/>
      <c r="JG63" s="214"/>
      <c r="JH63" s="214"/>
      <c r="JI63" s="214"/>
      <c r="JJ63" s="214"/>
      <c r="JK63" s="214"/>
      <c r="JL63" s="214"/>
      <c r="JM63" s="214"/>
      <c r="JN63" s="214"/>
      <c r="JO63" s="214"/>
      <c r="JP63" s="214"/>
      <c r="JQ63" s="214"/>
      <c r="JR63" s="214"/>
      <c r="JS63" s="214"/>
      <c r="JT63" s="214"/>
      <c r="JU63" s="214"/>
      <c r="JV63" s="214"/>
      <c r="JW63" s="214"/>
      <c r="JX63" s="214"/>
      <c r="JY63" s="214"/>
      <c r="JZ63" s="214"/>
      <c r="KA63" s="214"/>
      <c r="KB63" s="214"/>
      <c r="KC63" s="214"/>
      <c r="KD63" s="214"/>
      <c r="KE63" s="214"/>
      <c r="KF63" s="214"/>
      <c r="KG63" s="214"/>
      <c r="KH63" s="214"/>
      <c r="KI63" s="214"/>
      <c r="KJ63" s="214"/>
      <c r="KK63" s="214"/>
      <c r="KL63" s="214"/>
      <c r="KM63" s="214"/>
      <c r="KN63" s="214"/>
      <c r="KO63" s="214"/>
      <c r="KP63" s="214"/>
      <c r="KQ63" s="214"/>
      <c r="KR63" s="214"/>
      <c r="KS63" s="214"/>
      <c r="KT63" s="214"/>
      <c r="KU63" s="214"/>
      <c r="KV63" s="214"/>
      <c r="KW63" s="214"/>
      <c r="KX63" s="214"/>
      <c r="KY63" s="214"/>
      <c r="KZ63" s="214"/>
      <c r="LA63" s="214"/>
      <c r="LB63" s="214"/>
      <c r="LC63" s="214"/>
      <c r="LD63" s="214"/>
      <c r="LE63" s="214"/>
      <c r="LF63" s="214"/>
      <c r="LG63" s="214"/>
      <c r="LH63" s="214"/>
      <c r="LI63" s="214"/>
      <c r="LJ63" s="214"/>
      <c r="LK63" s="214"/>
      <c r="LL63" s="214"/>
      <c r="LM63" s="214"/>
      <c r="LN63" s="214"/>
      <c r="LO63" s="214"/>
      <c r="LP63" s="214"/>
      <c r="LQ63" s="214"/>
      <c r="LR63" s="214"/>
      <c r="LS63" s="214"/>
      <c r="LT63" s="214"/>
      <c r="LU63" s="214"/>
      <c r="LV63" s="214"/>
      <c r="LW63" s="214"/>
      <c r="LX63" s="214"/>
      <c r="LY63" s="214"/>
      <c r="LZ63" s="214"/>
      <c r="MA63" s="214"/>
      <c r="MB63" s="214"/>
      <c r="MC63" s="214"/>
      <c r="MD63" s="214"/>
      <c r="ME63" s="214"/>
      <c r="MF63" s="214"/>
      <c r="MG63" s="214"/>
      <c r="MH63" s="214"/>
      <c r="MI63" s="214"/>
      <c r="MJ63" s="214"/>
      <c r="MK63" s="214"/>
      <c r="ML63" s="214"/>
      <c r="MM63" s="214"/>
      <c r="MN63" s="214"/>
      <c r="MO63" s="214"/>
      <c r="MP63" s="214"/>
      <c r="MQ63" s="214"/>
      <c r="MR63" s="214"/>
      <c r="MS63" s="214"/>
      <c r="MT63" s="214"/>
      <c r="MU63" s="214"/>
      <c r="MV63" s="214"/>
      <c r="MW63" s="214"/>
      <c r="MX63" s="214"/>
      <c r="MY63" s="214"/>
      <c r="MZ63" s="214"/>
      <c r="NA63" s="214"/>
      <c r="NB63" s="214"/>
      <c r="NC63" s="214"/>
      <c r="ND63" s="214"/>
      <c r="NE63" s="214"/>
      <c r="NF63" s="214"/>
      <c r="NG63" s="214"/>
      <c r="NH63" s="214"/>
      <c r="NI63" s="214"/>
      <c r="NJ63" s="214"/>
      <c r="NK63" s="214"/>
      <c r="NL63" s="214"/>
      <c r="NM63" s="214"/>
      <c r="NN63" s="214"/>
      <c r="NO63" s="214"/>
      <c r="NP63" s="214"/>
      <c r="NQ63" s="214"/>
      <c r="NR63" s="214"/>
      <c r="NS63" s="214"/>
      <c r="NT63" s="214"/>
      <c r="NU63" s="214"/>
      <c r="NV63" s="214"/>
      <c r="NW63" s="214"/>
      <c r="NX63" s="214"/>
      <c r="NY63" s="214"/>
      <c r="NZ63" s="214"/>
      <c r="OA63" s="214"/>
      <c r="OB63" s="214"/>
      <c r="OC63" s="214"/>
      <c r="OD63" s="214"/>
      <c r="OE63" s="214"/>
      <c r="OF63" s="214"/>
      <c r="OG63" s="214"/>
      <c r="OH63" s="214"/>
      <c r="OI63" s="214"/>
      <c r="OJ63" s="214"/>
      <c r="OK63" s="214"/>
      <c r="OL63" s="214"/>
      <c r="OM63" s="214"/>
      <c r="ON63" s="214"/>
      <c r="OO63" s="214"/>
      <c r="OP63" s="214"/>
      <c r="OQ63" s="214"/>
      <c r="OR63" s="214"/>
      <c r="OS63" s="214"/>
      <c r="OT63" s="214"/>
      <c r="OU63" s="214"/>
      <c r="OV63" s="214"/>
      <c r="OW63" s="214"/>
      <c r="OX63" s="214"/>
      <c r="OY63" s="214"/>
      <c r="OZ63" s="214"/>
      <c r="PA63" s="214"/>
      <c r="PB63" s="214"/>
      <c r="PC63" s="214"/>
      <c r="PD63" s="214"/>
      <c r="PE63" s="214"/>
      <c r="PF63" s="214"/>
      <c r="PG63" s="214"/>
      <c r="PH63" s="214"/>
      <c r="PI63" s="214"/>
      <c r="PJ63" s="214"/>
      <c r="PK63" s="214"/>
      <c r="PL63" s="214"/>
      <c r="PM63" s="214"/>
      <c r="PN63" s="214"/>
      <c r="PO63" s="214"/>
      <c r="PP63" s="214"/>
      <c r="PQ63" s="214"/>
      <c r="PR63" s="214"/>
      <c r="PS63" s="214"/>
      <c r="PT63" s="214"/>
      <c r="PU63" s="214"/>
      <c r="PV63" s="214"/>
      <c r="PW63" s="214"/>
      <c r="PX63" s="214"/>
      <c r="PY63" s="214"/>
      <c r="PZ63" s="214"/>
      <c r="QA63" s="214"/>
      <c r="QB63" s="214"/>
      <c r="QC63" s="214"/>
      <c r="QD63" s="214"/>
      <c r="QE63" s="214"/>
      <c r="QF63" s="214"/>
      <c r="QG63" s="214"/>
      <c r="QH63" s="214"/>
      <c r="QI63" s="214"/>
      <c r="QJ63" s="214"/>
      <c r="QK63" s="214"/>
      <c r="QL63" s="214"/>
      <c r="QM63" s="214"/>
      <c r="QN63" s="214"/>
      <c r="QO63" s="214"/>
      <c r="QP63" s="214"/>
      <c r="QQ63" s="214"/>
      <c r="QR63" s="214"/>
      <c r="QS63" s="214"/>
      <c r="QT63" s="214"/>
      <c r="QU63" s="214"/>
      <c r="QV63" s="214"/>
      <c r="QW63" s="214"/>
      <c r="QX63" s="214"/>
      <c r="QY63" s="214"/>
      <c r="QZ63" s="214"/>
      <c r="RA63" s="214"/>
      <c r="RB63" s="214"/>
      <c r="RC63" s="214"/>
      <c r="RD63" s="214"/>
      <c r="RE63" s="214"/>
      <c r="RF63" s="214"/>
      <c r="RG63" s="214"/>
      <c r="RH63" s="214"/>
      <c r="RI63" s="214"/>
      <c r="RJ63" s="214"/>
      <c r="RK63" s="214"/>
      <c r="RL63" s="214"/>
      <c r="RM63" s="214"/>
      <c r="RN63" s="214"/>
      <c r="RO63" s="214"/>
      <c r="RP63" s="214"/>
      <c r="RQ63" s="214"/>
      <c r="RR63" s="214"/>
      <c r="RS63" s="214"/>
      <c r="RT63" s="214"/>
      <c r="RU63" s="214"/>
      <c r="RV63" s="214"/>
      <c r="RW63" s="214"/>
      <c r="RX63" s="214"/>
      <c r="RY63" s="214"/>
      <c r="RZ63" s="214"/>
      <c r="SA63" s="214"/>
      <c r="SB63" s="214"/>
      <c r="SC63" s="214"/>
      <c r="SD63" s="214"/>
      <c r="SE63" s="214"/>
      <c r="SF63" s="214"/>
      <c r="SG63" s="214"/>
      <c r="SH63" s="214"/>
      <c r="SI63" s="214"/>
      <c r="SJ63" s="214"/>
      <c r="SK63" s="214"/>
      <c r="SL63" s="214"/>
      <c r="SM63" s="214"/>
      <c r="SN63" s="214"/>
      <c r="SO63" s="214"/>
      <c r="SP63" s="214"/>
      <c r="SQ63" s="214"/>
      <c r="SR63" s="214"/>
      <c r="SS63" s="214"/>
      <c r="ST63" s="214"/>
      <c r="SU63" s="214"/>
      <c r="SV63" s="214"/>
      <c r="SW63" s="214"/>
      <c r="SX63" s="214"/>
      <c r="SY63" s="214"/>
      <c r="SZ63" s="214"/>
      <c r="TA63" s="214"/>
      <c r="TB63" s="214"/>
      <c r="TC63" s="214"/>
      <c r="TD63" s="214"/>
      <c r="TE63" s="214"/>
      <c r="TF63" s="214"/>
      <c r="TG63" s="214"/>
      <c r="TH63" s="214"/>
      <c r="TI63" s="214"/>
      <c r="TJ63" s="214"/>
      <c r="TK63" s="214"/>
      <c r="TL63" s="214"/>
      <c r="TM63" s="214"/>
      <c r="TN63" s="214"/>
      <c r="TO63" s="214"/>
      <c r="TP63" s="214"/>
      <c r="TQ63" s="214"/>
      <c r="TR63" s="214"/>
      <c r="TS63" s="214"/>
      <c r="TT63" s="214"/>
      <c r="TU63" s="214"/>
      <c r="TV63" s="214"/>
      <c r="TW63" s="214"/>
      <c r="TX63" s="214"/>
      <c r="TY63" s="214"/>
      <c r="TZ63" s="214"/>
      <c r="UA63" s="214"/>
      <c r="UB63" s="214"/>
      <c r="UC63" s="214"/>
      <c r="UD63" s="214"/>
      <c r="UE63" s="214"/>
      <c r="UF63" s="214"/>
      <c r="UG63" s="214"/>
      <c r="UH63" s="214"/>
      <c r="UI63" s="214"/>
      <c r="UJ63" s="214"/>
      <c r="UK63" s="214"/>
      <c r="UL63" s="214"/>
      <c r="UM63" s="214"/>
      <c r="UN63" s="214"/>
      <c r="UO63" s="214"/>
      <c r="UP63" s="214"/>
      <c r="UQ63" s="214"/>
      <c r="UR63" s="214"/>
      <c r="US63" s="214"/>
      <c r="UT63" s="214"/>
      <c r="UU63" s="214"/>
      <c r="UV63" s="214"/>
      <c r="UW63" s="214"/>
      <c r="UX63" s="214"/>
      <c r="UY63" s="214"/>
      <c r="UZ63" s="214"/>
      <c r="VA63" s="214"/>
      <c r="VB63" s="214"/>
      <c r="VC63" s="214"/>
      <c r="VD63" s="214"/>
      <c r="VE63" s="214"/>
      <c r="VF63" s="214"/>
      <c r="VG63" s="214"/>
      <c r="VH63" s="214"/>
      <c r="VI63" s="214"/>
      <c r="VJ63" s="214"/>
      <c r="VK63" s="214"/>
      <c r="VL63" s="214"/>
      <c r="VM63" s="214"/>
      <c r="VN63" s="214"/>
      <c r="VO63" s="214"/>
      <c r="VP63" s="214"/>
      <c r="VQ63" s="214"/>
      <c r="VR63" s="214"/>
      <c r="VS63" s="214"/>
      <c r="VT63" s="214"/>
      <c r="VU63" s="214"/>
      <c r="VV63" s="214"/>
      <c r="VW63" s="214"/>
      <c r="VX63" s="214"/>
      <c r="VY63" s="214"/>
      <c r="VZ63" s="214"/>
      <c r="WA63" s="214"/>
      <c r="WB63" s="214"/>
      <c r="WC63" s="214"/>
      <c r="WD63" s="214"/>
      <c r="WE63" s="214"/>
      <c r="WF63" s="214"/>
      <c r="WG63" s="214"/>
      <c r="WH63" s="214"/>
      <c r="WI63" s="214"/>
      <c r="WJ63" s="214"/>
      <c r="WK63" s="214"/>
      <c r="WL63" s="214"/>
      <c r="WM63" s="214"/>
      <c r="WN63" s="214"/>
      <c r="WO63" s="214"/>
      <c r="WP63" s="214"/>
      <c r="WQ63" s="214"/>
      <c r="WR63" s="214"/>
      <c r="WS63" s="214"/>
      <c r="WT63" s="214"/>
      <c r="WU63" s="214"/>
      <c r="WV63" s="214"/>
      <c r="WW63" s="214"/>
      <c r="WX63" s="214"/>
      <c r="WY63" s="214"/>
      <c r="WZ63" s="214"/>
      <c r="XA63" s="214"/>
      <c r="XB63" s="214"/>
      <c r="XC63" s="214"/>
      <c r="XD63" s="214"/>
      <c r="XE63" s="214"/>
      <c r="XF63" s="214"/>
      <c r="XG63" s="214"/>
      <c r="XH63" s="214"/>
      <c r="XI63" s="214"/>
      <c r="XJ63" s="214"/>
      <c r="XK63" s="214"/>
      <c r="XL63" s="214"/>
      <c r="XM63" s="214"/>
      <c r="XN63" s="214"/>
      <c r="XO63" s="214"/>
      <c r="XP63" s="214"/>
      <c r="XQ63" s="214"/>
      <c r="XR63" s="214"/>
      <c r="XS63" s="214"/>
      <c r="XT63" s="214"/>
      <c r="XU63" s="214"/>
      <c r="XV63" s="214"/>
      <c r="XW63" s="214"/>
      <c r="XX63" s="214"/>
      <c r="XY63" s="214"/>
      <c r="XZ63" s="214"/>
      <c r="YA63" s="214"/>
      <c r="YB63" s="214"/>
      <c r="YC63" s="214"/>
      <c r="YD63" s="214"/>
      <c r="YE63" s="214"/>
      <c r="YF63" s="214"/>
      <c r="YG63" s="214"/>
      <c r="YH63" s="214"/>
      <c r="YI63" s="214"/>
      <c r="YJ63" s="214"/>
      <c r="YK63" s="214"/>
      <c r="YL63" s="214"/>
      <c r="YM63" s="214"/>
      <c r="YN63" s="214"/>
      <c r="YO63" s="214"/>
      <c r="YP63" s="214"/>
      <c r="YQ63" s="214"/>
      <c r="YR63" s="214"/>
      <c r="YS63" s="214"/>
      <c r="YT63" s="214"/>
      <c r="YU63" s="214"/>
      <c r="YV63" s="214"/>
      <c r="YW63" s="214"/>
      <c r="YX63" s="214"/>
      <c r="YY63" s="214"/>
      <c r="YZ63" s="214"/>
      <c r="ZA63" s="214"/>
      <c r="ZB63" s="214"/>
      <c r="ZC63" s="214"/>
      <c r="ZD63" s="214"/>
      <c r="ZE63" s="214"/>
      <c r="ZF63" s="214"/>
      <c r="ZG63" s="214"/>
      <c r="ZH63" s="214"/>
      <c r="ZI63" s="214"/>
      <c r="ZJ63" s="214"/>
      <c r="ZK63" s="214"/>
      <c r="ZL63" s="214"/>
      <c r="ZM63" s="214"/>
      <c r="ZN63" s="214"/>
      <c r="ZO63" s="214"/>
      <c r="ZP63" s="214"/>
      <c r="ZQ63" s="214"/>
      <c r="ZR63" s="214"/>
      <c r="ZS63" s="214"/>
      <c r="ZT63" s="214"/>
      <c r="ZU63" s="214"/>
      <c r="ZV63" s="214"/>
      <c r="ZW63" s="214"/>
      <c r="ZX63" s="214"/>
      <c r="ZY63" s="214"/>
      <c r="ZZ63" s="214"/>
      <c r="AAA63" s="214"/>
      <c r="AAB63" s="214"/>
      <c r="AAC63" s="214"/>
      <c r="AAD63" s="214"/>
      <c r="AAE63" s="214"/>
      <c r="AAF63" s="214"/>
      <c r="AAG63" s="214"/>
      <c r="AAH63" s="214"/>
      <c r="AAI63" s="214"/>
      <c r="AAJ63" s="214"/>
      <c r="AAK63" s="214"/>
      <c r="AAL63" s="214"/>
      <c r="AAM63" s="214"/>
      <c r="AAN63" s="214"/>
      <c r="AAO63" s="214"/>
      <c r="AAP63" s="214"/>
      <c r="AAQ63" s="214"/>
      <c r="AAR63" s="214"/>
      <c r="AAS63" s="214"/>
      <c r="AAT63" s="214"/>
      <c r="AAU63" s="214"/>
      <c r="AAV63" s="214"/>
      <c r="AAW63" s="214"/>
      <c r="AAX63" s="214"/>
      <c r="AAY63" s="214"/>
      <c r="AAZ63" s="214"/>
      <c r="ABA63" s="214"/>
      <c r="ABB63" s="214"/>
      <c r="ABC63" s="214"/>
      <c r="ABD63" s="214"/>
      <c r="ABE63" s="214"/>
      <c r="ABF63" s="214"/>
      <c r="ABG63" s="214"/>
      <c r="ABH63" s="214"/>
      <c r="ABI63" s="214"/>
      <c r="ABJ63" s="214"/>
      <c r="ABK63" s="214"/>
      <c r="ABL63" s="214"/>
      <c r="ABM63" s="214"/>
      <c r="ABN63" s="214"/>
      <c r="ABO63" s="214"/>
      <c r="ABP63" s="214"/>
      <c r="ABQ63" s="214"/>
      <c r="ABR63" s="214"/>
      <c r="ABS63" s="214"/>
      <c r="ABT63" s="214"/>
      <c r="ABU63" s="214"/>
      <c r="ABV63" s="214"/>
      <c r="ABW63" s="214"/>
      <c r="ABX63" s="214"/>
      <c r="ABY63" s="214"/>
      <c r="ABZ63" s="214"/>
      <c r="ACA63" s="214"/>
      <c r="ACB63" s="214"/>
      <c r="ACC63" s="214"/>
      <c r="ACD63" s="214"/>
      <c r="ACE63" s="214"/>
      <c r="ACF63" s="214"/>
      <c r="ACG63" s="214"/>
      <c r="ACH63" s="214"/>
      <c r="ACI63" s="214"/>
      <c r="ACJ63" s="214"/>
      <c r="ACK63" s="214"/>
      <c r="ACL63" s="214"/>
      <c r="ACM63" s="214"/>
      <c r="ACN63" s="214"/>
      <c r="ACO63" s="214"/>
      <c r="ACP63" s="214"/>
      <c r="ACQ63" s="214"/>
      <c r="ACR63" s="214"/>
      <c r="ACS63" s="214"/>
      <c r="ACT63" s="214"/>
      <c r="ACU63" s="214"/>
      <c r="ACV63" s="214"/>
      <c r="ACW63" s="214"/>
      <c r="ACX63" s="214"/>
      <c r="ACY63" s="214"/>
      <c r="ACZ63" s="214"/>
      <c r="ADA63" s="214"/>
      <c r="ADB63" s="214"/>
      <c r="ADC63" s="214"/>
      <c r="ADD63" s="214"/>
      <c r="ADE63" s="214"/>
      <c r="ADF63" s="214"/>
      <c r="ADG63" s="214"/>
      <c r="ADH63" s="214"/>
      <c r="ADI63" s="214"/>
      <c r="ADJ63" s="214"/>
      <c r="ADK63" s="214"/>
      <c r="ADL63" s="214"/>
      <c r="ADM63" s="214"/>
      <c r="ADN63" s="214"/>
      <c r="ADO63" s="214"/>
      <c r="ADP63" s="214"/>
      <c r="ADQ63" s="214"/>
      <c r="ADR63" s="214"/>
      <c r="ADS63" s="214"/>
      <c r="ADT63" s="214"/>
      <c r="ADU63" s="214"/>
      <c r="ADV63" s="214"/>
      <c r="ADW63" s="214"/>
      <c r="ADX63" s="214"/>
      <c r="ADY63" s="214"/>
      <c r="ADZ63" s="214"/>
      <c r="AEA63" s="214"/>
      <c r="AEB63" s="214"/>
      <c r="AEC63" s="214"/>
      <c r="AED63" s="214"/>
      <c r="AEE63" s="214"/>
      <c r="AEF63" s="214"/>
      <c r="AEG63" s="214"/>
      <c r="AEH63" s="214"/>
      <c r="AEI63" s="214"/>
      <c r="AEJ63" s="214"/>
      <c r="AEK63" s="214"/>
      <c r="AEL63" s="214"/>
      <c r="AEM63" s="214"/>
      <c r="AEN63" s="214"/>
      <c r="AEO63" s="214"/>
      <c r="AEP63" s="214"/>
      <c r="AEQ63" s="214"/>
      <c r="AER63" s="214"/>
      <c r="AES63" s="214"/>
      <c r="AET63" s="214"/>
      <c r="AEU63" s="214"/>
      <c r="AEV63" s="214"/>
      <c r="AEW63" s="214"/>
      <c r="AEX63" s="214"/>
      <c r="AEY63" s="214"/>
      <c r="AEZ63" s="214"/>
      <c r="AFA63" s="214"/>
      <c r="AFB63" s="214"/>
      <c r="AFC63" s="214"/>
      <c r="AFD63" s="214"/>
      <c r="AFE63" s="214"/>
      <c r="AFF63" s="214"/>
      <c r="AFG63" s="214"/>
      <c r="AFH63" s="214"/>
      <c r="AFI63" s="214"/>
      <c r="AFJ63" s="214"/>
      <c r="AFK63" s="214"/>
      <c r="AFL63" s="214"/>
      <c r="AFM63" s="214"/>
      <c r="AFN63" s="214"/>
      <c r="AFO63" s="214"/>
      <c r="AFP63" s="214"/>
      <c r="AFQ63" s="214"/>
      <c r="AFR63" s="214"/>
      <c r="AFS63" s="214"/>
      <c r="AFT63" s="214"/>
      <c r="AFU63" s="214"/>
      <c r="AFV63" s="214"/>
      <c r="AFW63" s="214"/>
      <c r="AFX63" s="214"/>
      <c r="AFY63" s="214"/>
      <c r="AFZ63" s="214"/>
      <c r="AGA63" s="214"/>
      <c r="AGB63" s="214"/>
      <c r="AGC63" s="214"/>
      <c r="AGD63" s="214"/>
      <c r="AGE63" s="214"/>
      <c r="AGF63" s="214"/>
      <c r="AGG63" s="214"/>
      <c r="AGH63" s="214"/>
      <c r="AGI63" s="214"/>
      <c r="AGJ63" s="214"/>
      <c r="AGK63" s="214"/>
      <c r="AGL63" s="214"/>
      <c r="AGM63" s="214"/>
      <c r="AGN63" s="214"/>
      <c r="AGO63" s="214"/>
      <c r="AGP63" s="214"/>
      <c r="AGQ63" s="214"/>
      <c r="AGR63" s="214"/>
      <c r="AGS63" s="214"/>
      <c r="AGT63" s="214"/>
      <c r="AGU63" s="214"/>
      <c r="AGV63" s="214"/>
      <c r="AGW63" s="214"/>
      <c r="AGX63" s="214"/>
      <c r="AGY63" s="214"/>
      <c r="AGZ63" s="214"/>
      <c r="AHA63" s="214"/>
      <c r="AHB63" s="214"/>
      <c r="AHC63" s="214"/>
      <c r="AHD63" s="214"/>
      <c r="AHE63" s="214"/>
      <c r="AHF63" s="214"/>
      <c r="AHG63" s="214"/>
      <c r="AHH63" s="214"/>
      <c r="AHI63" s="214"/>
      <c r="AHJ63" s="214"/>
      <c r="AHK63" s="214"/>
      <c r="AHL63" s="214"/>
      <c r="AHM63" s="214"/>
      <c r="AHN63" s="214"/>
      <c r="AHO63" s="214"/>
      <c r="AHP63" s="214"/>
      <c r="AHQ63" s="214"/>
      <c r="AHR63" s="214"/>
      <c r="AHS63" s="214"/>
      <c r="AHT63" s="214"/>
      <c r="AHU63" s="214"/>
      <c r="AHV63" s="214"/>
      <c r="AHW63" s="214"/>
      <c r="AHX63" s="214"/>
      <c r="AHY63" s="214"/>
      <c r="AHZ63" s="214"/>
      <c r="AIA63" s="214"/>
      <c r="AIB63" s="214"/>
      <c r="AIC63" s="214"/>
      <c r="AID63" s="214"/>
      <c r="AIE63" s="214"/>
      <c r="AIF63" s="214"/>
      <c r="AIG63" s="214"/>
      <c r="AIH63" s="214"/>
      <c r="AII63" s="214"/>
      <c r="AIJ63" s="214"/>
      <c r="AIK63" s="214"/>
      <c r="AIL63" s="214"/>
      <c r="AIM63" s="214"/>
      <c r="AIN63" s="214"/>
      <c r="AIO63" s="214"/>
      <c r="AIP63" s="214"/>
      <c r="AIQ63" s="214"/>
      <c r="AIR63" s="214"/>
      <c r="AIS63" s="214"/>
      <c r="AIT63" s="214"/>
      <c r="AIU63" s="214"/>
      <c r="AIV63" s="214"/>
      <c r="AIW63" s="214"/>
      <c r="AIX63" s="214"/>
      <c r="AIY63" s="214"/>
      <c r="AIZ63" s="214"/>
      <c r="AJA63" s="214"/>
      <c r="AJB63" s="214"/>
      <c r="AJC63" s="214"/>
      <c r="AJD63" s="214"/>
      <c r="AJE63" s="214"/>
      <c r="AJF63" s="214"/>
      <c r="AJG63" s="214"/>
      <c r="AJH63" s="214"/>
      <c r="AJI63" s="214"/>
      <c r="AJJ63" s="214"/>
      <c r="AJK63" s="214"/>
      <c r="AJL63" s="214"/>
      <c r="AJM63" s="214"/>
      <c r="AJN63" s="214"/>
      <c r="AJO63" s="214"/>
      <c r="AJP63" s="214"/>
      <c r="AJQ63" s="214"/>
      <c r="AJR63" s="214"/>
      <c r="AJS63" s="214"/>
      <c r="AJT63" s="214"/>
      <c r="AJU63" s="214"/>
      <c r="AJV63" s="214"/>
      <c r="AJW63" s="214"/>
      <c r="AJX63" s="214"/>
      <c r="AJY63" s="214"/>
      <c r="AJZ63" s="214"/>
      <c r="AKA63" s="214"/>
      <c r="AKB63" s="214"/>
      <c r="AKC63" s="214"/>
      <c r="AKD63" s="214"/>
      <c r="AKE63" s="214"/>
      <c r="AKF63" s="214"/>
      <c r="AKG63" s="214"/>
      <c r="AKH63" s="214"/>
      <c r="AKI63" s="214"/>
      <c r="AKJ63" s="214"/>
      <c r="AKK63" s="214"/>
      <c r="AKL63" s="214"/>
      <c r="AKM63" s="214"/>
      <c r="AKN63" s="214"/>
      <c r="AKO63" s="214"/>
      <c r="AKP63" s="214"/>
      <c r="AKQ63" s="214"/>
      <c r="AKR63" s="214"/>
      <c r="AKS63" s="214"/>
      <c r="AKT63" s="214"/>
      <c r="AKU63" s="214"/>
      <c r="AKV63" s="214"/>
      <c r="AKW63" s="214"/>
      <c r="AKX63" s="214"/>
      <c r="AKY63" s="214"/>
      <c r="AKZ63" s="214"/>
      <c r="ALA63" s="214"/>
      <c r="ALB63" s="214"/>
      <c r="ALC63" s="214"/>
      <c r="ALD63" s="214"/>
      <c r="ALE63" s="214"/>
      <c r="ALF63" s="214"/>
      <c r="ALG63" s="214"/>
      <c r="ALH63" s="214"/>
      <c r="ALI63" s="214"/>
      <c r="ALJ63" s="214"/>
      <c r="ALK63" s="214"/>
      <c r="ALL63" s="214"/>
      <c r="ALM63" s="214"/>
      <c r="ALN63" s="214"/>
      <c r="ALO63" s="214"/>
      <c r="ALP63" s="214"/>
      <c r="ALQ63" s="214"/>
      <c r="ALR63" s="214"/>
      <c r="ALS63" s="214"/>
      <c r="ALT63" s="214"/>
      <c r="ALU63" s="214"/>
      <c r="ALV63" s="214"/>
      <c r="ALW63" s="214"/>
      <c r="ALX63" s="214"/>
      <c r="ALY63" s="214"/>
      <c r="ALZ63" s="214"/>
      <c r="AMA63" s="214"/>
      <c r="AMB63" s="214"/>
      <c r="AMC63" s="214"/>
      <c r="AMD63" s="214"/>
      <c r="AME63" s="214"/>
      <c r="AMF63" s="214"/>
      <c r="AMG63" s="214"/>
      <c r="AMH63" s="214"/>
      <c r="AMI63" s="214"/>
      <c r="AMJ63" s="214"/>
      <c r="AMK63" s="214"/>
      <c r="AML63" s="214"/>
      <c r="AMM63" s="214"/>
      <c r="AMN63" s="214"/>
      <c r="AMO63" s="214"/>
      <c r="AMP63" s="214"/>
      <c r="AMQ63" s="214"/>
      <c r="AMR63" s="214"/>
      <c r="AMS63" s="214"/>
      <c r="AMT63" s="214"/>
      <c r="AMU63" s="214"/>
      <c r="AMV63" s="214"/>
      <c r="AMW63" s="214"/>
      <c r="AMX63" s="214"/>
      <c r="AMY63" s="214"/>
      <c r="AMZ63" s="214"/>
      <c r="ANA63" s="214"/>
      <c r="ANB63" s="214"/>
      <c r="ANC63" s="214"/>
      <c r="AND63" s="214"/>
      <c r="ANE63" s="214"/>
      <c r="ANF63" s="214"/>
      <c r="ANG63" s="214"/>
      <c r="ANH63" s="214"/>
      <c r="ANI63" s="214"/>
      <c r="ANJ63" s="214"/>
      <c r="ANK63" s="214"/>
      <c r="ANL63" s="214"/>
      <c r="ANM63" s="214"/>
      <c r="ANN63" s="214"/>
      <c r="ANO63" s="214"/>
      <c r="ANP63" s="214"/>
      <c r="ANQ63" s="214"/>
      <c r="ANR63" s="214"/>
      <c r="ANS63" s="214"/>
      <c r="ANT63" s="214"/>
      <c r="ANU63" s="214"/>
      <c r="ANV63" s="214"/>
      <c r="ANW63" s="214"/>
      <c r="ANX63" s="214"/>
      <c r="ANY63" s="214"/>
      <c r="ANZ63" s="214"/>
      <c r="AOA63" s="214"/>
      <c r="AOB63" s="214"/>
      <c r="AOC63" s="214"/>
      <c r="AOD63" s="214"/>
      <c r="AOE63" s="214"/>
      <c r="AOF63" s="214"/>
      <c r="AOG63" s="214"/>
      <c r="AOH63" s="214"/>
      <c r="AOI63" s="214"/>
      <c r="AOJ63" s="214"/>
      <c r="AOK63" s="214"/>
      <c r="AOL63" s="214"/>
      <c r="AOM63" s="214"/>
      <c r="AON63" s="214"/>
      <c r="AOO63" s="214"/>
      <c r="AOP63" s="214"/>
      <c r="AOQ63" s="214"/>
      <c r="AOR63" s="214"/>
      <c r="AOS63" s="214"/>
      <c r="AOT63" s="214"/>
      <c r="AOU63" s="214"/>
      <c r="AOV63" s="214"/>
      <c r="AOW63" s="214"/>
      <c r="AOX63" s="214"/>
      <c r="AOY63" s="214"/>
      <c r="AOZ63" s="214"/>
      <c r="APA63" s="214"/>
      <c r="APB63" s="214"/>
      <c r="APC63" s="214"/>
      <c r="APD63" s="214"/>
      <c r="APE63" s="214"/>
      <c r="APF63" s="214"/>
      <c r="APG63" s="214"/>
      <c r="APH63" s="214"/>
      <c r="API63" s="214"/>
      <c r="APJ63" s="214"/>
      <c r="APK63" s="214"/>
      <c r="APL63" s="214"/>
      <c r="APM63" s="214"/>
      <c r="APN63" s="214"/>
      <c r="APO63" s="214"/>
      <c r="APP63" s="214"/>
      <c r="APQ63" s="214"/>
      <c r="APR63" s="214"/>
      <c r="APS63" s="214"/>
      <c r="APT63" s="214"/>
      <c r="APU63" s="214"/>
      <c r="APV63" s="214"/>
      <c r="APW63" s="214"/>
      <c r="APX63" s="214"/>
      <c r="APY63" s="214"/>
      <c r="APZ63" s="214"/>
      <c r="AQA63" s="214"/>
      <c r="AQB63" s="214"/>
      <c r="AQC63" s="214"/>
      <c r="AQD63" s="214"/>
      <c r="AQE63" s="214"/>
      <c r="AQF63" s="214"/>
      <c r="AQG63" s="214"/>
      <c r="AQH63" s="214"/>
      <c r="AQI63" s="214"/>
      <c r="AQJ63" s="214"/>
      <c r="AQK63" s="214"/>
      <c r="AQL63" s="214"/>
      <c r="AQM63" s="214"/>
      <c r="AQN63" s="214"/>
      <c r="AQO63" s="214"/>
      <c r="AQP63" s="214"/>
      <c r="AQQ63" s="214"/>
      <c r="AQR63" s="214"/>
      <c r="AQS63" s="214"/>
      <c r="AQT63" s="214"/>
      <c r="AQU63" s="214"/>
      <c r="AQV63" s="214"/>
      <c r="AQW63" s="214"/>
      <c r="AQX63" s="214"/>
      <c r="AQY63" s="214"/>
      <c r="AQZ63" s="214"/>
      <c r="ARA63" s="214"/>
      <c r="ARB63" s="214"/>
      <c r="ARC63" s="214"/>
      <c r="ARD63" s="214"/>
      <c r="ARE63" s="214"/>
      <c r="ARF63" s="214"/>
      <c r="ARG63" s="214"/>
      <c r="ARH63" s="214"/>
      <c r="ARI63" s="214"/>
      <c r="ARJ63" s="214"/>
      <c r="ARK63" s="214"/>
      <c r="ARL63" s="214"/>
      <c r="ARM63" s="214"/>
      <c r="ARN63" s="214"/>
      <c r="ARO63" s="214"/>
      <c r="ARP63" s="214"/>
      <c r="ARQ63" s="214"/>
      <c r="ARR63" s="214"/>
      <c r="ARS63" s="214"/>
      <c r="ART63" s="214"/>
      <c r="ARU63" s="214"/>
      <c r="ARV63" s="214"/>
      <c r="ARW63" s="214"/>
      <c r="ARX63" s="214"/>
      <c r="ARY63" s="214"/>
      <c r="ARZ63" s="214"/>
      <c r="ASA63" s="214"/>
      <c r="ASB63" s="214"/>
      <c r="ASC63" s="214"/>
      <c r="ASD63" s="214"/>
      <c r="ASE63" s="214"/>
      <c r="ASF63" s="214"/>
      <c r="ASG63" s="214"/>
      <c r="ASH63" s="214"/>
      <c r="ASI63" s="214"/>
      <c r="ASJ63" s="214"/>
      <c r="ASK63" s="214"/>
      <c r="ASL63" s="214"/>
      <c r="ASM63" s="214"/>
      <c r="ASN63" s="214"/>
      <c r="ASO63" s="214"/>
      <c r="ASP63" s="214"/>
      <c r="ASQ63" s="214"/>
      <c r="ASR63" s="214"/>
      <c r="ASS63" s="214"/>
      <c r="AST63" s="214"/>
      <c r="ASU63" s="214"/>
      <c r="ASV63" s="214"/>
      <c r="ASW63" s="214"/>
      <c r="ASX63" s="214"/>
      <c r="ASY63" s="214"/>
      <c r="ASZ63" s="214"/>
      <c r="ATA63" s="214"/>
      <c r="ATB63" s="214"/>
      <c r="ATC63" s="214"/>
      <c r="ATD63" s="214"/>
      <c r="ATE63" s="214"/>
      <c r="ATF63" s="214"/>
      <c r="ATG63" s="214"/>
      <c r="ATH63" s="214"/>
      <c r="ATI63" s="214"/>
      <c r="ATJ63" s="214"/>
      <c r="ATK63" s="214"/>
      <c r="ATL63" s="214"/>
      <c r="ATM63" s="214"/>
      <c r="ATN63" s="214"/>
      <c r="ATO63" s="214"/>
      <c r="ATP63" s="214"/>
      <c r="ATQ63" s="214"/>
      <c r="ATR63" s="214"/>
      <c r="ATS63" s="214"/>
      <c r="ATT63" s="214"/>
      <c r="ATU63" s="214"/>
      <c r="ATV63" s="214"/>
      <c r="ATW63" s="214"/>
      <c r="ATX63" s="214"/>
      <c r="ATY63" s="214"/>
      <c r="ATZ63" s="214"/>
      <c r="AUA63" s="214"/>
      <c r="AUB63" s="214"/>
      <c r="AUC63" s="214"/>
      <c r="AUD63" s="214"/>
      <c r="AUE63" s="214"/>
      <c r="AUF63" s="214"/>
      <c r="AUG63" s="214"/>
      <c r="AUH63" s="214"/>
      <c r="AUI63" s="214"/>
      <c r="AUJ63" s="214"/>
      <c r="AUK63" s="214"/>
      <c r="AUL63" s="214"/>
      <c r="AUM63" s="214"/>
      <c r="AUN63" s="214"/>
      <c r="AUO63" s="214"/>
      <c r="AUP63" s="214"/>
      <c r="AUQ63" s="214"/>
      <c r="AUR63" s="214"/>
      <c r="AUS63" s="214"/>
      <c r="AUT63" s="214"/>
      <c r="AUU63" s="214"/>
      <c r="AUV63" s="214"/>
      <c r="AUW63" s="214"/>
      <c r="AUX63" s="214"/>
      <c r="AUY63" s="214"/>
      <c r="AUZ63" s="214"/>
      <c r="AVA63" s="214"/>
      <c r="AVB63" s="214"/>
      <c r="AVC63" s="214"/>
      <c r="AVD63" s="214"/>
      <c r="AVE63" s="214"/>
      <c r="AVF63" s="214"/>
      <c r="AVG63" s="214"/>
      <c r="AVH63" s="214"/>
      <c r="AVI63" s="214"/>
      <c r="AVJ63" s="214"/>
      <c r="AVK63" s="214"/>
      <c r="AVL63" s="214"/>
      <c r="AVM63" s="214"/>
      <c r="AVN63" s="214"/>
      <c r="AVO63" s="214"/>
      <c r="AVP63" s="214"/>
      <c r="AVQ63" s="214"/>
      <c r="AVR63" s="214"/>
      <c r="AVS63" s="214"/>
      <c r="AVT63" s="214"/>
      <c r="AVU63" s="214"/>
      <c r="AVV63" s="214"/>
      <c r="AVW63" s="214"/>
      <c r="AVX63" s="214"/>
      <c r="AVY63" s="214"/>
      <c r="AVZ63" s="214"/>
      <c r="AWA63" s="214"/>
      <c r="AWB63" s="214"/>
      <c r="AWC63" s="214"/>
      <c r="AWD63" s="214"/>
      <c r="AWE63" s="214"/>
      <c r="AWF63" s="214"/>
      <c r="AWG63" s="214"/>
      <c r="AWH63" s="214"/>
      <c r="AWI63" s="214"/>
      <c r="AWJ63" s="214"/>
      <c r="AWK63" s="214"/>
      <c r="AWL63" s="214"/>
      <c r="AWM63" s="214"/>
      <c r="AWN63" s="214"/>
      <c r="AWO63" s="214"/>
      <c r="AWP63" s="214"/>
      <c r="AWQ63" s="214"/>
      <c r="AWR63" s="214"/>
      <c r="AWS63" s="214"/>
      <c r="AWT63" s="214"/>
      <c r="AWU63" s="214"/>
      <c r="AWV63" s="214"/>
      <c r="AWW63" s="214"/>
      <c r="AWX63" s="214"/>
      <c r="AWY63" s="214"/>
      <c r="AWZ63" s="214"/>
      <c r="AXA63" s="214"/>
      <c r="AXB63" s="214"/>
      <c r="AXC63" s="214"/>
      <c r="AXD63" s="214"/>
      <c r="AXE63" s="214"/>
      <c r="AXF63" s="214"/>
      <c r="AXG63" s="214"/>
      <c r="AXH63" s="214"/>
      <c r="AXI63" s="214"/>
      <c r="AXJ63" s="214"/>
      <c r="AXK63" s="214"/>
      <c r="AXL63" s="214"/>
      <c r="AXM63" s="214"/>
      <c r="AXN63" s="214"/>
      <c r="AXO63" s="214"/>
      <c r="AXP63" s="214"/>
      <c r="AXQ63" s="214"/>
      <c r="AXR63" s="214"/>
      <c r="AXS63" s="214"/>
      <c r="AXT63" s="214"/>
      <c r="AXU63" s="214"/>
      <c r="AXV63" s="214"/>
      <c r="AXW63" s="214"/>
      <c r="AXX63" s="214"/>
      <c r="AXY63" s="214"/>
      <c r="AXZ63" s="214"/>
      <c r="AYA63" s="214"/>
      <c r="AYB63" s="214"/>
      <c r="AYC63" s="214"/>
      <c r="AYD63" s="214"/>
      <c r="AYE63" s="214"/>
      <c r="AYF63" s="214"/>
      <c r="AYG63" s="214"/>
      <c r="AYH63" s="214"/>
      <c r="AYI63" s="214"/>
      <c r="AYJ63" s="214"/>
      <c r="AYK63" s="214"/>
      <c r="AYL63" s="214"/>
      <c r="AYM63" s="214"/>
      <c r="AYN63" s="214"/>
      <c r="AYO63" s="214"/>
      <c r="AYP63" s="214"/>
      <c r="AYQ63" s="214"/>
      <c r="AYR63" s="214"/>
      <c r="AYS63" s="214"/>
      <c r="AYT63" s="214"/>
      <c r="AYU63" s="214"/>
      <c r="AYV63" s="214"/>
      <c r="AYW63" s="214"/>
      <c r="AYX63" s="214"/>
      <c r="AYY63" s="214"/>
      <c r="AYZ63" s="214"/>
      <c r="AZA63" s="214"/>
      <c r="AZB63" s="214"/>
      <c r="AZC63" s="214"/>
      <c r="AZD63" s="214"/>
      <c r="AZE63" s="214"/>
      <c r="AZF63" s="214"/>
      <c r="AZG63" s="214"/>
      <c r="AZH63" s="214"/>
      <c r="AZI63" s="214"/>
      <c r="AZJ63" s="214"/>
      <c r="AZK63" s="214"/>
      <c r="AZL63" s="214"/>
      <c r="AZM63" s="214"/>
      <c r="AZN63" s="214"/>
      <c r="AZO63" s="214"/>
      <c r="AZP63" s="214"/>
      <c r="AZQ63" s="214"/>
      <c r="AZR63" s="214"/>
      <c r="AZS63" s="214"/>
      <c r="AZT63" s="214"/>
      <c r="AZU63" s="214"/>
      <c r="AZV63" s="214"/>
      <c r="AZW63" s="214"/>
      <c r="AZX63" s="214"/>
      <c r="AZY63" s="214"/>
      <c r="AZZ63" s="214"/>
      <c r="BAA63" s="214"/>
      <c r="BAB63" s="214"/>
      <c r="BAC63" s="214"/>
      <c r="BAD63" s="214"/>
      <c r="BAE63" s="214"/>
      <c r="BAF63" s="214"/>
      <c r="BAG63" s="214"/>
      <c r="BAH63" s="214"/>
      <c r="BAI63" s="214"/>
      <c r="BAJ63" s="214"/>
      <c r="BAK63" s="214"/>
      <c r="BAL63" s="214"/>
      <c r="BAM63" s="214"/>
      <c r="BAN63" s="214"/>
      <c r="BAO63" s="214"/>
      <c r="BAP63" s="214"/>
      <c r="BAQ63" s="214"/>
      <c r="BAR63" s="214"/>
      <c r="BAS63" s="214"/>
      <c r="BAT63" s="214"/>
      <c r="BAU63" s="214"/>
      <c r="BAV63" s="214"/>
      <c r="BAW63" s="214"/>
      <c r="BAX63" s="214"/>
      <c r="BAY63" s="214"/>
      <c r="BAZ63" s="214"/>
      <c r="BBA63" s="214"/>
      <c r="BBB63" s="214"/>
      <c r="BBC63" s="214"/>
      <c r="BBD63" s="214"/>
      <c r="BBE63" s="214"/>
      <c r="BBF63" s="214"/>
      <c r="BBG63" s="214"/>
      <c r="BBH63" s="214"/>
      <c r="BBI63" s="214"/>
      <c r="BBJ63" s="214"/>
      <c r="BBK63" s="214"/>
      <c r="BBL63" s="214"/>
      <c r="BBM63" s="214"/>
      <c r="BBN63" s="214"/>
      <c r="BBO63" s="214"/>
      <c r="BBP63" s="214"/>
      <c r="BBQ63" s="214"/>
      <c r="BBR63" s="214"/>
      <c r="BBS63" s="214"/>
      <c r="BBT63" s="214"/>
      <c r="BBU63" s="214"/>
      <c r="BBV63" s="214"/>
      <c r="BBW63" s="214"/>
      <c r="BBX63" s="214"/>
      <c r="BBY63" s="214"/>
      <c r="BBZ63" s="214"/>
      <c r="BCA63" s="214"/>
      <c r="BCB63" s="214"/>
      <c r="BCC63" s="214"/>
      <c r="BCD63" s="214"/>
      <c r="BCE63" s="214"/>
      <c r="BCF63" s="214"/>
      <c r="BCG63" s="214"/>
      <c r="BCH63" s="214"/>
      <c r="BCI63" s="214"/>
      <c r="BCJ63" s="214"/>
      <c r="BCK63" s="214"/>
      <c r="BCL63" s="214"/>
      <c r="BCM63" s="214"/>
      <c r="BCN63" s="214"/>
      <c r="BCO63" s="214"/>
      <c r="BCP63" s="214"/>
      <c r="BCQ63" s="214"/>
      <c r="BCR63" s="214"/>
      <c r="BCS63" s="214"/>
      <c r="BCT63" s="214"/>
      <c r="BCU63" s="214"/>
      <c r="BCV63" s="214"/>
      <c r="BCW63" s="214"/>
      <c r="BCX63" s="214"/>
      <c r="BCY63" s="214"/>
      <c r="BCZ63" s="214"/>
      <c r="BDA63" s="214"/>
      <c r="BDB63" s="214"/>
      <c r="BDC63" s="214"/>
      <c r="BDD63" s="214"/>
      <c r="BDE63" s="214"/>
      <c r="BDF63" s="214"/>
      <c r="BDG63" s="214"/>
      <c r="BDH63" s="214"/>
      <c r="BDI63" s="214"/>
      <c r="BDJ63" s="214"/>
      <c r="BDK63" s="214"/>
      <c r="BDL63" s="214"/>
      <c r="BDM63" s="214"/>
      <c r="BDN63" s="214"/>
      <c r="BDO63" s="214"/>
      <c r="BDP63" s="214"/>
      <c r="BDQ63" s="214"/>
      <c r="BDR63" s="214"/>
      <c r="BDS63" s="214"/>
      <c r="BDT63" s="214"/>
      <c r="BDU63" s="214"/>
      <c r="BDV63" s="214"/>
      <c r="BDW63" s="214"/>
      <c r="BDX63" s="214"/>
      <c r="BDY63" s="214"/>
      <c r="BDZ63" s="214"/>
      <c r="BEA63" s="214"/>
      <c r="BEB63" s="214"/>
      <c r="BEC63" s="214"/>
      <c r="BED63" s="214"/>
      <c r="BEE63" s="214"/>
      <c r="BEF63" s="214"/>
      <c r="BEG63" s="214"/>
      <c r="BEH63" s="214"/>
      <c r="BEI63" s="214"/>
      <c r="BEJ63" s="214"/>
      <c r="BEK63" s="214"/>
      <c r="BEL63" s="214"/>
      <c r="BEM63" s="214"/>
      <c r="BEN63" s="214"/>
      <c r="BEO63" s="214"/>
      <c r="BEP63" s="214"/>
      <c r="BEQ63" s="214"/>
      <c r="BER63" s="214"/>
      <c r="BES63" s="214"/>
      <c r="BET63" s="214"/>
      <c r="BEU63" s="214"/>
      <c r="BEV63" s="214"/>
      <c r="BEW63" s="214"/>
      <c r="BEX63" s="214"/>
      <c r="BEY63" s="214"/>
      <c r="BEZ63" s="214"/>
      <c r="BFA63" s="214"/>
      <c r="BFB63" s="214"/>
      <c r="BFC63" s="214"/>
      <c r="BFD63" s="214"/>
      <c r="BFE63" s="214"/>
      <c r="BFF63" s="214"/>
      <c r="BFG63" s="214"/>
      <c r="BFH63" s="214"/>
      <c r="BFI63" s="214"/>
      <c r="BFJ63" s="214"/>
      <c r="BFK63" s="214"/>
      <c r="BFL63" s="214"/>
      <c r="BFM63" s="214"/>
      <c r="BFN63" s="214"/>
      <c r="BFO63" s="214"/>
      <c r="BFP63" s="214"/>
      <c r="BFQ63" s="214"/>
      <c r="BFR63" s="214"/>
      <c r="BFS63" s="214"/>
      <c r="BFT63" s="214"/>
      <c r="BFU63" s="214"/>
      <c r="BFV63" s="214"/>
      <c r="BFW63" s="214"/>
      <c r="BFX63" s="214"/>
      <c r="BFY63" s="214"/>
      <c r="BFZ63" s="214"/>
      <c r="BGA63" s="214"/>
      <c r="BGB63" s="214"/>
      <c r="BGC63" s="214"/>
      <c r="BGD63" s="214"/>
      <c r="BGE63" s="214"/>
      <c r="BGF63" s="214"/>
      <c r="BGG63" s="214"/>
      <c r="BGH63" s="214"/>
      <c r="BGI63" s="214"/>
      <c r="BGJ63" s="214"/>
      <c r="BGK63" s="214"/>
      <c r="BGL63" s="214"/>
      <c r="BGM63" s="214"/>
      <c r="BGN63" s="214"/>
      <c r="BGO63" s="214"/>
      <c r="BGP63" s="214"/>
      <c r="BGQ63" s="214"/>
      <c r="BGR63" s="214"/>
      <c r="BGS63" s="214"/>
      <c r="BGT63" s="214"/>
      <c r="BGU63" s="214"/>
      <c r="BGV63" s="214"/>
      <c r="BGW63" s="214"/>
      <c r="BGX63" s="214"/>
      <c r="BGY63" s="214"/>
      <c r="BGZ63" s="214"/>
      <c r="BHA63" s="214"/>
      <c r="BHB63" s="214"/>
      <c r="BHC63" s="214"/>
      <c r="BHD63" s="214"/>
      <c r="BHE63" s="214"/>
      <c r="BHF63" s="214"/>
      <c r="BHG63" s="214"/>
      <c r="BHH63" s="214"/>
      <c r="BHI63" s="214"/>
      <c r="BHJ63" s="214"/>
      <c r="BHK63" s="214"/>
      <c r="BHL63" s="214"/>
      <c r="BHM63" s="214"/>
      <c r="BHN63" s="214"/>
      <c r="BHO63" s="214"/>
      <c r="BHP63" s="214"/>
      <c r="BHQ63" s="214"/>
      <c r="BHR63" s="214"/>
      <c r="BHS63" s="214"/>
      <c r="BHT63" s="214"/>
      <c r="BHU63" s="214"/>
      <c r="BHV63" s="214"/>
      <c r="BHW63" s="214"/>
    </row>
    <row r="64" spans="1:1583" s="217" customFormat="1" ht="16.5">
      <c r="A64" s="252" t="s">
        <v>72</v>
      </c>
      <c r="B64" s="180" t="s">
        <v>73</v>
      </c>
      <c r="C64" s="416" t="s">
        <v>495</v>
      </c>
      <c r="D64" s="420" t="s">
        <v>554</v>
      </c>
      <c r="E64" s="59" t="s">
        <v>42</v>
      </c>
      <c r="F64" s="132">
        <v>470</v>
      </c>
      <c r="G64" s="60" t="s">
        <v>718</v>
      </c>
      <c r="H64" s="473">
        <f>AVERAGE(I64:AN64)</f>
        <v>457.94583707880838</v>
      </c>
      <c r="I64" s="92">
        <f>VLOOKUP($B64,'DCS Data'!$E$2:$AJ$100,MATCH('Daily Report'!I$1,'DCS Data'!$E$2:$AJ$2,0),0)</f>
        <v>449.221983643675</v>
      </c>
      <c r="J64" s="255"/>
      <c r="K64" s="92">
        <f>VLOOKUP($B64,'DCS Data'!$E$2:$AJ$100,MATCH('Daily Report'!K$1,'DCS Data'!$E$2:$AJ$2,0),0)</f>
        <v>446.57338146262379</v>
      </c>
      <c r="L64" s="92">
        <f>VLOOKUP($B64,'DCS Data'!$E$2:$AJ$100,MATCH('Daily Report'!L$1,'DCS Data'!$E$2:$AJ$2,0),0)</f>
        <v>446.9104369803606</v>
      </c>
      <c r="M64" s="92">
        <f>VLOOKUP($B64,'DCS Data'!$E$2:$AJ$100,MATCH('Daily Report'!M$1,'DCS Data'!$E$2:$AJ$2,0),0)</f>
        <v>447.77019184788122</v>
      </c>
      <c r="N64" s="92">
        <f>VLOOKUP($B64,'DCS Data'!$E$2:$AJ$100,MATCH('Daily Report'!N$1,'DCS Data'!$E$2:$AJ$2,0),0)</f>
        <v>453.45571523578081</v>
      </c>
      <c r="O64" s="92">
        <f>VLOOKUP($B64,'DCS Data'!$E$2:$AJ$100,MATCH('Daily Report'!O$1,'DCS Data'!$E$2:$AJ$2,0),0)</f>
        <v>459.30697829599416</v>
      </c>
      <c r="P64" s="92">
        <f>VLOOKUP($B64,'DCS Data'!$E$2:$AJ$100,MATCH('Daily Report'!P$1,'DCS Data'!$E$2:$AJ$2,0),0)</f>
        <v>459.21823908411699</v>
      </c>
      <c r="Q64" s="92">
        <f>VLOOKUP($B64,'DCS Data'!$E$2:$AJ$100,MATCH('Daily Report'!Q$1,'DCS Data'!$E$2:$AJ$2,0),0)</f>
        <v>459.52279766837279</v>
      </c>
      <c r="R64" s="92">
        <f>VLOOKUP($B64,'DCS Data'!$E$2:$AJ$100,MATCH('Daily Report'!R$1,'DCS Data'!$E$2:$AJ$2,0),0)</f>
        <v>460.96198355002593</v>
      </c>
      <c r="S64" s="92">
        <f>VLOOKUP($B64,'DCS Data'!$E$2:$AJ$100,MATCH('Daily Report'!S$1,'DCS Data'!$E$2:$AJ$2,0),0)</f>
        <v>461.54839360126914</v>
      </c>
      <c r="T64" s="92">
        <f>VLOOKUP($B64,'DCS Data'!$E$2:$AJ$100,MATCH('Daily Report'!T$1,'DCS Data'!$E$2:$AJ$2,0),0)</f>
        <v>461.70668305869651</v>
      </c>
      <c r="U64" s="92">
        <f>VLOOKUP($B64,'DCS Data'!$E$2:$AJ$100,MATCH('Daily Report'!U$1,'DCS Data'!$E$2:$AJ$2,0),0)</f>
        <v>461.77752821372496</v>
      </c>
      <c r="V64" s="92">
        <f>VLOOKUP($B64,'DCS Data'!$E$2:$AJ$100,MATCH('Daily Report'!V$1,'DCS Data'!$E$2:$AJ$2,0),0)</f>
        <v>461.92291302392897</v>
      </c>
      <c r="W64" s="92">
        <f>VLOOKUP($B64,'DCS Data'!$E$2:$AJ$100,MATCH('Daily Report'!W$1,'DCS Data'!$E$2:$AJ$2,0),0)</f>
        <v>460.98037751519257</v>
      </c>
      <c r="X64" s="92">
        <f>VLOOKUP($B64,'DCS Data'!$E$2:$AJ$100,MATCH('Daily Report'!X$1,'DCS Data'!$E$2:$AJ$2,0),0)</f>
        <v>461.35592214759583</v>
      </c>
      <c r="Y64" s="92">
        <f>VLOOKUP($B64,'DCS Data'!$E$2:$AJ$100,MATCH('Daily Report'!Y$1,'DCS Data'!$E$2:$AJ$2,0),0)</f>
        <v>465.56727116215336</v>
      </c>
      <c r="Z64" s="92">
        <f>VLOOKUP($B64,'DCS Data'!$E$2:$AJ$100,MATCH('Daily Report'!Z$1,'DCS Data'!$E$2:$AJ$2,0),0)</f>
        <v>464.54759129991953</v>
      </c>
      <c r="AA64" s="92">
        <f>VLOOKUP($B64,'DCS Data'!$E$2:$AJ$100,MATCH('Daily Report'!AA$1,'DCS Data'!$E$2:$AJ$2,0),0)</f>
        <v>463.52702073215517</v>
      </c>
      <c r="AB64" s="92">
        <f>VLOOKUP($B64,'DCS Data'!$E$2:$AJ$100,MATCH('Daily Report'!AB$1,'DCS Data'!$E$2:$AJ$2,0),0)</f>
        <v>461.72901867962668</v>
      </c>
      <c r="AC64" s="92">
        <f>VLOOKUP($B64,'DCS Data'!$E$2:$AJ$100,MATCH('Daily Report'!AC$1,'DCS Data'!$E$2:$AJ$2,0),0)</f>
        <v>458.00612151483796</v>
      </c>
      <c r="AD64" s="92">
        <f>VLOOKUP($B64,'DCS Data'!$E$2:$AJ$100,MATCH('Daily Report'!AD$1,'DCS Data'!$E$2:$AJ$2,0),0)</f>
        <v>457.34157147437332</v>
      </c>
      <c r="AE64" s="92">
        <f>VLOOKUP($B64,'DCS Data'!$E$2:$AJ$100,MATCH('Daily Report'!AE$1,'DCS Data'!$E$2:$AJ$2,0),0)</f>
        <v>458.05550230896762</v>
      </c>
      <c r="AF64" s="92">
        <f>VLOOKUP($B64,'DCS Data'!$E$2:$AJ$100,MATCH('Daily Report'!AF$1,'DCS Data'!$E$2:$AJ$2,0),0)</f>
        <v>457.62957162805765</v>
      </c>
      <c r="AG64" s="92">
        <f>VLOOKUP($B64,'DCS Data'!$E$2:$AJ$100,MATCH('Daily Report'!AG$1,'DCS Data'!$E$2:$AJ$2,0),0)</f>
        <v>457.50144982751863</v>
      </c>
      <c r="AH64" s="92">
        <f>VLOOKUP($B64,'DCS Data'!$E$2:$AJ$100,MATCH('Daily Report'!AH$1,'DCS Data'!$E$2:$AJ$2,0),0)</f>
        <v>456.74538605835227</v>
      </c>
      <c r="AI64" s="92">
        <f>VLOOKUP($B64,'DCS Data'!$E$2:$AJ$100,MATCH('Daily Report'!AI$1,'DCS Data'!$E$2:$AJ$2,0),0)</f>
        <v>456.20760866017656</v>
      </c>
      <c r="AJ64" s="92">
        <f>VLOOKUP($B64,'DCS Data'!$E$2:$AJ$100,MATCH('Daily Report'!AJ$1,'DCS Data'!$E$2:$AJ$2,0),0)</f>
        <v>456.48032790752944</v>
      </c>
      <c r="AK64" s="92">
        <f>VLOOKUP($B64,'DCS Data'!$E$2:$AJ$100,MATCH('Daily Report'!AK$1,'DCS Data'!$E$2:$AJ$2,0),0)</f>
        <v>457.49916215397633</v>
      </c>
      <c r="AL64" s="92">
        <f>VLOOKUP($B64,'DCS Data'!$E$2:$AJ$100,MATCH('Daily Report'!AL$1,'DCS Data'!$E$2:$AJ$2,0),0)</f>
        <v>457.81813883417124</v>
      </c>
      <c r="AM64" s="92">
        <f>VLOOKUP($B64,'DCS Data'!$E$2:$AJ$100,MATCH('Daily Report'!AM$1,'DCS Data'!$E$2:$AJ$2,0),0)</f>
        <v>457.77064315235845</v>
      </c>
      <c r="AN64" s="92">
        <f>VLOOKUP($B64,'DCS Data'!$E$2:$AJ$100,MATCH('Daily Report'!AN$1,'DCS Data'!$E$2:$AJ$2,0),0)</f>
        <v>457.66103871964367</v>
      </c>
      <c r="AO64" s="214"/>
      <c r="AP64" s="214"/>
      <c r="AQ64" s="214"/>
      <c r="AR64" s="214"/>
      <c r="AS64" s="214"/>
      <c r="AT64" s="214"/>
      <c r="AU64" s="214"/>
      <c r="AV64" s="214"/>
      <c r="AW64" s="214"/>
      <c r="AX64" s="214"/>
      <c r="AY64" s="214"/>
      <c r="AZ64" s="214"/>
      <c r="BA64" s="214"/>
      <c r="BB64" s="214"/>
      <c r="BC64" s="214"/>
      <c r="BD64" s="214"/>
      <c r="BE64" s="214"/>
      <c r="BF64" s="214"/>
      <c r="BG64" s="214"/>
      <c r="BH64" s="214"/>
      <c r="BI64" s="214"/>
      <c r="BJ64" s="214"/>
      <c r="BK64" s="214"/>
      <c r="BL64" s="214"/>
      <c r="BM64" s="214"/>
      <c r="BN64" s="214"/>
      <c r="BO64" s="214"/>
      <c r="BP64" s="214"/>
      <c r="BQ64" s="214"/>
      <c r="BR64" s="214"/>
      <c r="BS64" s="214"/>
      <c r="BT64" s="214"/>
      <c r="BU64" s="214"/>
      <c r="BV64" s="214"/>
      <c r="BW64" s="214"/>
      <c r="BX64" s="214"/>
      <c r="BY64" s="214"/>
      <c r="BZ64" s="214"/>
      <c r="CA64" s="214"/>
      <c r="CB64" s="214"/>
      <c r="CC64" s="214"/>
      <c r="CD64" s="214"/>
      <c r="CE64" s="214"/>
      <c r="CF64" s="214"/>
      <c r="CG64" s="214"/>
      <c r="CH64" s="214"/>
      <c r="CI64" s="214"/>
      <c r="CJ64" s="214"/>
      <c r="CK64" s="214"/>
      <c r="CL64" s="214"/>
      <c r="CM64" s="214"/>
      <c r="CN64" s="214"/>
      <c r="CO64" s="214"/>
      <c r="CP64" s="214"/>
      <c r="CQ64" s="214"/>
      <c r="CR64" s="214"/>
      <c r="CS64" s="214"/>
      <c r="CT64" s="214"/>
      <c r="CU64" s="214"/>
      <c r="CV64" s="214"/>
      <c r="CW64" s="214"/>
      <c r="CX64" s="214"/>
      <c r="CY64" s="214"/>
      <c r="CZ64" s="214"/>
      <c r="DA64" s="214"/>
      <c r="DB64" s="214"/>
      <c r="DC64" s="214"/>
      <c r="DD64" s="214"/>
      <c r="DE64" s="214"/>
      <c r="DF64" s="214"/>
      <c r="DG64" s="214"/>
      <c r="DH64" s="214"/>
      <c r="DI64" s="214"/>
      <c r="DJ64" s="214"/>
      <c r="DK64" s="214"/>
      <c r="DL64" s="214"/>
      <c r="DM64" s="214"/>
      <c r="DN64" s="214"/>
      <c r="DO64" s="214"/>
      <c r="DP64" s="214"/>
      <c r="DQ64" s="214"/>
      <c r="DR64" s="214"/>
      <c r="DS64" s="214"/>
      <c r="DT64" s="214"/>
      <c r="DU64" s="214"/>
      <c r="DV64" s="214"/>
      <c r="DW64" s="214"/>
      <c r="DX64" s="214"/>
      <c r="DY64" s="214"/>
      <c r="DZ64" s="214"/>
      <c r="EA64" s="214"/>
      <c r="EB64" s="214"/>
      <c r="EC64" s="214"/>
      <c r="ED64" s="214"/>
      <c r="EE64" s="214"/>
      <c r="EF64" s="214"/>
      <c r="EG64" s="214"/>
      <c r="EH64" s="214"/>
      <c r="EI64" s="214"/>
      <c r="EJ64" s="214"/>
      <c r="EK64" s="214"/>
      <c r="EL64" s="214"/>
      <c r="EM64" s="214"/>
      <c r="EN64" s="214"/>
      <c r="EO64" s="214"/>
      <c r="EP64" s="214"/>
      <c r="EQ64" s="214"/>
      <c r="ER64" s="214"/>
      <c r="ES64" s="214"/>
      <c r="ET64" s="214"/>
      <c r="EU64" s="214"/>
      <c r="EV64" s="214"/>
      <c r="EW64" s="214"/>
      <c r="EX64" s="214"/>
      <c r="EY64" s="214"/>
      <c r="EZ64" s="214"/>
      <c r="FA64" s="214"/>
      <c r="FB64" s="214"/>
      <c r="FC64" s="214"/>
      <c r="FD64" s="214"/>
      <c r="FE64" s="214"/>
      <c r="FF64" s="214"/>
      <c r="FG64" s="214"/>
      <c r="FH64" s="214"/>
      <c r="FI64" s="214"/>
      <c r="FJ64" s="214"/>
      <c r="FK64" s="214"/>
      <c r="FL64" s="214"/>
      <c r="FM64" s="214"/>
      <c r="FN64" s="214"/>
      <c r="FO64" s="214"/>
      <c r="FP64" s="214"/>
      <c r="FQ64" s="214"/>
      <c r="FR64" s="214"/>
      <c r="FS64" s="214"/>
      <c r="FT64" s="214"/>
      <c r="FU64" s="214"/>
      <c r="FV64" s="214"/>
      <c r="FW64" s="214"/>
      <c r="FX64" s="214"/>
      <c r="FY64" s="214"/>
      <c r="FZ64" s="214"/>
      <c r="GA64" s="214"/>
      <c r="GB64" s="214"/>
      <c r="GC64" s="214"/>
      <c r="GD64" s="214"/>
      <c r="GE64" s="214"/>
      <c r="GF64" s="214"/>
      <c r="GG64" s="214"/>
      <c r="GH64" s="214"/>
      <c r="GI64" s="214"/>
      <c r="GJ64" s="214"/>
      <c r="GK64" s="214"/>
      <c r="GL64" s="214"/>
      <c r="GM64" s="214"/>
      <c r="GN64" s="214"/>
      <c r="GO64" s="214"/>
      <c r="GP64" s="214"/>
      <c r="GQ64" s="214"/>
      <c r="GR64" s="214"/>
      <c r="GS64" s="214"/>
      <c r="GT64" s="214"/>
      <c r="GU64" s="214"/>
      <c r="GV64" s="214"/>
      <c r="GW64" s="214"/>
      <c r="GX64" s="214"/>
      <c r="GY64" s="214"/>
      <c r="GZ64" s="214"/>
      <c r="HA64" s="214"/>
      <c r="HB64" s="214"/>
      <c r="HC64" s="214"/>
      <c r="HD64" s="214"/>
      <c r="HE64" s="214"/>
      <c r="HF64" s="214"/>
      <c r="HG64" s="214"/>
      <c r="HH64" s="214"/>
      <c r="HI64" s="214"/>
      <c r="HJ64" s="214"/>
      <c r="HK64" s="214"/>
      <c r="HL64" s="214"/>
      <c r="HM64" s="214"/>
      <c r="HN64" s="214"/>
      <c r="HO64" s="214"/>
      <c r="HP64" s="214"/>
      <c r="HQ64" s="214"/>
      <c r="HR64" s="214"/>
      <c r="HS64" s="214"/>
      <c r="HT64" s="214"/>
      <c r="HU64" s="214"/>
      <c r="HV64" s="214"/>
      <c r="HW64" s="214"/>
      <c r="HX64" s="214"/>
      <c r="HY64" s="214"/>
      <c r="HZ64" s="214"/>
      <c r="IA64" s="214"/>
      <c r="IB64" s="214"/>
      <c r="IC64" s="214"/>
      <c r="ID64" s="214"/>
      <c r="IE64" s="214"/>
      <c r="IF64" s="214"/>
      <c r="IG64" s="214"/>
      <c r="IH64" s="214"/>
      <c r="II64" s="214"/>
      <c r="IJ64" s="214"/>
      <c r="IK64" s="214"/>
      <c r="IL64" s="214"/>
      <c r="IM64" s="214"/>
      <c r="IN64" s="214"/>
      <c r="IO64" s="214"/>
      <c r="IP64" s="214"/>
      <c r="IQ64" s="214"/>
      <c r="IR64" s="214"/>
      <c r="IS64" s="214"/>
      <c r="IT64" s="214"/>
      <c r="IU64" s="214"/>
      <c r="IV64" s="214"/>
      <c r="IW64" s="214"/>
      <c r="IX64" s="214"/>
      <c r="IY64" s="214"/>
      <c r="IZ64" s="214"/>
      <c r="JA64" s="214"/>
      <c r="JB64" s="214"/>
      <c r="JC64" s="214"/>
      <c r="JD64" s="214"/>
      <c r="JE64" s="214"/>
      <c r="JF64" s="214"/>
      <c r="JG64" s="214"/>
      <c r="JH64" s="214"/>
      <c r="JI64" s="214"/>
      <c r="JJ64" s="214"/>
      <c r="JK64" s="214"/>
      <c r="JL64" s="214"/>
      <c r="JM64" s="214"/>
      <c r="JN64" s="214"/>
      <c r="JO64" s="214"/>
      <c r="JP64" s="214"/>
      <c r="JQ64" s="214"/>
      <c r="JR64" s="214"/>
      <c r="JS64" s="214"/>
      <c r="JT64" s="214"/>
      <c r="JU64" s="214"/>
      <c r="JV64" s="214"/>
      <c r="JW64" s="214"/>
      <c r="JX64" s="214"/>
      <c r="JY64" s="214"/>
      <c r="JZ64" s="214"/>
      <c r="KA64" s="214"/>
      <c r="KB64" s="214"/>
      <c r="KC64" s="214"/>
      <c r="KD64" s="214"/>
      <c r="KE64" s="214"/>
      <c r="KF64" s="214"/>
      <c r="KG64" s="214"/>
      <c r="KH64" s="214"/>
      <c r="KI64" s="214"/>
      <c r="KJ64" s="214"/>
      <c r="KK64" s="214"/>
      <c r="KL64" s="214"/>
      <c r="KM64" s="214"/>
      <c r="KN64" s="214"/>
      <c r="KO64" s="214"/>
      <c r="KP64" s="214"/>
      <c r="KQ64" s="214"/>
      <c r="KR64" s="214"/>
      <c r="KS64" s="214"/>
      <c r="KT64" s="214"/>
      <c r="KU64" s="214"/>
      <c r="KV64" s="214"/>
      <c r="KW64" s="214"/>
      <c r="KX64" s="214"/>
      <c r="KY64" s="214"/>
      <c r="KZ64" s="214"/>
      <c r="LA64" s="214"/>
      <c r="LB64" s="214"/>
      <c r="LC64" s="214"/>
      <c r="LD64" s="214"/>
      <c r="LE64" s="214"/>
      <c r="LF64" s="214"/>
      <c r="LG64" s="214"/>
      <c r="LH64" s="214"/>
      <c r="LI64" s="214"/>
      <c r="LJ64" s="214"/>
      <c r="LK64" s="214"/>
      <c r="LL64" s="214"/>
      <c r="LM64" s="214"/>
      <c r="LN64" s="214"/>
      <c r="LO64" s="214"/>
      <c r="LP64" s="214"/>
      <c r="LQ64" s="214"/>
      <c r="LR64" s="214"/>
      <c r="LS64" s="214"/>
      <c r="LT64" s="214"/>
      <c r="LU64" s="214"/>
      <c r="LV64" s="214"/>
      <c r="LW64" s="214"/>
      <c r="LX64" s="214"/>
      <c r="LY64" s="214"/>
      <c r="LZ64" s="214"/>
      <c r="MA64" s="214"/>
      <c r="MB64" s="214"/>
      <c r="MC64" s="214"/>
      <c r="MD64" s="214"/>
      <c r="ME64" s="214"/>
      <c r="MF64" s="214"/>
      <c r="MG64" s="214"/>
      <c r="MH64" s="214"/>
      <c r="MI64" s="214"/>
      <c r="MJ64" s="214"/>
      <c r="MK64" s="214"/>
      <c r="ML64" s="214"/>
      <c r="MM64" s="214"/>
      <c r="MN64" s="214"/>
      <c r="MO64" s="214"/>
      <c r="MP64" s="214"/>
      <c r="MQ64" s="214"/>
      <c r="MR64" s="214"/>
      <c r="MS64" s="214"/>
      <c r="MT64" s="214"/>
      <c r="MU64" s="214"/>
      <c r="MV64" s="214"/>
      <c r="MW64" s="214"/>
      <c r="MX64" s="214"/>
      <c r="MY64" s="214"/>
      <c r="MZ64" s="214"/>
      <c r="NA64" s="214"/>
      <c r="NB64" s="214"/>
      <c r="NC64" s="214"/>
      <c r="ND64" s="214"/>
      <c r="NE64" s="214"/>
      <c r="NF64" s="214"/>
      <c r="NG64" s="214"/>
      <c r="NH64" s="214"/>
      <c r="NI64" s="214"/>
      <c r="NJ64" s="214"/>
      <c r="NK64" s="214"/>
      <c r="NL64" s="214"/>
      <c r="NM64" s="214"/>
      <c r="NN64" s="214"/>
      <c r="NO64" s="214"/>
      <c r="NP64" s="214"/>
      <c r="NQ64" s="214"/>
      <c r="NR64" s="214"/>
      <c r="NS64" s="214"/>
      <c r="NT64" s="214"/>
      <c r="NU64" s="214"/>
      <c r="NV64" s="214"/>
      <c r="NW64" s="214"/>
      <c r="NX64" s="214"/>
      <c r="NY64" s="214"/>
      <c r="NZ64" s="214"/>
      <c r="OA64" s="214"/>
      <c r="OB64" s="214"/>
      <c r="OC64" s="214"/>
      <c r="OD64" s="214"/>
      <c r="OE64" s="214"/>
      <c r="OF64" s="214"/>
      <c r="OG64" s="214"/>
      <c r="OH64" s="214"/>
      <c r="OI64" s="214"/>
      <c r="OJ64" s="214"/>
      <c r="OK64" s="214"/>
      <c r="OL64" s="214"/>
      <c r="OM64" s="214"/>
      <c r="ON64" s="214"/>
      <c r="OO64" s="214"/>
      <c r="OP64" s="214"/>
      <c r="OQ64" s="214"/>
      <c r="OR64" s="214"/>
      <c r="OS64" s="214"/>
      <c r="OT64" s="214"/>
      <c r="OU64" s="214"/>
      <c r="OV64" s="214"/>
      <c r="OW64" s="214"/>
      <c r="OX64" s="214"/>
      <c r="OY64" s="214"/>
      <c r="OZ64" s="214"/>
      <c r="PA64" s="214"/>
      <c r="PB64" s="214"/>
      <c r="PC64" s="214"/>
      <c r="PD64" s="214"/>
      <c r="PE64" s="214"/>
      <c r="PF64" s="214"/>
      <c r="PG64" s="214"/>
      <c r="PH64" s="214"/>
      <c r="PI64" s="214"/>
      <c r="PJ64" s="214"/>
      <c r="PK64" s="214"/>
      <c r="PL64" s="214"/>
      <c r="PM64" s="214"/>
      <c r="PN64" s="214"/>
      <c r="PO64" s="214"/>
      <c r="PP64" s="214"/>
      <c r="PQ64" s="214"/>
      <c r="PR64" s="214"/>
      <c r="PS64" s="214"/>
      <c r="PT64" s="214"/>
      <c r="PU64" s="214"/>
      <c r="PV64" s="214"/>
      <c r="PW64" s="214"/>
      <c r="PX64" s="214"/>
      <c r="PY64" s="214"/>
      <c r="PZ64" s="214"/>
      <c r="QA64" s="214"/>
      <c r="QB64" s="214"/>
      <c r="QC64" s="214"/>
      <c r="QD64" s="214"/>
      <c r="QE64" s="214"/>
      <c r="QF64" s="214"/>
      <c r="QG64" s="214"/>
      <c r="QH64" s="214"/>
      <c r="QI64" s="214"/>
      <c r="QJ64" s="214"/>
      <c r="QK64" s="214"/>
      <c r="QL64" s="214"/>
      <c r="QM64" s="214"/>
      <c r="QN64" s="214"/>
      <c r="QO64" s="214"/>
      <c r="QP64" s="214"/>
      <c r="QQ64" s="214"/>
      <c r="QR64" s="214"/>
      <c r="QS64" s="214"/>
      <c r="QT64" s="214"/>
      <c r="QU64" s="214"/>
      <c r="QV64" s="214"/>
      <c r="QW64" s="214"/>
      <c r="QX64" s="214"/>
      <c r="QY64" s="214"/>
      <c r="QZ64" s="214"/>
      <c r="RA64" s="214"/>
      <c r="RB64" s="214"/>
      <c r="RC64" s="214"/>
      <c r="RD64" s="214"/>
      <c r="RE64" s="214"/>
      <c r="RF64" s="214"/>
      <c r="RG64" s="214"/>
      <c r="RH64" s="214"/>
      <c r="RI64" s="214"/>
      <c r="RJ64" s="214"/>
      <c r="RK64" s="214"/>
      <c r="RL64" s="214"/>
      <c r="RM64" s="214"/>
      <c r="RN64" s="214"/>
      <c r="RO64" s="214"/>
      <c r="RP64" s="214"/>
      <c r="RQ64" s="214"/>
      <c r="RR64" s="214"/>
      <c r="RS64" s="214"/>
      <c r="RT64" s="214"/>
      <c r="RU64" s="214"/>
      <c r="RV64" s="214"/>
      <c r="RW64" s="214"/>
      <c r="RX64" s="214"/>
      <c r="RY64" s="214"/>
      <c r="RZ64" s="214"/>
      <c r="SA64" s="214"/>
      <c r="SB64" s="214"/>
      <c r="SC64" s="214"/>
      <c r="SD64" s="214"/>
      <c r="SE64" s="214"/>
      <c r="SF64" s="214"/>
      <c r="SG64" s="214"/>
      <c r="SH64" s="214"/>
      <c r="SI64" s="214"/>
      <c r="SJ64" s="214"/>
      <c r="SK64" s="214"/>
      <c r="SL64" s="214"/>
      <c r="SM64" s="214"/>
      <c r="SN64" s="214"/>
      <c r="SO64" s="214"/>
      <c r="SP64" s="214"/>
      <c r="SQ64" s="214"/>
      <c r="SR64" s="214"/>
      <c r="SS64" s="214"/>
      <c r="ST64" s="214"/>
      <c r="SU64" s="214"/>
      <c r="SV64" s="214"/>
      <c r="SW64" s="214"/>
      <c r="SX64" s="214"/>
      <c r="SY64" s="214"/>
      <c r="SZ64" s="214"/>
      <c r="TA64" s="214"/>
      <c r="TB64" s="214"/>
      <c r="TC64" s="214"/>
      <c r="TD64" s="214"/>
      <c r="TE64" s="214"/>
      <c r="TF64" s="214"/>
      <c r="TG64" s="214"/>
      <c r="TH64" s="214"/>
      <c r="TI64" s="214"/>
      <c r="TJ64" s="214"/>
      <c r="TK64" s="214"/>
      <c r="TL64" s="214"/>
      <c r="TM64" s="214"/>
      <c r="TN64" s="214"/>
      <c r="TO64" s="214"/>
      <c r="TP64" s="214"/>
      <c r="TQ64" s="214"/>
      <c r="TR64" s="214"/>
      <c r="TS64" s="214"/>
      <c r="TT64" s="214"/>
      <c r="TU64" s="214"/>
      <c r="TV64" s="214"/>
      <c r="TW64" s="214"/>
      <c r="TX64" s="214"/>
      <c r="TY64" s="214"/>
      <c r="TZ64" s="214"/>
      <c r="UA64" s="214"/>
      <c r="UB64" s="214"/>
      <c r="UC64" s="214"/>
      <c r="UD64" s="214"/>
      <c r="UE64" s="214"/>
      <c r="UF64" s="214"/>
      <c r="UG64" s="214"/>
      <c r="UH64" s="214"/>
      <c r="UI64" s="214"/>
      <c r="UJ64" s="214"/>
      <c r="UK64" s="214"/>
      <c r="UL64" s="214"/>
      <c r="UM64" s="214"/>
      <c r="UN64" s="214"/>
      <c r="UO64" s="214"/>
      <c r="UP64" s="214"/>
      <c r="UQ64" s="214"/>
      <c r="UR64" s="214"/>
      <c r="US64" s="214"/>
      <c r="UT64" s="214"/>
      <c r="UU64" s="214"/>
      <c r="UV64" s="214"/>
      <c r="UW64" s="214"/>
      <c r="UX64" s="214"/>
      <c r="UY64" s="214"/>
      <c r="UZ64" s="214"/>
      <c r="VA64" s="214"/>
      <c r="VB64" s="214"/>
      <c r="VC64" s="214"/>
      <c r="VD64" s="214"/>
      <c r="VE64" s="214"/>
      <c r="VF64" s="214"/>
      <c r="VG64" s="214"/>
      <c r="VH64" s="214"/>
      <c r="VI64" s="214"/>
      <c r="VJ64" s="214"/>
      <c r="VK64" s="214"/>
      <c r="VL64" s="214"/>
      <c r="VM64" s="214"/>
      <c r="VN64" s="214"/>
      <c r="VO64" s="214"/>
      <c r="VP64" s="214"/>
      <c r="VQ64" s="214"/>
      <c r="VR64" s="214"/>
      <c r="VS64" s="214"/>
      <c r="VT64" s="214"/>
      <c r="VU64" s="214"/>
      <c r="VV64" s="214"/>
      <c r="VW64" s="214"/>
      <c r="VX64" s="214"/>
      <c r="VY64" s="214"/>
      <c r="VZ64" s="214"/>
      <c r="WA64" s="214"/>
      <c r="WB64" s="214"/>
      <c r="WC64" s="214"/>
      <c r="WD64" s="214"/>
      <c r="WE64" s="214"/>
      <c r="WF64" s="214"/>
      <c r="WG64" s="214"/>
      <c r="WH64" s="214"/>
      <c r="WI64" s="214"/>
      <c r="WJ64" s="214"/>
      <c r="WK64" s="214"/>
      <c r="WL64" s="214"/>
      <c r="WM64" s="214"/>
      <c r="WN64" s="214"/>
      <c r="WO64" s="214"/>
      <c r="WP64" s="214"/>
      <c r="WQ64" s="214"/>
      <c r="WR64" s="214"/>
      <c r="WS64" s="214"/>
      <c r="WT64" s="214"/>
      <c r="WU64" s="214"/>
      <c r="WV64" s="214"/>
      <c r="WW64" s="214"/>
      <c r="WX64" s="214"/>
      <c r="WY64" s="214"/>
      <c r="WZ64" s="214"/>
      <c r="XA64" s="214"/>
      <c r="XB64" s="214"/>
      <c r="XC64" s="214"/>
      <c r="XD64" s="214"/>
      <c r="XE64" s="214"/>
      <c r="XF64" s="214"/>
      <c r="XG64" s="214"/>
      <c r="XH64" s="214"/>
      <c r="XI64" s="214"/>
      <c r="XJ64" s="214"/>
      <c r="XK64" s="214"/>
      <c r="XL64" s="214"/>
      <c r="XM64" s="214"/>
      <c r="XN64" s="214"/>
      <c r="XO64" s="214"/>
      <c r="XP64" s="214"/>
      <c r="XQ64" s="214"/>
      <c r="XR64" s="214"/>
      <c r="XS64" s="214"/>
      <c r="XT64" s="214"/>
      <c r="XU64" s="214"/>
      <c r="XV64" s="214"/>
      <c r="XW64" s="214"/>
      <c r="XX64" s="214"/>
      <c r="XY64" s="214"/>
      <c r="XZ64" s="214"/>
      <c r="YA64" s="214"/>
      <c r="YB64" s="214"/>
      <c r="YC64" s="214"/>
      <c r="YD64" s="214"/>
      <c r="YE64" s="214"/>
      <c r="YF64" s="214"/>
      <c r="YG64" s="214"/>
      <c r="YH64" s="214"/>
      <c r="YI64" s="214"/>
      <c r="YJ64" s="214"/>
      <c r="YK64" s="214"/>
      <c r="YL64" s="214"/>
      <c r="YM64" s="214"/>
      <c r="YN64" s="214"/>
      <c r="YO64" s="214"/>
      <c r="YP64" s="214"/>
      <c r="YQ64" s="214"/>
      <c r="YR64" s="214"/>
      <c r="YS64" s="214"/>
      <c r="YT64" s="214"/>
      <c r="YU64" s="214"/>
      <c r="YV64" s="214"/>
      <c r="YW64" s="214"/>
      <c r="YX64" s="214"/>
      <c r="YY64" s="214"/>
      <c r="YZ64" s="214"/>
      <c r="ZA64" s="214"/>
      <c r="ZB64" s="214"/>
      <c r="ZC64" s="214"/>
      <c r="ZD64" s="214"/>
      <c r="ZE64" s="214"/>
      <c r="ZF64" s="214"/>
      <c r="ZG64" s="214"/>
      <c r="ZH64" s="214"/>
      <c r="ZI64" s="214"/>
      <c r="ZJ64" s="214"/>
      <c r="ZK64" s="214"/>
      <c r="ZL64" s="214"/>
      <c r="ZM64" s="214"/>
      <c r="ZN64" s="214"/>
      <c r="ZO64" s="214"/>
      <c r="ZP64" s="214"/>
      <c r="ZQ64" s="214"/>
      <c r="ZR64" s="214"/>
      <c r="ZS64" s="214"/>
      <c r="ZT64" s="214"/>
      <c r="ZU64" s="214"/>
      <c r="ZV64" s="214"/>
      <c r="ZW64" s="214"/>
      <c r="ZX64" s="214"/>
      <c r="ZY64" s="214"/>
      <c r="ZZ64" s="214"/>
      <c r="AAA64" s="214"/>
      <c r="AAB64" s="214"/>
      <c r="AAC64" s="214"/>
      <c r="AAD64" s="214"/>
      <c r="AAE64" s="214"/>
      <c r="AAF64" s="214"/>
      <c r="AAG64" s="214"/>
      <c r="AAH64" s="214"/>
      <c r="AAI64" s="214"/>
      <c r="AAJ64" s="214"/>
      <c r="AAK64" s="214"/>
      <c r="AAL64" s="214"/>
      <c r="AAM64" s="214"/>
      <c r="AAN64" s="214"/>
      <c r="AAO64" s="214"/>
      <c r="AAP64" s="214"/>
      <c r="AAQ64" s="214"/>
      <c r="AAR64" s="214"/>
      <c r="AAS64" s="214"/>
      <c r="AAT64" s="214"/>
      <c r="AAU64" s="214"/>
      <c r="AAV64" s="214"/>
      <c r="AAW64" s="214"/>
      <c r="AAX64" s="214"/>
      <c r="AAY64" s="214"/>
      <c r="AAZ64" s="214"/>
      <c r="ABA64" s="214"/>
      <c r="ABB64" s="214"/>
      <c r="ABC64" s="214"/>
      <c r="ABD64" s="214"/>
      <c r="ABE64" s="214"/>
      <c r="ABF64" s="214"/>
      <c r="ABG64" s="214"/>
      <c r="ABH64" s="214"/>
      <c r="ABI64" s="214"/>
      <c r="ABJ64" s="214"/>
      <c r="ABK64" s="214"/>
      <c r="ABL64" s="214"/>
      <c r="ABM64" s="214"/>
      <c r="ABN64" s="214"/>
      <c r="ABO64" s="214"/>
      <c r="ABP64" s="214"/>
      <c r="ABQ64" s="214"/>
      <c r="ABR64" s="214"/>
      <c r="ABS64" s="214"/>
      <c r="ABT64" s="214"/>
      <c r="ABU64" s="214"/>
      <c r="ABV64" s="214"/>
      <c r="ABW64" s="214"/>
      <c r="ABX64" s="214"/>
      <c r="ABY64" s="214"/>
      <c r="ABZ64" s="214"/>
      <c r="ACA64" s="214"/>
      <c r="ACB64" s="214"/>
      <c r="ACC64" s="214"/>
      <c r="ACD64" s="214"/>
      <c r="ACE64" s="214"/>
      <c r="ACF64" s="214"/>
      <c r="ACG64" s="214"/>
      <c r="ACH64" s="214"/>
      <c r="ACI64" s="214"/>
      <c r="ACJ64" s="214"/>
      <c r="ACK64" s="214"/>
      <c r="ACL64" s="214"/>
      <c r="ACM64" s="214"/>
      <c r="ACN64" s="214"/>
      <c r="ACO64" s="214"/>
      <c r="ACP64" s="214"/>
      <c r="ACQ64" s="214"/>
      <c r="ACR64" s="214"/>
      <c r="ACS64" s="214"/>
      <c r="ACT64" s="214"/>
      <c r="ACU64" s="214"/>
      <c r="ACV64" s="214"/>
      <c r="ACW64" s="214"/>
      <c r="ACX64" s="214"/>
      <c r="ACY64" s="214"/>
      <c r="ACZ64" s="214"/>
      <c r="ADA64" s="214"/>
      <c r="ADB64" s="214"/>
      <c r="ADC64" s="214"/>
      <c r="ADD64" s="214"/>
      <c r="ADE64" s="214"/>
      <c r="ADF64" s="214"/>
      <c r="ADG64" s="214"/>
      <c r="ADH64" s="214"/>
      <c r="ADI64" s="214"/>
      <c r="ADJ64" s="214"/>
      <c r="ADK64" s="214"/>
      <c r="ADL64" s="214"/>
      <c r="ADM64" s="214"/>
      <c r="ADN64" s="214"/>
      <c r="ADO64" s="214"/>
      <c r="ADP64" s="214"/>
      <c r="ADQ64" s="214"/>
      <c r="ADR64" s="214"/>
      <c r="ADS64" s="214"/>
      <c r="ADT64" s="214"/>
      <c r="ADU64" s="214"/>
      <c r="ADV64" s="214"/>
      <c r="ADW64" s="214"/>
      <c r="ADX64" s="214"/>
      <c r="ADY64" s="214"/>
      <c r="ADZ64" s="214"/>
      <c r="AEA64" s="214"/>
      <c r="AEB64" s="214"/>
      <c r="AEC64" s="214"/>
      <c r="AED64" s="214"/>
      <c r="AEE64" s="214"/>
      <c r="AEF64" s="214"/>
      <c r="AEG64" s="214"/>
      <c r="AEH64" s="214"/>
      <c r="AEI64" s="214"/>
      <c r="AEJ64" s="214"/>
      <c r="AEK64" s="214"/>
      <c r="AEL64" s="214"/>
      <c r="AEM64" s="214"/>
      <c r="AEN64" s="214"/>
      <c r="AEO64" s="214"/>
      <c r="AEP64" s="214"/>
      <c r="AEQ64" s="214"/>
      <c r="AER64" s="214"/>
      <c r="AES64" s="214"/>
      <c r="AET64" s="214"/>
      <c r="AEU64" s="214"/>
      <c r="AEV64" s="214"/>
      <c r="AEW64" s="214"/>
      <c r="AEX64" s="214"/>
      <c r="AEY64" s="214"/>
      <c r="AEZ64" s="214"/>
      <c r="AFA64" s="214"/>
      <c r="AFB64" s="214"/>
      <c r="AFC64" s="214"/>
      <c r="AFD64" s="214"/>
      <c r="AFE64" s="214"/>
      <c r="AFF64" s="214"/>
      <c r="AFG64" s="214"/>
      <c r="AFH64" s="214"/>
      <c r="AFI64" s="214"/>
      <c r="AFJ64" s="214"/>
      <c r="AFK64" s="214"/>
      <c r="AFL64" s="214"/>
      <c r="AFM64" s="214"/>
      <c r="AFN64" s="214"/>
      <c r="AFO64" s="214"/>
      <c r="AFP64" s="214"/>
      <c r="AFQ64" s="214"/>
      <c r="AFR64" s="214"/>
      <c r="AFS64" s="214"/>
      <c r="AFT64" s="214"/>
      <c r="AFU64" s="214"/>
      <c r="AFV64" s="214"/>
      <c r="AFW64" s="214"/>
      <c r="AFX64" s="214"/>
      <c r="AFY64" s="214"/>
      <c r="AFZ64" s="214"/>
      <c r="AGA64" s="214"/>
      <c r="AGB64" s="214"/>
      <c r="AGC64" s="214"/>
      <c r="AGD64" s="214"/>
      <c r="AGE64" s="214"/>
      <c r="AGF64" s="214"/>
      <c r="AGG64" s="214"/>
      <c r="AGH64" s="214"/>
      <c r="AGI64" s="214"/>
      <c r="AGJ64" s="214"/>
      <c r="AGK64" s="214"/>
      <c r="AGL64" s="214"/>
      <c r="AGM64" s="214"/>
      <c r="AGN64" s="214"/>
      <c r="AGO64" s="214"/>
      <c r="AGP64" s="214"/>
      <c r="AGQ64" s="214"/>
      <c r="AGR64" s="214"/>
      <c r="AGS64" s="214"/>
      <c r="AGT64" s="214"/>
      <c r="AGU64" s="214"/>
      <c r="AGV64" s="214"/>
      <c r="AGW64" s="214"/>
      <c r="AGX64" s="214"/>
      <c r="AGY64" s="214"/>
      <c r="AGZ64" s="214"/>
      <c r="AHA64" s="214"/>
      <c r="AHB64" s="214"/>
      <c r="AHC64" s="214"/>
      <c r="AHD64" s="214"/>
      <c r="AHE64" s="214"/>
      <c r="AHF64" s="214"/>
      <c r="AHG64" s="214"/>
      <c r="AHH64" s="214"/>
      <c r="AHI64" s="214"/>
      <c r="AHJ64" s="214"/>
      <c r="AHK64" s="214"/>
      <c r="AHL64" s="214"/>
      <c r="AHM64" s="214"/>
      <c r="AHN64" s="214"/>
      <c r="AHO64" s="214"/>
      <c r="AHP64" s="214"/>
      <c r="AHQ64" s="214"/>
      <c r="AHR64" s="214"/>
      <c r="AHS64" s="214"/>
      <c r="AHT64" s="214"/>
      <c r="AHU64" s="214"/>
      <c r="AHV64" s="214"/>
      <c r="AHW64" s="214"/>
      <c r="AHX64" s="214"/>
      <c r="AHY64" s="214"/>
      <c r="AHZ64" s="214"/>
      <c r="AIA64" s="214"/>
      <c r="AIB64" s="214"/>
      <c r="AIC64" s="214"/>
      <c r="AID64" s="214"/>
      <c r="AIE64" s="214"/>
      <c r="AIF64" s="214"/>
      <c r="AIG64" s="214"/>
      <c r="AIH64" s="214"/>
      <c r="AII64" s="214"/>
      <c r="AIJ64" s="214"/>
      <c r="AIK64" s="214"/>
      <c r="AIL64" s="214"/>
      <c r="AIM64" s="214"/>
      <c r="AIN64" s="214"/>
      <c r="AIO64" s="214"/>
      <c r="AIP64" s="214"/>
      <c r="AIQ64" s="214"/>
      <c r="AIR64" s="214"/>
      <c r="AIS64" s="214"/>
      <c r="AIT64" s="214"/>
      <c r="AIU64" s="214"/>
      <c r="AIV64" s="214"/>
      <c r="AIW64" s="214"/>
      <c r="AIX64" s="214"/>
      <c r="AIY64" s="214"/>
      <c r="AIZ64" s="214"/>
      <c r="AJA64" s="214"/>
      <c r="AJB64" s="214"/>
      <c r="AJC64" s="214"/>
      <c r="AJD64" s="214"/>
      <c r="AJE64" s="214"/>
      <c r="AJF64" s="214"/>
      <c r="AJG64" s="214"/>
      <c r="AJH64" s="214"/>
      <c r="AJI64" s="214"/>
      <c r="AJJ64" s="214"/>
      <c r="AJK64" s="214"/>
      <c r="AJL64" s="214"/>
      <c r="AJM64" s="214"/>
      <c r="AJN64" s="214"/>
      <c r="AJO64" s="214"/>
      <c r="AJP64" s="214"/>
      <c r="AJQ64" s="214"/>
      <c r="AJR64" s="214"/>
      <c r="AJS64" s="214"/>
      <c r="AJT64" s="214"/>
      <c r="AJU64" s="214"/>
      <c r="AJV64" s="214"/>
      <c r="AJW64" s="214"/>
      <c r="AJX64" s="214"/>
      <c r="AJY64" s="214"/>
      <c r="AJZ64" s="214"/>
      <c r="AKA64" s="214"/>
      <c r="AKB64" s="214"/>
      <c r="AKC64" s="214"/>
      <c r="AKD64" s="214"/>
      <c r="AKE64" s="214"/>
      <c r="AKF64" s="214"/>
      <c r="AKG64" s="214"/>
      <c r="AKH64" s="214"/>
      <c r="AKI64" s="214"/>
      <c r="AKJ64" s="214"/>
      <c r="AKK64" s="214"/>
      <c r="AKL64" s="214"/>
      <c r="AKM64" s="214"/>
      <c r="AKN64" s="214"/>
      <c r="AKO64" s="214"/>
      <c r="AKP64" s="214"/>
      <c r="AKQ64" s="214"/>
      <c r="AKR64" s="214"/>
      <c r="AKS64" s="214"/>
      <c r="AKT64" s="214"/>
      <c r="AKU64" s="214"/>
      <c r="AKV64" s="214"/>
      <c r="AKW64" s="214"/>
      <c r="AKX64" s="214"/>
      <c r="AKY64" s="214"/>
      <c r="AKZ64" s="214"/>
      <c r="ALA64" s="214"/>
      <c r="ALB64" s="214"/>
      <c r="ALC64" s="214"/>
      <c r="ALD64" s="214"/>
      <c r="ALE64" s="214"/>
      <c r="ALF64" s="214"/>
      <c r="ALG64" s="214"/>
      <c r="ALH64" s="214"/>
      <c r="ALI64" s="214"/>
      <c r="ALJ64" s="214"/>
      <c r="ALK64" s="214"/>
      <c r="ALL64" s="214"/>
      <c r="ALM64" s="214"/>
      <c r="ALN64" s="214"/>
      <c r="ALO64" s="214"/>
      <c r="ALP64" s="214"/>
      <c r="ALQ64" s="214"/>
      <c r="ALR64" s="214"/>
      <c r="ALS64" s="214"/>
      <c r="ALT64" s="214"/>
      <c r="ALU64" s="214"/>
      <c r="ALV64" s="214"/>
      <c r="ALW64" s="214"/>
      <c r="ALX64" s="214"/>
      <c r="ALY64" s="214"/>
      <c r="ALZ64" s="214"/>
      <c r="AMA64" s="214"/>
      <c r="AMB64" s="214"/>
      <c r="AMC64" s="214"/>
      <c r="AMD64" s="214"/>
      <c r="AME64" s="214"/>
      <c r="AMF64" s="214"/>
      <c r="AMG64" s="214"/>
      <c r="AMH64" s="214"/>
      <c r="AMI64" s="214"/>
      <c r="AMJ64" s="214"/>
      <c r="AMK64" s="214"/>
      <c r="AML64" s="214"/>
      <c r="AMM64" s="214"/>
      <c r="AMN64" s="214"/>
      <c r="AMO64" s="214"/>
      <c r="AMP64" s="214"/>
      <c r="AMQ64" s="214"/>
      <c r="AMR64" s="214"/>
      <c r="AMS64" s="214"/>
      <c r="AMT64" s="214"/>
      <c r="AMU64" s="214"/>
      <c r="AMV64" s="214"/>
      <c r="AMW64" s="214"/>
      <c r="AMX64" s="214"/>
      <c r="AMY64" s="214"/>
      <c r="AMZ64" s="214"/>
      <c r="ANA64" s="214"/>
      <c r="ANB64" s="214"/>
      <c r="ANC64" s="214"/>
      <c r="AND64" s="214"/>
      <c r="ANE64" s="214"/>
      <c r="ANF64" s="214"/>
      <c r="ANG64" s="214"/>
      <c r="ANH64" s="214"/>
      <c r="ANI64" s="214"/>
      <c r="ANJ64" s="214"/>
      <c r="ANK64" s="214"/>
      <c r="ANL64" s="214"/>
      <c r="ANM64" s="214"/>
      <c r="ANN64" s="214"/>
      <c r="ANO64" s="214"/>
      <c r="ANP64" s="214"/>
      <c r="ANQ64" s="214"/>
      <c r="ANR64" s="214"/>
      <c r="ANS64" s="214"/>
      <c r="ANT64" s="214"/>
      <c r="ANU64" s="214"/>
      <c r="ANV64" s="214"/>
      <c r="ANW64" s="214"/>
      <c r="ANX64" s="214"/>
      <c r="ANY64" s="214"/>
      <c r="ANZ64" s="214"/>
      <c r="AOA64" s="214"/>
      <c r="AOB64" s="214"/>
      <c r="AOC64" s="214"/>
      <c r="AOD64" s="214"/>
      <c r="AOE64" s="214"/>
      <c r="AOF64" s="214"/>
      <c r="AOG64" s="214"/>
      <c r="AOH64" s="214"/>
      <c r="AOI64" s="214"/>
      <c r="AOJ64" s="214"/>
      <c r="AOK64" s="214"/>
      <c r="AOL64" s="214"/>
      <c r="AOM64" s="214"/>
      <c r="AON64" s="214"/>
      <c r="AOO64" s="214"/>
      <c r="AOP64" s="214"/>
      <c r="AOQ64" s="214"/>
      <c r="AOR64" s="214"/>
      <c r="AOS64" s="214"/>
      <c r="AOT64" s="214"/>
      <c r="AOU64" s="214"/>
      <c r="AOV64" s="214"/>
      <c r="AOW64" s="214"/>
      <c r="AOX64" s="214"/>
      <c r="AOY64" s="214"/>
      <c r="AOZ64" s="214"/>
      <c r="APA64" s="214"/>
      <c r="APB64" s="214"/>
      <c r="APC64" s="214"/>
      <c r="APD64" s="214"/>
      <c r="APE64" s="214"/>
      <c r="APF64" s="214"/>
      <c r="APG64" s="214"/>
      <c r="APH64" s="214"/>
      <c r="API64" s="214"/>
      <c r="APJ64" s="214"/>
      <c r="APK64" s="214"/>
      <c r="APL64" s="214"/>
      <c r="APM64" s="214"/>
      <c r="APN64" s="214"/>
      <c r="APO64" s="214"/>
      <c r="APP64" s="214"/>
      <c r="APQ64" s="214"/>
      <c r="APR64" s="214"/>
      <c r="APS64" s="214"/>
      <c r="APT64" s="214"/>
      <c r="APU64" s="214"/>
      <c r="APV64" s="214"/>
      <c r="APW64" s="214"/>
      <c r="APX64" s="214"/>
      <c r="APY64" s="214"/>
      <c r="APZ64" s="214"/>
      <c r="AQA64" s="214"/>
      <c r="AQB64" s="214"/>
      <c r="AQC64" s="214"/>
      <c r="AQD64" s="214"/>
      <c r="AQE64" s="214"/>
      <c r="AQF64" s="214"/>
      <c r="AQG64" s="214"/>
      <c r="AQH64" s="214"/>
      <c r="AQI64" s="214"/>
      <c r="AQJ64" s="214"/>
      <c r="AQK64" s="214"/>
      <c r="AQL64" s="214"/>
      <c r="AQM64" s="214"/>
      <c r="AQN64" s="214"/>
      <c r="AQO64" s="214"/>
      <c r="AQP64" s="214"/>
      <c r="AQQ64" s="214"/>
      <c r="AQR64" s="214"/>
      <c r="AQS64" s="214"/>
      <c r="AQT64" s="214"/>
      <c r="AQU64" s="214"/>
      <c r="AQV64" s="214"/>
      <c r="AQW64" s="214"/>
      <c r="AQX64" s="214"/>
      <c r="AQY64" s="214"/>
      <c r="AQZ64" s="214"/>
      <c r="ARA64" s="214"/>
      <c r="ARB64" s="214"/>
      <c r="ARC64" s="214"/>
      <c r="ARD64" s="214"/>
      <c r="ARE64" s="214"/>
      <c r="ARF64" s="214"/>
      <c r="ARG64" s="214"/>
      <c r="ARH64" s="214"/>
      <c r="ARI64" s="214"/>
      <c r="ARJ64" s="214"/>
      <c r="ARK64" s="214"/>
      <c r="ARL64" s="214"/>
      <c r="ARM64" s="214"/>
      <c r="ARN64" s="214"/>
      <c r="ARO64" s="214"/>
      <c r="ARP64" s="214"/>
      <c r="ARQ64" s="214"/>
      <c r="ARR64" s="214"/>
      <c r="ARS64" s="214"/>
      <c r="ART64" s="214"/>
      <c r="ARU64" s="214"/>
      <c r="ARV64" s="214"/>
      <c r="ARW64" s="214"/>
      <c r="ARX64" s="214"/>
      <c r="ARY64" s="214"/>
      <c r="ARZ64" s="214"/>
      <c r="ASA64" s="214"/>
      <c r="ASB64" s="214"/>
      <c r="ASC64" s="214"/>
      <c r="ASD64" s="214"/>
      <c r="ASE64" s="214"/>
      <c r="ASF64" s="214"/>
      <c r="ASG64" s="214"/>
      <c r="ASH64" s="214"/>
      <c r="ASI64" s="214"/>
      <c r="ASJ64" s="214"/>
      <c r="ASK64" s="214"/>
      <c r="ASL64" s="214"/>
      <c r="ASM64" s="214"/>
      <c r="ASN64" s="214"/>
      <c r="ASO64" s="214"/>
      <c r="ASP64" s="214"/>
      <c r="ASQ64" s="214"/>
      <c r="ASR64" s="214"/>
      <c r="ASS64" s="214"/>
      <c r="AST64" s="214"/>
      <c r="ASU64" s="214"/>
      <c r="ASV64" s="214"/>
      <c r="ASW64" s="214"/>
      <c r="ASX64" s="214"/>
      <c r="ASY64" s="214"/>
      <c r="ASZ64" s="214"/>
      <c r="ATA64" s="214"/>
      <c r="ATB64" s="214"/>
      <c r="ATC64" s="214"/>
      <c r="ATD64" s="214"/>
      <c r="ATE64" s="214"/>
      <c r="ATF64" s="214"/>
      <c r="ATG64" s="214"/>
      <c r="ATH64" s="214"/>
      <c r="ATI64" s="214"/>
      <c r="ATJ64" s="214"/>
      <c r="ATK64" s="214"/>
      <c r="ATL64" s="214"/>
      <c r="ATM64" s="214"/>
      <c r="ATN64" s="214"/>
      <c r="ATO64" s="214"/>
      <c r="ATP64" s="214"/>
      <c r="ATQ64" s="214"/>
      <c r="ATR64" s="214"/>
      <c r="ATS64" s="214"/>
      <c r="ATT64" s="214"/>
      <c r="ATU64" s="214"/>
      <c r="ATV64" s="214"/>
      <c r="ATW64" s="214"/>
      <c r="ATX64" s="214"/>
      <c r="ATY64" s="214"/>
      <c r="ATZ64" s="214"/>
      <c r="AUA64" s="214"/>
      <c r="AUB64" s="214"/>
      <c r="AUC64" s="214"/>
      <c r="AUD64" s="214"/>
      <c r="AUE64" s="214"/>
      <c r="AUF64" s="214"/>
      <c r="AUG64" s="214"/>
      <c r="AUH64" s="214"/>
      <c r="AUI64" s="214"/>
      <c r="AUJ64" s="214"/>
      <c r="AUK64" s="214"/>
      <c r="AUL64" s="214"/>
      <c r="AUM64" s="214"/>
      <c r="AUN64" s="214"/>
      <c r="AUO64" s="214"/>
      <c r="AUP64" s="214"/>
      <c r="AUQ64" s="214"/>
      <c r="AUR64" s="214"/>
      <c r="AUS64" s="214"/>
      <c r="AUT64" s="214"/>
      <c r="AUU64" s="214"/>
      <c r="AUV64" s="214"/>
      <c r="AUW64" s="214"/>
      <c r="AUX64" s="214"/>
      <c r="AUY64" s="214"/>
      <c r="AUZ64" s="214"/>
      <c r="AVA64" s="214"/>
      <c r="AVB64" s="214"/>
      <c r="AVC64" s="214"/>
      <c r="AVD64" s="214"/>
      <c r="AVE64" s="214"/>
      <c r="AVF64" s="214"/>
      <c r="AVG64" s="214"/>
      <c r="AVH64" s="214"/>
      <c r="AVI64" s="214"/>
      <c r="AVJ64" s="214"/>
      <c r="AVK64" s="214"/>
      <c r="AVL64" s="214"/>
      <c r="AVM64" s="214"/>
      <c r="AVN64" s="214"/>
      <c r="AVO64" s="214"/>
      <c r="AVP64" s="214"/>
      <c r="AVQ64" s="214"/>
      <c r="AVR64" s="214"/>
      <c r="AVS64" s="214"/>
      <c r="AVT64" s="214"/>
      <c r="AVU64" s="214"/>
      <c r="AVV64" s="214"/>
      <c r="AVW64" s="214"/>
      <c r="AVX64" s="214"/>
      <c r="AVY64" s="214"/>
      <c r="AVZ64" s="214"/>
      <c r="AWA64" s="214"/>
      <c r="AWB64" s="214"/>
      <c r="AWC64" s="214"/>
      <c r="AWD64" s="214"/>
      <c r="AWE64" s="214"/>
      <c r="AWF64" s="214"/>
      <c r="AWG64" s="214"/>
      <c r="AWH64" s="214"/>
      <c r="AWI64" s="214"/>
      <c r="AWJ64" s="214"/>
      <c r="AWK64" s="214"/>
      <c r="AWL64" s="214"/>
      <c r="AWM64" s="214"/>
      <c r="AWN64" s="214"/>
      <c r="AWO64" s="214"/>
      <c r="AWP64" s="214"/>
      <c r="AWQ64" s="214"/>
      <c r="AWR64" s="214"/>
      <c r="AWS64" s="214"/>
      <c r="AWT64" s="214"/>
      <c r="AWU64" s="214"/>
      <c r="AWV64" s="214"/>
      <c r="AWW64" s="214"/>
      <c r="AWX64" s="214"/>
      <c r="AWY64" s="214"/>
      <c r="AWZ64" s="214"/>
      <c r="AXA64" s="214"/>
      <c r="AXB64" s="214"/>
      <c r="AXC64" s="214"/>
      <c r="AXD64" s="214"/>
      <c r="AXE64" s="214"/>
      <c r="AXF64" s="214"/>
      <c r="AXG64" s="214"/>
      <c r="AXH64" s="214"/>
      <c r="AXI64" s="214"/>
      <c r="AXJ64" s="214"/>
      <c r="AXK64" s="214"/>
      <c r="AXL64" s="214"/>
      <c r="AXM64" s="214"/>
      <c r="AXN64" s="214"/>
      <c r="AXO64" s="214"/>
      <c r="AXP64" s="214"/>
      <c r="AXQ64" s="214"/>
      <c r="AXR64" s="214"/>
      <c r="AXS64" s="214"/>
      <c r="AXT64" s="214"/>
      <c r="AXU64" s="214"/>
      <c r="AXV64" s="214"/>
      <c r="AXW64" s="214"/>
      <c r="AXX64" s="214"/>
      <c r="AXY64" s="214"/>
      <c r="AXZ64" s="214"/>
      <c r="AYA64" s="214"/>
      <c r="AYB64" s="214"/>
      <c r="AYC64" s="214"/>
      <c r="AYD64" s="214"/>
      <c r="AYE64" s="214"/>
      <c r="AYF64" s="214"/>
      <c r="AYG64" s="214"/>
      <c r="AYH64" s="214"/>
      <c r="AYI64" s="214"/>
      <c r="AYJ64" s="214"/>
      <c r="AYK64" s="214"/>
      <c r="AYL64" s="214"/>
      <c r="AYM64" s="214"/>
      <c r="AYN64" s="214"/>
      <c r="AYO64" s="214"/>
      <c r="AYP64" s="214"/>
      <c r="AYQ64" s="214"/>
      <c r="AYR64" s="214"/>
      <c r="AYS64" s="214"/>
      <c r="AYT64" s="214"/>
      <c r="AYU64" s="214"/>
      <c r="AYV64" s="214"/>
      <c r="AYW64" s="214"/>
      <c r="AYX64" s="214"/>
      <c r="AYY64" s="214"/>
      <c r="AYZ64" s="214"/>
      <c r="AZA64" s="214"/>
      <c r="AZB64" s="214"/>
      <c r="AZC64" s="214"/>
      <c r="AZD64" s="214"/>
      <c r="AZE64" s="214"/>
      <c r="AZF64" s="214"/>
      <c r="AZG64" s="214"/>
      <c r="AZH64" s="214"/>
      <c r="AZI64" s="214"/>
      <c r="AZJ64" s="214"/>
      <c r="AZK64" s="214"/>
      <c r="AZL64" s="214"/>
      <c r="AZM64" s="214"/>
      <c r="AZN64" s="214"/>
      <c r="AZO64" s="214"/>
      <c r="AZP64" s="214"/>
      <c r="AZQ64" s="214"/>
      <c r="AZR64" s="214"/>
      <c r="AZS64" s="214"/>
      <c r="AZT64" s="214"/>
      <c r="AZU64" s="214"/>
      <c r="AZV64" s="214"/>
      <c r="AZW64" s="214"/>
      <c r="AZX64" s="214"/>
      <c r="AZY64" s="214"/>
      <c r="AZZ64" s="214"/>
      <c r="BAA64" s="214"/>
      <c r="BAB64" s="214"/>
      <c r="BAC64" s="214"/>
      <c r="BAD64" s="214"/>
      <c r="BAE64" s="214"/>
      <c r="BAF64" s="214"/>
      <c r="BAG64" s="214"/>
      <c r="BAH64" s="214"/>
      <c r="BAI64" s="214"/>
      <c r="BAJ64" s="214"/>
      <c r="BAK64" s="214"/>
      <c r="BAL64" s="214"/>
      <c r="BAM64" s="214"/>
      <c r="BAN64" s="214"/>
      <c r="BAO64" s="214"/>
      <c r="BAP64" s="214"/>
      <c r="BAQ64" s="214"/>
      <c r="BAR64" s="214"/>
      <c r="BAS64" s="214"/>
      <c r="BAT64" s="214"/>
      <c r="BAU64" s="214"/>
      <c r="BAV64" s="214"/>
      <c r="BAW64" s="214"/>
      <c r="BAX64" s="214"/>
      <c r="BAY64" s="214"/>
      <c r="BAZ64" s="214"/>
      <c r="BBA64" s="214"/>
      <c r="BBB64" s="214"/>
      <c r="BBC64" s="214"/>
      <c r="BBD64" s="214"/>
      <c r="BBE64" s="214"/>
      <c r="BBF64" s="214"/>
      <c r="BBG64" s="214"/>
      <c r="BBH64" s="214"/>
      <c r="BBI64" s="214"/>
      <c r="BBJ64" s="214"/>
      <c r="BBK64" s="214"/>
      <c r="BBL64" s="214"/>
      <c r="BBM64" s="214"/>
      <c r="BBN64" s="214"/>
      <c r="BBO64" s="214"/>
      <c r="BBP64" s="214"/>
      <c r="BBQ64" s="214"/>
      <c r="BBR64" s="214"/>
      <c r="BBS64" s="214"/>
      <c r="BBT64" s="214"/>
      <c r="BBU64" s="214"/>
      <c r="BBV64" s="214"/>
      <c r="BBW64" s="214"/>
      <c r="BBX64" s="214"/>
      <c r="BBY64" s="214"/>
      <c r="BBZ64" s="214"/>
      <c r="BCA64" s="214"/>
      <c r="BCB64" s="214"/>
      <c r="BCC64" s="214"/>
      <c r="BCD64" s="214"/>
      <c r="BCE64" s="214"/>
      <c r="BCF64" s="214"/>
      <c r="BCG64" s="214"/>
      <c r="BCH64" s="214"/>
      <c r="BCI64" s="214"/>
      <c r="BCJ64" s="214"/>
      <c r="BCK64" s="214"/>
      <c r="BCL64" s="214"/>
      <c r="BCM64" s="214"/>
      <c r="BCN64" s="214"/>
      <c r="BCO64" s="214"/>
      <c r="BCP64" s="214"/>
      <c r="BCQ64" s="214"/>
      <c r="BCR64" s="214"/>
      <c r="BCS64" s="214"/>
      <c r="BCT64" s="214"/>
      <c r="BCU64" s="214"/>
      <c r="BCV64" s="214"/>
      <c r="BCW64" s="214"/>
      <c r="BCX64" s="214"/>
      <c r="BCY64" s="214"/>
      <c r="BCZ64" s="214"/>
      <c r="BDA64" s="214"/>
      <c r="BDB64" s="214"/>
      <c r="BDC64" s="214"/>
      <c r="BDD64" s="214"/>
      <c r="BDE64" s="214"/>
      <c r="BDF64" s="214"/>
      <c r="BDG64" s="214"/>
      <c r="BDH64" s="214"/>
      <c r="BDI64" s="214"/>
      <c r="BDJ64" s="214"/>
      <c r="BDK64" s="214"/>
      <c r="BDL64" s="214"/>
      <c r="BDM64" s="214"/>
      <c r="BDN64" s="214"/>
      <c r="BDO64" s="214"/>
      <c r="BDP64" s="214"/>
      <c r="BDQ64" s="214"/>
      <c r="BDR64" s="214"/>
      <c r="BDS64" s="214"/>
      <c r="BDT64" s="214"/>
      <c r="BDU64" s="214"/>
      <c r="BDV64" s="214"/>
      <c r="BDW64" s="214"/>
      <c r="BDX64" s="214"/>
      <c r="BDY64" s="214"/>
      <c r="BDZ64" s="214"/>
      <c r="BEA64" s="214"/>
      <c r="BEB64" s="214"/>
      <c r="BEC64" s="214"/>
      <c r="BED64" s="214"/>
      <c r="BEE64" s="214"/>
      <c r="BEF64" s="214"/>
      <c r="BEG64" s="214"/>
      <c r="BEH64" s="214"/>
      <c r="BEI64" s="214"/>
      <c r="BEJ64" s="214"/>
      <c r="BEK64" s="214"/>
      <c r="BEL64" s="214"/>
      <c r="BEM64" s="214"/>
      <c r="BEN64" s="214"/>
      <c r="BEO64" s="214"/>
      <c r="BEP64" s="214"/>
      <c r="BEQ64" s="214"/>
      <c r="BER64" s="214"/>
      <c r="BES64" s="214"/>
      <c r="BET64" s="214"/>
      <c r="BEU64" s="214"/>
      <c r="BEV64" s="214"/>
      <c r="BEW64" s="214"/>
      <c r="BEX64" s="214"/>
      <c r="BEY64" s="214"/>
      <c r="BEZ64" s="214"/>
      <c r="BFA64" s="214"/>
      <c r="BFB64" s="214"/>
      <c r="BFC64" s="214"/>
      <c r="BFD64" s="214"/>
      <c r="BFE64" s="214"/>
      <c r="BFF64" s="214"/>
      <c r="BFG64" s="214"/>
      <c r="BFH64" s="214"/>
      <c r="BFI64" s="214"/>
      <c r="BFJ64" s="214"/>
      <c r="BFK64" s="214"/>
      <c r="BFL64" s="214"/>
      <c r="BFM64" s="214"/>
      <c r="BFN64" s="214"/>
      <c r="BFO64" s="214"/>
      <c r="BFP64" s="214"/>
      <c r="BFQ64" s="214"/>
      <c r="BFR64" s="214"/>
      <c r="BFS64" s="214"/>
      <c r="BFT64" s="214"/>
      <c r="BFU64" s="214"/>
      <c r="BFV64" s="214"/>
      <c r="BFW64" s="214"/>
      <c r="BFX64" s="214"/>
      <c r="BFY64" s="214"/>
      <c r="BFZ64" s="214"/>
      <c r="BGA64" s="214"/>
      <c r="BGB64" s="214"/>
      <c r="BGC64" s="214"/>
      <c r="BGD64" s="214"/>
      <c r="BGE64" s="214"/>
      <c r="BGF64" s="214"/>
      <c r="BGG64" s="214"/>
      <c r="BGH64" s="214"/>
      <c r="BGI64" s="214"/>
      <c r="BGJ64" s="214"/>
      <c r="BGK64" s="214"/>
      <c r="BGL64" s="214"/>
      <c r="BGM64" s="214"/>
      <c r="BGN64" s="214"/>
      <c r="BGO64" s="214"/>
      <c r="BGP64" s="214"/>
      <c r="BGQ64" s="214"/>
      <c r="BGR64" s="214"/>
      <c r="BGS64" s="214"/>
      <c r="BGT64" s="214"/>
      <c r="BGU64" s="214"/>
      <c r="BGV64" s="214"/>
      <c r="BGW64" s="214"/>
      <c r="BGX64" s="214"/>
      <c r="BGY64" s="214"/>
      <c r="BGZ64" s="214"/>
      <c r="BHA64" s="214"/>
      <c r="BHB64" s="214"/>
      <c r="BHC64" s="214"/>
      <c r="BHD64" s="214"/>
      <c r="BHE64" s="214"/>
      <c r="BHF64" s="214"/>
      <c r="BHG64" s="214"/>
      <c r="BHH64" s="214"/>
      <c r="BHI64" s="214"/>
      <c r="BHJ64" s="214"/>
      <c r="BHK64" s="214"/>
      <c r="BHL64" s="214"/>
      <c r="BHM64" s="214"/>
      <c r="BHN64" s="214"/>
      <c r="BHO64" s="214"/>
      <c r="BHP64" s="214"/>
      <c r="BHQ64" s="214"/>
      <c r="BHR64" s="214"/>
      <c r="BHS64" s="214"/>
      <c r="BHT64" s="214"/>
      <c r="BHU64" s="214"/>
      <c r="BHV64" s="214"/>
      <c r="BHW64" s="214"/>
    </row>
    <row r="65" spans="1:1583" s="217" customFormat="1" ht="16.5">
      <c r="A65" s="252" t="s">
        <v>74</v>
      </c>
      <c r="B65" s="194" t="s">
        <v>75</v>
      </c>
      <c r="C65" s="416" t="s">
        <v>496</v>
      </c>
      <c r="D65" s="420" t="s">
        <v>555</v>
      </c>
      <c r="E65" s="59" t="s">
        <v>42</v>
      </c>
      <c r="F65" s="132">
        <v>835</v>
      </c>
      <c r="G65" s="60" t="s">
        <v>719</v>
      </c>
      <c r="H65" s="473">
        <f>AVERAGE(I65:AN65)</f>
        <v>802.75370795029335</v>
      </c>
      <c r="I65" s="92">
        <f>VLOOKUP($B65,'DCS Data'!$E$2:$AJ$100,MATCH('Daily Report'!I$1,'DCS Data'!$E$2:$AJ$2,0),0)</f>
        <v>798.54952011376895</v>
      </c>
      <c r="J65" s="255"/>
      <c r="K65" s="92">
        <f>VLOOKUP($B65,'DCS Data'!$E$2:$AJ$100,MATCH('Daily Report'!K$1,'DCS Data'!$E$2:$AJ$2,0),0)</f>
        <v>800.26996231903058</v>
      </c>
      <c r="L65" s="92">
        <f>VLOOKUP($B65,'DCS Data'!$E$2:$AJ$100,MATCH('Daily Report'!L$1,'DCS Data'!$E$2:$AJ$2,0),0)</f>
        <v>803.07765615715027</v>
      </c>
      <c r="M65" s="92">
        <f>VLOOKUP($B65,'DCS Data'!$E$2:$AJ$100,MATCH('Daily Report'!M$1,'DCS Data'!$E$2:$AJ$2,0),0)</f>
        <v>802.97043261172212</v>
      </c>
      <c r="N65" s="92">
        <f>VLOOKUP($B65,'DCS Data'!$E$2:$AJ$100,MATCH('Daily Report'!N$1,'DCS Data'!$E$2:$AJ$2,0),0)</f>
        <v>802.57538338578206</v>
      </c>
      <c r="O65" s="92">
        <f>VLOOKUP($B65,'DCS Data'!$E$2:$AJ$100,MATCH('Daily Report'!O$1,'DCS Data'!$E$2:$AJ$2,0),0)</f>
        <v>802.99549865292022</v>
      </c>
      <c r="P65" s="92">
        <f>VLOOKUP($B65,'DCS Data'!$E$2:$AJ$100,MATCH('Daily Report'!P$1,'DCS Data'!$E$2:$AJ$2,0),0)</f>
        <v>803.02020441775301</v>
      </c>
      <c r="Q65" s="92">
        <f>VLOOKUP($B65,'DCS Data'!$E$2:$AJ$100,MATCH('Daily Report'!Q$1,'DCS Data'!$E$2:$AJ$2,0),0)</f>
        <v>803.11794738411936</v>
      </c>
      <c r="R65" s="92">
        <f>VLOOKUP($B65,'DCS Data'!$E$2:$AJ$100,MATCH('Daily Report'!R$1,'DCS Data'!$E$2:$AJ$2,0),0)</f>
        <v>802.95950462427072</v>
      </c>
      <c r="S65" s="92">
        <f>VLOOKUP($B65,'DCS Data'!$E$2:$AJ$100,MATCH('Daily Report'!S$1,'DCS Data'!$E$2:$AJ$2,0),0)</f>
        <v>803.03401419407908</v>
      </c>
      <c r="T65" s="92">
        <f>VLOOKUP($B65,'DCS Data'!$E$2:$AJ$100,MATCH('Daily Report'!T$1,'DCS Data'!$E$2:$AJ$2,0),0)</f>
        <v>802.95933228341687</v>
      </c>
      <c r="U65" s="92">
        <f>VLOOKUP($B65,'DCS Data'!$E$2:$AJ$100,MATCH('Daily Report'!U$1,'DCS Data'!$E$2:$AJ$2,0),0)</f>
        <v>803.00768204831741</v>
      </c>
      <c r="V65" s="92">
        <f>VLOOKUP($B65,'DCS Data'!$E$2:$AJ$100,MATCH('Daily Report'!V$1,'DCS Data'!$E$2:$AJ$2,0),0)</f>
        <v>803.00266251119194</v>
      </c>
      <c r="W65" s="92">
        <f>VLOOKUP($B65,'DCS Data'!$E$2:$AJ$100,MATCH('Daily Report'!W$1,'DCS Data'!$E$2:$AJ$2,0),0)</f>
        <v>802.90557338361077</v>
      </c>
      <c r="X65" s="92">
        <f>VLOOKUP($B65,'DCS Data'!$E$2:$AJ$100,MATCH('Daily Report'!X$1,'DCS Data'!$E$2:$AJ$2,0),0)</f>
        <v>803.19932496568651</v>
      </c>
      <c r="Y65" s="92">
        <f>VLOOKUP($B65,'DCS Data'!$E$2:$AJ$100,MATCH('Daily Report'!Y$1,'DCS Data'!$E$2:$AJ$2,0),0)</f>
        <v>803.24092680970807</v>
      </c>
      <c r="Z65" s="92">
        <f>VLOOKUP($B65,'DCS Data'!$E$2:$AJ$100,MATCH('Daily Report'!Z$1,'DCS Data'!$E$2:$AJ$2,0),0)</f>
        <v>803.02694873582266</v>
      </c>
      <c r="AA65" s="92">
        <f>VLOOKUP($B65,'DCS Data'!$E$2:$AJ$100,MATCH('Daily Report'!AA$1,'DCS Data'!$E$2:$AJ$2,0),0)</f>
        <v>802.92293442170512</v>
      </c>
      <c r="AB65" s="92">
        <f>VLOOKUP($B65,'DCS Data'!$E$2:$AJ$100,MATCH('Daily Report'!AB$1,'DCS Data'!$E$2:$AJ$2,0),0)</f>
        <v>803.01269282921908</v>
      </c>
      <c r="AC65" s="92">
        <f>VLOOKUP($B65,'DCS Data'!$E$2:$AJ$100,MATCH('Daily Report'!AC$1,'DCS Data'!$E$2:$AJ$2,0),0)</f>
        <v>802.63713657019775</v>
      </c>
      <c r="AD65" s="92">
        <f>VLOOKUP($B65,'DCS Data'!$E$2:$AJ$100,MATCH('Daily Report'!AD$1,'DCS Data'!$E$2:$AJ$2,0),0)</f>
        <v>802.9208619991573</v>
      </c>
      <c r="AE65" s="92">
        <f>VLOOKUP($B65,'DCS Data'!$E$2:$AJ$100,MATCH('Daily Report'!AE$1,'DCS Data'!$E$2:$AJ$2,0),0)</f>
        <v>802.95028982250119</v>
      </c>
      <c r="AF65" s="92">
        <f>VLOOKUP($B65,'DCS Data'!$E$2:$AJ$100,MATCH('Daily Report'!AF$1,'DCS Data'!$E$2:$AJ$2,0),0)</f>
        <v>803.009958408947</v>
      </c>
      <c r="AG65" s="92">
        <f>VLOOKUP($B65,'DCS Data'!$E$2:$AJ$100,MATCH('Daily Report'!AG$1,'DCS Data'!$E$2:$AJ$2,0),0)</f>
        <v>802.96625316131588</v>
      </c>
      <c r="AH65" s="92">
        <f>VLOOKUP($B65,'DCS Data'!$E$2:$AJ$100,MATCH('Daily Report'!AH$1,'DCS Data'!$E$2:$AJ$2,0),0)</f>
        <v>802.9797372654341</v>
      </c>
      <c r="AI65" s="92">
        <f>VLOOKUP($B65,'DCS Data'!$E$2:$AJ$100,MATCH('Daily Report'!AI$1,'DCS Data'!$E$2:$AJ$2,0),0)</f>
        <v>802.97436679043449</v>
      </c>
      <c r="AJ65" s="92">
        <f>VLOOKUP($B65,'DCS Data'!$E$2:$AJ$100,MATCH('Daily Report'!AJ$1,'DCS Data'!$E$2:$AJ$2,0),0)</f>
        <v>803.00939200759706</v>
      </c>
      <c r="AK65" s="92">
        <f>VLOOKUP($B65,'DCS Data'!$E$2:$AJ$100,MATCH('Daily Report'!AK$1,'DCS Data'!$E$2:$AJ$2,0),0)</f>
        <v>803.00102051465183</v>
      </c>
      <c r="AL65" s="92">
        <f>VLOOKUP($B65,'DCS Data'!$E$2:$AJ$100,MATCH('Daily Report'!AL$1,'DCS Data'!$E$2:$AJ$2,0),0)</f>
        <v>803.05600163666895</v>
      </c>
      <c r="AM65" s="92">
        <f>VLOOKUP($B65,'DCS Data'!$E$2:$AJ$100,MATCH('Daily Report'!AM$1,'DCS Data'!$E$2:$AJ$2,0),0)</f>
        <v>803.0099819814817</v>
      </c>
      <c r="AN65" s="92">
        <f>VLOOKUP($B65,'DCS Data'!$E$2:$AJ$100,MATCH('Daily Report'!AN$1,'DCS Data'!$E$2:$AJ$2,0),0)</f>
        <v>803.00174445142886</v>
      </c>
      <c r="AO65" s="214"/>
      <c r="AP65" s="214"/>
      <c r="AQ65" s="214"/>
      <c r="AR65" s="214"/>
      <c r="AS65" s="214"/>
      <c r="AT65" s="214"/>
      <c r="AU65" s="214"/>
      <c r="AV65" s="214"/>
      <c r="AW65" s="214"/>
      <c r="AX65" s="214"/>
      <c r="AY65" s="214"/>
      <c r="AZ65" s="214"/>
      <c r="BA65" s="214"/>
      <c r="BB65" s="214"/>
      <c r="BC65" s="214"/>
      <c r="BD65" s="214"/>
      <c r="BE65" s="214"/>
      <c r="BF65" s="214"/>
      <c r="BG65" s="214"/>
      <c r="BH65" s="214"/>
      <c r="BI65" s="214"/>
      <c r="BJ65" s="214"/>
      <c r="BK65" s="214"/>
      <c r="BL65" s="214"/>
      <c r="BM65" s="214"/>
      <c r="BN65" s="214"/>
      <c r="BO65" s="214"/>
      <c r="BP65" s="214"/>
      <c r="BQ65" s="214"/>
      <c r="BR65" s="214"/>
      <c r="BS65" s="214"/>
      <c r="BT65" s="214"/>
      <c r="BU65" s="214"/>
      <c r="BV65" s="214"/>
      <c r="BW65" s="214"/>
      <c r="BX65" s="214"/>
      <c r="BY65" s="214"/>
      <c r="BZ65" s="214"/>
      <c r="CA65" s="214"/>
      <c r="CB65" s="214"/>
      <c r="CC65" s="214"/>
      <c r="CD65" s="214"/>
      <c r="CE65" s="214"/>
      <c r="CF65" s="214"/>
      <c r="CG65" s="214"/>
      <c r="CH65" s="214"/>
      <c r="CI65" s="214"/>
      <c r="CJ65" s="214"/>
      <c r="CK65" s="214"/>
      <c r="CL65" s="214"/>
      <c r="CM65" s="214"/>
      <c r="CN65" s="214"/>
      <c r="CO65" s="214"/>
      <c r="CP65" s="214"/>
      <c r="CQ65" s="214"/>
      <c r="CR65" s="214"/>
      <c r="CS65" s="214"/>
      <c r="CT65" s="214"/>
      <c r="CU65" s="214"/>
      <c r="CV65" s="214"/>
      <c r="CW65" s="214"/>
      <c r="CX65" s="214"/>
      <c r="CY65" s="214"/>
      <c r="CZ65" s="214"/>
      <c r="DA65" s="214"/>
      <c r="DB65" s="214"/>
      <c r="DC65" s="214"/>
      <c r="DD65" s="214"/>
      <c r="DE65" s="214"/>
      <c r="DF65" s="214"/>
      <c r="DG65" s="214"/>
      <c r="DH65" s="214"/>
      <c r="DI65" s="214"/>
      <c r="DJ65" s="214"/>
      <c r="DK65" s="214"/>
      <c r="DL65" s="214"/>
      <c r="DM65" s="214"/>
      <c r="DN65" s="214"/>
      <c r="DO65" s="214"/>
      <c r="DP65" s="214"/>
      <c r="DQ65" s="214"/>
      <c r="DR65" s="214"/>
      <c r="DS65" s="214"/>
      <c r="DT65" s="214"/>
      <c r="DU65" s="214"/>
      <c r="DV65" s="214"/>
      <c r="DW65" s="214"/>
      <c r="DX65" s="214"/>
      <c r="DY65" s="214"/>
      <c r="DZ65" s="214"/>
      <c r="EA65" s="214"/>
      <c r="EB65" s="214"/>
      <c r="EC65" s="214"/>
      <c r="ED65" s="214"/>
      <c r="EE65" s="214"/>
      <c r="EF65" s="214"/>
      <c r="EG65" s="214"/>
      <c r="EH65" s="214"/>
      <c r="EI65" s="214"/>
      <c r="EJ65" s="214"/>
      <c r="EK65" s="214"/>
      <c r="EL65" s="214"/>
      <c r="EM65" s="214"/>
      <c r="EN65" s="214"/>
      <c r="EO65" s="214"/>
      <c r="EP65" s="214"/>
      <c r="EQ65" s="214"/>
      <c r="ER65" s="214"/>
      <c r="ES65" s="214"/>
      <c r="ET65" s="214"/>
      <c r="EU65" s="214"/>
      <c r="EV65" s="214"/>
      <c r="EW65" s="214"/>
      <c r="EX65" s="214"/>
      <c r="EY65" s="214"/>
      <c r="EZ65" s="214"/>
      <c r="FA65" s="214"/>
      <c r="FB65" s="214"/>
      <c r="FC65" s="214"/>
      <c r="FD65" s="214"/>
      <c r="FE65" s="214"/>
      <c r="FF65" s="214"/>
      <c r="FG65" s="214"/>
      <c r="FH65" s="214"/>
      <c r="FI65" s="214"/>
      <c r="FJ65" s="214"/>
      <c r="FK65" s="214"/>
      <c r="FL65" s="214"/>
      <c r="FM65" s="214"/>
      <c r="FN65" s="214"/>
      <c r="FO65" s="214"/>
      <c r="FP65" s="214"/>
      <c r="FQ65" s="214"/>
      <c r="FR65" s="214"/>
      <c r="FS65" s="214"/>
      <c r="FT65" s="214"/>
      <c r="FU65" s="214"/>
      <c r="FV65" s="214"/>
      <c r="FW65" s="214"/>
      <c r="FX65" s="214"/>
      <c r="FY65" s="214"/>
      <c r="FZ65" s="214"/>
      <c r="GA65" s="214"/>
      <c r="GB65" s="214"/>
      <c r="GC65" s="214"/>
      <c r="GD65" s="214"/>
      <c r="GE65" s="214"/>
      <c r="GF65" s="214"/>
      <c r="GG65" s="214"/>
      <c r="GH65" s="214"/>
      <c r="GI65" s="214"/>
      <c r="GJ65" s="214"/>
      <c r="GK65" s="214"/>
      <c r="GL65" s="214"/>
      <c r="GM65" s="214"/>
      <c r="GN65" s="214"/>
      <c r="GO65" s="214"/>
      <c r="GP65" s="214"/>
      <c r="GQ65" s="214"/>
      <c r="GR65" s="214"/>
      <c r="GS65" s="214"/>
      <c r="GT65" s="214"/>
      <c r="GU65" s="214"/>
      <c r="GV65" s="214"/>
      <c r="GW65" s="214"/>
      <c r="GX65" s="214"/>
      <c r="GY65" s="214"/>
      <c r="GZ65" s="214"/>
      <c r="HA65" s="214"/>
      <c r="HB65" s="214"/>
      <c r="HC65" s="214"/>
      <c r="HD65" s="214"/>
      <c r="HE65" s="214"/>
      <c r="HF65" s="214"/>
      <c r="HG65" s="214"/>
      <c r="HH65" s="214"/>
      <c r="HI65" s="214"/>
      <c r="HJ65" s="214"/>
      <c r="HK65" s="214"/>
      <c r="HL65" s="214"/>
      <c r="HM65" s="214"/>
      <c r="HN65" s="214"/>
      <c r="HO65" s="214"/>
      <c r="HP65" s="214"/>
      <c r="HQ65" s="214"/>
      <c r="HR65" s="214"/>
      <c r="HS65" s="214"/>
      <c r="HT65" s="214"/>
      <c r="HU65" s="214"/>
      <c r="HV65" s="214"/>
      <c r="HW65" s="214"/>
      <c r="HX65" s="214"/>
      <c r="HY65" s="214"/>
      <c r="HZ65" s="214"/>
      <c r="IA65" s="214"/>
      <c r="IB65" s="214"/>
      <c r="IC65" s="214"/>
      <c r="ID65" s="214"/>
      <c r="IE65" s="214"/>
      <c r="IF65" s="214"/>
      <c r="IG65" s="214"/>
      <c r="IH65" s="214"/>
      <c r="II65" s="214"/>
      <c r="IJ65" s="214"/>
      <c r="IK65" s="214"/>
      <c r="IL65" s="214"/>
      <c r="IM65" s="214"/>
      <c r="IN65" s="214"/>
      <c r="IO65" s="214"/>
      <c r="IP65" s="214"/>
      <c r="IQ65" s="214"/>
      <c r="IR65" s="214"/>
      <c r="IS65" s="214"/>
      <c r="IT65" s="214"/>
      <c r="IU65" s="214"/>
      <c r="IV65" s="214"/>
      <c r="IW65" s="214"/>
      <c r="IX65" s="214"/>
      <c r="IY65" s="214"/>
      <c r="IZ65" s="214"/>
      <c r="JA65" s="214"/>
      <c r="JB65" s="214"/>
      <c r="JC65" s="214"/>
      <c r="JD65" s="214"/>
      <c r="JE65" s="214"/>
      <c r="JF65" s="214"/>
      <c r="JG65" s="214"/>
      <c r="JH65" s="214"/>
      <c r="JI65" s="214"/>
      <c r="JJ65" s="214"/>
      <c r="JK65" s="214"/>
      <c r="JL65" s="214"/>
      <c r="JM65" s="214"/>
      <c r="JN65" s="214"/>
      <c r="JO65" s="214"/>
      <c r="JP65" s="214"/>
      <c r="JQ65" s="214"/>
      <c r="JR65" s="214"/>
      <c r="JS65" s="214"/>
      <c r="JT65" s="214"/>
      <c r="JU65" s="214"/>
      <c r="JV65" s="214"/>
      <c r="JW65" s="214"/>
      <c r="JX65" s="214"/>
      <c r="JY65" s="214"/>
      <c r="JZ65" s="214"/>
      <c r="KA65" s="214"/>
      <c r="KB65" s="214"/>
      <c r="KC65" s="214"/>
      <c r="KD65" s="214"/>
      <c r="KE65" s="214"/>
      <c r="KF65" s="214"/>
      <c r="KG65" s="214"/>
      <c r="KH65" s="214"/>
      <c r="KI65" s="214"/>
      <c r="KJ65" s="214"/>
      <c r="KK65" s="214"/>
      <c r="KL65" s="214"/>
      <c r="KM65" s="214"/>
      <c r="KN65" s="214"/>
      <c r="KO65" s="214"/>
      <c r="KP65" s="214"/>
      <c r="KQ65" s="214"/>
      <c r="KR65" s="214"/>
      <c r="KS65" s="214"/>
      <c r="KT65" s="214"/>
      <c r="KU65" s="214"/>
      <c r="KV65" s="214"/>
      <c r="KW65" s="214"/>
      <c r="KX65" s="214"/>
      <c r="KY65" s="214"/>
      <c r="KZ65" s="214"/>
      <c r="LA65" s="214"/>
      <c r="LB65" s="214"/>
      <c r="LC65" s="214"/>
      <c r="LD65" s="214"/>
      <c r="LE65" s="214"/>
      <c r="LF65" s="214"/>
      <c r="LG65" s="214"/>
      <c r="LH65" s="214"/>
      <c r="LI65" s="214"/>
      <c r="LJ65" s="214"/>
      <c r="LK65" s="214"/>
      <c r="LL65" s="214"/>
      <c r="LM65" s="214"/>
      <c r="LN65" s="214"/>
      <c r="LO65" s="214"/>
      <c r="LP65" s="214"/>
      <c r="LQ65" s="214"/>
      <c r="LR65" s="214"/>
      <c r="LS65" s="214"/>
      <c r="LT65" s="214"/>
      <c r="LU65" s="214"/>
      <c r="LV65" s="214"/>
      <c r="LW65" s="214"/>
      <c r="LX65" s="214"/>
      <c r="LY65" s="214"/>
      <c r="LZ65" s="214"/>
      <c r="MA65" s="214"/>
      <c r="MB65" s="214"/>
      <c r="MC65" s="214"/>
      <c r="MD65" s="214"/>
      <c r="ME65" s="214"/>
      <c r="MF65" s="214"/>
      <c r="MG65" s="214"/>
      <c r="MH65" s="214"/>
      <c r="MI65" s="214"/>
      <c r="MJ65" s="214"/>
      <c r="MK65" s="214"/>
      <c r="ML65" s="214"/>
      <c r="MM65" s="214"/>
      <c r="MN65" s="214"/>
      <c r="MO65" s="214"/>
      <c r="MP65" s="214"/>
      <c r="MQ65" s="214"/>
      <c r="MR65" s="214"/>
      <c r="MS65" s="214"/>
      <c r="MT65" s="214"/>
      <c r="MU65" s="214"/>
      <c r="MV65" s="214"/>
      <c r="MW65" s="214"/>
      <c r="MX65" s="214"/>
      <c r="MY65" s="214"/>
      <c r="MZ65" s="214"/>
      <c r="NA65" s="214"/>
      <c r="NB65" s="214"/>
      <c r="NC65" s="214"/>
      <c r="ND65" s="214"/>
      <c r="NE65" s="214"/>
      <c r="NF65" s="214"/>
      <c r="NG65" s="214"/>
      <c r="NH65" s="214"/>
      <c r="NI65" s="214"/>
      <c r="NJ65" s="214"/>
      <c r="NK65" s="214"/>
      <c r="NL65" s="214"/>
      <c r="NM65" s="214"/>
      <c r="NN65" s="214"/>
      <c r="NO65" s="214"/>
      <c r="NP65" s="214"/>
      <c r="NQ65" s="214"/>
      <c r="NR65" s="214"/>
      <c r="NS65" s="214"/>
      <c r="NT65" s="214"/>
      <c r="NU65" s="214"/>
      <c r="NV65" s="214"/>
      <c r="NW65" s="214"/>
      <c r="NX65" s="214"/>
      <c r="NY65" s="214"/>
      <c r="NZ65" s="214"/>
      <c r="OA65" s="214"/>
      <c r="OB65" s="214"/>
      <c r="OC65" s="214"/>
      <c r="OD65" s="214"/>
      <c r="OE65" s="214"/>
      <c r="OF65" s="214"/>
      <c r="OG65" s="214"/>
      <c r="OH65" s="214"/>
      <c r="OI65" s="214"/>
      <c r="OJ65" s="214"/>
      <c r="OK65" s="214"/>
      <c r="OL65" s="214"/>
      <c r="OM65" s="214"/>
      <c r="ON65" s="214"/>
      <c r="OO65" s="214"/>
      <c r="OP65" s="214"/>
      <c r="OQ65" s="214"/>
      <c r="OR65" s="214"/>
      <c r="OS65" s="214"/>
      <c r="OT65" s="214"/>
      <c r="OU65" s="214"/>
      <c r="OV65" s="214"/>
      <c r="OW65" s="214"/>
      <c r="OX65" s="214"/>
      <c r="OY65" s="214"/>
      <c r="OZ65" s="214"/>
      <c r="PA65" s="214"/>
      <c r="PB65" s="214"/>
      <c r="PC65" s="214"/>
      <c r="PD65" s="214"/>
      <c r="PE65" s="214"/>
      <c r="PF65" s="214"/>
      <c r="PG65" s="214"/>
      <c r="PH65" s="214"/>
      <c r="PI65" s="214"/>
      <c r="PJ65" s="214"/>
      <c r="PK65" s="214"/>
      <c r="PL65" s="214"/>
      <c r="PM65" s="214"/>
      <c r="PN65" s="214"/>
      <c r="PO65" s="214"/>
      <c r="PP65" s="214"/>
      <c r="PQ65" s="214"/>
      <c r="PR65" s="214"/>
      <c r="PS65" s="214"/>
      <c r="PT65" s="214"/>
      <c r="PU65" s="214"/>
      <c r="PV65" s="214"/>
      <c r="PW65" s="214"/>
      <c r="PX65" s="214"/>
      <c r="PY65" s="214"/>
      <c r="PZ65" s="214"/>
      <c r="QA65" s="214"/>
      <c r="QB65" s="214"/>
      <c r="QC65" s="214"/>
      <c r="QD65" s="214"/>
      <c r="QE65" s="214"/>
      <c r="QF65" s="214"/>
      <c r="QG65" s="214"/>
      <c r="QH65" s="214"/>
      <c r="QI65" s="214"/>
      <c r="QJ65" s="214"/>
      <c r="QK65" s="214"/>
      <c r="QL65" s="214"/>
      <c r="QM65" s="214"/>
      <c r="QN65" s="214"/>
      <c r="QO65" s="214"/>
      <c r="QP65" s="214"/>
      <c r="QQ65" s="214"/>
      <c r="QR65" s="214"/>
      <c r="QS65" s="214"/>
      <c r="QT65" s="214"/>
      <c r="QU65" s="214"/>
      <c r="QV65" s="214"/>
      <c r="QW65" s="214"/>
      <c r="QX65" s="214"/>
      <c r="QY65" s="214"/>
      <c r="QZ65" s="214"/>
      <c r="RA65" s="214"/>
      <c r="RB65" s="214"/>
      <c r="RC65" s="214"/>
      <c r="RD65" s="214"/>
      <c r="RE65" s="214"/>
      <c r="RF65" s="214"/>
      <c r="RG65" s="214"/>
      <c r="RH65" s="214"/>
      <c r="RI65" s="214"/>
      <c r="RJ65" s="214"/>
      <c r="RK65" s="214"/>
      <c r="RL65" s="214"/>
      <c r="RM65" s="214"/>
      <c r="RN65" s="214"/>
      <c r="RO65" s="214"/>
      <c r="RP65" s="214"/>
      <c r="RQ65" s="214"/>
      <c r="RR65" s="214"/>
      <c r="RS65" s="214"/>
      <c r="RT65" s="214"/>
      <c r="RU65" s="214"/>
      <c r="RV65" s="214"/>
      <c r="RW65" s="214"/>
      <c r="RX65" s="214"/>
      <c r="RY65" s="214"/>
      <c r="RZ65" s="214"/>
      <c r="SA65" s="214"/>
      <c r="SB65" s="214"/>
      <c r="SC65" s="214"/>
      <c r="SD65" s="214"/>
      <c r="SE65" s="214"/>
      <c r="SF65" s="214"/>
      <c r="SG65" s="214"/>
      <c r="SH65" s="214"/>
      <c r="SI65" s="214"/>
      <c r="SJ65" s="214"/>
      <c r="SK65" s="214"/>
      <c r="SL65" s="214"/>
      <c r="SM65" s="214"/>
      <c r="SN65" s="214"/>
      <c r="SO65" s="214"/>
      <c r="SP65" s="214"/>
      <c r="SQ65" s="214"/>
      <c r="SR65" s="214"/>
      <c r="SS65" s="214"/>
      <c r="ST65" s="214"/>
      <c r="SU65" s="214"/>
      <c r="SV65" s="214"/>
      <c r="SW65" s="214"/>
      <c r="SX65" s="214"/>
      <c r="SY65" s="214"/>
      <c r="SZ65" s="214"/>
      <c r="TA65" s="214"/>
      <c r="TB65" s="214"/>
      <c r="TC65" s="214"/>
      <c r="TD65" s="214"/>
      <c r="TE65" s="214"/>
      <c r="TF65" s="214"/>
      <c r="TG65" s="214"/>
      <c r="TH65" s="214"/>
      <c r="TI65" s="214"/>
      <c r="TJ65" s="214"/>
      <c r="TK65" s="214"/>
      <c r="TL65" s="214"/>
      <c r="TM65" s="214"/>
      <c r="TN65" s="214"/>
      <c r="TO65" s="214"/>
      <c r="TP65" s="214"/>
      <c r="TQ65" s="214"/>
      <c r="TR65" s="214"/>
      <c r="TS65" s="214"/>
      <c r="TT65" s="214"/>
      <c r="TU65" s="214"/>
      <c r="TV65" s="214"/>
      <c r="TW65" s="214"/>
      <c r="TX65" s="214"/>
      <c r="TY65" s="214"/>
      <c r="TZ65" s="214"/>
      <c r="UA65" s="214"/>
      <c r="UB65" s="214"/>
      <c r="UC65" s="214"/>
      <c r="UD65" s="214"/>
      <c r="UE65" s="214"/>
      <c r="UF65" s="214"/>
      <c r="UG65" s="214"/>
      <c r="UH65" s="214"/>
      <c r="UI65" s="214"/>
      <c r="UJ65" s="214"/>
      <c r="UK65" s="214"/>
      <c r="UL65" s="214"/>
      <c r="UM65" s="214"/>
      <c r="UN65" s="214"/>
      <c r="UO65" s="214"/>
      <c r="UP65" s="214"/>
      <c r="UQ65" s="214"/>
      <c r="UR65" s="214"/>
      <c r="US65" s="214"/>
      <c r="UT65" s="214"/>
      <c r="UU65" s="214"/>
      <c r="UV65" s="214"/>
      <c r="UW65" s="214"/>
      <c r="UX65" s="214"/>
      <c r="UY65" s="214"/>
      <c r="UZ65" s="214"/>
      <c r="VA65" s="214"/>
      <c r="VB65" s="214"/>
      <c r="VC65" s="214"/>
      <c r="VD65" s="214"/>
      <c r="VE65" s="214"/>
      <c r="VF65" s="214"/>
      <c r="VG65" s="214"/>
      <c r="VH65" s="214"/>
      <c r="VI65" s="214"/>
      <c r="VJ65" s="214"/>
      <c r="VK65" s="214"/>
      <c r="VL65" s="214"/>
      <c r="VM65" s="214"/>
      <c r="VN65" s="214"/>
      <c r="VO65" s="214"/>
      <c r="VP65" s="214"/>
      <c r="VQ65" s="214"/>
      <c r="VR65" s="214"/>
      <c r="VS65" s="214"/>
      <c r="VT65" s="214"/>
      <c r="VU65" s="214"/>
      <c r="VV65" s="214"/>
      <c r="VW65" s="214"/>
      <c r="VX65" s="214"/>
      <c r="VY65" s="214"/>
      <c r="VZ65" s="214"/>
      <c r="WA65" s="214"/>
      <c r="WB65" s="214"/>
      <c r="WC65" s="214"/>
      <c r="WD65" s="214"/>
      <c r="WE65" s="214"/>
      <c r="WF65" s="214"/>
      <c r="WG65" s="214"/>
      <c r="WH65" s="214"/>
      <c r="WI65" s="214"/>
      <c r="WJ65" s="214"/>
      <c r="WK65" s="214"/>
      <c r="WL65" s="214"/>
      <c r="WM65" s="214"/>
      <c r="WN65" s="214"/>
      <c r="WO65" s="214"/>
      <c r="WP65" s="214"/>
      <c r="WQ65" s="214"/>
      <c r="WR65" s="214"/>
      <c r="WS65" s="214"/>
      <c r="WT65" s="214"/>
      <c r="WU65" s="214"/>
      <c r="WV65" s="214"/>
      <c r="WW65" s="214"/>
      <c r="WX65" s="214"/>
      <c r="WY65" s="214"/>
      <c r="WZ65" s="214"/>
      <c r="XA65" s="214"/>
      <c r="XB65" s="214"/>
      <c r="XC65" s="214"/>
      <c r="XD65" s="214"/>
      <c r="XE65" s="214"/>
      <c r="XF65" s="214"/>
      <c r="XG65" s="214"/>
      <c r="XH65" s="214"/>
      <c r="XI65" s="214"/>
      <c r="XJ65" s="214"/>
      <c r="XK65" s="214"/>
      <c r="XL65" s="214"/>
      <c r="XM65" s="214"/>
      <c r="XN65" s="214"/>
      <c r="XO65" s="214"/>
      <c r="XP65" s="214"/>
      <c r="XQ65" s="214"/>
      <c r="XR65" s="214"/>
      <c r="XS65" s="214"/>
      <c r="XT65" s="214"/>
      <c r="XU65" s="214"/>
      <c r="XV65" s="214"/>
      <c r="XW65" s="214"/>
      <c r="XX65" s="214"/>
      <c r="XY65" s="214"/>
      <c r="XZ65" s="214"/>
      <c r="YA65" s="214"/>
      <c r="YB65" s="214"/>
      <c r="YC65" s="214"/>
      <c r="YD65" s="214"/>
      <c r="YE65" s="214"/>
      <c r="YF65" s="214"/>
      <c r="YG65" s="214"/>
      <c r="YH65" s="214"/>
      <c r="YI65" s="214"/>
      <c r="YJ65" s="214"/>
      <c r="YK65" s="214"/>
      <c r="YL65" s="214"/>
      <c r="YM65" s="214"/>
      <c r="YN65" s="214"/>
      <c r="YO65" s="214"/>
      <c r="YP65" s="214"/>
      <c r="YQ65" s="214"/>
      <c r="YR65" s="214"/>
      <c r="YS65" s="214"/>
      <c r="YT65" s="214"/>
      <c r="YU65" s="214"/>
      <c r="YV65" s="214"/>
      <c r="YW65" s="214"/>
      <c r="YX65" s="214"/>
      <c r="YY65" s="214"/>
      <c r="YZ65" s="214"/>
      <c r="ZA65" s="214"/>
      <c r="ZB65" s="214"/>
      <c r="ZC65" s="214"/>
      <c r="ZD65" s="214"/>
      <c r="ZE65" s="214"/>
      <c r="ZF65" s="214"/>
      <c r="ZG65" s="214"/>
      <c r="ZH65" s="214"/>
      <c r="ZI65" s="214"/>
      <c r="ZJ65" s="214"/>
      <c r="ZK65" s="214"/>
      <c r="ZL65" s="214"/>
      <c r="ZM65" s="214"/>
      <c r="ZN65" s="214"/>
      <c r="ZO65" s="214"/>
      <c r="ZP65" s="214"/>
      <c r="ZQ65" s="214"/>
      <c r="ZR65" s="214"/>
      <c r="ZS65" s="214"/>
      <c r="ZT65" s="214"/>
      <c r="ZU65" s="214"/>
      <c r="ZV65" s="214"/>
      <c r="ZW65" s="214"/>
      <c r="ZX65" s="214"/>
      <c r="ZY65" s="214"/>
      <c r="ZZ65" s="214"/>
      <c r="AAA65" s="214"/>
      <c r="AAB65" s="214"/>
      <c r="AAC65" s="214"/>
      <c r="AAD65" s="214"/>
      <c r="AAE65" s="214"/>
      <c r="AAF65" s="214"/>
      <c r="AAG65" s="214"/>
      <c r="AAH65" s="214"/>
      <c r="AAI65" s="214"/>
      <c r="AAJ65" s="214"/>
      <c r="AAK65" s="214"/>
      <c r="AAL65" s="214"/>
      <c r="AAM65" s="214"/>
      <c r="AAN65" s="214"/>
      <c r="AAO65" s="214"/>
      <c r="AAP65" s="214"/>
      <c r="AAQ65" s="214"/>
      <c r="AAR65" s="214"/>
      <c r="AAS65" s="214"/>
      <c r="AAT65" s="214"/>
      <c r="AAU65" s="214"/>
      <c r="AAV65" s="214"/>
      <c r="AAW65" s="214"/>
      <c r="AAX65" s="214"/>
      <c r="AAY65" s="214"/>
      <c r="AAZ65" s="214"/>
      <c r="ABA65" s="214"/>
      <c r="ABB65" s="214"/>
      <c r="ABC65" s="214"/>
      <c r="ABD65" s="214"/>
      <c r="ABE65" s="214"/>
      <c r="ABF65" s="214"/>
      <c r="ABG65" s="214"/>
      <c r="ABH65" s="214"/>
      <c r="ABI65" s="214"/>
      <c r="ABJ65" s="214"/>
      <c r="ABK65" s="214"/>
      <c r="ABL65" s="214"/>
      <c r="ABM65" s="214"/>
      <c r="ABN65" s="214"/>
      <c r="ABO65" s="214"/>
      <c r="ABP65" s="214"/>
      <c r="ABQ65" s="214"/>
      <c r="ABR65" s="214"/>
      <c r="ABS65" s="214"/>
      <c r="ABT65" s="214"/>
      <c r="ABU65" s="214"/>
      <c r="ABV65" s="214"/>
      <c r="ABW65" s="214"/>
      <c r="ABX65" s="214"/>
      <c r="ABY65" s="214"/>
      <c r="ABZ65" s="214"/>
      <c r="ACA65" s="214"/>
      <c r="ACB65" s="214"/>
      <c r="ACC65" s="214"/>
      <c r="ACD65" s="214"/>
      <c r="ACE65" s="214"/>
      <c r="ACF65" s="214"/>
      <c r="ACG65" s="214"/>
      <c r="ACH65" s="214"/>
      <c r="ACI65" s="214"/>
      <c r="ACJ65" s="214"/>
      <c r="ACK65" s="214"/>
      <c r="ACL65" s="214"/>
      <c r="ACM65" s="214"/>
      <c r="ACN65" s="214"/>
      <c r="ACO65" s="214"/>
      <c r="ACP65" s="214"/>
      <c r="ACQ65" s="214"/>
      <c r="ACR65" s="214"/>
      <c r="ACS65" s="214"/>
      <c r="ACT65" s="214"/>
      <c r="ACU65" s="214"/>
      <c r="ACV65" s="214"/>
      <c r="ACW65" s="214"/>
      <c r="ACX65" s="214"/>
      <c r="ACY65" s="214"/>
      <c r="ACZ65" s="214"/>
      <c r="ADA65" s="214"/>
      <c r="ADB65" s="214"/>
      <c r="ADC65" s="214"/>
      <c r="ADD65" s="214"/>
      <c r="ADE65" s="214"/>
      <c r="ADF65" s="214"/>
      <c r="ADG65" s="214"/>
      <c r="ADH65" s="214"/>
      <c r="ADI65" s="214"/>
      <c r="ADJ65" s="214"/>
      <c r="ADK65" s="214"/>
      <c r="ADL65" s="214"/>
      <c r="ADM65" s="214"/>
      <c r="ADN65" s="214"/>
      <c r="ADO65" s="214"/>
      <c r="ADP65" s="214"/>
      <c r="ADQ65" s="214"/>
      <c r="ADR65" s="214"/>
      <c r="ADS65" s="214"/>
      <c r="ADT65" s="214"/>
      <c r="ADU65" s="214"/>
      <c r="ADV65" s="214"/>
      <c r="ADW65" s="214"/>
      <c r="ADX65" s="214"/>
      <c r="ADY65" s="214"/>
      <c r="ADZ65" s="214"/>
      <c r="AEA65" s="214"/>
      <c r="AEB65" s="214"/>
      <c r="AEC65" s="214"/>
      <c r="AED65" s="214"/>
      <c r="AEE65" s="214"/>
      <c r="AEF65" s="214"/>
      <c r="AEG65" s="214"/>
      <c r="AEH65" s="214"/>
      <c r="AEI65" s="214"/>
      <c r="AEJ65" s="214"/>
      <c r="AEK65" s="214"/>
      <c r="AEL65" s="214"/>
      <c r="AEM65" s="214"/>
      <c r="AEN65" s="214"/>
      <c r="AEO65" s="214"/>
      <c r="AEP65" s="214"/>
      <c r="AEQ65" s="214"/>
      <c r="AER65" s="214"/>
      <c r="AES65" s="214"/>
      <c r="AET65" s="214"/>
      <c r="AEU65" s="214"/>
      <c r="AEV65" s="214"/>
      <c r="AEW65" s="214"/>
      <c r="AEX65" s="214"/>
      <c r="AEY65" s="214"/>
      <c r="AEZ65" s="214"/>
      <c r="AFA65" s="214"/>
      <c r="AFB65" s="214"/>
      <c r="AFC65" s="214"/>
      <c r="AFD65" s="214"/>
      <c r="AFE65" s="214"/>
      <c r="AFF65" s="214"/>
      <c r="AFG65" s="214"/>
      <c r="AFH65" s="214"/>
      <c r="AFI65" s="214"/>
      <c r="AFJ65" s="214"/>
      <c r="AFK65" s="214"/>
      <c r="AFL65" s="214"/>
      <c r="AFM65" s="214"/>
      <c r="AFN65" s="214"/>
      <c r="AFO65" s="214"/>
      <c r="AFP65" s="214"/>
      <c r="AFQ65" s="214"/>
      <c r="AFR65" s="214"/>
      <c r="AFS65" s="214"/>
      <c r="AFT65" s="214"/>
      <c r="AFU65" s="214"/>
      <c r="AFV65" s="214"/>
      <c r="AFW65" s="214"/>
      <c r="AFX65" s="214"/>
      <c r="AFY65" s="214"/>
      <c r="AFZ65" s="214"/>
      <c r="AGA65" s="214"/>
      <c r="AGB65" s="214"/>
      <c r="AGC65" s="214"/>
      <c r="AGD65" s="214"/>
      <c r="AGE65" s="214"/>
      <c r="AGF65" s="214"/>
      <c r="AGG65" s="214"/>
      <c r="AGH65" s="214"/>
      <c r="AGI65" s="214"/>
      <c r="AGJ65" s="214"/>
      <c r="AGK65" s="214"/>
      <c r="AGL65" s="214"/>
      <c r="AGM65" s="214"/>
      <c r="AGN65" s="214"/>
      <c r="AGO65" s="214"/>
      <c r="AGP65" s="214"/>
      <c r="AGQ65" s="214"/>
      <c r="AGR65" s="214"/>
      <c r="AGS65" s="214"/>
      <c r="AGT65" s="214"/>
      <c r="AGU65" s="214"/>
      <c r="AGV65" s="214"/>
      <c r="AGW65" s="214"/>
      <c r="AGX65" s="214"/>
      <c r="AGY65" s="214"/>
      <c r="AGZ65" s="214"/>
      <c r="AHA65" s="214"/>
      <c r="AHB65" s="214"/>
      <c r="AHC65" s="214"/>
      <c r="AHD65" s="214"/>
      <c r="AHE65" s="214"/>
      <c r="AHF65" s="214"/>
      <c r="AHG65" s="214"/>
      <c r="AHH65" s="214"/>
      <c r="AHI65" s="214"/>
      <c r="AHJ65" s="214"/>
      <c r="AHK65" s="214"/>
      <c r="AHL65" s="214"/>
      <c r="AHM65" s="214"/>
      <c r="AHN65" s="214"/>
      <c r="AHO65" s="214"/>
      <c r="AHP65" s="214"/>
      <c r="AHQ65" s="214"/>
      <c r="AHR65" s="214"/>
      <c r="AHS65" s="214"/>
      <c r="AHT65" s="214"/>
      <c r="AHU65" s="214"/>
      <c r="AHV65" s="214"/>
      <c r="AHW65" s="214"/>
      <c r="AHX65" s="214"/>
      <c r="AHY65" s="214"/>
      <c r="AHZ65" s="214"/>
      <c r="AIA65" s="214"/>
      <c r="AIB65" s="214"/>
      <c r="AIC65" s="214"/>
      <c r="AID65" s="214"/>
      <c r="AIE65" s="214"/>
      <c r="AIF65" s="214"/>
      <c r="AIG65" s="214"/>
      <c r="AIH65" s="214"/>
      <c r="AII65" s="214"/>
      <c r="AIJ65" s="214"/>
      <c r="AIK65" s="214"/>
      <c r="AIL65" s="214"/>
      <c r="AIM65" s="214"/>
      <c r="AIN65" s="214"/>
      <c r="AIO65" s="214"/>
      <c r="AIP65" s="214"/>
      <c r="AIQ65" s="214"/>
      <c r="AIR65" s="214"/>
      <c r="AIS65" s="214"/>
      <c r="AIT65" s="214"/>
      <c r="AIU65" s="214"/>
      <c r="AIV65" s="214"/>
      <c r="AIW65" s="214"/>
      <c r="AIX65" s="214"/>
      <c r="AIY65" s="214"/>
      <c r="AIZ65" s="214"/>
      <c r="AJA65" s="214"/>
      <c r="AJB65" s="214"/>
      <c r="AJC65" s="214"/>
      <c r="AJD65" s="214"/>
      <c r="AJE65" s="214"/>
      <c r="AJF65" s="214"/>
      <c r="AJG65" s="214"/>
      <c r="AJH65" s="214"/>
      <c r="AJI65" s="214"/>
      <c r="AJJ65" s="214"/>
      <c r="AJK65" s="214"/>
      <c r="AJL65" s="214"/>
      <c r="AJM65" s="214"/>
      <c r="AJN65" s="214"/>
      <c r="AJO65" s="214"/>
      <c r="AJP65" s="214"/>
      <c r="AJQ65" s="214"/>
      <c r="AJR65" s="214"/>
      <c r="AJS65" s="214"/>
      <c r="AJT65" s="214"/>
      <c r="AJU65" s="214"/>
      <c r="AJV65" s="214"/>
      <c r="AJW65" s="214"/>
      <c r="AJX65" s="214"/>
      <c r="AJY65" s="214"/>
      <c r="AJZ65" s="214"/>
      <c r="AKA65" s="214"/>
      <c r="AKB65" s="214"/>
      <c r="AKC65" s="214"/>
      <c r="AKD65" s="214"/>
      <c r="AKE65" s="214"/>
      <c r="AKF65" s="214"/>
      <c r="AKG65" s="214"/>
      <c r="AKH65" s="214"/>
      <c r="AKI65" s="214"/>
      <c r="AKJ65" s="214"/>
      <c r="AKK65" s="214"/>
      <c r="AKL65" s="214"/>
      <c r="AKM65" s="214"/>
      <c r="AKN65" s="214"/>
      <c r="AKO65" s="214"/>
      <c r="AKP65" s="214"/>
      <c r="AKQ65" s="214"/>
      <c r="AKR65" s="214"/>
      <c r="AKS65" s="214"/>
      <c r="AKT65" s="214"/>
      <c r="AKU65" s="214"/>
      <c r="AKV65" s="214"/>
      <c r="AKW65" s="214"/>
      <c r="AKX65" s="214"/>
      <c r="AKY65" s="214"/>
      <c r="AKZ65" s="214"/>
      <c r="ALA65" s="214"/>
      <c r="ALB65" s="214"/>
      <c r="ALC65" s="214"/>
      <c r="ALD65" s="214"/>
      <c r="ALE65" s="214"/>
      <c r="ALF65" s="214"/>
      <c r="ALG65" s="214"/>
      <c r="ALH65" s="214"/>
      <c r="ALI65" s="214"/>
      <c r="ALJ65" s="214"/>
      <c r="ALK65" s="214"/>
      <c r="ALL65" s="214"/>
      <c r="ALM65" s="214"/>
      <c r="ALN65" s="214"/>
      <c r="ALO65" s="214"/>
      <c r="ALP65" s="214"/>
      <c r="ALQ65" s="214"/>
      <c r="ALR65" s="214"/>
      <c r="ALS65" s="214"/>
      <c r="ALT65" s="214"/>
      <c r="ALU65" s="214"/>
      <c r="ALV65" s="214"/>
      <c r="ALW65" s="214"/>
      <c r="ALX65" s="214"/>
      <c r="ALY65" s="214"/>
      <c r="ALZ65" s="214"/>
      <c r="AMA65" s="214"/>
      <c r="AMB65" s="214"/>
      <c r="AMC65" s="214"/>
      <c r="AMD65" s="214"/>
      <c r="AME65" s="214"/>
      <c r="AMF65" s="214"/>
      <c r="AMG65" s="214"/>
      <c r="AMH65" s="214"/>
      <c r="AMI65" s="214"/>
      <c r="AMJ65" s="214"/>
      <c r="AMK65" s="214"/>
      <c r="AML65" s="214"/>
      <c r="AMM65" s="214"/>
      <c r="AMN65" s="214"/>
      <c r="AMO65" s="214"/>
      <c r="AMP65" s="214"/>
      <c r="AMQ65" s="214"/>
      <c r="AMR65" s="214"/>
      <c r="AMS65" s="214"/>
      <c r="AMT65" s="214"/>
      <c r="AMU65" s="214"/>
      <c r="AMV65" s="214"/>
      <c r="AMW65" s="214"/>
      <c r="AMX65" s="214"/>
      <c r="AMY65" s="214"/>
      <c r="AMZ65" s="214"/>
      <c r="ANA65" s="214"/>
      <c r="ANB65" s="214"/>
      <c r="ANC65" s="214"/>
      <c r="AND65" s="214"/>
      <c r="ANE65" s="214"/>
      <c r="ANF65" s="214"/>
      <c r="ANG65" s="214"/>
      <c r="ANH65" s="214"/>
      <c r="ANI65" s="214"/>
      <c r="ANJ65" s="214"/>
      <c r="ANK65" s="214"/>
      <c r="ANL65" s="214"/>
      <c r="ANM65" s="214"/>
      <c r="ANN65" s="214"/>
      <c r="ANO65" s="214"/>
      <c r="ANP65" s="214"/>
      <c r="ANQ65" s="214"/>
      <c r="ANR65" s="214"/>
      <c r="ANS65" s="214"/>
      <c r="ANT65" s="214"/>
      <c r="ANU65" s="214"/>
      <c r="ANV65" s="214"/>
      <c r="ANW65" s="214"/>
      <c r="ANX65" s="214"/>
      <c r="ANY65" s="214"/>
      <c r="ANZ65" s="214"/>
      <c r="AOA65" s="214"/>
      <c r="AOB65" s="214"/>
      <c r="AOC65" s="214"/>
      <c r="AOD65" s="214"/>
      <c r="AOE65" s="214"/>
      <c r="AOF65" s="214"/>
      <c r="AOG65" s="214"/>
      <c r="AOH65" s="214"/>
      <c r="AOI65" s="214"/>
      <c r="AOJ65" s="214"/>
      <c r="AOK65" s="214"/>
      <c r="AOL65" s="214"/>
      <c r="AOM65" s="214"/>
      <c r="AON65" s="214"/>
      <c r="AOO65" s="214"/>
      <c r="AOP65" s="214"/>
      <c r="AOQ65" s="214"/>
      <c r="AOR65" s="214"/>
      <c r="AOS65" s="214"/>
      <c r="AOT65" s="214"/>
      <c r="AOU65" s="214"/>
      <c r="AOV65" s="214"/>
      <c r="AOW65" s="214"/>
      <c r="AOX65" s="214"/>
      <c r="AOY65" s="214"/>
      <c r="AOZ65" s="214"/>
      <c r="APA65" s="214"/>
      <c r="APB65" s="214"/>
      <c r="APC65" s="214"/>
      <c r="APD65" s="214"/>
      <c r="APE65" s="214"/>
      <c r="APF65" s="214"/>
      <c r="APG65" s="214"/>
      <c r="APH65" s="214"/>
      <c r="API65" s="214"/>
      <c r="APJ65" s="214"/>
      <c r="APK65" s="214"/>
      <c r="APL65" s="214"/>
      <c r="APM65" s="214"/>
      <c r="APN65" s="214"/>
      <c r="APO65" s="214"/>
      <c r="APP65" s="214"/>
      <c r="APQ65" s="214"/>
      <c r="APR65" s="214"/>
      <c r="APS65" s="214"/>
      <c r="APT65" s="214"/>
      <c r="APU65" s="214"/>
      <c r="APV65" s="214"/>
      <c r="APW65" s="214"/>
      <c r="APX65" s="214"/>
      <c r="APY65" s="214"/>
      <c r="APZ65" s="214"/>
      <c r="AQA65" s="214"/>
      <c r="AQB65" s="214"/>
      <c r="AQC65" s="214"/>
      <c r="AQD65" s="214"/>
      <c r="AQE65" s="214"/>
      <c r="AQF65" s="214"/>
      <c r="AQG65" s="214"/>
      <c r="AQH65" s="214"/>
      <c r="AQI65" s="214"/>
      <c r="AQJ65" s="214"/>
      <c r="AQK65" s="214"/>
      <c r="AQL65" s="214"/>
      <c r="AQM65" s="214"/>
      <c r="AQN65" s="214"/>
      <c r="AQO65" s="214"/>
      <c r="AQP65" s="214"/>
      <c r="AQQ65" s="214"/>
      <c r="AQR65" s="214"/>
      <c r="AQS65" s="214"/>
      <c r="AQT65" s="214"/>
      <c r="AQU65" s="214"/>
      <c r="AQV65" s="214"/>
      <c r="AQW65" s="214"/>
      <c r="AQX65" s="214"/>
      <c r="AQY65" s="214"/>
      <c r="AQZ65" s="214"/>
      <c r="ARA65" s="214"/>
      <c r="ARB65" s="214"/>
      <c r="ARC65" s="214"/>
      <c r="ARD65" s="214"/>
      <c r="ARE65" s="214"/>
      <c r="ARF65" s="214"/>
      <c r="ARG65" s="214"/>
      <c r="ARH65" s="214"/>
      <c r="ARI65" s="214"/>
      <c r="ARJ65" s="214"/>
      <c r="ARK65" s="214"/>
      <c r="ARL65" s="214"/>
      <c r="ARM65" s="214"/>
      <c r="ARN65" s="214"/>
      <c r="ARO65" s="214"/>
      <c r="ARP65" s="214"/>
      <c r="ARQ65" s="214"/>
      <c r="ARR65" s="214"/>
      <c r="ARS65" s="214"/>
      <c r="ART65" s="214"/>
      <c r="ARU65" s="214"/>
      <c r="ARV65" s="214"/>
      <c r="ARW65" s="214"/>
      <c r="ARX65" s="214"/>
      <c r="ARY65" s="214"/>
      <c r="ARZ65" s="214"/>
      <c r="ASA65" s="214"/>
      <c r="ASB65" s="214"/>
      <c r="ASC65" s="214"/>
      <c r="ASD65" s="214"/>
      <c r="ASE65" s="214"/>
      <c r="ASF65" s="214"/>
      <c r="ASG65" s="214"/>
      <c r="ASH65" s="214"/>
      <c r="ASI65" s="214"/>
      <c r="ASJ65" s="214"/>
      <c r="ASK65" s="214"/>
      <c r="ASL65" s="214"/>
      <c r="ASM65" s="214"/>
      <c r="ASN65" s="214"/>
      <c r="ASO65" s="214"/>
      <c r="ASP65" s="214"/>
      <c r="ASQ65" s="214"/>
      <c r="ASR65" s="214"/>
      <c r="ASS65" s="214"/>
      <c r="AST65" s="214"/>
      <c r="ASU65" s="214"/>
      <c r="ASV65" s="214"/>
      <c r="ASW65" s="214"/>
      <c r="ASX65" s="214"/>
      <c r="ASY65" s="214"/>
      <c r="ASZ65" s="214"/>
      <c r="ATA65" s="214"/>
      <c r="ATB65" s="214"/>
      <c r="ATC65" s="214"/>
      <c r="ATD65" s="214"/>
      <c r="ATE65" s="214"/>
      <c r="ATF65" s="214"/>
      <c r="ATG65" s="214"/>
      <c r="ATH65" s="214"/>
      <c r="ATI65" s="214"/>
      <c r="ATJ65" s="214"/>
      <c r="ATK65" s="214"/>
      <c r="ATL65" s="214"/>
      <c r="ATM65" s="214"/>
      <c r="ATN65" s="214"/>
      <c r="ATO65" s="214"/>
      <c r="ATP65" s="214"/>
      <c r="ATQ65" s="214"/>
      <c r="ATR65" s="214"/>
      <c r="ATS65" s="214"/>
      <c r="ATT65" s="214"/>
      <c r="ATU65" s="214"/>
      <c r="ATV65" s="214"/>
      <c r="ATW65" s="214"/>
      <c r="ATX65" s="214"/>
      <c r="ATY65" s="214"/>
      <c r="ATZ65" s="214"/>
      <c r="AUA65" s="214"/>
      <c r="AUB65" s="214"/>
      <c r="AUC65" s="214"/>
      <c r="AUD65" s="214"/>
      <c r="AUE65" s="214"/>
      <c r="AUF65" s="214"/>
      <c r="AUG65" s="214"/>
      <c r="AUH65" s="214"/>
      <c r="AUI65" s="214"/>
      <c r="AUJ65" s="214"/>
      <c r="AUK65" s="214"/>
      <c r="AUL65" s="214"/>
      <c r="AUM65" s="214"/>
      <c r="AUN65" s="214"/>
      <c r="AUO65" s="214"/>
      <c r="AUP65" s="214"/>
      <c r="AUQ65" s="214"/>
      <c r="AUR65" s="214"/>
      <c r="AUS65" s="214"/>
      <c r="AUT65" s="214"/>
      <c r="AUU65" s="214"/>
      <c r="AUV65" s="214"/>
      <c r="AUW65" s="214"/>
      <c r="AUX65" s="214"/>
      <c r="AUY65" s="214"/>
      <c r="AUZ65" s="214"/>
      <c r="AVA65" s="214"/>
      <c r="AVB65" s="214"/>
      <c r="AVC65" s="214"/>
      <c r="AVD65" s="214"/>
      <c r="AVE65" s="214"/>
      <c r="AVF65" s="214"/>
      <c r="AVG65" s="214"/>
      <c r="AVH65" s="214"/>
      <c r="AVI65" s="214"/>
      <c r="AVJ65" s="214"/>
      <c r="AVK65" s="214"/>
      <c r="AVL65" s="214"/>
      <c r="AVM65" s="214"/>
      <c r="AVN65" s="214"/>
      <c r="AVO65" s="214"/>
      <c r="AVP65" s="214"/>
      <c r="AVQ65" s="214"/>
      <c r="AVR65" s="214"/>
      <c r="AVS65" s="214"/>
      <c r="AVT65" s="214"/>
      <c r="AVU65" s="214"/>
      <c r="AVV65" s="214"/>
      <c r="AVW65" s="214"/>
      <c r="AVX65" s="214"/>
      <c r="AVY65" s="214"/>
      <c r="AVZ65" s="214"/>
      <c r="AWA65" s="214"/>
      <c r="AWB65" s="214"/>
      <c r="AWC65" s="214"/>
      <c r="AWD65" s="214"/>
      <c r="AWE65" s="214"/>
      <c r="AWF65" s="214"/>
      <c r="AWG65" s="214"/>
      <c r="AWH65" s="214"/>
      <c r="AWI65" s="214"/>
      <c r="AWJ65" s="214"/>
      <c r="AWK65" s="214"/>
      <c r="AWL65" s="214"/>
      <c r="AWM65" s="214"/>
      <c r="AWN65" s="214"/>
      <c r="AWO65" s="214"/>
      <c r="AWP65" s="214"/>
      <c r="AWQ65" s="214"/>
      <c r="AWR65" s="214"/>
      <c r="AWS65" s="214"/>
      <c r="AWT65" s="214"/>
      <c r="AWU65" s="214"/>
      <c r="AWV65" s="214"/>
      <c r="AWW65" s="214"/>
      <c r="AWX65" s="214"/>
      <c r="AWY65" s="214"/>
      <c r="AWZ65" s="214"/>
      <c r="AXA65" s="214"/>
      <c r="AXB65" s="214"/>
      <c r="AXC65" s="214"/>
      <c r="AXD65" s="214"/>
      <c r="AXE65" s="214"/>
      <c r="AXF65" s="214"/>
      <c r="AXG65" s="214"/>
      <c r="AXH65" s="214"/>
      <c r="AXI65" s="214"/>
      <c r="AXJ65" s="214"/>
      <c r="AXK65" s="214"/>
      <c r="AXL65" s="214"/>
      <c r="AXM65" s="214"/>
      <c r="AXN65" s="214"/>
      <c r="AXO65" s="214"/>
      <c r="AXP65" s="214"/>
      <c r="AXQ65" s="214"/>
      <c r="AXR65" s="214"/>
      <c r="AXS65" s="214"/>
      <c r="AXT65" s="214"/>
      <c r="AXU65" s="214"/>
      <c r="AXV65" s="214"/>
      <c r="AXW65" s="214"/>
      <c r="AXX65" s="214"/>
      <c r="AXY65" s="214"/>
      <c r="AXZ65" s="214"/>
      <c r="AYA65" s="214"/>
      <c r="AYB65" s="214"/>
      <c r="AYC65" s="214"/>
      <c r="AYD65" s="214"/>
      <c r="AYE65" s="214"/>
      <c r="AYF65" s="214"/>
      <c r="AYG65" s="214"/>
      <c r="AYH65" s="214"/>
      <c r="AYI65" s="214"/>
      <c r="AYJ65" s="214"/>
      <c r="AYK65" s="214"/>
      <c r="AYL65" s="214"/>
      <c r="AYM65" s="214"/>
      <c r="AYN65" s="214"/>
      <c r="AYO65" s="214"/>
      <c r="AYP65" s="214"/>
      <c r="AYQ65" s="214"/>
      <c r="AYR65" s="214"/>
      <c r="AYS65" s="214"/>
      <c r="AYT65" s="214"/>
      <c r="AYU65" s="214"/>
      <c r="AYV65" s="214"/>
      <c r="AYW65" s="214"/>
      <c r="AYX65" s="214"/>
      <c r="AYY65" s="214"/>
      <c r="AYZ65" s="214"/>
      <c r="AZA65" s="214"/>
      <c r="AZB65" s="214"/>
      <c r="AZC65" s="214"/>
      <c r="AZD65" s="214"/>
      <c r="AZE65" s="214"/>
      <c r="AZF65" s="214"/>
      <c r="AZG65" s="214"/>
      <c r="AZH65" s="214"/>
      <c r="AZI65" s="214"/>
      <c r="AZJ65" s="214"/>
      <c r="AZK65" s="214"/>
      <c r="AZL65" s="214"/>
      <c r="AZM65" s="214"/>
      <c r="AZN65" s="214"/>
      <c r="AZO65" s="214"/>
      <c r="AZP65" s="214"/>
      <c r="AZQ65" s="214"/>
      <c r="AZR65" s="214"/>
      <c r="AZS65" s="214"/>
      <c r="AZT65" s="214"/>
      <c r="AZU65" s="214"/>
      <c r="AZV65" s="214"/>
      <c r="AZW65" s="214"/>
      <c r="AZX65" s="214"/>
      <c r="AZY65" s="214"/>
      <c r="AZZ65" s="214"/>
      <c r="BAA65" s="214"/>
      <c r="BAB65" s="214"/>
      <c r="BAC65" s="214"/>
      <c r="BAD65" s="214"/>
      <c r="BAE65" s="214"/>
      <c r="BAF65" s="214"/>
      <c r="BAG65" s="214"/>
      <c r="BAH65" s="214"/>
      <c r="BAI65" s="214"/>
      <c r="BAJ65" s="214"/>
      <c r="BAK65" s="214"/>
      <c r="BAL65" s="214"/>
      <c r="BAM65" s="214"/>
      <c r="BAN65" s="214"/>
      <c r="BAO65" s="214"/>
      <c r="BAP65" s="214"/>
      <c r="BAQ65" s="214"/>
      <c r="BAR65" s="214"/>
      <c r="BAS65" s="214"/>
      <c r="BAT65" s="214"/>
      <c r="BAU65" s="214"/>
      <c r="BAV65" s="214"/>
      <c r="BAW65" s="214"/>
      <c r="BAX65" s="214"/>
      <c r="BAY65" s="214"/>
      <c r="BAZ65" s="214"/>
      <c r="BBA65" s="214"/>
      <c r="BBB65" s="214"/>
      <c r="BBC65" s="214"/>
      <c r="BBD65" s="214"/>
      <c r="BBE65" s="214"/>
      <c r="BBF65" s="214"/>
      <c r="BBG65" s="214"/>
      <c r="BBH65" s="214"/>
      <c r="BBI65" s="214"/>
      <c r="BBJ65" s="214"/>
      <c r="BBK65" s="214"/>
      <c r="BBL65" s="214"/>
      <c r="BBM65" s="214"/>
      <c r="BBN65" s="214"/>
      <c r="BBO65" s="214"/>
      <c r="BBP65" s="214"/>
      <c r="BBQ65" s="214"/>
      <c r="BBR65" s="214"/>
      <c r="BBS65" s="214"/>
      <c r="BBT65" s="214"/>
      <c r="BBU65" s="214"/>
      <c r="BBV65" s="214"/>
      <c r="BBW65" s="214"/>
      <c r="BBX65" s="214"/>
      <c r="BBY65" s="214"/>
      <c r="BBZ65" s="214"/>
      <c r="BCA65" s="214"/>
      <c r="BCB65" s="214"/>
      <c r="BCC65" s="214"/>
      <c r="BCD65" s="214"/>
      <c r="BCE65" s="214"/>
      <c r="BCF65" s="214"/>
      <c r="BCG65" s="214"/>
      <c r="BCH65" s="214"/>
      <c r="BCI65" s="214"/>
      <c r="BCJ65" s="214"/>
      <c r="BCK65" s="214"/>
      <c r="BCL65" s="214"/>
      <c r="BCM65" s="214"/>
      <c r="BCN65" s="214"/>
      <c r="BCO65" s="214"/>
      <c r="BCP65" s="214"/>
      <c r="BCQ65" s="214"/>
      <c r="BCR65" s="214"/>
      <c r="BCS65" s="214"/>
      <c r="BCT65" s="214"/>
      <c r="BCU65" s="214"/>
      <c r="BCV65" s="214"/>
      <c r="BCW65" s="214"/>
      <c r="BCX65" s="214"/>
      <c r="BCY65" s="214"/>
      <c r="BCZ65" s="214"/>
      <c r="BDA65" s="214"/>
      <c r="BDB65" s="214"/>
      <c r="BDC65" s="214"/>
      <c r="BDD65" s="214"/>
      <c r="BDE65" s="214"/>
      <c r="BDF65" s="214"/>
      <c r="BDG65" s="214"/>
      <c r="BDH65" s="214"/>
      <c r="BDI65" s="214"/>
      <c r="BDJ65" s="214"/>
      <c r="BDK65" s="214"/>
      <c r="BDL65" s="214"/>
      <c r="BDM65" s="214"/>
      <c r="BDN65" s="214"/>
      <c r="BDO65" s="214"/>
      <c r="BDP65" s="214"/>
      <c r="BDQ65" s="214"/>
      <c r="BDR65" s="214"/>
      <c r="BDS65" s="214"/>
      <c r="BDT65" s="214"/>
      <c r="BDU65" s="214"/>
      <c r="BDV65" s="214"/>
      <c r="BDW65" s="214"/>
      <c r="BDX65" s="214"/>
      <c r="BDY65" s="214"/>
      <c r="BDZ65" s="214"/>
      <c r="BEA65" s="214"/>
      <c r="BEB65" s="214"/>
      <c r="BEC65" s="214"/>
      <c r="BED65" s="214"/>
      <c r="BEE65" s="214"/>
      <c r="BEF65" s="214"/>
      <c r="BEG65" s="214"/>
      <c r="BEH65" s="214"/>
      <c r="BEI65" s="214"/>
      <c r="BEJ65" s="214"/>
      <c r="BEK65" s="214"/>
      <c r="BEL65" s="214"/>
      <c r="BEM65" s="214"/>
      <c r="BEN65" s="214"/>
      <c r="BEO65" s="214"/>
      <c r="BEP65" s="214"/>
      <c r="BEQ65" s="214"/>
      <c r="BER65" s="214"/>
      <c r="BES65" s="214"/>
      <c r="BET65" s="214"/>
      <c r="BEU65" s="214"/>
      <c r="BEV65" s="214"/>
      <c r="BEW65" s="214"/>
      <c r="BEX65" s="214"/>
      <c r="BEY65" s="214"/>
      <c r="BEZ65" s="214"/>
      <c r="BFA65" s="214"/>
      <c r="BFB65" s="214"/>
      <c r="BFC65" s="214"/>
      <c r="BFD65" s="214"/>
      <c r="BFE65" s="214"/>
      <c r="BFF65" s="214"/>
      <c r="BFG65" s="214"/>
      <c r="BFH65" s="214"/>
      <c r="BFI65" s="214"/>
      <c r="BFJ65" s="214"/>
      <c r="BFK65" s="214"/>
      <c r="BFL65" s="214"/>
      <c r="BFM65" s="214"/>
      <c r="BFN65" s="214"/>
      <c r="BFO65" s="214"/>
      <c r="BFP65" s="214"/>
      <c r="BFQ65" s="214"/>
      <c r="BFR65" s="214"/>
      <c r="BFS65" s="214"/>
      <c r="BFT65" s="214"/>
      <c r="BFU65" s="214"/>
      <c r="BFV65" s="214"/>
      <c r="BFW65" s="214"/>
      <c r="BFX65" s="214"/>
      <c r="BFY65" s="214"/>
      <c r="BFZ65" s="214"/>
      <c r="BGA65" s="214"/>
      <c r="BGB65" s="214"/>
      <c r="BGC65" s="214"/>
      <c r="BGD65" s="214"/>
      <c r="BGE65" s="214"/>
      <c r="BGF65" s="214"/>
      <c r="BGG65" s="214"/>
      <c r="BGH65" s="214"/>
      <c r="BGI65" s="214"/>
      <c r="BGJ65" s="214"/>
      <c r="BGK65" s="214"/>
      <c r="BGL65" s="214"/>
      <c r="BGM65" s="214"/>
      <c r="BGN65" s="214"/>
      <c r="BGO65" s="214"/>
      <c r="BGP65" s="214"/>
      <c r="BGQ65" s="214"/>
      <c r="BGR65" s="214"/>
      <c r="BGS65" s="214"/>
      <c r="BGT65" s="214"/>
      <c r="BGU65" s="214"/>
      <c r="BGV65" s="214"/>
      <c r="BGW65" s="214"/>
      <c r="BGX65" s="214"/>
      <c r="BGY65" s="214"/>
      <c r="BGZ65" s="214"/>
      <c r="BHA65" s="214"/>
      <c r="BHB65" s="214"/>
      <c r="BHC65" s="214"/>
      <c r="BHD65" s="214"/>
      <c r="BHE65" s="214"/>
      <c r="BHF65" s="214"/>
      <c r="BHG65" s="214"/>
      <c r="BHH65" s="214"/>
      <c r="BHI65" s="214"/>
      <c r="BHJ65" s="214"/>
      <c r="BHK65" s="214"/>
      <c r="BHL65" s="214"/>
      <c r="BHM65" s="214"/>
      <c r="BHN65" s="214"/>
      <c r="BHO65" s="214"/>
      <c r="BHP65" s="214"/>
      <c r="BHQ65" s="214"/>
      <c r="BHR65" s="214"/>
      <c r="BHS65" s="214"/>
      <c r="BHT65" s="214"/>
      <c r="BHU65" s="214"/>
      <c r="BHV65" s="214"/>
      <c r="BHW65" s="214"/>
    </row>
    <row r="66" spans="1:1583" s="221" customFormat="1" ht="15.75" thickBot="1">
      <c r="A66" s="75" t="s">
        <v>76</v>
      </c>
      <c r="B66" s="189" t="s">
        <v>374</v>
      </c>
      <c r="C66" s="416" t="s">
        <v>497</v>
      </c>
      <c r="D66" s="435" t="s">
        <v>497</v>
      </c>
      <c r="E66" s="264" t="s">
        <v>9</v>
      </c>
      <c r="F66" s="136">
        <v>7360.4</v>
      </c>
      <c r="G66" s="60" t="s">
        <v>720</v>
      </c>
      <c r="H66" s="473">
        <f>SUM(I66:AN66)</f>
        <v>179594.03528055505</v>
      </c>
      <c r="I66" s="149">
        <f>VLOOKUP($B66,'DCS Data'!$E$2:$AJ$100,MATCH('Daily Report'!I$1,'DCS Data'!$E$2:$AJ$2,0),0)</f>
        <v>4731.0128112828079</v>
      </c>
      <c r="J66" s="255"/>
      <c r="K66" s="149">
        <f>VLOOKUP($B66,'DCS Data'!$E$2:$AJ$100,MATCH('Daily Report'!K$1,'DCS Data'!$E$2:$AJ$2,0),0)</f>
        <v>5068.4044362682198</v>
      </c>
      <c r="L66" s="149">
        <f>VLOOKUP($B66,'DCS Data'!$E$2:$AJ$100,MATCH('Daily Report'!L$1,'DCS Data'!$E$2:$AJ$2,0),0)</f>
        <v>5121.3144859514287</v>
      </c>
      <c r="M66" s="149">
        <f>VLOOKUP($B66,'DCS Data'!$E$2:$AJ$100,MATCH('Daily Report'!M$1,'DCS Data'!$E$2:$AJ$2,0),0)</f>
        <v>5130.2947132686004</v>
      </c>
      <c r="N66" s="149">
        <f>VLOOKUP($B66,'DCS Data'!$E$2:$AJ$100,MATCH('Daily Report'!N$1,'DCS Data'!$E$2:$AJ$2,0),0)</f>
        <v>5410.7451565562778</v>
      </c>
      <c r="O66" s="149">
        <f>VLOOKUP($B66,'DCS Data'!$E$2:$AJ$100,MATCH('Daily Report'!O$1,'DCS Data'!$E$2:$AJ$2,0),0)</f>
        <v>5931.0870410364832</v>
      </c>
      <c r="P66" s="149">
        <f>VLOOKUP($B66,'DCS Data'!$E$2:$AJ$100,MATCH('Daily Report'!P$1,'DCS Data'!$E$2:$AJ$2,0),0)</f>
        <v>5941.6708230420845</v>
      </c>
      <c r="Q66" s="149">
        <f>VLOOKUP($B66,'DCS Data'!$E$2:$AJ$100,MATCH('Daily Report'!Q$1,'DCS Data'!$E$2:$AJ$2,0),0)</f>
        <v>5934.0519760061252</v>
      </c>
      <c r="R66" s="149">
        <f>VLOOKUP($B66,'DCS Data'!$E$2:$AJ$100,MATCH('Daily Report'!R$1,'DCS Data'!$E$2:$AJ$2,0),0)</f>
        <v>5945.3783671427564</v>
      </c>
      <c r="S66" s="149">
        <f>VLOOKUP($B66,'DCS Data'!$E$2:$AJ$100,MATCH('Daily Report'!S$1,'DCS Data'!$E$2:$AJ$2,0),0)</f>
        <v>5888.8034126508501</v>
      </c>
      <c r="T66" s="149">
        <f>VLOOKUP($B66,'DCS Data'!$E$2:$AJ$100,MATCH('Daily Report'!T$1,'DCS Data'!$E$2:$AJ$2,0),0)</f>
        <v>5852.4720342881492</v>
      </c>
      <c r="U66" s="149">
        <f>VLOOKUP($B66,'DCS Data'!$E$2:$AJ$100,MATCH('Daily Report'!U$1,'DCS Data'!$E$2:$AJ$2,0),0)</f>
        <v>5935.8741772873627</v>
      </c>
      <c r="V66" s="149">
        <f>VLOOKUP($B66,'DCS Data'!$E$2:$AJ$100,MATCH('Daily Report'!V$1,'DCS Data'!$E$2:$AJ$2,0),0)</f>
        <v>5973.9277055253297</v>
      </c>
      <c r="W66" s="149">
        <f>VLOOKUP($B66,'DCS Data'!$E$2:$AJ$100,MATCH('Daily Report'!W$1,'DCS Data'!$E$2:$AJ$2,0),0)</f>
        <v>5911.7084126091713</v>
      </c>
      <c r="X66" s="149">
        <f>VLOOKUP($B66,'DCS Data'!$E$2:$AJ$100,MATCH('Daily Report'!X$1,'DCS Data'!$E$2:$AJ$2,0),0)</f>
        <v>5886.7533841513068</v>
      </c>
      <c r="Y66" s="149">
        <f>VLOOKUP($B66,'DCS Data'!$E$2:$AJ$100,MATCH('Daily Report'!Y$1,'DCS Data'!$E$2:$AJ$2,0),0)</f>
        <v>5904.6682466902312</v>
      </c>
      <c r="Z66" s="149">
        <f>VLOOKUP($B66,'DCS Data'!$E$2:$AJ$100,MATCH('Daily Report'!Z$1,'DCS Data'!$E$2:$AJ$2,0),0)</f>
        <v>5938.3560397873825</v>
      </c>
      <c r="AA66" s="149">
        <f>VLOOKUP($B66,'DCS Data'!$E$2:$AJ$100,MATCH('Daily Report'!AA$1,'DCS Data'!$E$2:$AJ$2,0),0)</f>
        <v>5950.2760424828257</v>
      </c>
      <c r="AB66" s="149">
        <f>VLOOKUP($B66,'DCS Data'!$E$2:$AJ$100,MATCH('Daily Report'!AB$1,'DCS Data'!$E$2:$AJ$2,0),0)</f>
        <v>5954.1083752487511</v>
      </c>
      <c r="AC66" s="149">
        <f>VLOOKUP($B66,'DCS Data'!$E$2:$AJ$100,MATCH('Daily Report'!AC$1,'DCS Data'!$E$2:$AJ$2,0),0)</f>
        <v>5906.1859940511122</v>
      </c>
      <c r="AD66" s="149">
        <f>VLOOKUP($B66,'DCS Data'!$E$2:$AJ$100,MATCH('Daily Report'!AD$1,'DCS Data'!$E$2:$AJ$2,0),0)</f>
        <v>5891.7913305482843</v>
      </c>
      <c r="AE66" s="149">
        <f>VLOOKUP($B66,'DCS Data'!$E$2:$AJ$100,MATCH('Daily Report'!AE$1,'DCS Data'!$E$2:$AJ$2,0),0)</f>
        <v>5944.120734550409</v>
      </c>
      <c r="AF66" s="149">
        <f>VLOOKUP($B66,'DCS Data'!$E$2:$AJ$100,MATCH('Daily Report'!AF$1,'DCS Data'!$E$2:$AJ$2,0),0)</f>
        <v>5948.0720571924558</v>
      </c>
      <c r="AG66" s="149">
        <f>VLOOKUP($B66,'DCS Data'!$E$2:$AJ$100,MATCH('Daily Report'!AG$1,'DCS Data'!$E$2:$AJ$2,0),0)</f>
        <v>5929.5219120838137</v>
      </c>
      <c r="AH66" s="149">
        <f>VLOOKUP($B66,'DCS Data'!$E$2:$AJ$100,MATCH('Daily Report'!AH$1,'DCS Data'!$E$2:$AJ$2,0),0)</f>
        <v>5944.0895027856677</v>
      </c>
      <c r="AI66" s="149">
        <f>VLOOKUP($B66,'DCS Data'!$E$2:$AJ$100,MATCH('Daily Report'!AI$1,'DCS Data'!$E$2:$AJ$2,0),0)</f>
        <v>5921.6944278230176</v>
      </c>
      <c r="AJ66" s="149">
        <f>VLOOKUP($B66,'DCS Data'!$E$2:$AJ$100,MATCH('Daily Report'!AJ$1,'DCS Data'!$E$2:$AJ$2,0),0)</f>
        <v>5919.4018244215695</v>
      </c>
      <c r="AK66" s="149">
        <f>VLOOKUP($B66,'DCS Data'!$E$2:$AJ$100,MATCH('Daily Report'!AK$1,'DCS Data'!$E$2:$AJ$2,0),0)</f>
        <v>5905.0369608821929</v>
      </c>
      <c r="AL66" s="149">
        <f>VLOOKUP($B66,'DCS Data'!$E$2:$AJ$100,MATCH('Daily Report'!AL$1,'DCS Data'!$E$2:$AJ$2,0),0)</f>
        <v>5925.835548255639</v>
      </c>
      <c r="AM66" s="149">
        <f>VLOOKUP($B66,'DCS Data'!$E$2:$AJ$100,MATCH('Daily Report'!AM$1,'DCS Data'!$E$2:$AJ$2,0),0)</f>
        <v>5969.6921143086538</v>
      </c>
      <c r="AN66" s="149">
        <f>VLOOKUP($B66,'DCS Data'!$E$2:$AJ$100,MATCH('Daily Report'!AN$1,'DCS Data'!$E$2:$AJ$2,0),0)</f>
        <v>5977.6852323760904</v>
      </c>
      <c r="AO66" s="214"/>
      <c r="AP66" s="214"/>
      <c r="AQ66" s="214"/>
      <c r="AR66" s="214"/>
      <c r="AS66" s="214"/>
      <c r="AT66" s="214"/>
      <c r="AU66" s="214"/>
      <c r="AV66" s="214"/>
      <c r="AW66" s="214"/>
      <c r="AX66" s="214"/>
      <c r="AY66" s="214"/>
      <c r="AZ66" s="214"/>
      <c r="BA66" s="214"/>
      <c r="BB66" s="214"/>
      <c r="BC66" s="214"/>
      <c r="BD66" s="214"/>
      <c r="BE66" s="214"/>
      <c r="BF66" s="214"/>
      <c r="BG66" s="214"/>
      <c r="BH66" s="214"/>
      <c r="BI66" s="214"/>
      <c r="BJ66" s="214"/>
      <c r="BK66" s="214"/>
      <c r="BL66" s="214"/>
      <c r="BM66" s="214"/>
      <c r="BN66" s="214"/>
      <c r="BO66" s="214"/>
      <c r="BP66" s="214"/>
      <c r="BQ66" s="214"/>
      <c r="BR66" s="214"/>
      <c r="BS66" s="214"/>
      <c r="BT66" s="214"/>
      <c r="BU66" s="214"/>
      <c r="BV66" s="214"/>
      <c r="BW66" s="214"/>
      <c r="BX66" s="214"/>
      <c r="BY66" s="214"/>
      <c r="BZ66" s="214"/>
      <c r="CA66" s="214"/>
      <c r="CB66" s="214"/>
      <c r="CC66" s="214"/>
      <c r="CD66" s="214"/>
      <c r="CE66" s="214"/>
      <c r="CF66" s="214"/>
      <c r="CG66" s="214"/>
      <c r="CH66" s="214"/>
      <c r="CI66" s="214"/>
      <c r="CJ66" s="214"/>
      <c r="CK66" s="214"/>
      <c r="CL66" s="214"/>
      <c r="CM66" s="214"/>
      <c r="CN66" s="214"/>
      <c r="CO66" s="214"/>
      <c r="CP66" s="214"/>
      <c r="CQ66" s="214"/>
      <c r="CR66" s="214"/>
      <c r="CS66" s="214"/>
      <c r="CT66" s="214"/>
      <c r="CU66" s="214"/>
      <c r="CV66" s="214"/>
      <c r="CW66" s="214"/>
      <c r="CX66" s="214"/>
      <c r="CY66" s="214"/>
      <c r="CZ66" s="214"/>
      <c r="DA66" s="214"/>
      <c r="DB66" s="214"/>
      <c r="DC66" s="214"/>
      <c r="DD66" s="214"/>
      <c r="DE66" s="214"/>
      <c r="DF66" s="214"/>
      <c r="DG66" s="214"/>
      <c r="DH66" s="214"/>
      <c r="DI66" s="214"/>
      <c r="DJ66" s="214"/>
      <c r="DK66" s="214"/>
      <c r="DL66" s="214"/>
      <c r="DM66" s="214"/>
      <c r="DN66" s="214"/>
      <c r="DO66" s="214"/>
      <c r="DP66" s="214"/>
      <c r="DQ66" s="214"/>
      <c r="DR66" s="214"/>
      <c r="DS66" s="214"/>
      <c r="DT66" s="214"/>
      <c r="DU66" s="214"/>
      <c r="DV66" s="214"/>
      <c r="DW66" s="214"/>
      <c r="DX66" s="214"/>
      <c r="DY66" s="214"/>
      <c r="DZ66" s="214"/>
      <c r="EA66" s="214"/>
      <c r="EB66" s="214"/>
      <c r="EC66" s="214"/>
      <c r="ED66" s="214"/>
      <c r="EE66" s="214"/>
      <c r="EF66" s="214"/>
      <c r="EG66" s="214"/>
      <c r="EH66" s="214"/>
      <c r="EI66" s="214"/>
      <c r="EJ66" s="214"/>
      <c r="EK66" s="214"/>
      <c r="EL66" s="214"/>
      <c r="EM66" s="214"/>
      <c r="EN66" s="214"/>
      <c r="EO66" s="214"/>
      <c r="EP66" s="214"/>
      <c r="EQ66" s="214"/>
      <c r="ER66" s="214"/>
      <c r="ES66" s="214"/>
      <c r="ET66" s="214"/>
      <c r="EU66" s="214"/>
      <c r="EV66" s="214"/>
      <c r="EW66" s="214"/>
      <c r="EX66" s="214"/>
      <c r="EY66" s="214"/>
      <c r="EZ66" s="214"/>
      <c r="FA66" s="214"/>
      <c r="FB66" s="214"/>
      <c r="FC66" s="214"/>
      <c r="FD66" s="214"/>
      <c r="FE66" s="214"/>
      <c r="FF66" s="214"/>
      <c r="FG66" s="214"/>
      <c r="FH66" s="214"/>
      <c r="FI66" s="214"/>
      <c r="FJ66" s="214"/>
      <c r="FK66" s="214"/>
      <c r="FL66" s="214"/>
      <c r="FM66" s="214"/>
      <c r="FN66" s="214"/>
      <c r="FO66" s="214"/>
      <c r="FP66" s="214"/>
      <c r="FQ66" s="214"/>
      <c r="FR66" s="214"/>
      <c r="FS66" s="214"/>
      <c r="FT66" s="214"/>
      <c r="FU66" s="214"/>
      <c r="FV66" s="214"/>
      <c r="FW66" s="214"/>
      <c r="FX66" s="214"/>
      <c r="FY66" s="214"/>
      <c r="FZ66" s="214"/>
      <c r="GA66" s="214"/>
      <c r="GB66" s="214"/>
      <c r="GC66" s="214"/>
      <c r="GD66" s="214"/>
      <c r="GE66" s="214"/>
      <c r="GF66" s="214"/>
      <c r="GG66" s="214"/>
      <c r="GH66" s="214"/>
      <c r="GI66" s="214"/>
      <c r="GJ66" s="214"/>
      <c r="GK66" s="214"/>
      <c r="GL66" s="214"/>
      <c r="GM66" s="214"/>
      <c r="GN66" s="214"/>
      <c r="GO66" s="214"/>
      <c r="GP66" s="214"/>
      <c r="GQ66" s="214"/>
      <c r="GR66" s="214"/>
      <c r="GS66" s="214"/>
      <c r="GT66" s="214"/>
      <c r="GU66" s="214"/>
      <c r="GV66" s="214"/>
      <c r="GW66" s="214"/>
      <c r="GX66" s="214"/>
      <c r="GY66" s="214"/>
      <c r="GZ66" s="214"/>
      <c r="HA66" s="214"/>
      <c r="HB66" s="214"/>
      <c r="HC66" s="214"/>
      <c r="HD66" s="214"/>
      <c r="HE66" s="214"/>
      <c r="HF66" s="214"/>
      <c r="HG66" s="214"/>
      <c r="HH66" s="214"/>
      <c r="HI66" s="214"/>
      <c r="HJ66" s="214"/>
      <c r="HK66" s="214"/>
      <c r="HL66" s="214"/>
      <c r="HM66" s="214"/>
      <c r="HN66" s="214"/>
      <c r="HO66" s="214"/>
      <c r="HP66" s="214"/>
      <c r="HQ66" s="214"/>
      <c r="HR66" s="214"/>
      <c r="HS66" s="214"/>
      <c r="HT66" s="214"/>
      <c r="HU66" s="214"/>
      <c r="HV66" s="214"/>
      <c r="HW66" s="214"/>
      <c r="HX66" s="214"/>
      <c r="HY66" s="214"/>
      <c r="HZ66" s="214"/>
      <c r="IA66" s="214"/>
      <c r="IB66" s="214"/>
      <c r="IC66" s="214"/>
      <c r="ID66" s="214"/>
      <c r="IE66" s="214"/>
      <c r="IF66" s="214"/>
      <c r="IG66" s="214"/>
      <c r="IH66" s="214"/>
      <c r="II66" s="214"/>
      <c r="IJ66" s="214"/>
      <c r="IK66" s="214"/>
      <c r="IL66" s="214"/>
      <c r="IM66" s="214"/>
      <c r="IN66" s="214"/>
      <c r="IO66" s="214"/>
      <c r="IP66" s="214"/>
      <c r="IQ66" s="214"/>
      <c r="IR66" s="214"/>
      <c r="IS66" s="214"/>
      <c r="IT66" s="214"/>
      <c r="IU66" s="214"/>
      <c r="IV66" s="214"/>
      <c r="IW66" s="214"/>
      <c r="IX66" s="214"/>
      <c r="IY66" s="214"/>
      <c r="IZ66" s="214"/>
      <c r="JA66" s="214"/>
      <c r="JB66" s="214"/>
      <c r="JC66" s="214"/>
      <c r="JD66" s="214"/>
      <c r="JE66" s="214"/>
      <c r="JF66" s="214"/>
      <c r="JG66" s="214"/>
      <c r="JH66" s="214"/>
      <c r="JI66" s="214"/>
      <c r="JJ66" s="214"/>
      <c r="JK66" s="214"/>
      <c r="JL66" s="214"/>
      <c r="JM66" s="214"/>
      <c r="JN66" s="214"/>
      <c r="JO66" s="214"/>
      <c r="JP66" s="214"/>
      <c r="JQ66" s="214"/>
      <c r="JR66" s="214"/>
      <c r="JS66" s="214"/>
      <c r="JT66" s="214"/>
      <c r="JU66" s="214"/>
      <c r="JV66" s="214"/>
      <c r="JW66" s="214"/>
      <c r="JX66" s="214"/>
      <c r="JY66" s="214"/>
      <c r="JZ66" s="214"/>
      <c r="KA66" s="214"/>
      <c r="KB66" s="214"/>
      <c r="KC66" s="214"/>
      <c r="KD66" s="214"/>
      <c r="KE66" s="214"/>
      <c r="KF66" s="214"/>
      <c r="KG66" s="214"/>
      <c r="KH66" s="214"/>
      <c r="KI66" s="214"/>
      <c r="KJ66" s="214"/>
      <c r="KK66" s="214"/>
      <c r="KL66" s="214"/>
      <c r="KM66" s="214"/>
      <c r="KN66" s="214"/>
      <c r="KO66" s="214"/>
      <c r="KP66" s="214"/>
      <c r="KQ66" s="214"/>
      <c r="KR66" s="214"/>
      <c r="KS66" s="214"/>
      <c r="KT66" s="214"/>
      <c r="KU66" s="214"/>
      <c r="KV66" s="214"/>
      <c r="KW66" s="214"/>
      <c r="KX66" s="214"/>
      <c r="KY66" s="214"/>
      <c r="KZ66" s="214"/>
      <c r="LA66" s="214"/>
      <c r="LB66" s="214"/>
      <c r="LC66" s="214"/>
      <c r="LD66" s="214"/>
      <c r="LE66" s="214"/>
      <c r="LF66" s="214"/>
      <c r="LG66" s="214"/>
      <c r="LH66" s="214"/>
      <c r="LI66" s="214"/>
      <c r="LJ66" s="214"/>
      <c r="LK66" s="214"/>
      <c r="LL66" s="214"/>
      <c r="LM66" s="214"/>
      <c r="LN66" s="214"/>
      <c r="LO66" s="214"/>
      <c r="LP66" s="214"/>
      <c r="LQ66" s="214"/>
      <c r="LR66" s="214"/>
      <c r="LS66" s="214"/>
      <c r="LT66" s="214"/>
      <c r="LU66" s="214"/>
      <c r="LV66" s="214"/>
      <c r="LW66" s="214"/>
      <c r="LX66" s="214"/>
      <c r="LY66" s="214"/>
      <c r="LZ66" s="214"/>
      <c r="MA66" s="214"/>
      <c r="MB66" s="214"/>
      <c r="MC66" s="214"/>
      <c r="MD66" s="214"/>
      <c r="ME66" s="214"/>
      <c r="MF66" s="214"/>
      <c r="MG66" s="214"/>
      <c r="MH66" s="214"/>
      <c r="MI66" s="214"/>
      <c r="MJ66" s="214"/>
      <c r="MK66" s="214"/>
      <c r="ML66" s="214"/>
      <c r="MM66" s="214"/>
      <c r="MN66" s="214"/>
      <c r="MO66" s="214"/>
      <c r="MP66" s="214"/>
      <c r="MQ66" s="214"/>
      <c r="MR66" s="214"/>
      <c r="MS66" s="214"/>
      <c r="MT66" s="214"/>
      <c r="MU66" s="214"/>
      <c r="MV66" s="214"/>
      <c r="MW66" s="214"/>
      <c r="MX66" s="214"/>
      <c r="MY66" s="214"/>
      <c r="MZ66" s="214"/>
      <c r="NA66" s="214"/>
      <c r="NB66" s="214"/>
      <c r="NC66" s="214"/>
      <c r="ND66" s="214"/>
      <c r="NE66" s="214"/>
      <c r="NF66" s="214"/>
      <c r="NG66" s="214"/>
      <c r="NH66" s="214"/>
      <c r="NI66" s="214"/>
      <c r="NJ66" s="214"/>
      <c r="NK66" s="214"/>
      <c r="NL66" s="214"/>
      <c r="NM66" s="214"/>
      <c r="NN66" s="214"/>
      <c r="NO66" s="214"/>
      <c r="NP66" s="214"/>
      <c r="NQ66" s="214"/>
      <c r="NR66" s="214"/>
      <c r="NS66" s="214"/>
      <c r="NT66" s="214"/>
      <c r="NU66" s="214"/>
      <c r="NV66" s="214"/>
      <c r="NW66" s="214"/>
      <c r="NX66" s="214"/>
      <c r="NY66" s="214"/>
      <c r="NZ66" s="214"/>
      <c r="OA66" s="214"/>
      <c r="OB66" s="214"/>
      <c r="OC66" s="214"/>
      <c r="OD66" s="214"/>
      <c r="OE66" s="214"/>
      <c r="OF66" s="214"/>
      <c r="OG66" s="214"/>
      <c r="OH66" s="214"/>
      <c r="OI66" s="214"/>
      <c r="OJ66" s="214"/>
      <c r="OK66" s="214"/>
      <c r="OL66" s="214"/>
      <c r="OM66" s="214"/>
      <c r="ON66" s="214"/>
      <c r="OO66" s="214"/>
      <c r="OP66" s="214"/>
      <c r="OQ66" s="214"/>
      <c r="OR66" s="214"/>
      <c r="OS66" s="214"/>
      <c r="OT66" s="214"/>
      <c r="OU66" s="214"/>
      <c r="OV66" s="214"/>
      <c r="OW66" s="214"/>
      <c r="OX66" s="214"/>
      <c r="OY66" s="214"/>
      <c r="OZ66" s="214"/>
      <c r="PA66" s="214"/>
      <c r="PB66" s="214"/>
      <c r="PC66" s="214"/>
      <c r="PD66" s="214"/>
      <c r="PE66" s="214"/>
      <c r="PF66" s="214"/>
      <c r="PG66" s="214"/>
      <c r="PH66" s="214"/>
      <c r="PI66" s="214"/>
      <c r="PJ66" s="214"/>
      <c r="PK66" s="214"/>
      <c r="PL66" s="214"/>
      <c r="PM66" s="214"/>
      <c r="PN66" s="214"/>
      <c r="PO66" s="214"/>
      <c r="PP66" s="214"/>
      <c r="PQ66" s="214"/>
      <c r="PR66" s="214"/>
      <c r="PS66" s="214"/>
      <c r="PT66" s="214"/>
      <c r="PU66" s="214"/>
      <c r="PV66" s="214"/>
      <c r="PW66" s="214"/>
      <c r="PX66" s="214"/>
      <c r="PY66" s="214"/>
      <c r="PZ66" s="214"/>
      <c r="QA66" s="214"/>
      <c r="QB66" s="214"/>
      <c r="QC66" s="214"/>
      <c r="QD66" s="214"/>
      <c r="QE66" s="214"/>
      <c r="QF66" s="214"/>
      <c r="QG66" s="214"/>
      <c r="QH66" s="214"/>
      <c r="QI66" s="214"/>
      <c r="QJ66" s="214"/>
      <c r="QK66" s="214"/>
      <c r="QL66" s="214"/>
      <c r="QM66" s="214"/>
      <c r="QN66" s="214"/>
      <c r="QO66" s="214"/>
      <c r="QP66" s="214"/>
      <c r="QQ66" s="214"/>
      <c r="QR66" s="214"/>
      <c r="QS66" s="214"/>
      <c r="QT66" s="214"/>
      <c r="QU66" s="214"/>
      <c r="QV66" s="214"/>
      <c r="QW66" s="214"/>
      <c r="QX66" s="214"/>
      <c r="QY66" s="214"/>
      <c r="QZ66" s="214"/>
      <c r="RA66" s="214"/>
      <c r="RB66" s="214"/>
      <c r="RC66" s="214"/>
      <c r="RD66" s="214"/>
      <c r="RE66" s="214"/>
      <c r="RF66" s="214"/>
      <c r="RG66" s="214"/>
      <c r="RH66" s="214"/>
      <c r="RI66" s="214"/>
      <c r="RJ66" s="214"/>
      <c r="RK66" s="214"/>
      <c r="RL66" s="214"/>
      <c r="RM66" s="214"/>
      <c r="RN66" s="214"/>
      <c r="RO66" s="214"/>
      <c r="RP66" s="214"/>
      <c r="RQ66" s="214"/>
      <c r="RR66" s="214"/>
      <c r="RS66" s="214"/>
      <c r="RT66" s="214"/>
      <c r="RU66" s="214"/>
      <c r="RV66" s="214"/>
      <c r="RW66" s="214"/>
      <c r="RX66" s="214"/>
      <c r="RY66" s="214"/>
      <c r="RZ66" s="214"/>
      <c r="SA66" s="214"/>
      <c r="SB66" s="214"/>
      <c r="SC66" s="214"/>
      <c r="SD66" s="214"/>
      <c r="SE66" s="214"/>
      <c r="SF66" s="214"/>
      <c r="SG66" s="214"/>
      <c r="SH66" s="214"/>
      <c r="SI66" s="214"/>
      <c r="SJ66" s="214"/>
      <c r="SK66" s="214"/>
      <c r="SL66" s="214"/>
      <c r="SM66" s="214"/>
      <c r="SN66" s="214"/>
      <c r="SO66" s="214"/>
      <c r="SP66" s="214"/>
      <c r="SQ66" s="214"/>
      <c r="SR66" s="214"/>
      <c r="SS66" s="214"/>
      <c r="ST66" s="214"/>
      <c r="SU66" s="214"/>
      <c r="SV66" s="214"/>
      <c r="SW66" s="214"/>
      <c r="SX66" s="214"/>
      <c r="SY66" s="214"/>
      <c r="SZ66" s="214"/>
      <c r="TA66" s="214"/>
      <c r="TB66" s="214"/>
      <c r="TC66" s="214"/>
      <c r="TD66" s="214"/>
      <c r="TE66" s="214"/>
      <c r="TF66" s="214"/>
      <c r="TG66" s="214"/>
      <c r="TH66" s="214"/>
      <c r="TI66" s="214"/>
      <c r="TJ66" s="214"/>
      <c r="TK66" s="214"/>
      <c r="TL66" s="214"/>
      <c r="TM66" s="214"/>
      <c r="TN66" s="214"/>
      <c r="TO66" s="214"/>
      <c r="TP66" s="214"/>
      <c r="TQ66" s="214"/>
      <c r="TR66" s="214"/>
      <c r="TS66" s="214"/>
      <c r="TT66" s="214"/>
      <c r="TU66" s="214"/>
      <c r="TV66" s="214"/>
      <c r="TW66" s="214"/>
      <c r="TX66" s="214"/>
      <c r="TY66" s="214"/>
      <c r="TZ66" s="214"/>
      <c r="UA66" s="214"/>
      <c r="UB66" s="214"/>
      <c r="UC66" s="214"/>
      <c r="UD66" s="214"/>
      <c r="UE66" s="214"/>
      <c r="UF66" s="214"/>
      <c r="UG66" s="214"/>
      <c r="UH66" s="214"/>
      <c r="UI66" s="214"/>
      <c r="UJ66" s="214"/>
      <c r="UK66" s="214"/>
      <c r="UL66" s="214"/>
      <c r="UM66" s="214"/>
      <c r="UN66" s="214"/>
      <c r="UO66" s="214"/>
      <c r="UP66" s="214"/>
      <c r="UQ66" s="214"/>
      <c r="UR66" s="214"/>
      <c r="US66" s="214"/>
      <c r="UT66" s="214"/>
      <c r="UU66" s="214"/>
      <c r="UV66" s="214"/>
      <c r="UW66" s="214"/>
      <c r="UX66" s="214"/>
      <c r="UY66" s="214"/>
      <c r="UZ66" s="214"/>
      <c r="VA66" s="214"/>
      <c r="VB66" s="214"/>
      <c r="VC66" s="214"/>
      <c r="VD66" s="214"/>
      <c r="VE66" s="214"/>
      <c r="VF66" s="214"/>
      <c r="VG66" s="214"/>
      <c r="VH66" s="214"/>
      <c r="VI66" s="214"/>
      <c r="VJ66" s="214"/>
      <c r="VK66" s="214"/>
      <c r="VL66" s="214"/>
      <c r="VM66" s="214"/>
      <c r="VN66" s="214"/>
      <c r="VO66" s="214"/>
      <c r="VP66" s="214"/>
      <c r="VQ66" s="214"/>
      <c r="VR66" s="214"/>
      <c r="VS66" s="214"/>
      <c r="VT66" s="214"/>
      <c r="VU66" s="214"/>
      <c r="VV66" s="214"/>
      <c r="VW66" s="214"/>
      <c r="VX66" s="214"/>
      <c r="VY66" s="214"/>
      <c r="VZ66" s="214"/>
      <c r="WA66" s="214"/>
      <c r="WB66" s="214"/>
      <c r="WC66" s="214"/>
      <c r="WD66" s="214"/>
      <c r="WE66" s="214"/>
      <c r="WF66" s="214"/>
      <c r="WG66" s="214"/>
      <c r="WH66" s="214"/>
      <c r="WI66" s="214"/>
      <c r="WJ66" s="214"/>
      <c r="WK66" s="214"/>
      <c r="WL66" s="214"/>
      <c r="WM66" s="214"/>
      <c r="WN66" s="214"/>
      <c r="WO66" s="214"/>
      <c r="WP66" s="214"/>
      <c r="WQ66" s="214"/>
      <c r="WR66" s="214"/>
      <c r="WS66" s="214"/>
      <c r="WT66" s="214"/>
      <c r="WU66" s="214"/>
      <c r="WV66" s="214"/>
      <c r="WW66" s="214"/>
      <c r="WX66" s="214"/>
      <c r="WY66" s="214"/>
      <c r="WZ66" s="214"/>
      <c r="XA66" s="214"/>
      <c r="XB66" s="214"/>
      <c r="XC66" s="214"/>
      <c r="XD66" s="214"/>
      <c r="XE66" s="214"/>
      <c r="XF66" s="214"/>
      <c r="XG66" s="214"/>
      <c r="XH66" s="214"/>
      <c r="XI66" s="214"/>
      <c r="XJ66" s="214"/>
      <c r="XK66" s="214"/>
      <c r="XL66" s="214"/>
      <c r="XM66" s="214"/>
      <c r="XN66" s="214"/>
      <c r="XO66" s="214"/>
      <c r="XP66" s="214"/>
      <c r="XQ66" s="214"/>
      <c r="XR66" s="214"/>
      <c r="XS66" s="214"/>
      <c r="XT66" s="214"/>
      <c r="XU66" s="214"/>
      <c r="XV66" s="214"/>
      <c r="XW66" s="214"/>
      <c r="XX66" s="214"/>
      <c r="XY66" s="214"/>
      <c r="XZ66" s="214"/>
      <c r="YA66" s="214"/>
      <c r="YB66" s="214"/>
      <c r="YC66" s="214"/>
      <c r="YD66" s="214"/>
      <c r="YE66" s="214"/>
      <c r="YF66" s="214"/>
      <c r="YG66" s="214"/>
      <c r="YH66" s="214"/>
      <c r="YI66" s="214"/>
      <c r="YJ66" s="214"/>
      <c r="YK66" s="214"/>
      <c r="YL66" s="214"/>
      <c r="YM66" s="214"/>
      <c r="YN66" s="214"/>
      <c r="YO66" s="214"/>
      <c r="YP66" s="214"/>
      <c r="YQ66" s="214"/>
      <c r="YR66" s="214"/>
      <c r="YS66" s="214"/>
      <c r="YT66" s="214"/>
      <c r="YU66" s="214"/>
      <c r="YV66" s="214"/>
      <c r="YW66" s="214"/>
      <c r="YX66" s="214"/>
      <c r="YY66" s="214"/>
      <c r="YZ66" s="214"/>
      <c r="ZA66" s="214"/>
      <c r="ZB66" s="214"/>
      <c r="ZC66" s="214"/>
      <c r="ZD66" s="214"/>
      <c r="ZE66" s="214"/>
      <c r="ZF66" s="214"/>
      <c r="ZG66" s="214"/>
      <c r="ZH66" s="214"/>
      <c r="ZI66" s="214"/>
      <c r="ZJ66" s="214"/>
      <c r="ZK66" s="214"/>
      <c r="ZL66" s="214"/>
      <c r="ZM66" s="214"/>
      <c r="ZN66" s="214"/>
      <c r="ZO66" s="214"/>
      <c r="ZP66" s="214"/>
      <c r="ZQ66" s="214"/>
      <c r="ZR66" s="214"/>
      <c r="ZS66" s="214"/>
      <c r="ZT66" s="214"/>
      <c r="ZU66" s="214"/>
      <c r="ZV66" s="214"/>
      <c r="ZW66" s="214"/>
      <c r="ZX66" s="214"/>
      <c r="ZY66" s="214"/>
      <c r="ZZ66" s="214"/>
      <c r="AAA66" s="214"/>
      <c r="AAB66" s="214"/>
      <c r="AAC66" s="214"/>
      <c r="AAD66" s="214"/>
      <c r="AAE66" s="214"/>
      <c r="AAF66" s="214"/>
      <c r="AAG66" s="214"/>
      <c r="AAH66" s="214"/>
      <c r="AAI66" s="214"/>
      <c r="AAJ66" s="214"/>
      <c r="AAK66" s="214"/>
      <c r="AAL66" s="214"/>
      <c r="AAM66" s="214"/>
      <c r="AAN66" s="214"/>
      <c r="AAO66" s="214"/>
      <c r="AAP66" s="214"/>
      <c r="AAQ66" s="214"/>
      <c r="AAR66" s="214"/>
      <c r="AAS66" s="214"/>
      <c r="AAT66" s="214"/>
      <c r="AAU66" s="214"/>
      <c r="AAV66" s="214"/>
      <c r="AAW66" s="214"/>
      <c r="AAX66" s="214"/>
      <c r="AAY66" s="214"/>
      <c r="AAZ66" s="214"/>
      <c r="ABA66" s="214"/>
      <c r="ABB66" s="214"/>
      <c r="ABC66" s="214"/>
      <c r="ABD66" s="214"/>
      <c r="ABE66" s="214"/>
      <c r="ABF66" s="214"/>
      <c r="ABG66" s="214"/>
      <c r="ABH66" s="214"/>
      <c r="ABI66" s="214"/>
      <c r="ABJ66" s="214"/>
      <c r="ABK66" s="214"/>
      <c r="ABL66" s="214"/>
      <c r="ABM66" s="214"/>
      <c r="ABN66" s="214"/>
      <c r="ABO66" s="214"/>
      <c r="ABP66" s="214"/>
      <c r="ABQ66" s="214"/>
      <c r="ABR66" s="214"/>
      <c r="ABS66" s="214"/>
      <c r="ABT66" s="214"/>
      <c r="ABU66" s="214"/>
      <c r="ABV66" s="214"/>
      <c r="ABW66" s="214"/>
      <c r="ABX66" s="214"/>
      <c r="ABY66" s="214"/>
      <c r="ABZ66" s="214"/>
      <c r="ACA66" s="214"/>
      <c r="ACB66" s="214"/>
      <c r="ACC66" s="214"/>
      <c r="ACD66" s="214"/>
      <c r="ACE66" s="214"/>
      <c r="ACF66" s="214"/>
      <c r="ACG66" s="214"/>
      <c r="ACH66" s="214"/>
      <c r="ACI66" s="214"/>
      <c r="ACJ66" s="214"/>
      <c r="ACK66" s="214"/>
      <c r="ACL66" s="214"/>
      <c r="ACM66" s="214"/>
      <c r="ACN66" s="214"/>
      <c r="ACO66" s="214"/>
      <c r="ACP66" s="214"/>
      <c r="ACQ66" s="214"/>
      <c r="ACR66" s="214"/>
      <c r="ACS66" s="214"/>
      <c r="ACT66" s="214"/>
      <c r="ACU66" s="214"/>
      <c r="ACV66" s="214"/>
      <c r="ACW66" s="214"/>
      <c r="ACX66" s="214"/>
      <c r="ACY66" s="214"/>
      <c r="ACZ66" s="214"/>
      <c r="ADA66" s="214"/>
      <c r="ADB66" s="214"/>
      <c r="ADC66" s="214"/>
      <c r="ADD66" s="214"/>
      <c r="ADE66" s="214"/>
      <c r="ADF66" s="214"/>
      <c r="ADG66" s="214"/>
      <c r="ADH66" s="214"/>
      <c r="ADI66" s="214"/>
      <c r="ADJ66" s="214"/>
      <c r="ADK66" s="214"/>
      <c r="ADL66" s="214"/>
      <c r="ADM66" s="214"/>
      <c r="ADN66" s="214"/>
      <c r="ADO66" s="214"/>
      <c r="ADP66" s="214"/>
      <c r="ADQ66" s="214"/>
      <c r="ADR66" s="214"/>
      <c r="ADS66" s="214"/>
      <c r="ADT66" s="214"/>
      <c r="ADU66" s="214"/>
      <c r="ADV66" s="214"/>
      <c r="ADW66" s="214"/>
      <c r="ADX66" s="214"/>
      <c r="ADY66" s="214"/>
      <c r="ADZ66" s="214"/>
      <c r="AEA66" s="214"/>
      <c r="AEB66" s="214"/>
      <c r="AEC66" s="214"/>
      <c r="AED66" s="214"/>
      <c r="AEE66" s="214"/>
      <c r="AEF66" s="214"/>
      <c r="AEG66" s="214"/>
      <c r="AEH66" s="214"/>
      <c r="AEI66" s="214"/>
      <c r="AEJ66" s="214"/>
      <c r="AEK66" s="214"/>
      <c r="AEL66" s="214"/>
      <c r="AEM66" s="214"/>
      <c r="AEN66" s="214"/>
      <c r="AEO66" s="214"/>
      <c r="AEP66" s="214"/>
      <c r="AEQ66" s="214"/>
      <c r="AER66" s="214"/>
      <c r="AES66" s="214"/>
      <c r="AET66" s="214"/>
      <c r="AEU66" s="214"/>
      <c r="AEV66" s="214"/>
      <c r="AEW66" s="214"/>
      <c r="AEX66" s="214"/>
      <c r="AEY66" s="214"/>
      <c r="AEZ66" s="214"/>
      <c r="AFA66" s="214"/>
      <c r="AFB66" s="214"/>
      <c r="AFC66" s="214"/>
      <c r="AFD66" s="214"/>
      <c r="AFE66" s="214"/>
      <c r="AFF66" s="214"/>
      <c r="AFG66" s="214"/>
      <c r="AFH66" s="214"/>
      <c r="AFI66" s="214"/>
      <c r="AFJ66" s="214"/>
      <c r="AFK66" s="214"/>
      <c r="AFL66" s="214"/>
      <c r="AFM66" s="214"/>
      <c r="AFN66" s="214"/>
      <c r="AFO66" s="214"/>
      <c r="AFP66" s="214"/>
      <c r="AFQ66" s="214"/>
      <c r="AFR66" s="214"/>
      <c r="AFS66" s="214"/>
      <c r="AFT66" s="214"/>
      <c r="AFU66" s="214"/>
      <c r="AFV66" s="214"/>
      <c r="AFW66" s="214"/>
      <c r="AFX66" s="214"/>
      <c r="AFY66" s="214"/>
      <c r="AFZ66" s="214"/>
      <c r="AGA66" s="214"/>
      <c r="AGB66" s="214"/>
      <c r="AGC66" s="214"/>
      <c r="AGD66" s="214"/>
      <c r="AGE66" s="214"/>
      <c r="AGF66" s="214"/>
      <c r="AGG66" s="214"/>
      <c r="AGH66" s="214"/>
      <c r="AGI66" s="214"/>
      <c r="AGJ66" s="214"/>
      <c r="AGK66" s="214"/>
      <c r="AGL66" s="214"/>
      <c r="AGM66" s="214"/>
      <c r="AGN66" s="214"/>
      <c r="AGO66" s="214"/>
      <c r="AGP66" s="214"/>
      <c r="AGQ66" s="214"/>
      <c r="AGR66" s="214"/>
      <c r="AGS66" s="214"/>
      <c r="AGT66" s="214"/>
      <c r="AGU66" s="214"/>
      <c r="AGV66" s="214"/>
      <c r="AGW66" s="214"/>
      <c r="AGX66" s="214"/>
      <c r="AGY66" s="214"/>
      <c r="AGZ66" s="214"/>
      <c r="AHA66" s="214"/>
      <c r="AHB66" s="214"/>
      <c r="AHC66" s="214"/>
      <c r="AHD66" s="214"/>
      <c r="AHE66" s="214"/>
      <c r="AHF66" s="214"/>
      <c r="AHG66" s="214"/>
      <c r="AHH66" s="214"/>
      <c r="AHI66" s="214"/>
      <c r="AHJ66" s="214"/>
      <c r="AHK66" s="214"/>
      <c r="AHL66" s="214"/>
      <c r="AHM66" s="214"/>
      <c r="AHN66" s="214"/>
      <c r="AHO66" s="214"/>
      <c r="AHP66" s="214"/>
      <c r="AHQ66" s="214"/>
      <c r="AHR66" s="214"/>
      <c r="AHS66" s="214"/>
      <c r="AHT66" s="214"/>
      <c r="AHU66" s="214"/>
      <c r="AHV66" s="214"/>
      <c r="AHW66" s="214"/>
      <c r="AHX66" s="214"/>
      <c r="AHY66" s="214"/>
      <c r="AHZ66" s="214"/>
      <c r="AIA66" s="214"/>
      <c r="AIB66" s="214"/>
      <c r="AIC66" s="214"/>
      <c r="AID66" s="214"/>
      <c r="AIE66" s="214"/>
      <c r="AIF66" s="214"/>
      <c r="AIG66" s="214"/>
      <c r="AIH66" s="214"/>
      <c r="AII66" s="214"/>
      <c r="AIJ66" s="214"/>
      <c r="AIK66" s="214"/>
      <c r="AIL66" s="214"/>
      <c r="AIM66" s="214"/>
      <c r="AIN66" s="214"/>
      <c r="AIO66" s="214"/>
      <c r="AIP66" s="214"/>
      <c r="AIQ66" s="214"/>
      <c r="AIR66" s="214"/>
      <c r="AIS66" s="214"/>
      <c r="AIT66" s="214"/>
      <c r="AIU66" s="214"/>
      <c r="AIV66" s="214"/>
      <c r="AIW66" s="214"/>
      <c r="AIX66" s="214"/>
      <c r="AIY66" s="214"/>
      <c r="AIZ66" s="214"/>
      <c r="AJA66" s="214"/>
      <c r="AJB66" s="214"/>
      <c r="AJC66" s="214"/>
      <c r="AJD66" s="214"/>
      <c r="AJE66" s="214"/>
      <c r="AJF66" s="214"/>
      <c r="AJG66" s="214"/>
      <c r="AJH66" s="214"/>
      <c r="AJI66" s="214"/>
      <c r="AJJ66" s="214"/>
      <c r="AJK66" s="214"/>
      <c r="AJL66" s="214"/>
      <c r="AJM66" s="214"/>
      <c r="AJN66" s="214"/>
      <c r="AJO66" s="214"/>
      <c r="AJP66" s="214"/>
      <c r="AJQ66" s="214"/>
      <c r="AJR66" s="214"/>
      <c r="AJS66" s="214"/>
      <c r="AJT66" s="214"/>
      <c r="AJU66" s="214"/>
      <c r="AJV66" s="214"/>
      <c r="AJW66" s="214"/>
      <c r="AJX66" s="214"/>
      <c r="AJY66" s="214"/>
      <c r="AJZ66" s="214"/>
      <c r="AKA66" s="214"/>
      <c r="AKB66" s="214"/>
      <c r="AKC66" s="214"/>
      <c r="AKD66" s="214"/>
      <c r="AKE66" s="214"/>
      <c r="AKF66" s="214"/>
      <c r="AKG66" s="214"/>
      <c r="AKH66" s="214"/>
      <c r="AKI66" s="214"/>
      <c r="AKJ66" s="214"/>
      <c r="AKK66" s="214"/>
      <c r="AKL66" s="214"/>
      <c r="AKM66" s="214"/>
      <c r="AKN66" s="214"/>
      <c r="AKO66" s="214"/>
      <c r="AKP66" s="214"/>
      <c r="AKQ66" s="214"/>
      <c r="AKR66" s="214"/>
      <c r="AKS66" s="214"/>
      <c r="AKT66" s="214"/>
      <c r="AKU66" s="214"/>
      <c r="AKV66" s="214"/>
      <c r="AKW66" s="214"/>
      <c r="AKX66" s="214"/>
      <c r="AKY66" s="214"/>
      <c r="AKZ66" s="214"/>
      <c r="ALA66" s="214"/>
      <c r="ALB66" s="214"/>
      <c r="ALC66" s="214"/>
      <c r="ALD66" s="214"/>
      <c r="ALE66" s="214"/>
      <c r="ALF66" s="214"/>
      <c r="ALG66" s="214"/>
      <c r="ALH66" s="214"/>
      <c r="ALI66" s="214"/>
      <c r="ALJ66" s="214"/>
      <c r="ALK66" s="214"/>
      <c r="ALL66" s="214"/>
      <c r="ALM66" s="214"/>
      <c r="ALN66" s="214"/>
      <c r="ALO66" s="214"/>
      <c r="ALP66" s="214"/>
      <c r="ALQ66" s="214"/>
      <c r="ALR66" s="214"/>
      <c r="ALS66" s="214"/>
      <c r="ALT66" s="214"/>
      <c r="ALU66" s="214"/>
      <c r="ALV66" s="214"/>
      <c r="ALW66" s="214"/>
      <c r="ALX66" s="214"/>
      <c r="ALY66" s="214"/>
      <c r="ALZ66" s="214"/>
      <c r="AMA66" s="214"/>
      <c r="AMB66" s="214"/>
      <c r="AMC66" s="214"/>
      <c r="AMD66" s="214"/>
      <c r="AME66" s="214"/>
      <c r="AMF66" s="214"/>
      <c r="AMG66" s="214"/>
      <c r="AMH66" s="214"/>
      <c r="AMI66" s="214"/>
      <c r="AMJ66" s="214"/>
      <c r="AMK66" s="214"/>
      <c r="AML66" s="214"/>
      <c r="AMM66" s="214"/>
      <c r="AMN66" s="214"/>
      <c r="AMO66" s="214"/>
      <c r="AMP66" s="214"/>
      <c r="AMQ66" s="214"/>
      <c r="AMR66" s="214"/>
      <c r="AMS66" s="214"/>
      <c r="AMT66" s="214"/>
      <c r="AMU66" s="214"/>
      <c r="AMV66" s="214"/>
      <c r="AMW66" s="214"/>
      <c r="AMX66" s="214"/>
      <c r="AMY66" s="214"/>
      <c r="AMZ66" s="214"/>
      <c r="ANA66" s="214"/>
      <c r="ANB66" s="214"/>
      <c r="ANC66" s="214"/>
      <c r="AND66" s="214"/>
      <c r="ANE66" s="214"/>
      <c r="ANF66" s="214"/>
      <c r="ANG66" s="214"/>
      <c r="ANH66" s="214"/>
      <c r="ANI66" s="214"/>
      <c r="ANJ66" s="214"/>
      <c r="ANK66" s="214"/>
      <c r="ANL66" s="214"/>
      <c r="ANM66" s="214"/>
      <c r="ANN66" s="214"/>
      <c r="ANO66" s="214"/>
      <c r="ANP66" s="214"/>
      <c r="ANQ66" s="214"/>
      <c r="ANR66" s="214"/>
      <c r="ANS66" s="214"/>
      <c r="ANT66" s="214"/>
      <c r="ANU66" s="214"/>
      <c r="ANV66" s="214"/>
      <c r="ANW66" s="214"/>
      <c r="ANX66" s="214"/>
      <c r="ANY66" s="214"/>
      <c r="ANZ66" s="214"/>
      <c r="AOA66" s="214"/>
      <c r="AOB66" s="214"/>
      <c r="AOC66" s="214"/>
      <c r="AOD66" s="214"/>
      <c r="AOE66" s="214"/>
      <c r="AOF66" s="214"/>
      <c r="AOG66" s="214"/>
      <c r="AOH66" s="214"/>
      <c r="AOI66" s="214"/>
      <c r="AOJ66" s="214"/>
      <c r="AOK66" s="214"/>
      <c r="AOL66" s="214"/>
      <c r="AOM66" s="214"/>
      <c r="AON66" s="214"/>
      <c r="AOO66" s="214"/>
      <c r="AOP66" s="214"/>
      <c r="AOQ66" s="214"/>
      <c r="AOR66" s="214"/>
      <c r="AOS66" s="214"/>
      <c r="AOT66" s="214"/>
      <c r="AOU66" s="214"/>
      <c r="AOV66" s="214"/>
      <c r="AOW66" s="214"/>
      <c r="AOX66" s="214"/>
      <c r="AOY66" s="214"/>
      <c r="AOZ66" s="214"/>
      <c r="APA66" s="214"/>
      <c r="APB66" s="214"/>
      <c r="APC66" s="214"/>
      <c r="APD66" s="214"/>
      <c r="APE66" s="214"/>
      <c r="APF66" s="214"/>
      <c r="APG66" s="214"/>
      <c r="APH66" s="214"/>
      <c r="API66" s="214"/>
      <c r="APJ66" s="214"/>
      <c r="APK66" s="214"/>
      <c r="APL66" s="214"/>
      <c r="APM66" s="214"/>
      <c r="APN66" s="214"/>
      <c r="APO66" s="214"/>
      <c r="APP66" s="214"/>
      <c r="APQ66" s="214"/>
      <c r="APR66" s="214"/>
      <c r="APS66" s="214"/>
      <c r="APT66" s="214"/>
      <c r="APU66" s="214"/>
      <c r="APV66" s="214"/>
      <c r="APW66" s="214"/>
      <c r="APX66" s="214"/>
      <c r="APY66" s="214"/>
      <c r="APZ66" s="214"/>
      <c r="AQA66" s="214"/>
      <c r="AQB66" s="214"/>
      <c r="AQC66" s="214"/>
      <c r="AQD66" s="214"/>
      <c r="AQE66" s="214"/>
      <c r="AQF66" s="214"/>
      <c r="AQG66" s="214"/>
      <c r="AQH66" s="214"/>
      <c r="AQI66" s="214"/>
      <c r="AQJ66" s="214"/>
      <c r="AQK66" s="214"/>
      <c r="AQL66" s="214"/>
      <c r="AQM66" s="214"/>
      <c r="AQN66" s="214"/>
      <c r="AQO66" s="214"/>
      <c r="AQP66" s="214"/>
      <c r="AQQ66" s="214"/>
      <c r="AQR66" s="214"/>
      <c r="AQS66" s="214"/>
      <c r="AQT66" s="214"/>
      <c r="AQU66" s="214"/>
      <c r="AQV66" s="214"/>
      <c r="AQW66" s="214"/>
      <c r="AQX66" s="214"/>
      <c r="AQY66" s="214"/>
      <c r="AQZ66" s="214"/>
      <c r="ARA66" s="214"/>
      <c r="ARB66" s="214"/>
      <c r="ARC66" s="214"/>
      <c r="ARD66" s="214"/>
      <c r="ARE66" s="214"/>
      <c r="ARF66" s="214"/>
      <c r="ARG66" s="214"/>
      <c r="ARH66" s="214"/>
      <c r="ARI66" s="214"/>
      <c r="ARJ66" s="214"/>
      <c r="ARK66" s="214"/>
      <c r="ARL66" s="214"/>
      <c r="ARM66" s="214"/>
      <c r="ARN66" s="214"/>
      <c r="ARO66" s="214"/>
      <c r="ARP66" s="214"/>
      <c r="ARQ66" s="214"/>
      <c r="ARR66" s="214"/>
      <c r="ARS66" s="214"/>
      <c r="ART66" s="214"/>
      <c r="ARU66" s="214"/>
      <c r="ARV66" s="214"/>
      <c r="ARW66" s="214"/>
      <c r="ARX66" s="214"/>
      <c r="ARY66" s="214"/>
      <c r="ARZ66" s="214"/>
      <c r="ASA66" s="214"/>
      <c r="ASB66" s="214"/>
      <c r="ASC66" s="214"/>
      <c r="ASD66" s="214"/>
      <c r="ASE66" s="214"/>
      <c r="ASF66" s="214"/>
      <c r="ASG66" s="214"/>
      <c r="ASH66" s="214"/>
      <c r="ASI66" s="214"/>
      <c r="ASJ66" s="214"/>
      <c r="ASK66" s="214"/>
      <c r="ASL66" s="214"/>
      <c r="ASM66" s="214"/>
      <c r="ASN66" s="214"/>
      <c r="ASO66" s="214"/>
      <c r="ASP66" s="214"/>
      <c r="ASQ66" s="214"/>
      <c r="ASR66" s="214"/>
      <c r="ASS66" s="214"/>
      <c r="AST66" s="214"/>
      <c r="ASU66" s="214"/>
      <c r="ASV66" s="214"/>
      <c r="ASW66" s="214"/>
      <c r="ASX66" s="214"/>
      <c r="ASY66" s="214"/>
      <c r="ASZ66" s="214"/>
      <c r="ATA66" s="214"/>
      <c r="ATB66" s="214"/>
      <c r="ATC66" s="214"/>
      <c r="ATD66" s="214"/>
      <c r="ATE66" s="214"/>
      <c r="ATF66" s="214"/>
      <c r="ATG66" s="214"/>
      <c r="ATH66" s="214"/>
      <c r="ATI66" s="214"/>
      <c r="ATJ66" s="214"/>
      <c r="ATK66" s="214"/>
      <c r="ATL66" s="214"/>
      <c r="ATM66" s="214"/>
      <c r="ATN66" s="214"/>
      <c r="ATO66" s="214"/>
      <c r="ATP66" s="214"/>
      <c r="ATQ66" s="214"/>
      <c r="ATR66" s="214"/>
      <c r="ATS66" s="214"/>
      <c r="ATT66" s="214"/>
      <c r="ATU66" s="214"/>
      <c r="ATV66" s="214"/>
      <c r="ATW66" s="214"/>
      <c r="ATX66" s="214"/>
      <c r="ATY66" s="214"/>
      <c r="ATZ66" s="214"/>
      <c r="AUA66" s="214"/>
      <c r="AUB66" s="214"/>
      <c r="AUC66" s="214"/>
      <c r="AUD66" s="214"/>
      <c r="AUE66" s="214"/>
      <c r="AUF66" s="214"/>
      <c r="AUG66" s="214"/>
      <c r="AUH66" s="214"/>
      <c r="AUI66" s="214"/>
      <c r="AUJ66" s="214"/>
      <c r="AUK66" s="214"/>
      <c r="AUL66" s="214"/>
      <c r="AUM66" s="214"/>
      <c r="AUN66" s="214"/>
      <c r="AUO66" s="214"/>
      <c r="AUP66" s="214"/>
      <c r="AUQ66" s="214"/>
      <c r="AUR66" s="214"/>
      <c r="AUS66" s="214"/>
      <c r="AUT66" s="214"/>
      <c r="AUU66" s="214"/>
      <c r="AUV66" s="214"/>
      <c r="AUW66" s="214"/>
      <c r="AUX66" s="214"/>
      <c r="AUY66" s="214"/>
      <c r="AUZ66" s="214"/>
      <c r="AVA66" s="214"/>
      <c r="AVB66" s="214"/>
      <c r="AVC66" s="214"/>
      <c r="AVD66" s="214"/>
      <c r="AVE66" s="214"/>
      <c r="AVF66" s="214"/>
      <c r="AVG66" s="214"/>
      <c r="AVH66" s="214"/>
      <c r="AVI66" s="214"/>
      <c r="AVJ66" s="214"/>
      <c r="AVK66" s="214"/>
      <c r="AVL66" s="214"/>
      <c r="AVM66" s="214"/>
      <c r="AVN66" s="214"/>
      <c r="AVO66" s="214"/>
      <c r="AVP66" s="214"/>
      <c r="AVQ66" s="214"/>
      <c r="AVR66" s="214"/>
      <c r="AVS66" s="214"/>
      <c r="AVT66" s="214"/>
      <c r="AVU66" s="214"/>
      <c r="AVV66" s="214"/>
      <c r="AVW66" s="214"/>
      <c r="AVX66" s="214"/>
      <c r="AVY66" s="214"/>
      <c r="AVZ66" s="214"/>
      <c r="AWA66" s="214"/>
      <c r="AWB66" s="214"/>
      <c r="AWC66" s="214"/>
      <c r="AWD66" s="214"/>
      <c r="AWE66" s="214"/>
      <c r="AWF66" s="214"/>
      <c r="AWG66" s="214"/>
      <c r="AWH66" s="214"/>
      <c r="AWI66" s="214"/>
      <c r="AWJ66" s="214"/>
      <c r="AWK66" s="214"/>
      <c r="AWL66" s="214"/>
      <c r="AWM66" s="214"/>
      <c r="AWN66" s="214"/>
      <c r="AWO66" s="214"/>
      <c r="AWP66" s="214"/>
      <c r="AWQ66" s="214"/>
      <c r="AWR66" s="214"/>
      <c r="AWS66" s="214"/>
      <c r="AWT66" s="214"/>
      <c r="AWU66" s="214"/>
      <c r="AWV66" s="214"/>
      <c r="AWW66" s="214"/>
      <c r="AWX66" s="214"/>
      <c r="AWY66" s="214"/>
      <c r="AWZ66" s="214"/>
      <c r="AXA66" s="214"/>
      <c r="AXB66" s="214"/>
      <c r="AXC66" s="214"/>
      <c r="AXD66" s="214"/>
      <c r="AXE66" s="214"/>
      <c r="AXF66" s="214"/>
      <c r="AXG66" s="214"/>
      <c r="AXH66" s="214"/>
      <c r="AXI66" s="214"/>
      <c r="AXJ66" s="214"/>
      <c r="AXK66" s="214"/>
      <c r="AXL66" s="214"/>
      <c r="AXM66" s="214"/>
      <c r="AXN66" s="214"/>
      <c r="AXO66" s="214"/>
      <c r="AXP66" s="214"/>
      <c r="AXQ66" s="214"/>
      <c r="AXR66" s="214"/>
      <c r="AXS66" s="214"/>
      <c r="AXT66" s="214"/>
      <c r="AXU66" s="214"/>
      <c r="AXV66" s="214"/>
      <c r="AXW66" s="214"/>
      <c r="AXX66" s="214"/>
      <c r="AXY66" s="214"/>
      <c r="AXZ66" s="214"/>
      <c r="AYA66" s="214"/>
      <c r="AYB66" s="214"/>
      <c r="AYC66" s="214"/>
      <c r="AYD66" s="214"/>
      <c r="AYE66" s="214"/>
      <c r="AYF66" s="214"/>
      <c r="AYG66" s="214"/>
      <c r="AYH66" s="214"/>
      <c r="AYI66" s="214"/>
      <c r="AYJ66" s="214"/>
      <c r="AYK66" s="214"/>
      <c r="AYL66" s="214"/>
      <c r="AYM66" s="214"/>
      <c r="AYN66" s="214"/>
      <c r="AYO66" s="214"/>
      <c r="AYP66" s="214"/>
      <c r="AYQ66" s="214"/>
      <c r="AYR66" s="214"/>
      <c r="AYS66" s="214"/>
      <c r="AYT66" s="214"/>
      <c r="AYU66" s="214"/>
      <c r="AYV66" s="214"/>
      <c r="AYW66" s="214"/>
      <c r="AYX66" s="214"/>
      <c r="AYY66" s="214"/>
      <c r="AYZ66" s="214"/>
      <c r="AZA66" s="214"/>
      <c r="AZB66" s="214"/>
      <c r="AZC66" s="214"/>
      <c r="AZD66" s="214"/>
      <c r="AZE66" s="214"/>
      <c r="AZF66" s="214"/>
      <c r="AZG66" s="214"/>
      <c r="AZH66" s="214"/>
      <c r="AZI66" s="214"/>
      <c r="AZJ66" s="214"/>
      <c r="AZK66" s="214"/>
      <c r="AZL66" s="214"/>
      <c r="AZM66" s="214"/>
      <c r="AZN66" s="214"/>
      <c r="AZO66" s="214"/>
      <c r="AZP66" s="214"/>
      <c r="AZQ66" s="214"/>
      <c r="AZR66" s="214"/>
      <c r="AZS66" s="214"/>
      <c r="AZT66" s="214"/>
      <c r="AZU66" s="214"/>
      <c r="AZV66" s="214"/>
      <c r="AZW66" s="214"/>
      <c r="AZX66" s="214"/>
      <c r="AZY66" s="214"/>
      <c r="AZZ66" s="214"/>
      <c r="BAA66" s="214"/>
      <c r="BAB66" s="214"/>
      <c r="BAC66" s="214"/>
      <c r="BAD66" s="214"/>
      <c r="BAE66" s="214"/>
      <c r="BAF66" s="214"/>
      <c r="BAG66" s="214"/>
      <c r="BAH66" s="214"/>
      <c r="BAI66" s="214"/>
      <c r="BAJ66" s="214"/>
      <c r="BAK66" s="214"/>
      <c r="BAL66" s="214"/>
      <c r="BAM66" s="214"/>
      <c r="BAN66" s="214"/>
      <c r="BAO66" s="214"/>
      <c r="BAP66" s="214"/>
      <c r="BAQ66" s="214"/>
      <c r="BAR66" s="214"/>
      <c r="BAS66" s="214"/>
      <c r="BAT66" s="214"/>
      <c r="BAU66" s="214"/>
      <c r="BAV66" s="214"/>
      <c r="BAW66" s="214"/>
      <c r="BAX66" s="214"/>
      <c r="BAY66" s="214"/>
      <c r="BAZ66" s="214"/>
      <c r="BBA66" s="214"/>
      <c r="BBB66" s="214"/>
      <c r="BBC66" s="214"/>
      <c r="BBD66" s="214"/>
      <c r="BBE66" s="214"/>
      <c r="BBF66" s="214"/>
      <c r="BBG66" s="214"/>
      <c r="BBH66" s="214"/>
      <c r="BBI66" s="214"/>
      <c r="BBJ66" s="214"/>
      <c r="BBK66" s="214"/>
      <c r="BBL66" s="214"/>
      <c r="BBM66" s="214"/>
      <c r="BBN66" s="214"/>
      <c r="BBO66" s="214"/>
      <c r="BBP66" s="214"/>
      <c r="BBQ66" s="214"/>
      <c r="BBR66" s="214"/>
      <c r="BBS66" s="214"/>
      <c r="BBT66" s="214"/>
      <c r="BBU66" s="214"/>
      <c r="BBV66" s="214"/>
      <c r="BBW66" s="214"/>
      <c r="BBX66" s="214"/>
      <c r="BBY66" s="214"/>
      <c r="BBZ66" s="214"/>
      <c r="BCA66" s="214"/>
      <c r="BCB66" s="214"/>
      <c r="BCC66" s="214"/>
      <c r="BCD66" s="214"/>
      <c r="BCE66" s="214"/>
      <c r="BCF66" s="214"/>
      <c r="BCG66" s="214"/>
      <c r="BCH66" s="214"/>
      <c r="BCI66" s="214"/>
      <c r="BCJ66" s="214"/>
      <c r="BCK66" s="214"/>
      <c r="BCL66" s="214"/>
      <c r="BCM66" s="214"/>
      <c r="BCN66" s="214"/>
      <c r="BCO66" s="214"/>
      <c r="BCP66" s="214"/>
      <c r="BCQ66" s="214"/>
      <c r="BCR66" s="214"/>
      <c r="BCS66" s="214"/>
      <c r="BCT66" s="214"/>
      <c r="BCU66" s="214"/>
      <c r="BCV66" s="214"/>
      <c r="BCW66" s="214"/>
      <c r="BCX66" s="214"/>
      <c r="BCY66" s="214"/>
      <c r="BCZ66" s="214"/>
      <c r="BDA66" s="214"/>
      <c r="BDB66" s="214"/>
      <c r="BDC66" s="214"/>
      <c r="BDD66" s="214"/>
      <c r="BDE66" s="214"/>
      <c r="BDF66" s="214"/>
      <c r="BDG66" s="214"/>
      <c r="BDH66" s="214"/>
      <c r="BDI66" s="214"/>
      <c r="BDJ66" s="214"/>
      <c r="BDK66" s="214"/>
      <c r="BDL66" s="214"/>
      <c r="BDM66" s="214"/>
      <c r="BDN66" s="214"/>
      <c r="BDO66" s="214"/>
      <c r="BDP66" s="214"/>
      <c r="BDQ66" s="214"/>
      <c r="BDR66" s="214"/>
      <c r="BDS66" s="214"/>
      <c r="BDT66" s="214"/>
      <c r="BDU66" s="214"/>
      <c r="BDV66" s="214"/>
      <c r="BDW66" s="214"/>
      <c r="BDX66" s="214"/>
      <c r="BDY66" s="214"/>
      <c r="BDZ66" s="214"/>
      <c r="BEA66" s="214"/>
      <c r="BEB66" s="214"/>
      <c r="BEC66" s="214"/>
      <c r="BED66" s="214"/>
      <c r="BEE66" s="214"/>
      <c r="BEF66" s="214"/>
      <c r="BEG66" s="214"/>
      <c r="BEH66" s="214"/>
      <c r="BEI66" s="214"/>
      <c r="BEJ66" s="214"/>
      <c r="BEK66" s="214"/>
      <c r="BEL66" s="214"/>
      <c r="BEM66" s="214"/>
      <c r="BEN66" s="214"/>
      <c r="BEO66" s="214"/>
      <c r="BEP66" s="214"/>
      <c r="BEQ66" s="214"/>
      <c r="BER66" s="214"/>
      <c r="BES66" s="214"/>
      <c r="BET66" s="214"/>
      <c r="BEU66" s="214"/>
      <c r="BEV66" s="214"/>
      <c r="BEW66" s="214"/>
      <c r="BEX66" s="214"/>
      <c r="BEY66" s="214"/>
      <c r="BEZ66" s="214"/>
      <c r="BFA66" s="214"/>
      <c r="BFB66" s="214"/>
      <c r="BFC66" s="214"/>
      <c r="BFD66" s="214"/>
      <c r="BFE66" s="214"/>
      <c r="BFF66" s="214"/>
      <c r="BFG66" s="214"/>
      <c r="BFH66" s="214"/>
      <c r="BFI66" s="214"/>
      <c r="BFJ66" s="214"/>
      <c r="BFK66" s="214"/>
      <c r="BFL66" s="214"/>
      <c r="BFM66" s="214"/>
      <c r="BFN66" s="214"/>
      <c r="BFO66" s="214"/>
      <c r="BFP66" s="214"/>
      <c r="BFQ66" s="214"/>
      <c r="BFR66" s="214"/>
      <c r="BFS66" s="214"/>
      <c r="BFT66" s="214"/>
      <c r="BFU66" s="214"/>
      <c r="BFV66" s="214"/>
      <c r="BFW66" s="214"/>
      <c r="BFX66" s="214"/>
      <c r="BFY66" s="214"/>
      <c r="BFZ66" s="214"/>
      <c r="BGA66" s="214"/>
      <c r="BGB66" s="214"/>
      <c r="BGC66" s="214"/>
      <c r="BGD66" s="214"/>
      <c r="BGE66" s="214"/>
      <c r="BGF66" s="214"/>
      <c r="BGG66" s="214"/>
      <c r="BGH66" s="214"/>
      <c r="BGI66" s="214"/>
      <c r="BGJ66" s="214"/>
      <c r="BGK66" s="214"/>
      <c r="BGL66" s="214"/>
      <c r="BGM66" s="214"/>
      <c r="BGN66" s="214"/>
      <c r="BGO66" s="214"/>
      <c r="BGP66" s="214"/>
      <c r="BGQ66" s="214"/>
      <c r="BGR66" s="214"/>
      <c r="BGS66" s="214"/>
      <c r="BGT66" s="214"/>
      <c r="BGU66" s="214"/>
      <c r="BGV66" s="214"/>
      <c r="BGW66" s="214"/>
      <c r="BGX66" s="214"/>
      <c r="BGY66" s="214"/>
      <c r="BGZ66" s="214"/>
      <c r="BHA66" s="214"/>
      <c r="BHB66" s="214"/>
      <c r="BHC66" s="214"/>
      <c r="BHD66" s="214"/>
      <c r="BHE66" s="214"/>
      <c r="BHF66" s="214"/>
      <c r="BHG66" s="214"/>
      <c r="BHH66" s="214"/>
      <c r="BHI66" s="214"/>
      <c r="BHJ66" s="214"/>
      <c r="BHK66" s="214"/>
      <c r="BHL66" s="214"/>
      <c r="BHM66" s="214"/>
      <c r="BHN66" s="214"/>
      <c r="BHO66" s="214"/>
      <c r="BHP66" s="214"/>
      <c r="BHQ66" s="214"/>
      <c r="BHR66" s="214"/>
      <c r="BHS66" s="214"/>
      <c r="BHT66" s="214"/>
      <c r="BHU66" s="214"/>
      <c r="BHV66" s="214"/>
      <c r="BHW66" s="214"/>
    </row>
    <row r="67" spans="1:1583" s="216" customFormat="1" ht="16.5">
      <c r="A67" s="251" t="s">
        <v>77</v>
      </c>
      <c r="B67" s="184" t="s">
        <v>375</v>
      </c>
      <c r="C67" s="416" t="s">
        <v>498</v>
      </c>
      <c r="D67" s="420" t="s">
        <v>556</v>
      </c>
      <c r="E67" s="63" t="s">
        <v>42</v>
      </c>
      <c r="F67" s="131">
        <v>340</v>
      </c>
      <c r="G67" s="60" t="s">
        <v>721</v>
      </c>
      <c r="H67" s="473">
        <f t="shared" ref="H67:H81" si="21">AVERAGE(I67:AN67)</f>
        <v>329.45828600669262</v>
      </c>
      <c r="I67" s="95">
        <f>VLOOKUP($B67,'DCS Data'!$E$2:$AJ$100,MATCH('Daily Report'!I$1,'DCS Data'!$E$2:$AJ$2,0),0)</f>
        <v>325.71572431669586</v>
      </c>
      <c r="J67" s="255"/>
      <c r="K67" s="95">
        <f>VLOOKUP($B67,'DCS Data'!$E$2:$AJ$100,MATCH('Daily Report'!K$1,'DCS Data'!$E$2:$AJ$2,0),0)</f>
        <v>328.80409034234901</v>
      </c>
      <c r="L67" s="95">
        <f>VLOOKUP($B67,'DCS Data'!$E$2:$AJ$100,MATCH('Daily Report'!L$1,'DCS Data'!$E$2:$AJ$2,0),0)</f>
        <v>329.16440570565624</v>
      </c>
      <c r="M67" s="95">
        <f>VLOOKUP($B67,'DCS Data'!$E$2:$AJ$100,MATCH('Daily Report'!M$1,'DCS Data'!$E$2:$AJ$2,0),0)</f>
        <v>329.31584757845303</v>
      </c>
      <c r="N67" s="95">
        <f>VLOOKUP($B67,'DCS Data'!$E$2:$AJ$100,MATCH('Daily Report'!N$1,'DCS Data'!$E$2:$AJ$2,0),0)</f>
        <v>329.3553235587089</v>
      </c>
      <c r="O67" s="95">
        <f>VLOOKUP($B67,'DCS Data'!$E$2:$AJ$100,MATCH('Daily Report'!O$1,'DCS Data'!$E$2:$AJ$2,0),0)</f>
        <v>330.16961678332513</v>
      </c>
      <c r="P67" s="95">
        <f>VLOOKUP($B67,'DCS Data'!$E$2:$AJ$100,MATCH('Daily Report'!P$1,'DCS Data'!$E$2:$AJ$2,0),0)</f>
        <v>330.43694459909688</v>
      </c>
      <c r="Q67" s="95">
        <f>VLOOKUP($B67,'DCS Data'!$E$2:$AJ$100,MATCH('Daily Report'!Q$1,'DCS Data'!$E$2:$AJ$2,0),0)</f>
        <v>330.43531600677318</v>
      </c>
      <c r="R67" s="95">
        <f>VLOOKUP($B67,'DCS Data'!$E$2:$AJ$100,MATCH('Daily Report'!R$1,'DCS Data'!$E$2:$AJ$2,0),0)</f>
        <v>329.74578482725991</v>
      </c>
      <c r="S67" s="95">
        <f>VLOOKUP($B67,'DCS Data'!$E$2:$AJ$100,MATCH('Daily Report'!S$1,'DCS Data'!$E$2:$AJ$2,0),0)</f>
        <v>329.52192033547055</v>
      </c>
      <c r="T67" s="95">
        <f>VLOOKUP($B67,'DCS Data'!$E$2:$AJ$100,MATCH('Daily Report'!T$1,'DCS Data'!$E$2:$AJ$2,0),0)</f>
        <v>329.27114891531608</v>
      </c>
      <c r="U67" s="95">
        <f>VLOOKUP($B67,'DCS Data'!$E$2:$AJ$100,MATCH('Daily Report'!U$1,'DCS Data'!$E$2:$AJ$2,0),0)</f>
        <v>329.50792572983448</v>
      </c>
      <c r="V67" s="95">
        <f>VLOOKUP($B67,'DCS Data'!$E$2:$AJ$100,MATCH('Daily Report'!V$1,'DCS Data'!$E$2:$AJ$2,0),0)</f>
        <v>330.06323180268146</v>
      </c>
      <c r="W67" s="95">
        <f>VLOOKUP($B67,'DCS Data'!$E$2:$AJ$100,MATCH('Daily Report'!W$1,'DCS Data'!$E$2:$AJ$2,0),0)</f>
        <v>330.36978918364053</v>
      </c>
      <c r="X67" s="95">
        <f>VLOOKUP($B67,'DCS Data'!$E$2:$AJ$100,MATCH('Daily Report'!X$1,'DCS Data'!$E$2:$AJ$2,0),0)</f>
        <v>329.41531399098716</v>
      </c>
      <c r="Y67" s="95">
        <f>VLOOKUP($B67,'DCS Data'!$E$2:$AJ$100,MATCH('Daily Report'!Y$1,'DCS Data'!$E$2:$AJ$2,0),0)</f>
        <v>325.81908857351641</v>
      </c>
      <c r="Z67" s="95">
        <f>VLOOKUP($B67,'DCS Data'!$E$2:$AJ$100,MATCH('Daily Report'!Z$1,'DCS Data'!$E$2:$AJ$2,0),0)</f>
        <v>324.61581105304202</v>
      </c>
      <c r="AA67" s="95">
        <f>VLOOKUP($B67,'DCS Data'!$E$2:$AJ$100,MATCH('Daily Report'!AA$1,'DCS Data'!$E$2:$AJ$2,0),0)</f>
        <v>324.86182008325426</v>
      </c>
      <c r="AB67" s="95">
        <f>VLOOKUP($B67,'DCS Data'!$E$2:$AJ$100,MATCH('Daily Report'!AB$1,'DCS Data'!$E$2:$AJ$2,0),0)</f>
        <v>325.8055656680242</v>
      </c>
      <c r="AC67" s="95">
        <f>VLOOKUP($B67,'DCS Data'!$E$2:$AJ$100,MATCH('Daily Report'!AC$1,'DCS Data'!$E$2:$AJ$2,0),0)</f>
        <v>327.31230585343349</v>
      </c>
      <c r="AD67" s="95">
        <f>VLOOKUP($B67,'DCS Data'!$E$2:$AJ$100,MATCH('Daily Report'!AD$1,'DCS Data'!$E$2:$AJ$2,0),0)</f>
        <v>329.57588543349328</v>
      </c>
      <c r="AE67" s="95">
        <f>VLOOKUP($B67,'DCS Data'!$E$2:$AJ$100,MATCH('Daily Report'!AE$1,'DCS Data'!$E$2:$AJ$2,0),0)</f>
        <v>330.03020782198877</v>
      </c>
      <c r="AF67" s="95">
        <f>VLOOKUP($B67,'DCS Data'!$E$2:$AJ$100,MATCH('Daily Report'!AF$1,'DCS Data'!$E$2:$AJ$2,0),0)</f>
        <v>331.0512841709135</v>
      </c>
      <c r="AG67" s="95">
        <f>VLOOKUP($B67,'DCS Data'!$E$2:$AJ$100,MATCH('Daily Report'!AG$1,'DCS Data'!$E$2:$AJ$2,0),0)</f>
        <v>331.3550392259051</v>
      </c>
      <c r="AH67" s="95">
        <f>VLOOKUP($B67,'DCS Data'!$E$2:$AJ$100,MATCH('Daily Report'!AH$1,'DCS Data'!$E$2:$AJ$2,0),0)</f>
        <v>331.66137433692643</v>
      </c>
      <c r="AI67" s="95">
        <f>VLOOKUP($B67,'DCS Data'!$E$2:$AJ$100,MATCH('Daily Report'!AI$1,'DCS Data'!$E$2:$AJ$2,0),0)</f>
        <v>331.93904615996979</v>
      </c>
      <c r="AJ67" s="95">
        <f>VLOOKUP($B67,'DCS Data'!$E$2:$AJ$100,MATCH('Daily Report'!AJ$1,'DCS Data'!$E$2:$AJ$2,0),0)</f>
        <v>331.61962597109806</v>
      </c>
      <c r="AK67" s="95">
        <f>VLOOKUP($B67,'DCS Data'!$E$2:$AJ$100,MATCH('Daily Report'!AK$1,'DCS Data'!$E$2:$AJ$2,0),0)</f>
        <v>331.63542920087298</v>
      </c>
      <c r="AL67" s="95">
        <f>VLOOKUP($B67,'DCS Data'!$E$2:$AJ$100,MATCH('Daily Report'!AL$1,'DCS Data'!$E$2:$AJ$2,0),0)</f>
        <v>331.70022103795395</v>
      </c>
      <c r="AM67" s="95">
        <f>VLOOKUP($B67,'DCS Data'!$E$2:$AJ$100,MATCH('Daily Report'!AM$1,'DCS Data'!$E$2:$AJ$2,0),0)</f>
        <v>331.52793917058773</v>
      </c>
      <c r="AN67" s="95">
        <f>VLOOKUP($B67,'DCS Data'!$E$2:$AJ$100,MATCH('Daily Report'!AN$1,'DCS Data'!$E$2:$AJ$2,0),0)</f>
        <v>331.40383877024084</v>
      </c>
      <c r="AO67" s="215"/>
      <c r="AP67" s="215"/>
      <c r="AQ67" s="215"/>
      <c r="AR67" s="215"/>
      <c r="AS67" s="215"/>
      <c r="AT67" s="215"/>
      <c r="AU67" s="215"/>
      <c r="AV67" s="215"/>
      <c r="AW67" s="215"/>
      <c r="AX67" s="215"/>
      <c r="AY67" s="215"/>
      <c r="AZ67" s="215"/>
      <c r="BA67" s="215"/>
      <c r="BB67" s="215"/>
      <c r="BC67" s="215"/>
      <c r="BD67" s="215"/>
      <c r="BE67" s="215"/>
      <c r="BF67" s="215"/>
      <c r="BG67" s="215"/>
      <c r="BH67" s="215"/>
      <c r="BI67" s="215"/>
      <c r="BJ67" s="215"/>
      <c r="BK67" s="215"/>
      <c r="BL67" s="215"/>
      <c r="BM67" s="215"/>
      <c r="BN67" s="215"/>
      <c r="BO67" s="215"/>
      <c r="BP67" s="215"/>
      <c r="BQ67" s="215"/>
      <c r="BR67" s="215"/>
      <c r="BS67" s="215"/>
      <c r="BT67" s="215"/>
      <c r="BU67" s="215"/>
      <c r="BV67" s="215"/>
      <c r="BW67" s="215"/>
      <c r="BX67" s="215"/>
      <c r="BY67" s="215"/>
      <c r="BZ67" s="215"/>
      <c r="CA67" s="215"/>
      <c r="CB67" s="215"/>
      <c r="CC67" s="215"/>
      <c r="CD67" s="215"/>
      <c r="CE67" s="215"/>
      <c r="CF67" s="215"/>
      <c r="CG67" s="215"/>
      <c r="CH67" s="215"/>
      <c r="CI67" s="215"/>
      <c r="CJ67" s="215"/>
      <c r="CK67" s="215"/>
      <c r="CL67" s="215"/>
      <c r="CM67" s="215"/>
      <c r="CN67" s="215"/>
      <c r="CO67" s="215"/>
      <c r="CP67" s="215"/>
      <c r="CQ67" s="215"/>
      <c r="CR67" s="215"/>
      <c r="CS67" s="215"/>
      <c r="CT67" s="215"/>
      <c r="CU67" s="215"/>
      <c r="CV67" s="215"/>
      <c r="CW67" s="215"/>
      <c r="CX67" s="215"/>
      <c r="CY67" s="215"/>
      <c r="CZ67" s="215"/>
      <c r="DA67" s="215"/>
      <c r="DB67" s="215"/>
      <c r="DC67" s="215"/>
      <c r="DD67" s="215"/>
      <c r="DE67" s="215"/>
      <c r="DF67" s="215"/>
      <c r="DG67" s="215"/>
      <c r="DH67" s="215"/>
      <c r="DI67" s="215"/>
      <c r="DJ67" s="215"/>
      <c r="DK67" s="215"/>
      <c r="DL67" s="215"/>
      <c r="DM67" s="215"/>
      <c r="DN67" s="215"/>
      <c r="DO67" s="215"/>
      <c r="DP67" s="215"/>
      <c r="DQ67" s="215"/>
      <c r="DR67" s="215"/>
      <c r="DS67" s="215"/>
      <c r="DT67" s="215"/>
      <c r="DU67" s="215"/>
      <c r="DV67" s="215"/>
      <c r="DW67" s="215"/>
      <c r="DX67" s="215"/>
      <c r="DY67" s="215"/>
      <c r="DZ67" s="215"/>
      <c r="EA67" s="215"/>
      <c r="EB67" s="215"/>
      <c r="EC67" s="215"/>
      <c r="ED67" s="215"/>
      <c r="EE67" s="215"/>
      <c r="EF67" s="215"/>
      <c r="EG67" s="215"/>
      <c r="EH67" s="215"/>
      <c r="EI67" s="215"/>
      <c r="EJ67" s="215"/>
      <c r="EK67" s="215"/>
      <c r="EL67" s="215"/>
      <c r="EM67" s="215"/>
      <c r="EN67" s="215"/>
      <c r="EO67" s="215"/>
      <c r="EP67" s="215"/>
      <c r="EQ67" s="215"/>
      <c r="ER67" s="215"/>
      <c r="ES67" s="215"/>
      <c r="ET67" s="215"/>
      <c r="EU67" s="215"/>
      <c r="EV67" s="215"/>
      <c r="EW67" s="215"/>
      <c r="EX67" s="215"/>
      <c r="EY67" s="215"/>
      <c r="EZ67" s="215"/>
      <c r="FA67" s="215"/>
      <c r="FB67" s="215"/>
      <c r="FC67" s="215"/>
      <c r="FD67" s="215"/>
      <c r="FE67" s="215"/>
      <c r="FF67" s="215"/>
      <c r="FG67" s="215"/>
      <c r="FH67" s="215"/>
      <c r="FI67" s="215"/>
      <c r="FJ67" s="215"/>
      <c r="FK67" s="215"/>
      <c r="FL67" s="215"/>
      <c r="FM67" s="215"/>
      <c r="FN67" s="215"/>
      <c r="FO67" s="215"/>
      <c r="FP67" s="215"/>
      <c r="FQ67" s="215"/>
      <c r="FR67" s="215"/>
      <c r="FS67" s="215"/>
      <c r="FT67" s="215"/>
      <c r="FU67" s="215"/>
      <c r="FV67" s="215"/>
      <c r="FW67" s="215"/>
      <c r="FX67" s="215"/>
      <c r="FY67" s="215"/>
      <c r="FZ67" s="215"/>
      <c r="GA67" s="215"/>
      <c r="GB67" s="215"/>
      <c r="GC67" s="215"/>
      <c r="GD67" s="215"/>
      <c r="GE67" s="215"/>
      <c r="GF67" s="215"/>
      <c r="GG67" s="215"/>
      <c r="GH67" s="215"/>
      <c r="GI67" s="215"/>
      <c r="GJ67" s="215"/>
      <c r="GK67" s="215"/>
      <c r="GL67" s="215"/>
      <c r="GM67" s="215"/>
      <c r="GN67" s="215"/>
      <c r="GO67" s="215"/>
      <c r="GP67" s="215"/>
      <c r="GQ67" s="215"/>
      <c r="GR67" s="215"/>
      <c r="GS67" s="215"/>
      <c r="GT67" s="215"/>
      <c r="GU67" s="215"/>
      <c r="GV67" s="215"/>
      <c r="GW67" s="215"/>
      <c r="GX67" s="215"/>
      <c r="GY67" s="215"/>
      <c r="GZ67" s="215"/>
      <c r="HA67" s="215"/>
      <c r="HB67" s="215"/>
      <c r="HC67" s="215"/>
      <c r="HD67" s="215"/>
      <c r="HE67" s="215"/>
      <c r="HF67" s="215"/>
      <c r="HG67" s="215"/>
      <c r="HH67" s="215"/>
      <c r="HI67" s="215"/>
      <c r="HJ67" s="215"/>
      <c r="HK67" s="215"/>
      <c r="HL67" s="215"/>
      <c r="HM67" s="215"/>
      <c r="HN67" s="215"/>
      <c r="HO67" s="215"/>
      <c r="HP67" s="215"/>
      <c r="HQ67" s="215"/>
      <c r="HR67" s="215"/>
      <c r="HS67" s="215"/>
      <c r="HT67" s="215"/>
      <c r="HU67" s="215"/>
      <c r="HV67" s="215"/>
      <c r="HW67" s="215"/>
      <c r="HX67" s="215"/>
      <c r="HY67" s="215"/>
      <c r="HZ67" s="215"/>
      <c r="IA67" s="215"/>
      <c r="IB67" s="215"/>
      <c r="IC67" s="215"/>
      <c r="ID67" s="215"/>
      <c r="IE67" s="215"/>
      <c r="IF67" s="215"/>
      <c r="IG67" s="215"/>
      <c r="IH67" s="215"/>
      <c r="II67" s="215"/>
      <c r="IJ67" s="215"/>
      <c r="IK67" s="215"/>
      <c r="IL67" s="215"/>
      <c r="IM67" s="215"/>
      <c r="IN67" s="215"/>
      <c r="IO67" s="215"/>
      <c r="IP67" s="215"/>
      <c r="IQ67" s="215"/>
      <c r="IR67" s="215"/>
      <c r="IS67" s="215"/>
      <c r="IT67" s="215"/>
      <c r="IU67" s="215"/>
      <c r="IV67" s="215"/>
      <c r="IW67" s="215"/>
      <c r="IX67" s="215"/>
      <c r="IY67" s="215"/>
      <c r="IZ67" s="215"/>
      <c r="JA67" s="215"/>
      <c r="JB67" s="215"/>
      <c r="JC67" s="215"/>
      <c r="JD67" s="215"/>
      <c r="JE67" s="215"/>
      <c r="JF67" s="215"/>
      <c r="JG67" s="215"/>
      <c r="JH67" s="215"/>
      <c r="JI67" s="215"/>
      <c r="JJ67" s="215"/>
      <c r="JK67" s="215"/>
      <c r="JL67" s="215"/>
      <c r="JM67" s="215"/>
      <c r="JN67" s="215"/>
      <c r="JO67" s="215"/>
      <c r="JP67" s="215"/>
      <c r="JQ67" s="215"/>
      <c r="JR67" s="215"/>
      <c r="JS67" s="215"/>
      <c r="JT67" s="215"/>
      <c r="JU67" s="215"/>
      <c r="JV67" s="215"/>
      <c r="JW67" s="215"/>
      <c r="JX67" s="215"/>
      <c r="JY67" s="215"/>
      <c r="JZ67" s="215"/>
      <c r="KA67" s="215"/>
      <c r="KB67" s="215"/>
      <c r="KC67" s="215"/>
      <c r="KD67" s="215"/>
      <c r="KE67" s="215"/>
      <c r="KF67" s="215"/>
      <c r="KG67" s="215"/>
      <c r="KH67" s="215"/>
      <c r="KI67" s="215"/>
      <c r="KJ67" s="215"/>
      <c r="KK67" s="215"/>
      <c r="KL67" s="215"/>
      <c r="KM67" s="215"/>
      <c r="KN67" s="215"/>
      <c r="KO67" s="215"/>
      <c r="KP67" s="215"/>
      <c r="KQ67" s="215"/>
      <c r="KR67" s="215"/>
      <c r="KS67" s="215"/>
      <c r="KT67" s="215"/>
      <c r="KU67" s="215"/>
      <c r="KV67" s="215"/>
      <c r="KW67" s="215"/>
      <c r="KX67" s="215"/>
      <c r="KY67" s="215"/>
      <c r="KZ67" s="215"/>
      <c r="LA67" s="215"/>
      <c r="LB67" s="215"/>
      <c r="LC67" s="215"/>
      <c r="LD67" s="215"/>
      <c r="LE67" s="215"/>
      <c r="LF67" s="215"/>
      <c r="LG67" s="215"/>
      <c r="LH67" s="215"/>
      <c r="LI67" s="215"/>
      <c r="LJ67" s="215"/>
      <c r="LK67" s="215"/>
      <c r="LL67" s="215"/>
      <c r="LM67" s="215"/>
      <c r="LN67" s="215"/>
      <c r="LO67" s="215"/>
      <c r="LP67" s="215"/>
      <c r="LQ67" s="215"/>
      <c r="LR67" s="215"/>
      <c r="LS67" s="215"/>
      <c r="LT67" s="215"/>
      <c r="LU67" s="215"/>
      <c r="LV67" s="215"/>
      <c r="LW67" s="215"/>
      <c r="LX67" s="215"/>
      <c r="LY67" s="215"/>
      <c r="LZ67" s="215"/>
      <c r="MA67" s="215"/>
      <c r="MB67" s="215"/>
      <c r="MC67" s="215"/>
      <c r="MD67" s="215"/>
      <c r="ME67" s="215"/>
      <c r="MF67" s="215"/>
      <c r="MG67" s="215"/>
      <c r="MH67" s="215"/>
      <c r="MI67" s="215"/>
      <c r="MJ67" s="215"/>
      <c r="MK67" s="215"/>
      <c r="ML67" s="215"/>
      <c r="MM67" s="215"/>
      <c r="MN67" s="215"/>
      <c r="MO67" s="215"/>
      <c r="MP67" s="215"/>
      <c r="MQ67" s="215"/>
      <c r="MR67" s="215"/>
      <c r="MS67" s="215"/>
      <c r="MT67" s="215"/>
      <c r="MU67" s="215"/>
      <c r="MV67" s="215"/>
      <c r="MW67" s="215"/>
      <c r="MX67" s="215"/>
      <c r="MY67" s="215"/>
      <c r="MZ67" s="215"/>
      <c r="NA67" s="215"/>
      <c r="NB67" s="215"/>
      <c r="NC67" s="215"/>
      <c r="ND67" s="215"/>
      <c r="NE67" s="215"/>
      <c r="NF67" s="215"/>
      <c r="NG67" s="215"/>
      <c r="NH67" s="215"/>
      <c r="NI67" s="215"/>
      <c r="NJ67" s="215"/>
      <c r="NK67" s="215"/>
      <c r="NL67" s="215"/>
      <c r="NM67" s="215"/>
      <c r="NN67" s="215"/>
      <c r="NO67" s="215"/>
      <c r="NP67" s="215"/>
      <c r="NQ67" s="215"/>
      <c r="NR67" s="215"/>
      <c r="NS67" s="215"/>
      <c r="NT67" s="215"/>
      <c r="NU67" s="215"/>
      <c r="NV67" s="215"/>
      <c r="NW67" s="215"/>
      <c r="NX67" s="215"/>
      <c r="NY67" s="215"/>
      <c r="NZ67" s="215"/>
      <c r="OA67" s="215"/>
      <c r="OB67" s="215"/>
      <c r="OC67" s="215"/>
      <c r="OD67" s="215"/>
      <c r="OE67" s="215"/>
      <c r="OF67" s="215"/>
      <c r="OG67" s="215"/>
      <c r="OH67" s="215"/>
      <c r="OI67" s="215"/>
      <c r="OJ67" s="215"/>
      <c r="OK67" s="215"/>
      <c r="OL67" s="215"/>
      <c r="OM67" s="215"/>
      <c r="ON67" s="215"/>
      <c r="OO67" s="215"/>
      <c r="OP67" s="215"/>
      <c r="OQ67" s="215"/>
      <c r="OR67" s="215"/>
      <c r="OS67" s="215"/>
      <c r="OT67" s="215"/>
      <c r="OU67" s="215"/>
      <c r="OV67" s="215"/>
      <c r="OW67" s="215"/>
      <c r="OX67" s="215"/>
      <c r="OY67" s="215"/>
      <c r="OZ67" s="215"/>
      <c r="PA67" s="215"/>
      <c r="PB67" s="215"/>
      <c r="PC67" s="215"/>
      <c r="PD67" s="215"/>
      <c r="PE67" s="215"/>
      <c r="PF67" s="215"/>
      <c r="PG67" s="215"/>
      <c r="PH67" s="215"/>
      <c r="PI67" s="215"/>
      <c r="PJ67" s="215"/>
      <c r="PK67" s="215"/>
      <c r="PL67" s="215"/>
      <c r="PM67" s="215"/>
      <c r="PN67" s="215"/>
      <c r="PO67" s="215"/>
      <c r="PP67" s="215"/>
      <c r="PQ67" s="215"/>
      <c r="PR67" s="215"/>
      <c r="PS67" s="215"/>
      <c r="PT67" s="215"/>
      <c r="PU67" s="215"/>
      <c r="PV67" s="215"/>
      <c r="PW67" s="215"/>
      <c r="PX67" s="215"/>
      <c r="PY67" s="215"/>
      <c r="PZ67" s="215"/>
      <c r="QA67" s="215"/>
      <c r="QB67" s="215"/>
      <c r="QC67" s="215"/>
      <c r="QD67" s="215"/>
      <c r="QE67" s="215"/>
      <c r="QF67" s="215"/>
      <c r="QG67" s="215"/>
      <c r="QH67" s="215"/>
      <c r="QI67" s="215"/>
      <c r="QJ67" s="215"/>
      <c r="QK67" s="215"/>
      <c r="QL67" s="215"/>
      <c r="QM67" s="215"/>
      <c r="QN67" s="215"/>
      <c r="QO67" s="215"/>
      <c r="QP67" s="215"/>
      <c r="QQ67" s="215"/>
      <c r="QR67" s="215"/>
      <c r="QS67" s="215"/>
      <c r="QT67" s="215"/>
      <c r="QU67" s="215"/>
      <c r="QV67" s="215"/>
      <c r="QW67" s="215"/>
      <c r="QX67" s="215"/>
      <c r="QY67" s="215"/>
      <c r="QZ67" s="215"/>
      <c r="RA67" s="215"/>
      <c r="RB67" s="215"/>
      <c r="RC67" s="215"/>
      <c r="RD67" s="215"/>
      <c r="RE67" s="215"/>
      <c r="RF67" s="215"/>
      <c r="RG67" s="215"/>
      <c r="RH67" s="215"/>
      <c r="RI67" s="215"/>
      <c r="RJ67" s="215"/>
      <c r="RK67" s="215"/>
      <c r="RL67" s="215"/>
      <c r="RM67" s="215"/>
      <c r="RN67" s="215"/>
      <c r="RO67" s="215"/>
      <c r="RP67" s="215"/>
      <c r="RQ67" s="215"/>
      <c r="RR67" s="215"/>
      <c r="RS67" s="215"/>
      <c r="RT67" s="215"/>
      <c r="RU67" s="215"/>
      <c r="RV67" s="215"/>
      <c r="RW67" s="215"/>
      <c r="RX67" s="215"/>
      <c r="RY67" s="215"/>
      <c r="RZ67" s="215"/>
      <c r="SA67" s="215"/>
      <c r="SB67" s="215"/>
      <c r="SC67" s="215"/>
      <c r="SD67" s="215"/>
      <c r="SE67" s="215"/>
      <c r="SF67" s="215"/>
      <c r="SG67" s="215"/>
      <c r="SH67" s="215"/>
      <c r="SI67" s="215"/>
      <c r="SJ67" s="215"/>
      <c r="SK67" s="215"/>
      <c r="SL67" s="215"/>
      <c r="SM67" s="215"/>
      <c r="SN67" s="215"/>
      <c r="SO67" s="215"/>
      <c r="SP67" s="215"/>
      <c r="SQ67" s="215"/>
      <c r="SR67" s="215"/>
      <c r="SS67" s="215"/>
      <c r="ST67" s="215"/>
      <c r="SU67" s="215"/>
      <c r="SV67" s="215"/>
      <c r="SW67" s="215"/>
      <c r="SX67" s="215"/>
      <c r="SY67" s="215"/>
      <c r="SZ67" s="215"/>
      <c r="TA67" s="215"/>
      <c r="TB67" s="215"/>
      <c r="TC67" s="215"/>
      <c r="TD67" s="215"/>
      <c r="TE67" s="215"/>
      <c r="TF67" s="215"/>
      <c r="TG67" s="215"/>
      <c r="TH67" s="215"/>
      <c r="TI67" s="215"/>
      <c r="TJ67" s="215"/>
      <c r="TK67" s="215"/>
      <c r="TL67" s="215"/>
      <c r="TM67" s="215"/>
      <c r="TN67" s="215"/>
      <c r="TO67" s="215"/>
      <c r="TP67" s="215"/>
      <c r="TQ67" s="215"/>
      <c r="TR67" s="215"/>
      <c r="TS67" s="215"/>
      <c r="TT67" s="215"/>
      <c r="TU67" s="215"/>
      <c r="TV67" s="215"/>
      <c r="TW67" s="215"/>
      <c r="TX67" s="215"/>
      <c r="TY67" s="215"/>
      <c r="TZ67" s="215"/>
      <c r="UA67" s="215"/>
      <c r="UB67" s="215"/>
      <c r="UC67" s="215"/>
      <c r="UD67" s="215"/>
      <c r="UE67" s="215"/>
      <c r="UF67" s="215"/>
      <c r="UG67" s="215"/>
      <c r="UH67" s="215"/>
      <c r="UI67" s="215"/>
      <c r="UJ67" s="215"/>
      <c r="UK67" s="215"/>
      <c r="UL67" s="215"/>
      <c r="UM67" s="215"/>
      <c r="UN67" s="215"/>
      <c r="UO67" s="215"/>
      <c r="UP67" s="215"/>
      <c r="UQ67" s="215"/>
      <c r="UR67" s="215"/>
      <c r="US67" s="215"/>
      <c r="UT67" s="215"/>
      <c r="UU67" s="215"/>
      <c r="UV67" s="215"/>
      <c r="UW67" s="215"/>
      <c r="UX67" s="215"/>
      <c r="UY67" s="215"/>
      <c r="UZ67" s="215"/>
      <c r="VA67" s="215"/>
      <c r="VB67" s="215"/>
      <c r="VC67" s="215"/>
      <c r="VD67" s="215"/>
      <c r="VE67" s="215"/>
      <c r="VF67" s="215"/>
      <c r="VG67" s="215"/>
      <c r="VH67" s="215"/>
      <c r="VI67" s="215"/>
      <c r="VJ67" s="215"/>
      <c r="VK67" s="215"/>
      <c r="VL67" s="215"/>
      <c r="VM67" s="215"/>
      <c r="VN67" s="215"/>
      <c r="VO67" s="215"/>
      <c r="VP67" s="215"/>
      <c r="VQ67" s="215"/>
      <c r="VR67" s="215"/>
      <c r="VS67" s="215"/>
      <c r="VT67" s="215"/>
      <c r="VU67" s="215"/>
      <c r="VV67" s="215"/>
      <c r="VW67" s="215"/>
      <c r="VX67" s="215"/>
      <c r="VY67" s="215"/>
      <c r="VZ67" s="215"/>
      <c r="WA67" s="215"/>
      <c r="WB67" s="215"/>
      <c r="WC67" s="215"/>
      <c r="WD67" s="215"/>
      <c r="WE67" s="215"/>
      <c r="WF67" s="215"/>
      <c r="WG67" s="215"/>
      <c r="WH67" s="215"/>
      <c r="WI67" s="215"/>
      <c r="WJ67" s="215"/>
      <c r="WK67" s="215"/>
      <c r="WL67" s="215"/>
      <c r="WM67" s="215"/>
      <c r="WN67" s="215"/>
      <c r="WO67" s="215"/>
      <c r="WP67" s="215"/>
      <c r="WQ67" s="215"/>
      <c r="WR67" s="215"/>
      <c r="WS67" s="215"/>
      <c r="WT67" s="215"/>
      <c r="WU67" s="215"/>
      <c r="WV67" s="215"/>
      <c r="WW67" s="215"/>
      <c r="WX67" s="215"/>
      <c r="WY67" s="215"/>
      <c r="WZ67" s="215"/>
      <c r="XA67" s="215"/>
      <c r="XB67" s="215"/>
      <c r="XC67" s="215"/>
      <c r="XD67" s="215"/>
      <c r="XE67" s="215"/>
      <c r="XF67" s="215"/>
      <c r="XG67" s="215"/>
      <c r="XH67" s="215"/>
      <c r="XI67" s="215"/>
      <c r="XJ67" s="215"/>
      <c r="XK67" s="215"/>
      <c r="XL67" s="215"/>
      <c r="XM67" s="215"/>
      <c r="XN67" s="215"/>
      <c r="XO67" s="215"/>
      <c r="XP67" s="215"/>
      <c r="XQ67" s="215"/>
      <c r="XR67" s="215"/>
      <c r="XS67" s="215"/>
      <c r="XT67" s="215"/>
      <c r="XU67" s="215"/>
      <c r="XV67" s="215"/>
      <c r="XW67" s="215"/>
      <c r="XX67" s="215"/>
      <c r="XY67" s="215"/>
      <c r="XZ67" s="215"/>
      <c r="YA67" s="215"/>
      <c r="YB67" s="215"/>
      <c r="YC67" s="215"/>
      <c r="YD67" s="215"/>
      <c r="YE67" s="215"/>
      <c r="YF67" s="215"/>
      <c r="YG67" s="215"/>
      <c r="YH67" s="215"/>
      <c r="YI67" s="215"/>
      <c r="YJ67" s="215"/>
      <c r="YK67" s="215"/>
      <c r="YL67" s="215"/>
      <c r="YM67" s="215"/>
      <c r="YN67" s="215"/>
      <c r="YO67" s="215"/>
      <c r="YP67" s="215"/>
      <c r="YQ67" s="215"/>
      <c r="YR67" s="215"/>
      <c r="YS67" s="215"/>
      <c r="YT67" s="215"/>
      <c r="YU67" s="215"/>
      <c r="YV67" s="215"/>
      <c r="YW67" s="215"/>
      <c r="YX67" s="215"/>
      <c r="YY67" s="215"/>
      <c r="YZ67" s="215"/>
      <c r="ZA67" s="215"/>
      <c r="ZB67" s="215"/>
      <c r="ZC67" s="215"/>
      <c r="ZD67" s="215"/>
      <c r="ZE67" s="215"/>
      <c r="ZF67" s="215"/>
      <c r="ZG67" s="215"/>
      <c r="ZH67" s="215"/>
      <c r="ZI67" s="215"/>
      <c r="ZJ67" s="215"/>
      <c r="ZK67" s="215"/>
      <c r="ZL67" s="215"/>
      <c r="ZM67" s="215"/>
      <c r="ZN67" s="215"/>
      <c r="ZO67" s="215"/>
      <c r="ZP67" s="215"/>
      <c r="ZQ67" s="215"/>
      <c r="ZR67" s="215"/>
      <c r="ZS67" s="215"/>
      <c r="ZT67" s="215"/>
      <c r="ZU67" s="215"/>
      <c r="ZV67" s="215"/>
      <c r="ZW67" s="215"/>
      <c r="ZX67" s="215"/>
      <c r="ZY67" s="215"/>
      <c r="ZZ67" s="215"/>
      <c r="AAA67" s="215"/>
      <c r="AAB67" s="215"/>
      <c r="AAC67" s="215"/>
      <c r="AAD67" s="215"/>
      <c r="AAE67" s="215"/>
      <c r="AAF67" s="215"/>
      <c r="AAG67" s="215"/>
      <c r="AAH67" s="215"/>
      <c r="AAI67" s="215"/>
      <c r="AAJ67" s="215"/>
      <c r="AAK67" s="215"/>
      <c r="AAL67" s="215"/>
      <c r="AAM67" s="215"/>
      <c r="AAN67" s="215"/>
      <c r="AAO67" s="215"/>
      <c r="AAP67" s="215"/>
      <c r="AAQ67" s="215"/>
      <c r="AAR67" s="215"/>
      <c r="AAS67" s="215"/>
      <c r="AAT67" s="215"/>
      <c r="AAU67" s="215"/>
      <c r="AAV67" s="215"/>
      <c r="AAW67" s="215"/>
      <c r="AAX67" s="215"/>
      <c r="AAY67" s="215"/>
      <c r="AAZ67" s="215"/>
      <c r="ABA67" s="215"/>
      <c r="ABB67" s="215"/>
      <c r="ABC67" s="215"/>
      <c r="ABD67" s="215"/>
      <c r="ABE67" s="215"/>
      <c r="ABF67" s="215"/>
      <c r="ABG67" s="215"/>
      <c r="ABH67" s="215"/>
      <c r="ABI67" s="215"/>
      <c r="ABJ67" s="215"/>
      <c r="ABK67" s="215"/>
      <c r="ABL67" s="215"/>
      <c r="ABM67" s="215"/>
      <c r="ABN67" s="215"/>
      <c r="ABO67" s="215"/>
      <c r="ABP67" s="215"/>
      <c r="ABQ67" s="215"/>
      <c r="ABR67" s="215"/>
      <c r="ABS67" s="215"/>
      <c r="ABT67" s="215"/>
      <c r="ABU67" s="215"/>
      <c r="ABV67" s="215"/>
      <c r="ABW67" s="215"/>
      <c r="ABX67" s="215"/>
      <c r="ABY67" s="215"/>
      <c r="ABZ67" s="215"/>
      <c r="ACA67" s="215"/>
      <c r="ACB67" s="215"/>
      <c r="ACC67" s="215"/>
      <c r="ACD67" s="215"/>
      <c r="ACE67" s="215"/>
      <c r="ACF67" s="215"/>
      <c r="ACG67" s="215"/>
      <c r="ACH67" s="215"/>
      <c r="ACI67" s="215"/>
      <c r="ACJ67" s="215"/>
      <c r="ACK67" s="215"/>
      <c r="ACL67" s="215"/>
      <c r="ACM67" s="215"/>
      <c r="ACN67" s="215"/>
      <c r="ACO67" s="215"/>
      <c r="ACP67" s="215"/>
      <c r="ACQ67" s="215"/>
      <c r="ACR67" s="215"/>
      <c r="ACS67" s="215"/>
      <c r="ACT67" s="215"/>
      <c r="ACU67" s="215"/>
      <c r="ACV67" s="215"/>
      <c r="ACW67" s="215"/>
      <c r="ACX67" s="215"/>
      <c r="ACY67" s="215"/>
      <c r="ACZ67" s="215"/>
      <c r="ADA67" s="215"/>
      <c r="ADB67" s="215"/>
      <c r="ADC67" s="215"/>
      <c r="ADD67" s="215"/>
      <c r="ADE67" s="215"/>
      <c r="ADF67" s="215"/>
      <c r="ADG67" s="215"/>
      <c r="ADH67" s="215"/>
      <c r="ADI67" s="215"/>
      <c r="ADJ67" s="215"/>
      <c r="ADK67" s="215"/>
      <c r="ADL67" s="215"/>
      <c r="ADM67" s="215"/>
      <c r="ADN67" s="215"/>
      <c r="ADO67" s="215"/>
      <c r="ADP67" s="215"/>
      <c r="ADQ67" s="215"/>
      <c r="ADR67" s="215"/>
      <c r="ADS67" s="215"/>
      <c r="ADT67" s="215"/>
      <c r="ADU67" s="215"/>
      <c r="ADV67" s="215"/>
      <c r="ADW67" s="215"/>
      <c r="ADX67" s="215"/>
      <c r="ADY67" s="215"/>
      <c r="ADZ67" s="215"/>
      <c r="AEA67" s="215"/>
      <c r="AEB67" s="215"/>
      <c r="AEC67" s="215"/>
      <c r="AED67" s="215"/>
      <c r="AEE67" s="215"/>
      <c r="AEF67" s="215"/>
      <c r="AEG67" s="215"/>
      <c r="AEH67" s="215"/>
      <c r="AEI67" s="215"/>
      <c r="AEJ67" s="215"/>
      <c r="AEK67" s="215"/>
      <c r="AEL67" s="215"/>
      <c r="AEM67" s="215"/>
      <c r="AEN67" s="215"/>
      <c r="AEO67" s="215"/>
      <c r="AEP67" s="215"/>
      <c r="AEQ67" s="215"/>
      <c r="AER67" s="215"/>
      <c r="AES67" s="215"/>
      <c r="AET67" s="215"/>
      <c r="AEU67" s="215"/>
      <c r="AEV67" s="215"/>
      <c r="AEW67" s="215"/>
      <c r="AEX67" s="215"/>
      <c r="AEY67" s="215"/>
      <c r="AEZ67" s="215"/>
      <c r="AFA67" s="215"/>
      <c r="AFB67" s="215"/>
      <c r="AFC67" s="215"/>
      <c r="AFD67" s="215"/>
      <c r="AFE67" s="215"/>
      <c r="AFF67" s="215"/>
      <c r="AFG67" s="215"/>
      <c r="AFH67" s="215"/>
      <c r="AFI67" s="215"/>
      <c r="AFJ67" s="215"/>
      <c r="AFK67" s="215"/>
      <c r="AFL67" s="215"/>
      <c r="AFM67" s="215"/>
      <c r="AFN67" s="215"/>
      <c r="AFO67" s="215"/>
      <c r="AFP67" s="215"/>
      <c r="AFQ67" s="215"/>
      <c r="AFR67" s="215"/>
      <c r="AFS67" s="215"/>
      <c r="AFT67" s="215"/>
      <c r="AFU67" s="215"/>
      <c r="AFV67" s="215"/>
      <c r="AFW67" s="215"/>
      <c r="AFX67" s="215"/>
      <c r="AFY67" s="215"/>
      <c r="AFZ67" s="215"/>
      <c r="AGA67" s="215"/>
      <c r="AGB67" s="215"/>
      <c r="AGC67" s="215"/>
      <c r="AGD67" s="215"/>
      <c r="AGE67" s="215"/>
      <c r="AGF67" s="215"/>
      <c r="AGG67" s="215"/>
      <c r="AGH67" s="215"/>
      <c r="AGI67" s="215"/>
      <c r="AGJ67" s="215"/>
      <c r="AGK67" s="215"/>
      <c r="AGL67" s="215"/>
      <c r="AGM67" s="215"/>
      <c r="AGN67" s="215"/>
      <c r="AGO67" s="215"/>
      <c r="AGP67" s="215"/>
      <c r="AGQ67" s="215"/>
      <c r="AGR67" s="215"/>
      <c r="AGS67" s="215"/>
      <c r="AGT67" s="215"/>
      <c r="AGU67" s="215"/>
      <c r="AGV67" s="215"/>
      <c r="AGW67" s="215"/>
      <c r="AGX67" s="215"/>
      <c r="AGY67" s="215"/>
      <c r="AGZ67" s="215"/>
      <c r="AHA67" s="215"/>
      <c r="AHB67" s="215"/>
      <c r="AHC67" s="215"/>
      <c r="AHD67" s="215"/>
      <c r="AHE67" s="215"/>
      <c r="AHF67" s="215"/>
      <c r="AHG67" s="215"/>
      <c r="AHH67" s="215"/>
      <c r="AHI67" s="215"/>
      <c r="AHJ67" s="215"/>
      <c r="AHK67" s="215"/>
      <c r="AHL67" s="215"/>
      <c r="AHM67" s="215"/>
      <c r="AHN67" s="215"/>
      <c r="AHO67" s="215"/>
      <c r="AHP67" s="215"/>
      <c r="AHQ67" s="215"/>
      <c r="AHR67" s="215"/>
      <c r="AHS67" s="215"/>
      <c r="AHT67" s="215"/>
      <c r="AHU67" s="215"/>
      <c r="AHV67" s="215"/>
      <c r="AHW67" s="215"/>
      <c r="AHX67" s="215"/>
      <c r="AHY67" s="215"/>
      <c r="AHZ67" s="215"/>
      <c r="AIA67" s="215"/>
      <c r="AIB67" s="215"/>
      <c r="AIC67" s="215"/>
      <c r="AID67" s="215"/>
      <c r="AIE67" s="215"/>
      <c r="AIF67" s="215"/>
      <c r="AIG67" s="215"/>
      <c r="AIH67" s="215"/>
      <c r="AII67" s="215"/>
      <c r="AIJ67" s="215"/>
      <c r="AIK67" s="215"/>
      <c r="AIL67" s="215"/>
      <c r="AIM67" s="215"/>
      <c r="AIN67" s="215"/>
      <c r="AIO67" s="215"/>
      <c r="AIP67" s="215"/>
      <c r="AIQ67" s="215"/>
      <c r="AIR67" s="215"/>
      <c r="AIS67" s="215"/>
      <c r="AIT67" s="215"/>
      <c r="AIU67" s="215"/>
      <c r="AIV67" s="215"/>
      <c r="AIW67" s="215"/>
      <c r="AIX67" s="215"/>
      <c r="AIY67" s="215"/>
      <c r="AIZ67" s="215"/>
      <c r="AJA67" s="215"/>
      <c r="AJB67" s="215"/>
      <c r="AJC67" s="215"/>
      <c r="AJD67" s="215"/>
      <c r="AJE67" s="215"/>
      <c r="AJF67" s="215"/>
      <c r="AJG67" s="215"/>
      <c r="AJH67" s="215"/>
      <c r="AJI67" s="215"/>
      <c r="AJJ67" s="215"/>
      <c r="AJK67" s="215"/>
      <c r="AJL67" s="215"/>
      <c r="AJM67" s="215"/>
      <c r="AJN67" s="215"/>
      <c r="AJO67" s="215"/>
      <c r="AJP67" s="215"/>
      <c r="AJQ67" s="215"/>
      <c r="AJR67" s="215"/>
      <c r="AJS67" s="215"/>
      <c r="AJT67" s="215"/>
      <c r="AJU67" s="215"/>
      <c r="AJV67" s="215"/>
      <c r="AJW67" s="215"/>
      <c r="AJX67" s="215"/>
      <c r="AJY67" s="215"/>
      <c r="AJZ67" s="215"/>
      <c r="AKA67" s="215"/>
      <c r="AKB67" s="215"/>
      <c r="AKC67" s="215"/>
      <c r="AKD67" s="215"/>
      <c r="AKE67" s="215"/>
      <c r="AKF67" s="215"/>
      <c r="AKG67" s="215"/>
      <c r="AKH67" s="215"/>
      <c r="AKI67" s="215"/>
      <c r="AKJ67" s="215"/>
      <c r="AKK67" s="215"/>
      <c r="AKL67" s="215"/>
      <c r="AKM67" s="215"/>
      <c r="AKN67" s="215"/>
      <c r="AKO67" s="215"/>
      <c r="AKP67" s="215"/>
      <c r="AKQ67" s="215"/>
      <c r="AKR67" s="215"/>
      <c r="AKS67" s="215"/>
      <c r="AKT67" s="215"/>
      <c r="AKU67" s="215"/>
      <c r="AKV67" s="215"/>
      <c r="AKW67" s="215"/>
      <c r="AKX67" s="215"/>
      <c r="AKY67" s="215"/>
      <c r="AKZ67" s="215"/>
      <c r="ALA67" s="215"/>
      <c r="ALB67" s="215"/>
      <c r="ALC67" s="215"/>
      <c r="ALD67" s="215"/>
      <c r="ALE67" s="215"/>
      <c r="ALF67" s="215"/>
      <c r="ALG67" s="215"/>
      <c r="ALH67" s="215"/>
      <c r="ALI67" s="215"/>
      <c r="ALJ67" s="215"/>
      <c r="ALK67" s="215"/>
      <c r="ALL67" s="215"/>
      <c r="ALM67" s="215"/>
      <c r="ALN67" s="215"/>
      <c r="ALO67" s="215"/>
      <c r="ALP67" s="215"/>
      <c r="ALQ67" s="215"/>
      <c r="ALR67" s="215"/>
      <c r="ALS67" s="215"/>
      <c r="ALT67" s="215"/>
      <c r="ALU67" s="215"/>
      <c r="ALV67" s="215"/>
      <c r="ALW67" s="215"/>
      <c r="ALX67" s="215"/>
      <c r="ALY67" s="215"/>
      <c r="ALZ67" s="215"/>
      <c r="AMA67" s="215"/>
      <c r="AMB67" s="215"/>
      <c r="AMC67" s="215"/>
      <c r="AMD67" s="215"/>
      <c r="AME67" s="215"/>
      <c r="AMF67" s="215"/>
      <c r="AMG67" s="215"/>
      <c r="AMH67" s="215"/>
      <c r="AMI67" s="215"/>
      <c r="AMJ67" s="215"/>
      <c r="AMK67" s="215"/>
      <c r="AML67" s="215"/>
      <c r="AMM67" s="215"/>
      <c r="AMN67" s="215"/>
      <c r="AMO67" s="215"/>
      <c r="AMP67" s="215"/>
      <c r="AMQ67" s="215"/>
      <c r="AMR67" s="215"/>
      <c r="AMS67" s="215"/>
      <c r="AMT67" s="215"/>
      <c r="AMU67" s="215"/>
      <c r="AMV67" s="215"/>
      <c r="AMW67" s="215"/>
      <c r="AMX67" s="215"/>
      <c r="AMY67" s="215"/>
      <c r="AMZ67" s="215"/>
      <c r="ANA67" s="215"/>
      <c r="ANB67" s="215"/>
      <c r="ANC67" s="215"/>
      <c r="AND67" s="215"/>
      <c r="ANE67" s="215"/>
      <c r="ANF67" s="215"/>
      <c r="ANG67" s="215"/>
      <c r="ANH67" s="215"/>
      <c r="ANI67" s="215"/>
      <c r="ANJ67" s="215"/>
      <c r="ANK67" s="215"/>
      <c r="ANL67" s="215"/>
      <c r="ANM67" s="215"/>
      <c r="ANN67" s="215"/>
      <c r="ANO67" s="215"/>
      <c r="ANP67" s="215"/>
      <c r="ANQ67" s="215"/>
      <c r="ANR67" s="215"/>
      <c r="ANS67" s="215"/>
      <c r="ANT67" s="215"/>
      <c r="ANU67" s="215"/>
      <c r="ANV67" s="215"/>
      <c r="ANW67" s="215"/>
      <c r="ANX67" s="215"/>
      <c r="ANY67" s="215"/>
      <c r="ANZ67" s="215"/>
      <c r="AOA67" s="215"/>
      <c r="AOB67" s="215"/>
      <c r="AOC67" s="215"/>
      <c r="AOD67" s="215"/>
      <c r="AOE67" s="215"/>
      <c r="AOF67" s="215"/>
      <c r="AOG67" s="215"/>
      <c r="AOH67" s="215"/>
      <c r="AOI67" s="215"/>
      <c r="AOJ67" s="215"/>
      <c r="AOK67" s="215"/>
      <c r="AOL67" s="215"/>
      <c r="AOM67" s="215"/>
      <c r="AON67" s="215"/>
      <c r="AOO67" s="215"/>
      <c r="AOP67" s="215"/>
      <c r="AOQ67" s="215"/>
      <c r="AOR67" s="215"/>
      <c r="AOS67" s="215"/>
      <c r="AOT67" s="215"/>
      <c r="AOU67" s="215"/>
      <c r="AOV67" s="215"/>
      <c r="AOW67" s="215"/>
      <c r="AOX67" s="215"/>
      <c r="AOY67" s="215"/>
      <c r="AOZ67" s="215"/>
      <c r="APA67" s="215"/>
      <c r="APB67" s="215"/>
      <c r="APC67" s="215"/>
      <c r="APD67" s="215"/>
      <c r="APE67" s="215"/>
      <c r="APF67" s="215"/>
      <c r="APG67" s="215"/>
      <c r="APH67" s="215"/>
      <c r="API67" s="215"/>
      <c r="APJ67" s="215"/>
      <c r="APK67" s="215"/>
      <c r="APL67" s="215"/>
      <c r="APM67" s="215"/>
      <c r="APN67" s="215"/>
      <c r="APO67" s="215"/>
      <c r="APP67" s="215"/>
      <c r="APQ67" s="215"/>
      <c r="APR67" s="215"/>
      <c r="APS67" s="215"/>
      <c r="APT67" s="215"/>
      <c r="APU67" s="215"/>
      <c r="APV67" s="215"/>
      <c r="APW67" s="215"/>
      <c r="APX67" s="215"/>
      <c r="APY67" s="215"/>
      <c r="APZ67" s="215"/>
      <c r="AQA67" s="215"/>
      <c r="AQB67" s="215"/>
      <c r="AQC67" s="215"/>
      <c r="AQD67" s="215"/>
      <c r="AQE67" s="215"/>
      <c r="AQF67" s="215"/>
      <c r="AQG67" s="215"/>
      <c r="AQH67" s="215"/>
      <c r="AQI67" s="215"/>
      <c r="AQJ67" s="215"/>
      <c r="AQK67" s="215"/>
      <c r="AQL67" s="215"/>
      <c r="AQM67" s="215"/>
      <c r="AQN67" s="215"/>
      <c r="AQO67" s="215"/>
      <c r="AQP67" s="215"/>
      <c r="AQQ67" s="215"/>
      <c r="AQR67" s="215"/>
      <c r="AQS67" s="215"/>
      <c r="AQT67" s="215"/>
      <c r="AQU67" s="215"/>
      <c r="AQV67" s="215"/>
      <c r="AQW67" s="215"/>
      <c r="AQX67" s="215"/>
      <c r="AQY67" s="215"/>
      <c r="AQZ67" s="215"/>
      <c r="ARA67" s="215"/>
      <c r="ARB67" s="215"/>
      <c r="ARC67" s="215"/>
      <c r="ARD67" s="215"/>
      <c r="ARE67" s="215"/>
      <c r="ARF67" s="215"/>
      <c r="ARG67" s="215"/>
      <c r="ARH67" s="215"/>
      <c r="ARI67" s="215"/>
      <c r="ARJ67" s="215"/>
      <c r="ARK67" s="215"/>
      <c r="ARL67" s="215"/>
      <c r="ARM67" s="215"/>
      <c r="ARN67" s="215"/>
      <c r="ARO67" s="215"/>
      <c r="ARP67" s="215"/>
      <c r="ARQ67" s="215"/>
      <c r="ARR67" s="215"/>
      <c r="ARS67" s="215"/>
      <c r="ART67" s="215"/>
      <c r="ARU67" s="215"/>
      <c r="ARV67" s="215"/>
      <c r="ARW67" s="215"/>
      <c r="ARX67" s="215"/>
      <c r="ARY67" s="215"/>
      <c r="ARZ67" s="215"/>
      <c r="ASA67" s="215"/>
      <c r="ASB67" s="215"/>
      <c r="ASC67" s="215"/>
      <c r="ASD67" s="215"/>
      <c r="ASE67" s="215"/>
      <c r="ASF67" s="215"/>
      <c r="ASG67" s="215"/>
      <c r="ASH67" s="215"/>
      <c r="ASI67" s="215"/>
      <c r="ASJ67" s="215"/>
      <c r="ASK67" s="215"/>
      <c r="ASL67" s="215"/>
      <c r="ASM67" s="215"/>
      <c r="ASN67" s="215"/>
      <c r="ASO67" s="215"/>
      <c r="ASP67" s="215"/>
      <c r="ASQ67" s="215"/>
      <c r="ASR67" s="215"/>
      <c r="ASS67" s="215"/>
      <c r="AST67" s="215"/>
      <c r="ASU67" s="215"/>
      <c r="ASV67" s="215"/>
      <c r="ASW67" s="215"/>
      <c r="ASX67" s="215"/>
      <c r="ASY67" s="215"/>
      <c r="ASZ67" s="215"/>
      <c r="ATA67" s="215"/>
      <c r="ATB67" s="215"/>
      <c r="ATC67" s="215"/>
      <c r="ATD67" s="215"/>
      <c r="ATE67" s="215"/>
      <c r="ATF67" s="215"/>
      <c r="ATG67" s="215"/>
      <c r="ATH67" s="215"/>
      <c r="ATI67" s="215"/>
      <c r="ATJ67" s="215"/>
      <c r="ATK67" s="215"/>
      <c r="ATL67" s="215"/>
      <c r="ATM67" s="215"/>
      <c r="ATN67" s="215"/>
      <c r="ATO67" s="215"/>
      <c r="ATP67" s="215"/>
      <c r="ATQ67" s="215"/>
      <c r="ATR67" s="215"/>
      <c r="ATS67" s="215"/>
      <c r="ATT67" s="215"/>
      <c r="ATU67" s="215"/>
      <c r="ATV67" s="215"/>
      <c r="ATW67" s="215"/>
      <c r="ATX67" s="215"/>
      <c r="ATY67" s="215"/>
      <c r="ATZ67" s="215"/>
      <c r="AUA67" s="215"/>
      <c r="AUB67" s="215"/>
      <c r="AUC67" s="215"/>
      <c r="AUD67" s="215"/>
      <c r="AUE67" s="215"/>
      <c r="AUF67" s="215"/>
      <c r="AUG67" s="215"/>
      <c r="AUH67" s="215"/>
      <c r="AUI67" s="215"/>
      <c r="AUJ67" s="215"/>
      <c r="AUK67" s="215"/>
      <c r="AUL67" s="215"/>
      <c r="AUM67" s="215"/>
      <c r="AUN67" s="215"/>
      <c r="AUO67" s="215"/>
      <c r="AUP67" s="215"/>
      <c r="AUQ67" s="215"/>
      <c r="AUR67" s="215"/>
      <c r="AUS67" s="215"/>
      <c r="AUT67" s="215"/>
      <c r="AUU67" s="215"/>
      <c r="AUV67" s="215"/>
      <c r="AUW67" s="215"/>
      <c r="AUX67" s="215"/>
      <c r="AUY67" s="215"/>
      <c r="AUZ67" s="215"/>
      <c r="AVA67" s="215"/>
      <c r="AVB67" s="215"/>
      <c r="AVC67" s="215"/>
      <c r="AVD67" s="215"/>
      <c r="AVE67" s="215"/>
      <c r="AVF67" s="215"/>
      <c r="AVG67" s="215"/>
      <c r="AVH67" s="215"/>
      <c r="AVI67" s="215"/>
      <c r="AVJ67" s="215"/>
      <c r="AVK67" s="215"/>
      <c r="AVL67" s="215"/>
      <c r="AVM67" s="215"/>
      <c r="AVN67" s="215"/>
      <c r="AVO67" s="215"/>
      <c r="AVP67" s="215"/>
      <c r="AVQ67" s="215"/>
      <c r="AVR67" s="215"/>
      <c r="AVS67" s="215"/>
      <c r="AVT67" s="215"/>
      <c r="AVU67" s="215"/>
      <c r="AVV67" s="215"/>
      <c r="AVW67" s="215"/>
      <c r="AVX67" s="215"/>
      <c r="AVY67" s="215"/>
      <c r="AVZ67" s="215"/>
      <c r="AWA67" s="215"/>
      <c r="AWB67" s="215"/>
      <c r="AWC67" s="215"/>
      <c r="AWD67" s="215"/>
      <c r="AWE67" s="215"/>
      <c r="AWF67" s="215"/>
      <c r="AWG67" s="215"/>
      <c r="AWH67" s="215"/>
      <c r="AWI67" s="215"/>
      <c r="AWJ67" s="215"/>
      <c r="AWK67" s="215"/>
      <c r="AWL67" s="215"/>
      <c r="AWM67" s="215"/>
      <c r="AWN67" s="215"/>
      <c r="AWO67" s="215"/>
      <c r="AWP67" s="215"/>
      <c r="AWQ67" s="215"/>
      <c r="AWR67" s="215"/>
      <c r="AWS67" s="215"/>
      <c r="AWT67" s="215"/>
      <c r="AWU67" s="215"/>
      <c r="AWV67" s="215"/>
      <c r="AWW67" s="215"/>
      <c r="AWX67" s="215"/>
      <c r="AWY67" s="215"/>
      <c r="AWZ67" s="215"/>
      <c r="AXA67" s="215"/>
      <c r="AXB67" s="215"/>
      <c r="AXC67" s="215"/>
      <c r="AXD67" s="215"/>
      <c r="AXE67" s="215"/>
      <c r="AXF67" s="215"/>
      <c r="AXG67" s="215"/>
      <c r="AXH67" s="215"/>
      <c r="AXI67" s="215"/>
      <c r="AXJ67" s="215"/>
      <c r="AXK67" s="215"/>
      <c r="AXL67" s="215"/>
      <c r="AXM67" s="215"/>
      <c r="AXN67" s="215"/>
      <c r="AXO67" s="215"/>
      <c r="AXP67" s="215"/>
      <c r="AXQ67" s="215"/>
      <c r="AXR67" s="215"/>
      <c r="AXS67" s="215"/>
      <c r="AXT67" s="215"/>
      <c r="AXU67" s="215"/>
      <c r="AXV67" s="215"/>
      <c r="AXW67" s="215"/>
      <c r="AXX67" s="215"/>
      <c r="AXY67" s="215"/>
      <c r="AXZ67" s="215"/>
      <c r="AYA67" s="215"/>
      <c r="AYB67" s="215"/>
      <c r="AYC67" s="215"/>
      <c r="AYD67" s="215"/>
      <c r="AYE67" s="215"/>
      <c r="AYF67" s="215"/>
      <c r="AYG67" s="215"/>
      <c r="AYH67" s="215"/>
      <c r="AYI67" s="215"/>
      <c r="AYJ67" s="215"/>
      <c r="AYK67" s="215"/>
      <c r="AYL67" s="215"/>
      <c r="AYM67" s="215"/>
      <c r="AYN67" s="215"/>
      <c r="AYO67" s="215"/>
      <c r="AYP67" s="215"/>
      <c r="AYQ67" s="215"/>
      <c r="AYR67" s="215"/>
      <c r="AYS67" s="215"/>
      <c r="AYT67" s="215"/>
      <c r="AYU67" s="215"/>
      <c r="AYV67" s="215"/>
      <c r="AYW67" s="215"/>
      <c r="AYX67" s="215"/>
      <c r="AYY67" s="215"/>
      <c r="AYZ67" s="215"/>
      <c r="AZA67" s="215"/>
      <c r="AZB67" s="215"/>
      <c r="AZC67" s="215"/>
      <c r="AZD67" s="215"/>
      <c r="AZE67" s="215"/>
      <c r="AZF67" s="215"/>
      <c r="AZG67" s="215"/>
      <c r="AZH67" s="215"/>
      <c r="AZI67" s="215"/>
      <c r="AZJ67" s="215"/>
      <c r="AZK67" s="215"/>
      <c r="AZL67" s="215"/>
      <c r="AZM67" s="215"/>
      <c r="AZN67" s="215"/>
      <c r="AZO67" s="215"/>
      <c r="AZP67" s="215"/>
      <c r="AZQ67" s="215"/>
      <c r="AZR67" s="215"/>
      <c r="AZS67" s="215"/>
      <c r="AZT67" s="215"/>
      <c r="AZU67" s="215"/>
      <c r="AZV67" s="215"/>
      <c r="AZW67" s="215"/>
      <c r="AZX67" s="215"/>
      <c r="AZY67" s="215"/>
      <c r="AZZ67" s="215"/>
      <c r="BAA67" s="215"/>
      <c r="BAB67" s="215"/>
      <c r="BAC67" s="215"/>
      <c r="BAD67" s="215"/>
      <c r="BAE67" s="215"/>
      <c r="BAF67" s="215"/>
      <c r="BAG67" s="215"/>
      <c r="BAH67" s="215"/>
      <c r="BAI67" s="215"/>
      <c r="BAJ67" s="215"/>
      <c r="BAK67" s="215"/>
      <c r="BAL67" s="215"/>
      <c r="BAM67" s="215"/>
      <c r="BAN67" s="215"/>
      <c r="BAO67" s="215"/>
      <c r="BAP67" s="215"/>
      <c r="BAQ67" s="215"/>
      <c r="BAR67" s="215"/>
      <c r="BAS67" s="215"/>
      <c r="BAT67" s="215"/>
      <c r="BAU67" s="215"/>
      <c r="BAV67" s="215"/>
      <c r="BAW67" s="215"/>
      <c r="BAX67" s="215"/>
      <c r="BAY67" s="215"/>
      <c r="BAZ67" s="215"/>
      <c r="BBA67" s="215"/>
      <c r="BBB67" s="215"/>
      <c r="BBC67" s="215"/>
      <c r="BBD67" s="215"/>
      <c r="BBE67" s="215"/>
      <c r="BBF67" s="215"/>
      <c r="BBG67" s="215"/>
      <c r="BBH67" s="215"/>
      <c r="BBI67" s="215"/>
      <c r="BBJ67" s="215"/>
      <c r="BBK67" s="215"/>
      <c r="BBL67" s="215"/>
      <c r="BBM67" s="215"/>
      <c r="BBN67" s="215"/>
      <c r="BBO67" s="215"/>
      <c r="BBP67" s="215"/>
      <c r="BBQ67" s="215"/>
      <c r="BBR67" s="215"/>
      <c r="BBS67" s="215"/>
      <c r="BBT67" s="215"/>
      <c r="BBU67" s="215"/>
      <c r="BBV67" s="215"/>
      <c r="BBW67" s="215"/>
      <c r="BBX67" s="215"/>
      <c r="BBY67" s="215"/>
      <c r="BBZ67" s="215"/>
      <c r="BCA67" s="215"/>
      <c r="BCB67" s="215"/>
      <c r="BCC67" s="215"/>
      <c r="BCD67" s="215"/>
      <c r="BCE67" s="215"/>
      <c r="BCF67" s="215"/>
      <c r="BCG67" s="215"/>
      <c r="BCH67" s="215"/>
      <c r="BCI67" s="215"/>
      <c r="BCJ67" s="215"/>
      <c r="BCK67" s="215"/>
      <c r="BCL67" s="215"/>
      <c r="BCM67" s="215"/>
      <c r="BCN67" s="215"/>
      <c r="BCO67" s="215"/>
      <c r="BCP67" s="215"/>
      <c r="BCQ67" s="215"/>
      <c r="BCR67" s="215"/>
      <c r="BCS67" s="215"/>
      <c r="BCT67" s="215"/>
      <c r="BCU67" s="215"/>
      <c r="BCV67" s="215"/>
      <c r="BCW67" s="215"/>
      <c r="BCX67" s="215"/>
      <c r="BCY67" s="215"/>
      <c r="BCZ67" s="215"/>
      <c r="BDA67" s="215"/>
      <c r="BDB67" s="215"/>
      <c r="BDC67" s="215"/>
      <c r="BDD67" s="215"/>
      <c r="BDE67" s="215"/>
      <c r="BDF67" s="215"/>
      <c r="BDG67" s="215"/>
      <c r="BDH67" s="215"/>
      <c r="BDI67" s="215"/>
      <c r="BDJ67" s="215"/>
      <c r="BDK67" s="215"/>
      <c r="BDL67" s="215"/>
      <c r="BDM67" s="215"/>
      <c r="BDN67" s="215"/>
      <c r="BDO67" s="215"/>
      <c r="BDP67" s="215"/>
      <c r="BDQ67" s="215"/>
      <c r="BDR67" s="215"/>
      <c r="BDS67" s="215"/>
      <c r="BDT67" s="215"/>
      <c r="BDU67" s="215"/>
      <c r="BDV67" s="215"/>
      <c r="BDW67" s="215"/>
      <c r="BDX67" s="215"/>
      <c r="BDY67" s="215"/>
      <c r="BDZ67" s="215"/>
      <c r="BEA67" s="215"/>
      <c r="BEB67" s="215"/>
      <c r="BEC67" s="215"/>
      <c r="BED67" s="215"/>
      <c r="BEE67" s="215"/>
      <c r="BEF67" s="215"/>
      <c r="BEG67" s="215"/>
      <c r="BEH67" s="215"/>
      <c r="BEI67" s="215"/>
      <c r="BEJ67" s="215"/>
      <c r="BEK67" s="215"/>
      <c r="BEL67" s="215"/>
      <c r="BEM67" s="215"/>
      <c r="BEN67" s="215"/>
      <c r="BEO67" s="215"/>
      <c r="BEP67" s="215"/>
      <c r="BEQ67" s="215"/>
      <c r="BER67" s="215"/>
      <c r="BES67" s="215"/>
      <c r="BET67" s="215"/>
      <c r="BEU67" s="215"/>
      <c r="BEV67" s="215"/>
      <c r="BEW67" s="215"/>
      <c r="BEX67" s="215"/>
      <c r="BEY67" s="215"/>
      <c r="BEZ67" s="215"/>
      <c r="BFA67" s="215"/>
      <c r="BFB67" s="215"/>
      <c r="BFC67" s="215"/>
      <c r="BFD67" s="215"/>
      <c r="BFE67" s="215"/>
      <c r="BFF67" s="215"/>
      <c r="BFG67" s="215"/>
      <c r="BFH67" s="215"/>
      <c r="BFI67" s="215"/>
      <c r="BFJ67" s="215"/>
      <c r="BFK67" s="215"/>
      <c r="BFL67" s="215"/>
      <c r="BFM67" s="215"/>
      <c r="BFN67" s="215"/>
      <c r="BFO67" s="215"/>
      <c r="BFP67" s="215"/>
      <c r="BFQ67" s="215"/>
      <c r="BFR67" s="215"/>
      <c r="BFS67" s="215"/>
      <c r="BFT67" s="215"/>
      <c r="BFU67" s="215"/>
      <c r="BFV67" s="215"/>
      <c r="BFW67" s="215"/>
      <c r="BFX67" s="215"/>
      <c r="BFY67" s="215"/>
      <c r="BFZ67" s="215"/>
      <c r="BGA67" s="215"/>
      <c r="BGB67" s="215"/>
      <c r="BGC67" s="215"/>
      <c r="BGD67" s="215"/>
      <c r="BGE67" s="215"/>
      <c r="BGF67" s="215"/>
      <c r="BGG67" s="215"/>
      <c r="BGH67" s="215"/>
      <c r="BGI67" s="215"/>
      <c r="BGJ67" s="215"/>
      <c r="BGK67" s="215"/>
      <c r="BGL67" s="215"/>
      <c r="BGM67" s="215"/>
      <c r="BGN67" s="215"/>
      <c r="BGO67" s="215"/>
      <c r="BGP67" s="215"/>
      <c r="BGQ67" s="215"/>
      <c r="BGR67" s="215"/>
      <c r="BGS67" s="215"/>
      <c r="BGT67" s="215"/>
      <c r="BGU67" s="215"/>
      <c r="BGV67" s="215"/>
      <c r="BGW67" s="215"/>
      <c r="BGX67" s="215"/>
      <c r="BGY67" s="215"/>
      <c r="BGZ67" s="215"/>
      <c r="BHA67" s="215"/>
      <c r="BHB67" s="215"/>
      <c r="BHC67" s="215"/>
      <c r="BHD67" s="215"/>
      <c r="BHE67" s="215"/>
      <c r="BHF67" s="215"/>
      <c r="BHG67" s="215"/>
      <c r="BHH67" s="215"/>
      <c r="BHI67" s="215"/>
      <c r="BHJ67" s="215"/>
      <c r="BHK67" s="215"/>
      <c r="BHL67" s="215"/>
      <c r="BHM67" s="215"/>
      <c r="BHN67" s="215"/>
      <c r="BHO67" s="215"/>
      <c r="BHP67" s="215"/>
      <c r="BHQ67" s="215"/>
      <c r="BHR67" s="215"/>
      <c r="BHS67" s="215"/>
      <c r="BHT67" s="215"/>
      <c r="BHU67" s="215"/>
      <c r="BHV67" s="215"/>
      <c r="BHW67" s="215"/>
    </row>
    <row r="68" spans="1:1583" s="217" customFormat="1" ht="16.5">
      <c r="A68" s="252"/>
      <c r="B68" s="180" t="s">
        <v>376</v>
      </c>
      <c r="C68" s="416" t="s">
        <v>499</v>
      </c>
      <c r="D68" s="420" t="s">
        <v>583</v>
      </c>
      <c r="E68" s="59" t="s">
        <v>42</v>
      </c>
      <c r="F68" s="132">
        <v>384</v>
      </c>
      <c r="G68" s="60" t="s">
        <v>722</v>
      </c>
      <c r="H68" s="473">
        <f t="shared" si="21"/>
        <v>373.13175282822766</v>
      </c>
      <c r="I68" s="92">
        <f>VLOOKUP($B68,'DCS Data'!$E$2:$AJ$100,MATCH('Daily Report'!I$1,'DCS Data'!$E$2:$AJ$2,0),0)</f>
        <v>368.50433416842554</v>
      </c>
      <c r="J68" s="255"/>
      <c r="K68" s="92">
        <f>VLOOKUP($B68,'DCS Data'!$E$2:$AJ$100,MATCH('Daily Report'!K$1,'DCS Data'!$E$2:$AJ$2,0),0)</f>
        <v>372.53179355104265</v>
      </c>
      <c r="L68" s="92">
        <f>VLOOKUP($B68,'DCS Data'!$E$2:$AJ$100,MATCH('Daily Report'!L$1,'DCS Data'!$E$2:$AJ$2,0),0)</f>
        <v>372.99571844115837</v>
      </c>
      <c r="M68" s="92">
        <f>VLOOKUP($B68,'DCS Data'!$E$2:$AJ$100,MATCH('Daily Report'!M$1,'DCS Data'!$E$2:$AJ$2,0),0)</f>
        <v>373.07681332964285</v>
      </c>
      <c r="N68" s="92">
        <f>VLOOKUP($B68,'DCS Data'!$E$2:$AJ$100,MATCH('Daily Report'!N$1,'DCS Data'!$E$2:$AJ$2,0),0)</f>
        <v>373.50677054374165</v>
      </c>
      <c r="O68" s="92">
        <f>VLOOKUP($B68,'DCS Data'!$E$2:$AJ$100,MATCH('Daily Report'!O$1,'DCS Data'!$E$2:$AJ$2,0),0)</f>
        <v>374.45004211277285</v>
      </c>
      <c r="P68" s="92">
        <f>VLOOKUP($B68,'DCS Data'!$E$2:$AJ$100,MATCH('Daily Report'!P$1,'DCS Data'!$E$2:$AJ$2,0),0)</f>
        <v>374.32472805264399</v>
      </c>
      <c r="Q68" s="92">
        <f>VLOOKUP($B68,'DCS Data'!$E$2:$AJ$100,MATCH('Daily Report'!Q$1,'DCS Data'!$E$2:$AJ$2,0),0)</f>
        <v>373.69073627485125</v>
      </c>
      <c r="R68" s="92">
        <f>VLOOKUP($B68,'DCS Data'!$E$2:$AJ$100,MATCH('Daily Report'!R$1,'DCS Data'!$E$2:$AJ$2,0),0)</f>
        <v>372.94175922039562</v>
      </c>
      <c r="S68" s="92">
        <f>VLOOKUP($B68,'DCS Data'!$E$2:$AJ$100,MATCH('Daily Report'!S$1,'DCS Data'!$E$2:$AJ$2,0),0)</f>
        <v>372.55796455599955</v>
      </c>
      <c r="T68" s="92">
        <f>VLOOKUP($B68,'DCS Data'!$E$2:$AJ$100,MATCH('Daily Report'!T$1,'DCS Data'!$E$2:$AJ$2,0),0)</f>
        <v>372.33244683224365</v>
      </c>
      <c r="U68" s="92">
        <f>VLOOKUP($B68,'DCS Data'!$E$2:$AJ$100,MATCH('Daily Report'!U$1,'DCS Data'!$E$2:$AJ$2,0),0)</f>
        <v>372.62668513667381</v>
      </c>
      <c r="V68" s="92">
        <f>VLOOKUP($B68,'DCS Data'!$E$2:$AJ$100,MATCH('Daily Report'!V$1,'DCS Data'!$E$2:$AJ$2,0),0)</f>
        <v>372.85170354158396</v>
      </c>
      <c r="W68" s="92">
        <f>VLOOKUP($B68,'DCS Data'!$E$2:$AJ$100,MATCH('Daily Report'!W$1,'DCS Data'!$E$2:$AJ$2,0),0)</f>
        <v>373.39654816702114</v>
      </c>
      <c r="X68" s="92">
        <f>VLOOKUP($B68,'DCS Data'!$E$2:$AJ$100,MATCH('Daily Report'!X$1,'DCS Data'!$E$2:$AJ$2,0),0)</f>
        <v>372.52950123664488</v>
      </c>
      <c r="Y68" s="92">
        <f>VLOOKUP($B68,'DCS Data'!$E$2:$AJ$100,MATCH('Daily Report'!Y$1,'DCS Data'!$E$2:$AJ$2,0),0)</f>
        <v>370.10586142179056</v>
      </c>
      <c r="Z68" s="92">
        <f>VLOOKUP($B68,'DCS Data'!$E$2:$AJ$100,MATCH('Daily Report'!Z$1,'DCS Data'!$E$2:$AJ$2,0),0)</f>
        <v>369.34926490263274</v>
      </c>
      <c r="AA68" s="92">
        <f>VLOOKUP($B68,'DCS Data'!$E$2:$AJ$100,MATCH('Daily Report'!AA$1,'DCS Data'!$E$2:$AJ$2,0),0)</f>
        <v>370.18547324790836</v>
      </c>
      <c r="AB68" s="92">
        <f>VLOOKUP($B68,'DCS Data'!$E$2:$AJ$100,MATCH('Daily Report'!AB$1,'DCS Data'!$E$2:$AJ$2,0),0)</f>
        <v>370.65229518326146</v>
      </c>
      <c r="AC68" s="92">
        <f>VLOOKUP($B68,'DCS Data'!$E$2:$AJ$100,MATCH('Daily Report'!AC$1,'DCS Data'!$E$2:$AJ$2,0),0)</f>
        <v>371.71998421933625</v>
      </c>
      <c r="AD68" s="92">
        <f>VLOOKUP($B68,'DCS Data'!$E$2:$AJ$100,MATCH('Daily Report'!AD$1,'DCS Data'!$E$2:$AJ$2,0),0)</f>
        <v>373.99710241880234</v>
      </c>
      <c r="AE68" s="92">
        <f>VLOOKUP($B68,'DCS Data'!$E$2:$AJ$100,MATCH('Daily Report'!AE$1,'DCS Data'!$E$2:$AJ$2,0),0)</f>
        <v>374.68036020723554</v>
      </c>
      <c r="AF68" s="92">
        <f>VLOOKUP($B68,'DCS Data'!$E$2:$AJ$100,MATCH('Daily Report'!AF$1,'DCS Data'!$E$2:$AJ$2,0),0)</f>
        <v>374.56731874919996</v>
      </c>
      <c r="AG68" s="92">
        <f>VLOOKUP($B68,'DCS Data'!$E$2:$AJ$100,MATCH('Daily Report'!AG$1,'DCS Data'!$E$2:$AJ$2,0),0)</f>
        <v>374.49302902185894</v>
      </c>
      <c r="AH68" s="92">
        <f>VLOOKUP($B68,'DCS Data'!$E$2:$AJ$100,MATCH('Daily Report'!AH$1,'DCS Data'!$E$2:$AJ$2,0),0)</f>
        <v>374.54830033639706</v>
      </c>
      <c r="AI68" s="92">
        <f>VLOOKUP($B68,'DCS Data'!$E$2:$AJ$100,MATCH('Daily Report'!AI$1,'DCS Data'!$E$2:$AJ$2,0),0)</f>
        <v>374.75651869662011</v>
      </c>
      <c r="AJ68" s="92">
        <f>VLOOKUP($B68,'DCS Data'!$E$2:$AJ$100,MATCH('Daily Report'!AJ$1,'DCS Data'!$E$2:$AJ$2,0),0)</f>
        <v>374.93320850741156</v>
      </c>
      <c r="AK68" s="92">
        <f>VLOOKUP($B68,'DCS Data'!$E$2:$AJ$100,MATCH('Daily Report'!AK$1,'DCS Data'!$E$2:$AJ$2,0),0)</f>
        <v>374.98545821251747</v>
      </c>
      <c r="AL68" s="92">
        <f>VLOOKUP($B68,'DCS Data'!$E$2:$AJ$100,MATCH('Daily Report'!AL$1,'DCS Data'!$E$2:$AJ$2,0),0)</f>
        <v>375.00361518484539</v>
      </c>
      <c r="AM68" s="92">
        <f>VLOOKUP($B68,'DCS Data'!$E$2:$AJ$100,MATCH('Daily Report'!AM$1,'DCS Data'!$E$2:$AJ$2,0),0)</f>
        <v>375.23393739974489</v>
      </c>
      <c r="AN68" s="92">
        <f>VLOOKUP($B68,'DCS Data'!$E$2:$AJ$100,MATCH('Daily Report'!AN$1,'DCS Data'!$E$2:$AJ$2,0),0)</f>
        <v>375.55506480065327</v>
      </c>
      <c r="AO68" s="214"/>
      <c r="AP68" s="214"/>
      <c r="AQ68" s="214"/>
      <c r="AR68" s="214"/>
      <c r="AS68" s="214"/>
      <c r="AT68" s="214"/>
      <c r="AU68" s="214"/>
      <c r="AV68" s="214"/>
      <c r="AW68" s="214"/>
      <c r="AX68" s="214"/>
      <c r="AY68" s="214"/>
      <c r="AZ68" s="214"/>
      <c r="BA68" s="214"/>
      <c r="BB68" s="214"/>
      <c r="BC68" s="214"/>
      <c r="BD68" s="214"/>
      <c r="BE68" s="214"/>
      <c r="BF68" s="214"/>
      <c r="BG68" s="214"/>
      <c r="BH68" s="214"/>
      <c r="BI68" s="214"/>
      <c r="BJ68" s="214"/>
      <c r="BK68" s="214"/>
      <c r="BL68" s="214"/>
      <c r="BM68" s="214"/>
      <c r="BN68" s="214"/>
      <c r="BO68" s="214"/>
      <c r="BP68" s="214"/>
      <c r="BQ68" s="214"/>
      <c r="BR68" s="214"/>
      <c r="BS68" s="214"/>
      <c r="BT68" s="214"/>
      <c r="BU68" s="214"/>
      <c r="BV68" s="214"/>
      <c r="BW68" s="214"/>
      <c r="BX68" s="214"/>
      <c r="BY68" s="214"/>
      <c r="BZ68" s="214"/>
      <c r="CA68" s="214"/>
      <c r="CB68" s="214"/>
      <c r="CC68" s="214"/>
      <c r="CD68" s="214"/>
      <c r="CE68" s="214"/>
      <c r="CF68" s="214"/>
      <c r="CG68" s="214"/>
      <c r="CH68" s="214"/>
      <c r="CI68" s="214"/>
      <c r="CJ68" s="214"/>
      <c r="CK68" s="214"/>
      <c r="CL68" s="214"/>
      <c r="CM68" s="214"/>
      <c r="CN68" s="214"/>
      <c r="CO68" s="214"/>
      <c r="CP68" s="214"/>
      <c r="CQ68" s="214"/>
      <c r="CR68" s="214"/>
      <c r="CS68" s="214"/>
      <c r="CT68" s="214"/>
      <c r="CU68" s="214"/>
      <c r="CV68" s="214"/>
      <c r="CW68" s="214"/>
      <c r="CX68" s="214"/>
      <c r="CY68" s="214"/>
      <c r="CZ68" s="214"/>
      <c r="DA68" s="214"/>
      <c r="DB68" s="214"/>
      <c r="DC68" s="214"/>
      <c r="DD68" s="214"/>
      <c r="DE68" s="214"/>
      <c r="DF68" s="214"/>
      <c r="DG68" s="214"/>
      <c r="DH68" s="214"/>
      <c r="DI68" s="214"/>
      <c r="DJ68" s="214"/>
      <c r="DK68" s="214"/>
      <c r="DL68" s="214"/>
      <c r="DM68" s="214"/>
      <c r="DN68" s="214"/>
      <c r="DO68" s="214"/>
      <c r="DP68" s="214"/>
      <c r="DQ68" s="214"/>
      <c r="DR68" s="214"/>
      <c r="DS68" s="214"/>
      <c r="DT68" s="214"/>
      <c r="DU68" s="214"/>
      <c r="DV68" s="214"/>
      <c r="DW68" s="214"/>
      <c r="DX68" s="214"/>
      <c r="DY68" s="214"/>
      <c r="DZ68" s="214"/>
      <c r="EA68" s="214"/>
      <c r="EB68" s="214"/>
      <c r="EC68" s="214"/>
      <c r="ED68" s="214"/>
      <c r="EE68" s="214"/>
      <c r="EF68" s="214"/>
      <c r="EG68" s="214"/>
      <c r="EH68" s="214"/>
      <c r="EI68" s="214"/>
      <c r="EJ68" s="214"/>
      <c r="EK68" s="214"/>
      <c r="EL68" s="214"/>
      <c r="EM68" s="214"/>
      <c r="EN68" s="214"/>
      <c r="EO68" s="214"/>
      <c r="EP68" s="214"/>
      <c r="EQ68" s="214"/>
      <c r="ER68" s="214"/>
      <c r="ES68" s="214"/>
      <c r="ET68" s="214"/>
      <c r="EU68" s="214"/>
      <c r="EV68" s="214"/>
      <c r="EW68" s="214"/>
      <c r="EX68" s="214"/>
      <c r="EY68" s="214"/>
      <c r="EZ68" s="214"/>
      <c r="FA68" s="214"/>
      <c r="FB68" s="214"/>
      <c r="FC68" s="214"/>
      <c r="FD68" s="214"/>
      <c r="FE68" s="214"/>
      <c r="FF68" s="214"/>
      <c r="FG68" s="214"/>
      <c r="FH68" s="214"/>
      <c r="FI68" s="214"/>
      <c r="FJ68" s="214"/>
      <c r="FK68" s="214"/>
      <c r="FL68" s="214"/>
      <c r="FM68" s="214"/>
      <c r="FN68" s="214"/>
      <c r="FO68" s="214"/>
      <c r="FP68" s="214"/>
      <c r="FQ68" s="214"/>
      <c r="FR68" s="214"/>
      <c r="FS68" s="214"/>
      <c r="FT68" s="214"/>
      <c r="FU68" s="214"/>
      <c r="FV68" s="214"/>
      <c r="FW68" s="214"/>
      <c r="FX68" s="214"/>
      <c r="FY68" s="214"/>
      <c r="FZ68" s="214"/>
      <c r="GA68" s="214"/>
      <c r="GB68" s="214"/>
      <c r="GC68" s="214"/>
      <c r="GD68" s="214"/>
      <c r="GE68" s="214"/>
      <c r="GF68" s="214"/>
      <c r="GG68" s="214"/>
      <c r="GH68" s="214"/>
      <c r="GI68" s="214"/>
      <c r="GJ68" s="214"/>
      <c r="GK68" s="214"/>
      <c r="GL68" s="214"/>
      <c r="GM68" s="214"/>
      <c r="GN68" s="214"/>
      <c r="GO68" s="214"/>
      <c r="GP68" s="214"/>
      <c r="GQ68" s="214"/>
      <c r="GR68" s="214"/>
      <c r="GS68" s="214"/>
      <c r="GT68" s="214"/>
      <c r="GU68" s="214"/>
      <c r="GV68" s="214"/>
      <c r="GW68" s="214"/>
      <c r="GX68" s="214"/>
      <c r="GY68" s="214"/>
      <c r="GZ68" s="214"/>
      <c r="HA68" s="214"/>
      <c r="HB68" s="214"/>
      <c r="HC68" s="214"/>
      <c r="HD68" s="214"/>
      <c r="HE68" s="214"/>
      <c r="HF68" s="214"/>
      <c r="HG68" s="214"/>
      <c r="HH68" s="214"/>
      <c r="HI68" s="214"/>
      <c r="HJ68" s="214"/>
      <c r="HK68" s="214"/>
      <c r="HL68" s="214"/>
      <c r="HM68" s="214"/>
      <c r="HN68" s="214"/>
      <c r="HO68" s="214"/>
      <c r="HP68" s="214"/>
      <c r="HQ68" s="214"/>
      <c r="HR68" s="214"/>
      <c r="HS68" s="214"/>
      <c r="HT68" s="214"/>
      <c r="HU68" s="214"/>
      <c r="HV68" s="214"/>
      <c r="HW68" s="214"/>
      <c r="HX68" s="214"/>
      <c r="HY68" s="214"/>
      <c r="HZ68" s="214"/>
      <c r="IA68" s="214"/>
      <c r="IB68" s="214"/>
      <c r="IC68" s="214"/>
      <c r="ID68" s="214"/>
      <c r="IE68" s="214"/>
      <c r="IF68" s="214"/>
      <c r="IG68" s="214"/>
      <c r="IH68" s="214"/>
      <c r="II68" s="214"/>
      <c r="IJ68" s="214"/>
      <c r="IK68" s="214"/>
      <c r="IL68" s="214"/>
      <c r="IM68" s="214"/>
      <c r="IN68" s="214"/>
      <c r="IO68" s="214"/>
      <c r="IP68" s="214"/>
      <c r="IQ68" s="214"/>
      <c r="IR68" s="214"/>
      <c r="IS68" s="214"/>
      <c r="IT68" s="214"/>
      <c r="IU68" s="214"/>
      <c r="IV68" s="214"/>
      <c r="IW68" s="214"/>
      <c r="IX68" s="214"/>
      <c r="IY68" s="214"/>
      <c r="IZ68" s="214"/>
      <c r="JA68" s="214"/>
      <c r="JB68" s="214"/>
      <c r="JC68" s="214"/>
      <c r="JD68" s="214"/>
      <c r="JE68" s="214"/>
      <c r="JF68" s="214"/>
      <c r="JG68" s="214"/>
      <c r="JH68" s="214"/>
      <c r="JI68" s="214"/>
      <c r="JJ68" s="214"/>
      <c r="JK68" s="214"/>
      <c r="JL68" s="214"/>
      <c r="JM68" s="214"/>
      <c r="JN68" s="214"/>
      <c r="JO68" s="214"/>
      <c r="JP68" s="214"/>
      <c r="JQ68" s="214"/>
      <c r="JR68" s="214"/>
      <c r="JS68" s="214"/>
      <c r="JT68" s="214"/>
      <c r="JU68" s="214"/>
      <c r="JV68" s="214"/>
      <c r="JW68" s="214"/>
      <c r="JX68" s="214"/>
      <c r="JY68" s="214"/>
      <c r="JZ68" s="214"/>
      <c r="KA68" s="214"/>
      <c r="KB68" s="214"/>
      <c r="KC68" s="214"/>
      <c r="KD68" s="214"/>
      <c r="KE68" s="214"/>
      <c r="KF68" s="214"/>
      <c r="KG68" s="214"/>
      <c r="KH68" s="214"/>
      <c r="KI68" s="214"/>
      <c r="KJ68" s="214"/>
      <c r="KK68" s="214"/>
      <c r="KL68" s="214"/>
      <c r="KM68" s="214"/>
      <c r="KN68" s="214"/>
      <c r="KO68" s="214"/>
      <c r="KP68" s="214"/>
      <c r="KQ68" s="214"/>
      <c r="KR68" s="214"/>
      <c r="KS68" s="214"/>
      <c r="KT68" s="214"/>
      <c r="KU68" s="214"/>
      <c r="KV68" s="214"/>
      <c r="KW68" s="214"/>
      <c r="KX68" s="214"/>
      <c r="KY68" s="214"/>
      <c r="KZ68" s="214"/>
      <c r="LA68" s="214"/>
      <c r="LB68" s="214"/>
      <c r="LC68" s="214"/>
      <c r="LD68" s="214"/>
      <c r="LE68" s="214"/>
      <c r="LF68" s="214"/>
      <c r="LG68" s="214"/>
      <c r="LH68" s="214"/>
      <c r="LI68" s="214"/>
      <c r="LJ68" s="214"/>
      <c r="LK68" s="214"/>
      <c r="LL68" s="214"/>
      <c r="LM68" s="214"/>
      <c r="LN68" s="214"/>
      <c r="LO68" s="214"/>
      <c r="LP68" s="214"/>
      <c r="LQ68" s="214"/>
      <c r="LR68" s="214"/>
      <c r="LS68" s="214"/>
      <c r="LT68" s="214"/>
      <c r="LU68" s="214"/>
      <c r="LV68" s="214"/>
      <c r="LW68" s="214"/>
      <c r="LX68" s="214"/>
      <c r="LY68" s="214"/>
      <c r="LZ68" s="214"/>
      <c r="MA68" s="214"/>
      <c r="MB68" s="214"/>
      <c r="MC68" s="214"/>
      <c r="MD68" s="214"/>
      <c r="ME68" s="214"/>
      <c r="MF68" s="214"/>
      <c r="MG68" s="214"/>
      <c r="MH68" s="214"/>
      <c r="MI68" s="214"/>
      <c r="MJ68" s="214"/>
      <c r="MK68" s="214"/>
      <c r="ML68" s="214"/>
      <c r="MM68" s="214"/>
      <c r="MN68" s="214"/>
      <c r="MO68" s="214"/>
      <c r="MP68" s="214"/>
      <c r="MQ68" s="214"/>
      <c r="MR68" s="214"/>
      <c r="MS68" s="214"/>
      <c r="MT68" s="214"/>
      <c r="MU68" s="214"/>
      <c r="MV68" s="214"/>
      <c r="MW68" s="214"/>
      <c r="MX68" s="214"/>
      <c r="MY68" s="214"/>
      <c r="MZ68" s="214"/>
      <c r="NA68" s="214"/>
      <c r="NB68" s="214"/>
      <c r="NC68" s="214"/>
      <c r="ND68" s="214"/>
      <c r="NE68" s="214"/>
      <c r="NF68" s="214"/>
      <c r="NG68" s="214"/>
      <c r="NH68" s="214"/>
      <c r="NI68" s="214"/>
      <c r="NJ68" s="214"/>
      <c r="NK68" s="214"/>
      <c r="NL68" s="214"/>
      <c r="NM68" s="214"/>
      <c r="NN68" s="214"/>
      <c r="NO68" s="214"/>
      <c r="NP68" s="214"/>
      <c r="NQ68" s="214"/>
      <c r="NR68" s="214"/>
      <c r="NS68" s="214"/>
      <c r="NT68" s="214"/>
      <c r="NU68" s="214"/>
      <c r="NV68" s="214"/>
      <c r="NW68" s="214"/>
      <c r="NX68" s="214"/>
      <c r="NY68" s="214"/>
      <c r="NZ68" s="214"/>
      <c r="OA68" s="214"/>
      <c r="OB68" s="214"/>
      <c r="OC68" s="214"/>
      <c r="OD68" s="214"/>
      <c r="OE68" s="214"/>
      <c r="OF68" s="214"/>
      <c r="OG68" s="214"/>
      <c r="OH68" s="214"/>
      <c r="OI68" s="214"/>
      <c r="OJ68" s="214"/>
      <c r="OK68" s="214"/>
      <c r="OL68" s="214"/>
      <c r="OM68" s="214"/>
      <c r="ON68" s="214"/>
      <c r="OO68" s="214"/>
      <c r="OP68" s="214"/>
      <c r="OQ68" s="214"/>
      <c r="OR68" s="214"/>
      <c r="OS68" s="214"/>
      <c r="OT68" s="214"/>
      <c r="OU68" s="214"/>
      <c r="OV68" s="214"/>
      <c r="OW68" s="214"/>
      <c r="OX68" s="214"/>
      <c r="OY68" s="214"/>
      <c r="OZ68" s="214"/>
      <c r="PA68" s="214"/>
      <c r="PB68" s="214"/>
      <c r="PC68" s="214"/>
      <c r="PD68" s="214"/>
      <c r="PE68" s="214"/>
      <c r="PF68" s="214"/>
      <c r="PG68" s="214"/>
      <c r="PH68" s="214"/>
      <c r="PI68" s="214"/>
      <c r="PJ68" s="214"/>
      <c r="PK68" s="214"/>
      <c r="PL68" s="214"/>
      <c r="PM68" s="214"/>
      <c r="PN68" s="214"/>
      <c r="PO68" s="214"/>
      <c r="PP68" s="214"/>
      <c r="PQ68" s="214"/>
      <c r="PR68" s="214"/>
      <c r="PS68" s="214"/>
      <c r="PT68" s="214"/>
      <c r="PU68" s="214"/>
      <c r="PV68" s="214"/>
      <c r="PW68" s="214"/>
      <c r="PX68" s="214"/>
      <c r="PY68" s="214"/>
      <c r="PZ68" s="214"/>
      <c r="QA68" s="214"/>
      <c r="QB68" s="214"/>
      <c r="QC68" s="214"/>
      <c r="QD68" s="214"/>
      <c r="QE68" s="214"/>
      <c r="QF68" s="214"/>
      <c r="QG68" s="214"/>
      <c r="QH68" s="214"/>
      <c r="QI68" s="214"/>
      <c r="QJ68" s="214"/>
      <c r="QK68" s="214"/>
      <c r="QL68" s="214"/>
      <c r="QM68" s="214"/>
      <c r="QN68" s="214"/>
      <c r="QO68" s="214"/>
      <c r="QP68" s="214"/>
      <c r="QQ68" s="214"/>
      <c r="QR68" s="214"/>
      <c r="QS68" s="214"/>
      <c r="QT68" s="214"/>
      <c r="QU68" s="214"/>
      <c r="QV68" s="214"/>
      <c r="QW68" s="214"/>
      <c r="QX68" s="214"/>
      <c r="QY68" s="214"/>
      <c r="QZ68" s="214"/>
      <c r="RA68" s="214"/>
      <c r="RB68" s="214"/>
      <c r="RC68" s="214"/>
      <c r="RD68" s="214"/>
      <c r="RE68" s="214"/>
      <c r="RF68" s="214"/>
      <c r="RG68" s="214"/>
      <c r="RH68" s="214"/>
      <c r="RI68" s="214"/>
      <c r="RJ68" s="214"/>
      <c r="RK68" s="214"/>
      <c r="RL68" s="214"/>
      <c r="RM68" s="214"/>
      <c r="RN68" s="214"/>
      <c r="RO68" s="214"/>
      <c r="RP68" s="214"/>
      <c r="RQ68" s="214"/>
      <c r="RR68" s="214"/>
      <c r="RS68" s="214"/>
      <c r="RT68" s="214"/>
      <c r="RU68" s="214"/>
      <c r="RV68" s="214"/>
      <c r="RW68" s="214"/>
      <c r="RX68" s="214"/>
      <c r="RY68" s="214"/>
      <c r="RZ68" s="214"/>
      <c r="SA68" s="214"/>
      <c r="SB68" s="214"/>
      <c r="SC68" s="214"/>
      <c r="SD68" s="214"/>
      <c r="SE68" s="214"/>
      <c r="SF68" s="214"/>
      <c r="SG68" s="214"/>
      <c r="SH68" s="214"/>
      <c r="SI68" s="214"/>
      <c r="SJ68" s="214"/>
      <c r="SK68" s="214"/>
      <c r="SL68" s="214"/>
      <c r="SM68" s="214"/>
      <c r="SN68" s="214"/>
      <c r="SO68" s="214"/>
      <c r="SP68" s="214"/>
      <c r="SQ68" s="214"/>
      <c r="SR68" s="214"/>
      <c r="SS68" s="214"/>
      <c r="ST68" s="214"/>
      <c r="SU68" s="214"/>
      <c r="SV68" s="214"/>
      <c r="SW68" s="214"/>
      <c r="SX68" s="214"/>
      <c r="SY68" s="214"/>
      <c r="SZ68" s="214"/>
      <c r="TA68" s="214"/>
      <c r="TB68" s="214"/>
      <c r="TC68" s="214"/>
      <c r="TD68" s="214"/>
      <c r="TE68" s="214"/>
      <c r="TF68" s="214"/>
      <c r="TG68" s="214"/>
      <c r="TH68" s="214"/>
      <c r="TI68" s="214"/>
      <c r="TJ68" s="214"/>
      <c r="TK68" s="214"/>
      <c r="TL68" s="214"/>
      <c r="TM68" s="214"/>
      <c r="TN68" s="214"/>
      <c r="TO68" s="214"/>
      <c r="TP68" s="214"/>
      <c r="TQ68" s="214"/>
      <c r="TR68" s="214"/>
      <c r="TS68" s="214"/>
      <c r="TT68" s="214"/>
      <c r="TU68" s="214"/>
      <c r="TV68" s="214"/>
      <c r="TW68" s="214"/>
      <c r="TX68" s="214"/>
      <c r="TY68" s="214"/>
      <c r="TZ68" s="214"/>
      <c r="UA68" s="214"/>
      <c r="UB68" s="214"/>
      <c r="UC68" s="214"/>
      <c r="UD68" s="214"/>
      <c r="UE68" s="214"/>
      <c r="UF68" s="214"/>
      <c r="UG68" s="214"/>
      <c r="UH68" s="214"/>
      <c r="UI68" s="214"/>
      <c r="UJ68" s="214"/>
      <c r="UK68" s="214"/>
      <c r="UL68" s="214"/>
      <c r="UM68" s="214"/>
      <c r="UN68" s="214"/>
      <c r="UO68" s="214"/>
      <c r="UP68" s="214"/>
      <c r="UQ68" s="214"/>
      <c r="UR68" s="214"/>
      <c r="US68" s="214"/>
      <c r="UT68" s="214"/>
      <c r="UU68" s="214"/>
      <c r="UV68" s="214"/>
      <c r="UW68" s="214"/>
      <c r="UX68" s="214"/>
      <c r="UY68" s="214"/>
      <c r="UZ68" s="214"/>
      <c r="VA68" s="214"/>
      <c r="VB68" s="214"/>
      <c r="VC68" s="214"/>
      <c r="VD68" s="214"/>
      <c r="VE68" s="214"/>
      <c r="VF68" s="214"/>
      <c r="VG68" s="214"/>
      <c r="VH68" s="214"/>
      <c r="VI68" s="214"/>
      <c r="VJ68" s="214"/>
      <c r="VK68" s="214"/>
      <c r="VL68" s="214"/>
      <c r="VM68" s="214"/>
      <c r="VN68" s="214"/>
      <c r="VO68" s="214"/>
      <c r="VP68" s="214"/>
      <c r="VQ68" s="214"/>
      <c r="VR68" s="214"/>
      <c r="VS68" s="214"/>
      <c r="VT68" s="214"/>
      <c r="VU68" s="214"/>
      <c r="VV68" s="214"/>
      <c r="VW68" s="214"/>
      <c r="VX68" s="214"/>
      <c r="VY68" s="214"/>
      <c r="VZ68" s="214"/>
      <c r="WA68" s="214"/>
      <c r="WB68" s="214"/>
      <c r="WC68" s="214"/>
      <c r="WD68" s="214"/>
      <c r="WE68" s="214"/>
      <c r="WF68" s="214"/>
      <c r="WG68" s="214"/>
      <c r="WH68" s="214"/>
      <c r="WI68" s="214"/>
      <c r="WJ68" s="214"/>
      <c r="WK68" s="214"/>
      <c r="WL68" s="214"/>
      <c r="WM68" s="214"/>
      <c r="WN68" s="214"/>
      <c r="WO68" s="214"/>
      <c r="WP68" s="214"/>
      <c r="WQ68" s="214"/>
      <c r="WR68" s="214"/>
      <c r="WS68" s="214"/>
      <c r="WT68" s="214"/>
      <c r="WU68" s="214"/>
      <c r="WV68" s="214"/>
      <c r="WW68" s="214"/>
      <c r="WX68" s="214"/>
      <c r="WY68" s="214"/>
      <c r="WZ68" s="214"/>
      <c r="XA68" s="214"/>
      <c r="XB68" s="214"/>
      <c r="XC68" s="214"/>
      <c r="XD68" s="214"/>
      <c r="XE68" s="214"/>
      <c r="XF68" s="214"/>
      <c r="XG68" s="214"/>
      <c r="XH68" s="214"/>
      <c r="XI68" s="214"/>
      <c r="XJ68" s="214"/>
      <c r="XK68" s="214"/>
      <c r="XL68" s="214"/>
      <c r="XM68" s="214"/>
      <c r="XN68" s="214"/>
      <c r="XO68" s="214"/>
      <c r="XP68" s="214"/>
      <c r="XQ68" s="214"/>
      <c r="XR68" s="214"/>
      <c r="XS68" s="214"/>
      <c r="XT68" s="214"/>
      <c r="XU68" s="214"/>
      <c r="XV68" s="214"/>
      <c r="XW68" s="214"/>
      <c r="XX68" s="214"/>
      <c r="XY68" s="214"/>
      <c r="XZ68" s="214"/>
      <c r="YA68" s="214"/>
      <c r="YB68" s="214"/>
      <c r="YC68" s="214"/>
      <c r="YD68" s="214"/>
      <c r="YE68" s="214"/>
      <c r="YF68" s="214"/>
      <c r="YG68" s="214"/>
      <c r="YH68" s="214"/>
      <c r="YI68" s="214"/>
      <c r="YJ68" s="214"/>
      <c r="YK68" s="214"/>
      <c r="YL68" s="214"/>
      <c r="YM68" s="214"/>
      <c r="YN68" s="214"/>
      <c r="YO68" s="214"/>
      <c r="YP68" s="214"/>
      <c r="YQ68" s="214"/>
      <c r="YR68" s="214"/>
      <c r="YS68" s="214"/>
      <c r="YT68" s="214"/>
      <c r="YU68" s="214"/>
      <c r="YV68" s="214"/>
      <c r="YW68" s="214"/>
      <c r="YX68" s="214"/>
      <c r="YY68" s="214"/>
      <c r="YZ68" s="214"/>
      <c r="ZA68" s="214"/>
      <c r="ZB68" s="214"/>
      <c r="ZC68" s="214"/>
      <c r="ZD68" s="214"/>
      <c r="ZE68" s="214"/>
      <c r="ZF68" s="214"/>
      <c r="ZG68" s="214"/>
      <c r="ZH68" s="214"/>
      <c r="ZI68" s="214"/>
      <c r="ZJ68" s="214"/>
      <c r="ZK68" s="214"/>
      <c r="ZL68" s="214"/>
      <c r="ZM68" s="214"/>
      <c r="ZN68" s="214"/>
      <c r="ZO68" s="214"/>
      <c r="ZP68" s="214"/>
      <c r="ZQ68" s="214"/>
      <c r="ZR68" s="214"/>
      <c r="ZS68" s="214"/>
      <c r="ZT68" s="214"/>
      <c r="ZU68" s="214"/>
      <c r="ZV68" s="214"/>
      <c r="ZW68" s="214"/>
      <c r="ZX68" s="214"/>
      <c r="ZY68" s="214"/>
      <c r="ZZ68" s="214"/>
      <c r="AAA68" s="214"/>
      <c r="AAB68" s="214"/>
      <c r="AAC68" s="214"/>
      <c r="AAD68" s="214"/>
      <c r="AAE68" s="214"/>
      <c r="AAF68" s="214"/>
      <c r="AAG68" s="214"/>
      <c r="AAH68" s="214"/>
      <c r="AAI68" s="214"/>
      <c r="AAJ68" s="214"/>
      <c r="AAK68" s="214"/>
      <c r="AAL68" s="214"/>
      <c r="AAM68" s="214"/>
      <c r="AAN68" s="214"/>
      <c r="AAO68" s="214"/>
      <c r="AAP68" s="214"/>
      <c r="AAQ68" s="214"/>
      <c r="AAR68" s="214"/>
      <c r="AAS68" s="214"/>
      <c r="AAT68" s="214"/>
      <c r="AAU68" s="214"/>
      <c r="AAV68" s="214"/>
      <c r="AAW68" s="214"/>
      <c r="AAX68" s="214"/>
      <c r="AAY68" s="214"/>
      <c r="AAZ68" s="214"/>
      <c r="ABA68" s="214"/>
      <c r="ABB68" s="214"/>
      <c r="ABC68" s="214"/>
      <c r="ABD68" s="214"/>
      <c r="ABE68" s="214"/>
      <c r="ABF68" s="214"/>
      <c r="ABG68" s="214"/>
      <c r="ABH68" s="214"/>
      <c r="ABI68" s="214"/>
      <c r="ABJ68" s="214"/>
      <c r="ABK68" s="214"/>
      <c r="ABL68" s="214"/>
      <c r="ABM68" s="214"/>
      <c r="ABN68" s="214"/>
      <c r="ABO68" s="214"/>
      <c r="ABP68" s="214"/>
      <c r="ABQ68" s="214"/>
      <c r="ABR68" s="214"/>
      <c r="ABS68" s="214"/>
      <c r="ABT68" s="214"/>
      <c r="ABU68" s="214"/>
      <c r="ABV68" s="214"/>
      <c r="ABW68" s="214"/>
      <c r="ABX68" s="214"/>
      <c r="ABY68" s="214"/>
      <c r="ABZ68" s="214"/>
      <c r="ACA68" s="214"/>
      <c r="ACB68" s="214"/>
      <c r="ACC68" s="214"/>
      <c r="ACD68" s="214"/>
      <c r="ACE68" s="214"/>
      <c r="ACF68" s="214"/>
      <c r="ACG68" s="214"/>
      <c r="ACH68" s="214"/>
      <c r="ACI68" s="214"/>
      <c r="ACJ68" s="214"/>
      <c r="ACK68" s="214"/>
      <c r="ACL68" s="214"/>
      <c r="ACM68" s="214"/>
      <c r="ACN68" s="214"/>
      <c r="ACO68" s="214"/>
      <c r="ACP68" s="214"/>
      <c r="ACQ68" s="214"/>
      <c r="ACR68" s="214"/>
      <c r="ACS68" s="214"/>
      <c r="ACT68" s="214"/>
      <c r="ACU68" s="214"/>
      <c r="ACV68" s="214"/>
      <c r="ACW68" s="214"/>
      <c r="ACX68" s="214"/>
      <c r="ACY68" s="214"/>
      <c r="ACZ68" s="214"/>
      <c r="ADA68" s="214"/>
      <c r="ADB68" s="214"/>
      <c r="ADC68" s="214"/>
      <c r="ADD68" s="214"/>
      <c r="ADE68" s="214"/>
      <c r="ADF68" s="214"/>
      <c r="ADG68" s="214"/>
      <c r="ADH68" s="214"/>
      <c r="ADI68" s="214"/>
      <c r="ADJ68" s="214"/>
      <c r="ADK68" s="214"/>
      <c r="ADL68" s="214"/>
      <c r="ADM68" s="214"/>
      <c r="ADN68" s="214"/>
      <c r="ADO68" s="214"/>
      <c r="ADP68" s="214"/>
      <c r="ADQ68" s="214"/>
      <c r="ADR68" s="214"/>
      <c r="ADS68" s="214"/>
      <c r="ADT68" s="214"/>
      <c r="ADU68" s="214"/>
      <c r="ADV68" s="214"/>
      <c r="ADW68" s="214"/>
      <c r="ADX68" s="214"/>
      <c r="ADY68" s="214"/>
      <c r="ADZ68" s="214"/>
      <c r="AEA68" s="214"/>
      <c r="AEB68" s="214"/>
      <c r="AEC68" s="214"/>
      <c r="AED68" s="214"/>
      <c r="AEE68" s="214"/>
      <c r="AEF68" s="214"/>
      <c r="AEG68" s="214"/>
      <c r="AEH68" s="214"/>
      <c r="AEI68" s="214"/>
      <c r="AEJ68" s="214"/>
      <c r="AEK68" s="214"/>
      <c r="AEL68" s="214"/>
      <c r="AEM68" s="214"/>
      <c r="AEN68" s="214"/>
      <c r="AEO68" s="214"/>
      <c r="AEP68" s="214"/>
      <c r="AEQ68" s="214"/>
      <c r="AER68" s="214"/>
      <c r="AES68" s="214"/>
      <c r="AET68" s="214"/>
      <c r="AEU68" s="214"/>
      <c r="AEV68" s="214"/>
      <c r="AEW68" s="214"/>
      <c r="AEX68" s="214"/>
      <c r="AEY68" s="214"/>
      <c r="AEZ68" s="214"/>
      <c r="AFA68" s="214"/>
      <c r="AFB68" s="214"/>
      <c r="AFC68" s="214"/>
      <c r="AFD68" s="214"/>
      <c r="AFE68" s="214"/>
      <c r="AFF68" s="214"/>
      <c r="AFG68" s="214"/>
      <c r="AFH68" s="214"/>
      <c r="AFI68" s="214"/>
      <c r="AFJ68" s="214"/>
      <c r="AFK68" s="214"/>
      <c r="AFL68" s="214"/>
      <c r="AFM68" s="214"/>
      <c r="AFN68" s="214"/>
      <c r="AFO68" s="214"/>
      <c r="AFP68" s="214"/>
      <c r="AFQ68" s="214"/>
      <c r="AFR68" s="214"/>
      <c r="AFS68" s="214"/>
      <c r="AFT68" s="214"/>
      <c r="AFU68" s="214"/>
      <c r="AFV68" s="214"/>
      <c r="AFW68" s="214"/>
      <c r="AFX68" s="214"/>
      <c r="AFY68" s="214"/>
      <c r="AFZ68" s="214"/>
      <c r="AGA68" s="214"/>
      <c r="AGB68" s="214"/>
      <c r="AGC68" s="214"/>
      <c r="AGD68" s="214"/>
      <c r="AGE68" s="214"/>
      <c r="AGF68" s="214"/>
      <c r="AGG68" s="214"/>
      <c r="AGH68" s="214"/>
      <c r="AGI68" s="214"/>
      <c r="AGJ68" s="214"/>
      <c r="AGK68" s="214"/>
      <c r="AGL68" s="214"/>
      <c r="AGM68" s="214"/>
      <c r="AGN68" s="214"/>
      <c r="AGO68" s="214"/>
      <c r="AGP68" s="214"/>
      <c r="AGQ68" s="214"/>
      <c r="AGR68" s="214"/>
      <c r="AGS68" s="214"/>
      <c r="AGT68" s="214"/>
      <c r="AGU68" s="214"/>
      <c r="AGV68" s="214"/>
      <c r="AGW68" s="214"/>
      <c r="AGX68" s="214"/>
      <c r="AGY68" s="214"/>
      <c r="AGZ68" s="214"/>
      <c r="AHA68" s="214"/>
      <c r="AHB68" s="214"/>
      <c r="AHC68" s="214"/>
      <c r="AHD68" s="214"/>
      <c r="AHE68" s="214"/>
      <c r="AHF68" s="214"/>
      <c r="AHG68" s="214"/>
      <c r="AHH68" s="214"/>
      <c r="AHI68" s="214"/>
      <c r="AHJ68" s="214"/>
      <c r="AHK68" s="214"/>
      <c r="AHL68" s="214"/>
      <c r="AHM68" s="214"/>
      <c r="AHN68" s="214"/>
      <c r="AHO68" s="214"/>
      <c r="AHP68" s="214"/>
      <c r="AHQ68" s="214"/>
      <c r="AHR68" s="214"/>
      <c r="AHS68" s="214"/>
      <c r="AHT68" s="214"/>
      <c r="AHU68" s="214"/>
      <c r="AHV68" s="214"/>
      <c r="AHW68" s="214"/>
      <c r="AHX68" s="214"/>
      <c r="AHY68" s="214"/>
      <c r="AHZ68" s="214"/>
      <c r="AIA68" s="214"/>
      <c r="AIB68" s="214"/>
      <c r="AIC68" s="214"/>
      <c r="AID68" s="214"/>
      <c r="AIE68" s="214"/>
      <c r="AIF68" s="214"/>
      <c r="AIG68" s="214"/>
      <c r="AIH68" s="214"/>
      <c r="AII68" s="214"/>
      <c r="AIJ68" s="214"/>
      <c r="AIK68" s="214"/>
      <c r="AIL68" s="214"/>
      <c r="AIM68" s="214"/>
      <c r="AIN68" s="214"/>
      <c r="AIO68" s="214"/>
      <c r="AIP68" s="214"/>
      <c r="AIQ68" s="214"/>
      <c r="AIR68" s="214"/>
      <c r="AIS68" s="214"/>
      <c r="AIT68" s="214"/>
      <c r="AIU68" s="214"/>
      <c r="AIV68" s="214"/>
      <c r="AIW68" s="214"/>
      <c r="AIX68" s="214"/>
      <c r="AIY68" s="214"/>
      <c r="AIZ68" s="214"/>
      <c r="AJA68" s="214"/>
      <c r="AJB68" s="214"/>
      <c r="AJC68" s="214"/>
      <c r="AJD68" s="214"/>
      <c r="AJE68" s="214"/>
      <c r="AJF68" s="214"/>
      <c r="AJG68" s="214"/>
      <c r="AJH68" s="214"/>
      <c r="AJI68" s="214"/>
      <c r="AJJ68" s="214"/>
      <c r="AJK68" s="214"/>
      <c r="AJL68" s="214"/>
      <c r="AJM68" s="214"/>
      <c r="AJN68" s="214"/>
      <c r="AJO68" s="214"/>
      <c r="AJP68" s="214"/>
      <c r="AJQ68" s="214"/>
      <c r="AJR68" s="214"/>
      <c r="AJS68" s="214"/>
      <c r="AJT68" s="214"/>
      <c r="AJU68" s="214"/>
      <c r="AJV68" s="214"/>
      <c r="AJW68" s="214"/>
      <c r="AJX68" s="214"/>
      <c r="AJY68" s="214"/>
      <c r="AJZ68" s="214"/>
      <c r="AKA68" s="214"/>
      <c r="AKB68" s="214"/>
      <c r="AKC68" s="214"/>
      <c r="AKD68" s="214"/>
      <c r="AKE68" s="214"/>
      <c r="AKF68" s="214"/>
      <c r="AKG68" s="214"/>
      <c r="AKH68" s="214"/>
      <c r="AKI68" s="214"/>
      <c r="AKJ68" s="214"/>
      <c r="AKK68" s="214"/>
      <c r="AKL68" s="214"/>
      <c r="AKM68" s="214"/>
      <c r="AKN68" s="214"/>
      <c r="AKO68" s="214"/>
      <c r="AKP68" s="214"/>
      <c r="AKQ68" s="214"/>
      <c r="AKR68" s="214"/>
      <c r="AKS68" s="214"/>
      <c r="AKT68" s="214"/>
      <c r="AKU68" s="214"/>
      <c r="AKV68" s="214"/>
      <c r="AKW68" s="214"/>
      <c r="AKX68" s="214"/>
      <c r="AKY68" s="214"/>
      <c r="AKZ68" s="214"/>
      <c r="ALA68" s="214"/>
      <c r="ALB68" s="214"/>
      <c r="ALC68" s="214"/>
      <c r="ALD68" s="214"/>
      <c r="ALE68" s="214"/>
      <c r="ALF68" s="214"/>
      <c r="ALG68" s="214"/>
      <c r="ALH68" s="214"/>
      <c r="ALI68" s="214"/>
      <c r="ALJ68" s="214"/>
      <c r="ALK68" s="214"/>
      <c r="ALL68" s="214"/>
      <c r="ALM68" s="214"/>
      <c r="ALN68" s="214"/>
      <c r="ALO68" s="214"/>
      <c r="ALP68" s="214"/>
      <c r="ALQ68" s="214"/>
      <c r="ALR68" s="214"/>
      <c r="ALS68" s="214"/>
      <c r="ALT68" s="214"/>
      <c r="ALU68" s="214"/>
      <c r="ALV68" s="214"/>
      <c r="ALW68" s="214"/>
      <c r="ALX68" s="214"/>
      <c r="ALY68" s="214"/>
      <c r="ALZ68" s="214"/>
      <c r="AMA68" s="214"/>
      <c r="AMB68" s="214"/>
      <c r="AMC68" s="214"/>
      <c r="AMD68" s="214"/>
      <c r="AME68" s="214"/>
      <c r="AMF68" s="214"/>
      <c r="AMG68" s="214"/>
      <c r="AMH68" s="214"/>
      <c r="AMI68" s="214"/>
      <c r="AMJ68" s="214"/>
      <c r="AMK68" s="214"/>
      <c r="AML68" s="214"/>
      <c r="AMM68" s="214"/>
      <c r="AMN68" s="214"/>
      <c r="AMO68" s="214"/>
      <c r="AMP68" s="214"/>
      <c r="AMQ68" s="214"/>
      <c r="AMR68" s="214"/>
      <c r="AMS68" s="214"/>
      <c r="AMT68" s="214"/>
      <c r="AMU68" s="214"/>
      <c r="AMV68" s="214"/>
      <c r="AMW68" s="214"/>
      <c r="AMX68" s="214"/>
      <c r="AMY68" s="214"/>
      <c r="AMZ68" s="214"/>
      <c r="ANA68" s="214"/>
      <c r="ANB68" s="214"/>
      <c r="ANC68" s="214"/>
      <c r="AND68" s="214"/>
      <c r="ANE68" s="214"/>
      <c r="ANF68" s="214"/>
      <c r="ANG68" s="214"/>
      <c r="ANH68" s="214"/>
      <c r="ANI68" s="214"/>
      <c r="ANJ68" s="214"/>
      <c r="ANK68" s="214"/>
      <c r="ANL68" s="214"/>
      <c r="ANM68" s="214"/>
      <c r="ANN68" s="214"/>
      <c r="ANO68" s="214"/>
      <c r="ANP68" s="214"/>
      <c r="ANQ68" s="214"/>
      <c r="ANR68" s="214"/>
      <c r="ANS68" s="214"/>
      <c r="ANT68" s="214"/>
      <c r="ANU68" s="214"/>
      <c r="ANV68" s="214"/>
      <c r="ANW68" s="214"/>
      <c r="ANX68" s="214"/>
      <c r="ANY68" s="214"/>
      <c r="ANZ68" s="214"/>
      <c r="AOA68" s="214"/>
      <c r="AOB68" s="214"/>
      <c r="AOC68" s="214"/>
      <c r="AOD68" s="214"/>
      <c r="AOE68" s="214"/>
      <c r="AOF68" s="214"/>
      <c r="AOG68" s="214"/>
      <c r="AOH68" s="214"/>
      <c r="AOI68" s="214"/>
      <c r="AOJ68" s="214"/>
      <c r="AOK68" s="214"/>
      <c r="AOL68" s="214"/>
      <c r="AOM68" s="214"/>
      <c r="AON68" s="214"/>
      <c r="AOO68" s="214"/>
      <c r="AOP68" s="214"/>
      <c r="AOQ68" s="214"/>
      <c r="AOR68" s="214"/>
      <c r="AOS68" s="214"/>
      <c r="AOT68" s="214"/>
      <c r="AOU68" s="214"/>
      <c r="AOV68" s="214"/>
      <c r="AOW68" s="214"/>
      <c r="AOX68" s="214"/>
      <c r="AOY68" s="214"/>
      <c r="AOZ68" s="214"/>
      <c r="APA68" s="214"/>
      <c r="APB68" s="214"/>
      <c r="APC68" s="214"/>
      <c r="APD68" s="214"/>
      <c r="APE68" s="214"/>
      <c r="APF68" s="214"/>
      <c r="APG68" s="214"/>
      <c r="APH68" s="214"/>
      <c r="API68" s="214"/>
      <c r="APJ68" s="214"/>
      <c r="APK68" s="214"/>
      <c r="APL68" s="214"/>
      <c r="APM68" s="214"/>
      <c r="APN68" s="214"/>
      <c r="APO68" s="214"/>
      <c r="APP68" s="214"/>
      <c r="APQ68" s="214"/>
      <c r="APR68" s="214"/>
      <c r="APS68" s="214"/>
      <c r="APT68" s="214"/>
      <c r="APU68" s="214"/>
      <c r="APV68" s="214"/>
      <c r="APW68" s="214"/>
      <c r="APX68" s="214"/>
      <c r="APY68" s="214"/>
      <c r="APZ68" s="214"/>
      <c r="AQA68" s="214"/>
      <c r="AQB68" s="214"/>
      <c r="AQC68" s="214"/>
      <c r="AQD68" s="214"/>
      <c r="AQE68" s="214"/>
      <c r="AQF68" s="214"/>
      <c r="AQG68" s="214"/>
      <c r="AQH68" s="214"/>
      <c r="AQI68" s="214"/>
      <c r="AQJ68" s="214"/>
      <c r="AQK68" s="214"/>
      <c r="AQL68" s="214"/>
      <c r="AQM68" s="214"/>
      <c r="AQN68" s="214"/>
      <c r="AQO68" s="214"/>
      <c r="AQP68" s="214"/>
      <c r="AQQ68" s="214"/>
      <c r="AQR68" s="214"/>
      <c r="AQS68" s="214"/>
      <c r="AQT68" s="214"/>
      <c r="AQU68" s="214"/>
      <c r="AQV68" s="214"/>
      <c r="AQW68" s="214"/>
      <c r="AQX68" s="214"/>
      <c r="AQY68" s="214"/>
      <c r="AQZ68" s="214"/>
      <c r="ARA68" s="214"/>
      <c r="ARB68" s="214"/>
      <c r="ARC68" s="214"/>
      <c r="ARD68" s="214"/>
      <c r="ARE68" s="214"/>
      <c r="ARF68" s="214"/>
      <c r="ARG68" s="214"/>
      <c r="ARH68" s="214"/>
      <c r="ARI68" s="214"/>
      <c r="ARJ68" s="214"/>
      <c r="ARK68" s="214"/>
      <c r="ARL68" s="214"/>
      <c r="ARM68" s="214"/>
      <c r="ARN68" s="214"/>
      <c r="ARO68" s="214"/>
      <c r="ARP68" s="214"/>
      <c r="ARQ68" s="214"/>
      <c r="ARR68" s="214"/>
      <c r="ARS68" s="214"/>
      <c r="ART68" s="214"/>
      <c r="ARU68" s="214"/>
      <c r="ARV68" s="214"/>
      <c r="ARW68" s="214"/>
      <c r="ARX68" s="214"/>
      <c r="ARY68" s="214"/>
      <c r="ARZ68" s="214"/>
      <c r="ASA68" s="214"/>
      <c r="ASB68" s="214"/>
      <c r="ASC68" s="214"/>
      <c r="ASD68" s="214"/>
      <c r="ASE68" s="214"/>
      <c r="ASF68" s="214"/>
      <c r="ASG68" s="214"/>
      <c r="ASH68" s="214"/>
      <c r="ASI68" s="214"/>
      <c r="ASJ68" s="214"/>
      <c r="ASK68" s="214"/>
      <c r="ASL68" s="214"/>
      <c r="ASM68" s="214"/>
      <c r="ASN68" s="214"/>
      <c r="ASO68" s="214"/>
      <c r="ASP68" s="214"/>
      <c r="ASQ68" s="214"/>
      <c r="ASR68" s="214"/>
      <c r="ASS68" s="214"/>
      <c r="AST68" s="214"/>
      <c r="ASU68" s="214"/>
      <c r="ASV68" s="214"/>
      <c r="ASW68" s="214"/>
      <c r="ASX68" s="214"/>
      <c r="ASY68" s="214"/>
      <c r="ASZ68" s="214"/>
      <c r="ATA68" s="214"/>
      <c r="ATB68" s="214"/>
      <c r="ATC68" s="214"/>
      <c r="ATD68" s="214"/>
      <c r="ATE68" s="214"/>
      <c r="ATF68" s="214"/>
      <c r="ATG68" s="214"/>
      <c r="ATH68" s="214"/>
      <c r="ATI68" s="214"/>
      <c r="ATJ68" s="214"/>
      <c r="ATK68" s="214"/>
      <c r="ATL68" s="214"/>
      <c r="ATM68" s="214"/>
      <c r="ATN68" s="214"/>
      <c r="ATO68" s="214"/>
      <c r="ATP68" s="214"/>
      <c r="ATQ68" s="214"/>
      <c r="ATR68" s="214"/>
      <c r="ATS68" s="214"/>
      <c r="ATT68" s="214"/>
      <c r="ATU68" s="214"/>
      <c r="ATV68" s="214"/>
      <c r="ATW68" s="214"/>
      <c r="ATX68" s="214"/>
      <c r="ATY68" s="214"/>
      <c r="ATZ68" s="214"/>
      <c r="AUA68" s="214"/>
      <c r="AUB68" s="214"/>
      <c r="AUC68" s="214"/>
      <c r="AUD68" s="214"/>
      <c r="AUE68" s="214"/>
      <c r="AUF68" s="214"/>
      <c r="AUG68" s="214"/>
      <c r="AUH68" s="214"/>
      <c r="AUI68" s="214"/>
      <c r="AUJ68" s="214"/>
      <c r="AUK68" s="214"/>
      <c r="AUL68" s="214"/>
      <c r="AUM68" s="214"/>
      <c r="AUN68" s="214"/>
      <c r="AUO68" s="214"/>
      <c r="AUP68" s="214"/>
      <c r="AUQ68" s="214"/>
      <c r="AUR68" s="214"/>
      <c r="AUS68" s="214"/>
      <c r="AUT68" s="214"/>
      <c r="AUU68" s="214"/>
      <c r="AUV68" s="214"/>
      <c r="AUW68" s="214"/>
      <c r="AUX68" s="214"/>
      <c r="AUY68" s="214"/>
      <c r="AUZ68" s="214"/>
      <c r="AVA68" s="214"/>
      <c r="AVB68" s="214"/>
      <c r="AVC68" s="214"/>
      <c r="AVD68" s="214"/>
      <c r="AVE68" s="214"/>
      <c r="AVF68" s="214"/>
      <c r="AVG68" s="214"/>
      <c r="AVH68" s="214"/>
      <c r="AVI68" s="214"/>
      <c r="AVJ68" s="214"/>
      <c r="AVK68" s="214"/>
      <c r="AVL68" s="214"/>
      <c r="AVM68" s="214"/>
      <c r="AVN68" s="214"/>
      <c r="AVO68" s="214"/>
      <c r="AVP68" s="214"/>
      <c r="AVQ68" s="214"/>
      <c r="AVR68" s="214"/>
      <c r="AVS68" s="214"/>
      <c r="AVT68" s="214"/>
      <c r="AVU68" s="214"/>
      <c r="AVV68" s="214"/>
      <c r="AVW68" s="214"/>
      <c r="AVX68" s="214"/>
      <c r="AVY68" s="214"/>
      <c r="AVZ68" s="214"/>
      <c r="AWA68" s="214"/>
      <c r="AWB68" s="214"/>
      <c r="AWC68" s="214"/>
      <c r="AWD68" s="214"/>
      <c r="AWE68" s="214"/>
      <c r="AWF68" s="214"/>
      <c r="AWG68" s="214"/>
      <c r="AWH68" s="214"/>
      <c r="AWI68" s="214"/>
      <c r="AWJ68" s="214"/>
      <c r="AWK68" s="214"/>
      <c r="AWL68" s="214"/>
      <c r="AWM68" s="214"/>
      <c r="AWN68" s="214"/>
      <c r="AWO68" s="214"/>
      <c r="AWP68" s="214"/>
      <c r="AWQ68" s="214"/>
      <c r="AWR68" s="214"/>
      <c r="AWS68" s="214"/>
      <c r="AWT68" s="214"/>
      <c r="AWU68" s="214"/>
      <c r="AWV68" s="214"/>
      <c r="AWW68" s="214"/>
      <c r="AWX68" s="214"/>
      <c r="AWY68" s="214"/>
      <c r="AWZ68" s="214"/>
      <c r="AXA68" s="214"/>
      <c r="AXB68" s="214"/>
      <c r="AXC68" s="214"/>
      <c r="AXD68" s="214"/>
      <c r="AXE68" s="214"/>
      <c r="AXF68" s="214"/>
      <c r="AXG68" s="214"/>
      <c r="AXH68" s="214"/>
      <c r="AXI68" s="214"/>
      <c r="AXJ68" s="214"/>
      <c r="AXK68" s="214"/>
      <c r="AXL68" s="214"/>
      <c r="AXM68" s="214"/>
      <c r="AXN68" s="214"/>
      <c r="AXO68" s="214"/>
      <c r="AXP68" s="214"/>
      <c r="AXQ68" s="214"/>
      <c r="AXR68" s="214"/>
      <c r="AXS68" s="214"/>
      <c r="AXT68" s="214"/>
      <c r="AXU68" s="214"/>
      <c r="AXV68" s="214"/>
      <c r="AXW68" s="214"/>
      <c r="AXX68" s="214"/>
      <c r="AXY68" s="214"/>
      <c r="AXZ68" s="214"/>
      <c r="AYA68" s="214"/>
      <c r="AYB68" s="214"/>
      <c r="AYC68" s="214"/>
      <c r="AYD68" s="214"/>
      <c r="AYE68" s="214"/>
      <c r="AYF68" s="214"/>
      <c r="AYG68" s="214"/>
      <c r="AYH68" s="214"/>
      <c r="AYI68" s="214"/>
      <c r="AYJ68" s="214"/>
      <c r="AYK68" s="214"/>
      <c r="AYL68" s="214"/>
      <c r="AYM68" s="214"/>
      <c r="AYN68" s="214"/>
      <c r="AYO68" s="214"/>
      <c r="AYP68" s="214"/>
      <c r="AYQ68" s="214"/>
      <c r="AYR68" s="214"/>
      <c r="AYS68" s="214"/>
      <c r="AYT68" s="214"/>
      <c r="AYU68" s="214"/>
      <c r="AYV68" s="214"/>
      <c r="AYW68" s="214"/>
      <c r="AYX68" s="214"/>
      <c r="AYY68" s="214"/>
      <c r="AYZ68" s="214"/>
      <c r="AZA68" s="214"/>
      <c r="AZB68" s="214"/>
      <c r="AZC68" s="214"/>
      <c r="AZD68" s="214"/>
      <c r="AZE68" s="214"/>
      <c r="AZF68" s="214"/>
      <c r="AZG68" s="214"/>
      <c r="AZH68" s="214"/>
      <c r="AZI68" s="214"/>
      <c r="AZJ68" s="214"/>
      <c r="AZK68" s="214"/>
      <c r="AZL68" s="214"/>
      <c r="AZM68" s="214"/>
      <c r="AZN68" s="214"/>
      <c r="AZO68" s="214"/>
      <c r="AZP68" s="214"/>
      <c r="AZQ68" s="214"/>
      <c r="AZR68" s="214"/>
      <c r="AZS68" s="214"/>
      <c r="AZT68" s="214"/>
      <c r="AZU68" s="214"/>
      <c r="AZV68" s="214"/>
      <c r="AZW68" s="214"/>
      <c r="AZX68" s="214"/>
      <c r="AZY68" s="214"/>
      <c r="AZZ68" s="214"/>
      <c r="BAA68" s="214"/>
      <c r="BAB68" s="214"/>
      <c r="BAC68" s="214"/>
      <c r="BAD68" s="214"/>
      <c r="BAE68" s="214"/>
      <c r="BAF68" s="214"/>
      <c r="BAG68" s="214"/>
      <c r="BAH68" s="214"/>
      <c r="BAI68" s="214"/>
      <c r="BAJ68" s="214"/>
      <c r="BAK68" s="214"/>
      <c r="BAL68" s="214"/>
      <c r="BAM68" s="214"/>
      <c r="BAN68" s="214"/>
      <c r="BAO68" s="214"/>
      <c r="BAP68" s="214"/>
      <c r="BAQ68" s="214"/>
      <c r="BAR68" s="214"/>
      <c r="BAS68" s="214"/>
      <c r="BAT68" s="214"/>
      <c r="BAU68" s="214"/>
      <c r="BAV68" s="214"/>
      <c r="BAW68" s="214"/>
      <c r="BAX68" s="214"/>
      <c r="BAY68" s="214"/>
      <c r="BAZ68" s="214"/>
      <c r="BBA68" s="214"/>
      <c r="BBB68" s="214"/>
      <c r="BBC68" s="214"/>
      <c r="BBD68" s="214"/>
      <c r="BBE68" s="214"/>
      <c r="BBF68" s="214"/>
      <c r="BBG68" s="214"/>
      <c r="BBH68" s="214"/>
      <c r="BBI68" s="214"/>
      <c r="BBJ68" s="214"/>
      <c r="BBK68" s="214"/>
      <c r="BBL68" s="214"/>
      <c r="BBM68" s="214"/>
      <c r="BBN68" s="214"/>
      <c r="BBO68" s="214"/>
      <c r="BBP68" s="214"/>
      <c r="BBQ68" s="214"/>
      <c r="BBR68" s="214"/>
      <c r="BBS68" s="214"/>
      <c r="BBT68" s="214"/>
      <c r="BBU68" s="214"/>
      <c r="BBV68" s="214"/>
      <c r="BBW68" s="214"/>
      <c r="BBX68" s="214"/>
      <c r="BBY68" s="214"/>
      <c r="BBZ68" s="214"/>
      <c r="BCA68" s="214"/>
      <c r="BCB68" s="214"/>
      <c r="BCC68" s="214"/>
      <c r="BCD68" s="214"/>
      <c r="BCE68" s="214"/>
      <c r="BCF68" s="214"/>
      <c r="BCG68" s="214"/>
      <c r="BCH68" s="214"/>
      <c r="BCI68" s="214"/>
      <c r="BCJ68" s="214"/>
      <c r="BCK68" s="214"/>
      <c r="BCL68" s="214"/>
      <c r="BCM68" s="214"/>
      <c r="BCN68" s="214"/>
      <c r="BCO68" s="214"/>
      <c r="BCP68" s="214"/>
      <c r="BCQ68" s="214"/>
      <c r="BCR68" s="214"/>
      <c r="BCS68" s="214"/>
      <c r="BCT68" s="214"/>
      <c r="BCU68" s="214"/>
      <c r="BCV68" s="214"/>
      <c r="BCW68" s="214"/>
      <c r="BCX68" s="214"/>
      <c r="BCY68" s="214"/>
      <c r="BCZ68" s="214"/>
      <c r="BDA68" s="214"/>
      <c r="BDB68" s="214"/>
      <c r="BDC68" s="214"/>
      <c r="BDD68" s="214"/>
      <c r="BDE68" s="214"/>
      <c r="BDF68" s="214"/>
      <c r="BDG68" s="214"/>
      <c r="BDH68" s="214"/>
      <c r="BDI68" s="214"/>
      <c r="BDJ68" s="214"/>
      <c r="BDK68" s="214"/>
      <c r="BDL68" s="214"/>
      <c r="BDM68" s="214"/>
      <c r="BDN68" s="214"/>
      <c r="BDO68" s="214"/>
      <c r="BDP68" s="214"/>
      <c r="BDQ68" s="214"/>
      <c r="BDR68" s="214"/>
      <c r="BDS68" s="214"/>
      <c r="BDT68" s="214"/>
      <c r="BDU68" s="214"/>
      <c r="BDV68" s="214"/>
      <c r="BDW68" s="214"/>
      <c r="BDX68" s="214"/>
      <c r="BDY68" s="214"/>
      <c r="BDZ68" s="214"/>
      <c r="BEA68" s="214"/>
      <c r="BEB68" s="214"/>
      <c r="BEC68" s="214"/>
      <c r="BED68" s="214"/>
      <c r="BEE68" s="214"/>
      <c r="BEF68" s="214"/>
      <c r="BEG68" s="214"/>
      <c r="BEH68" s="214"/>
      <c r="BEI68" s="214"/>
      <c r="BEJ68" s="214"/>
      <c r="BEK68" s="214"/>
      <c r="BEL68" s="214"/>
      <c r="BEM68" s="214"/>
      <c r="BEN68" s="214"/>
      <c r="BEO68" s="214"/>
      <c r="BEP68" s="214"/>
      <c r="BEQ68" s="214"/>
      <c r="BER68" s="214"/>
      <c r="BES68" s="214"/>
      <c r="BET68" s="214"/>
      <c r="BEU68" s="214"/>
      <c r="BEV68" s="214"/>
      <c r="BEW68" s="214"/>
      <c r="BEX68" s="214"/>
      <c r="BEY68" s="214"/>
      <c r="BEZ68" s="214"/>
      <c r="BFA68" s="214"/>
      <c r="BFB68" s="214"/>
      <c r="BFC68" s="214"/>
      <c r="BFD68" s="214"/>
      <c r="BFE68" s="214"/>
      <c r="BFF68" s="214"/>
      <c r="BFG68" s="214"/>
      <c r="BFH68" s="214"/>
      <c r="BFI68" s="214"/>
      <c r="BFJ68" s="214"/>
      <c r="BFK68" s="214"/>
      <c r="BFL68" s="214"/>
      <c r="BFM68" s="214"/>
      <c r="BFN68" s="214"/>
      <c r="BFO68" s="214"/>
      <c r="BFP68" s="214"/>
      <c r="BFQ68" s="214"/>
      <c r="BFR68" s="214"/>
      <c r="BFS68" s="214"/>
      <c r="BFT68" s="214"/>
      <c r="BFU68" s="214"/>
      <c r="BFV68" s="214"/>
      <c r="BFW68" s="214"/>
      <c r="BFX68" s="214"/>
      <c r="BFY68" s="214"/>
      <c r="BFZ68" s="214"/>
      <c r="BGA68" s="214"/>
      <c r="BGB68" s="214"/>
      <c r="BGC68" s="214"/>
      <c r="BGD68" s="214"/>
      <c r="BGE68" s="214"/>
      <c r="BGF68" s="214"/>
      <c r="BGG68" s="214"/>
      <c r="BGH68" s="214"/>
      <c r="BGI68" s="214"/>
      <c r="BGJ68" s="214"/>
      <c r="BGK68" s="214"/>
      <c r="BGL68" s="214"/>
      <c r="BGM68" s="214"/>
      <c r="BGN68" s="214"/>
      <c r="BGO68" s="214"/>
      <c r="BGP68" s="214"/>
      <c r="BGQ68" s="214"/>
      <c r="BGR68" s="214"/>
      <c r="BGS68" s="214"/>
      <c r="BGT68" s="214"/>
      <c r="BGU68" s="214"/>
      <c r="BGV68" s="214"/>
      <c r="BGW68" s="214"/>
      <c r="BGX68" s="214"/>
      <c r="BGY68" s="214"/>
      <c r="BGZ68" s="214"/>
      <c r="BHA68" s="214"/>
      <c r="BHB68" s="214"/>
      <c r="BHC68" s="214"/>
      <c r="BHD68" s="214"/>
      <c r="BHE68" s="214"/>
      <c r="BHF68" s="214"/>
      <c r="BHG68" s="214"/>
      <c r="BHH68" s="214"/>
      <c r="BHI68" s="214"/>
      <c r="BHJ68" s="214"/>
      <c r="BHK68" s="214"/>
      <c r="BHL68" s="214"/>
      <c r="BHM68" s="214"/>
      <c r="BHN68" s="214"/>
      <c r="BHO68" s="214"/>
      <c r="BHP68" s="214"/>
      <c r="BHQ68" s="214"/>
      <c r="BHR68" s="214"/>
      <c r="BHS68" s="214"/>
      <c r="BHT68" s="214"/>
      <c r="BHU68" s="214"/>
      <c r="BHV68" s="214"/>
      <c r="BHW68" s="214"/>
    </row>
    <row r="69" spans="1:1583" s="217" customFormat="1" ht="16.5">
      <c r="A69" s="252"/>
      <c r="B69" s="180" t="s">
        <v>377</v>
      </c>
      <c r="C69" s="416" t="s">
        <v>500</v>
      </c>
      <c r="D69" s="420" t="s">
        <v>585</v>
      </c>
      <c r="E69" s="59" t="s">
        <v>42</v>
      </c>
      <c r="F69" s="132"/>
      <c r="G69" s="60" t="s">
        <v>723</v>
      </c>
      <c r="H69" s="473">
        <f t="shared" si="21"/>
        <v>200.00282293625534</v>
      </c>
      <c r="I69" s="92">
        <f>VLOOKUP($B69,'DCS Data'!$E$2:$AJ$100,MATCH('Daily Report'!I$1,'DCS Data'!$E$2:$AJ$2,0),0)</f>
        <v>200.08185993120742</v>
      </c>
      <c r="J69" s="255"/>
      <c r="K69" s="92">
        <f>VLOOKUP($B69,'DCS Data'!$E$2:$AJ$100,MATCH('Daily Report'!K$1,'DCS Data'!$E$2:$AJ$2,0),0)</f>
        <v>200.0152541978018</v>
      </c>
      <c r="L69" s="92">
        <f>VLOOKUP($B69,'DCS Data'!$E$2:$AJ$100,MATCH('Daily Report'!L$1,'DCS Data'!$E$2:$AJ$2,0),0)</f>
        <v>199.9933684282301</v>
      </c>
      <c r="M69" s="92">
        <f>VLOOKUP($B69,'DCS Data'!$E$2:$AJ$100,MATCH('Daily Report'!M$1,'DCS Data'!$E$2:$AJ$2,0),0)</f>
        <v>200.00023789814276</v>
      </c>
      <c r="N69" s="92">
        <f>VLOOKUP($B69,'DCS Data'!$E$2:$AJ$100,MATCH('Daily Report'!N$1,'DCS Data'!$E$2:$AJ$2,0),0)</f>
        <v>199.99528240640208</v>
      </c>
      <c r="O69" s="92">
        <f>VLOOKUP($B69,'DCS Data'!$E$2:$AJ$100,MATCH('Daily Report'!O$1,'DCS Data'!$E$2:$AJ$2,0),0)</f>
        <v>200.00319803899043</v>
      </c>
      <c r="P69" s="92">
        <f>VLOOKUP($B69,'DCS Data'!$E$2:$AJ$100,MATCH('Daily Report'!P$1,'DCS Data'!$E$2:$AJ$2,0),0)</f>
        <v>200.00449264893541</v>
      </c>
      <c r="Q69" s="92">
        <f>VLOOKUP($B69,'DCS Data'!$E$2:$AJ$100,MATCH('Daily Report'!Q$1,'DCS Data'!$E$2:$AJ$2,0),0)</f>
        <v>199.99148819555958</v>
      </c>
      <c r="R69" s="92">
        <f>VLOOKUP($B69,'DCS Data'!$E$2:$AJ$100,MATCH('Daily Report'!R$1,'DCS Data'!$E$2:$AJ$2,0),0)</f>
        <v>199.9961907334939</v>
      </c>
      <c r="S69" s="92">
        <f>VLOOKUP($B69,'DCS Data'!$E$2:$AJ$100,MATCH('Daily Report'!S$1,'DCS Data'!$E$2:$AJ$2,0),0)</f>
        <v>199.9934271032854</v>
      </c>
      <c r="T69" s="92">
        <f>VLOOKUP($B69,'DCS Data'!$E$2:$AJ$100,MATCH('Daily Report'!T$1,'DCS Data'!$E$2:$AJ$2,0),0)</f>
        <v>200.00066226837615</v>
      </c>
      <c r="U69" s="92">
        <f>VLOOKUP($B69,'DCS Data'!$E$2:$AJ$100,MATCH('Daily Report'!U$1,'DCS Data'!$E$2:$AJ$2,0),0)</f>
        <v>199.99631761860448</v>
      </c>
      <c r="V69" s="92">
        <f>VLOOKUP($B69,'DCS Data'!$E$2:$AJ$100,MATCH('Daily Report'!V$1,'DCS Data'!$E$2:$AJ$2,0),0)</f>
        <v>199.99845587131261</v>
      </c>
      <c r="W69" s="92">
        <f>VLOOKUP($B69,'DCS Data'!$E$2:$AJ$100,MATCH('Daily Report'!W$1,'DCS Data'!$E$2:$AJ$2,0),0)</f>
        <v>200.01043903611884</v>
      </c>
      <c r="X69" s="92">
        <f>VLOOKUP($B69,'DCS Data'!$E$2:$AJ$100,MATCH('Daily Report'!X$1,'DCS Data'!$E$2:$AJ$2,0),0)</f>
        <v>199.96293363489522</v>
      </c>
      <c r="Y69" s="92">
        <f>VLOOKUP($B69,'DCS Data'!$E$2:$AJ$100,MATCH('Daily Report'!Y$1,'DCS Data'!$E$2:$AJ$2,0),0)</f>
        <v>199.96853598671839</v>
      </c>
      <c r="Z69" s="92">
        <f>VLOOKUP($B69,'DCS Data'!$E$2:$AJ$100,MATCH('Daily Report'!Z$1,'DCS Data'!$E$2:$AJ$2,0),0)</f>
        <v>199.99540238961086</v>
      </c>
      <c r="AA69" s="92">
        <f>VLOOKUP($B69,'DCS Data'!$E$2:$AJ$100,MATCH('Daily Report'!AA$1,'DCS Data'!$E$2:$AJ$2,0),0)</f>
        <v>200.01878961527404</v>
      </c>
      <c r="AB69" s="92">
        <f>VLOOKUP($B69,'DCS Data'!$E$2:$AJ$100,MATCH('Daily Report'!AB$1,'DCS Data'!$E$2:$AJ$2,0),0)</f>
        <v>200.00192651886428</v>
      </c>
      <c r="AC69" s="92">
        <f>VLOOKUP($B69,'DCS Data'!$E$2:$AJ$100,MATCH('Daily Report'!AC$1,'DCS Data'!$E$2:$AJ$2,0),0)</f>
        <v>200.03690483374564</v>
      </c>
      <c r="AD69" s="92">
        <f>VLOOKUP($B69,'DCS Data'!$E$2:$AJ$100,MATCH('Daily Report'!AD$1,'DCS Data'!$E$2:$AJ$2,0),0)</f>
        <v>199.99659998069956</v>
      </c>
      <c r="AE69" s="92">
        <f>VLOOKUP($B69,'DCS Data'!$E$2:$AJ$100,MATCH('Daily Report'!AE$1,'DCS Data'!$E$2:$AJ$2,0),0)</f>
        <v>200.0135110086035</v>
      </c>
      <c r="AF69" s="92">
        <f>VLOOKUP($B69,'DCS Data'!$E$2:$AJ$100,MATCH('Daily Report'!AF$1,'DCS Data'!$E$2:$AJ$2,0),0)</f>
        <v>199.99894062510614</v>
      </c>
      <c r="AG69" s="92">
        <f>VLOOKUP($B69,'DCS Data'!$E$2:$AJ$100,MATCH('Daily Report'!AG$1,'DCS Data'!$E$2:$AJ$2,0),0)</f>
        <v>200.00729931893881</v>
      </c>
      <c r="AH69" s="92">
        <f>VLOOKUP($B69,'DCS Data'!$E$2:$AJ$100,MATCH('Daily Report'!AH$1,'DCS Data'!$E$2:$AJ$2,0),0)</f>
        <v>200.0118595104075</v>
      </c>
      <c r="AI69" s="92">
        <f>VLOOKUP($B69,'DCS Data'!$E$2:$AJ$100,MATCH('Daily Report'!AI$1,'DCS Data'!$E$2:$AJ$2,0),0)</f>
        <v>199.97999946457881</v>
      </c>
      <c r="AJ69" s="92">
        <f>VLOOKUP($B69,'DCS Data'!$E$2:$AJ$100,MATCH('Daily Report'!AJ$1,'DCS Data'!$E$2:$AJ$2,0),0)</f>
        <v>200.01016202017553</v>
      </c>
      <c r="AK69" s="92">
        <f>VLOOKUP($B69,'DCS Data'!$E$2:$AJ$100,MATCH('Daily Report'!AK$1,'DCS Data'!$E$2:$AJ$2,0),0)</f>
        <v>199.99090609576766</v>
      </c>
      <c r="AL69" s="92">
        <f>VLOOKUP($B69,'DCS Data'!$E$2:$AJ$100,MATCH('Daily Report'!AL$1,'DCS Data'!$E$2:$AJ$2,0),0)</f>
        <v>199.99836244581837</v>
      </c>
      <c r="AM69" s="92">
        <f>VLOOKUP($B69,'DCS Data'!$E$2:$AJ$100,MATCH('Daily Report'!AM$1,'DCS Data'!$E$2:$AJ$2,0),0)</f>
        <v>200.0122255282885</v>
      </c>
      <c r="AN69" s="92">
        <f>VLOOKUP($B69,'DCS Data'!$E$2:$AJ$100,MATCH('Daily Report'!AN$1,'DCS Data'!$E$2:$AJ$2,0),0)</f>
        <v>200.00247766996071</v>
      </c>
      <c r="AO69" s="214"/>
      <c r="AP69" s="214"/>
      <c r="AQ69" s="214"/>
      <c r="AR69" s="214"/>
      <c r="AS69" s="214"/>
      <c r="AT69" s="214"/>
      <c r="AU69" s="214"/>
      <c r="AV69" s="214"/>
      <c r="AW69" s="214"/>
      <c r="AX69" s="214"/>
      <c r="AY69" s="214"/>
      <c r="AZ69" s="214"/>
      <c r="BA69" s="214"/>
      <c r="BB69" s="214"/>
      <c r="BC69" s="214"/>
      <c r="BD69" s="214"/>
      <c r="BE69" s="214"/>
      <c r="BF69" s="214"/>
      <c r="BG69" s="214"/>
      <c r="BH69" s="214"/>
      <c r="BI69" s="214"/>
      <c r="BJ69" s="214"/>
      <c r="BK69" s="214"/>
      <c r="BL69" s="214"/>
      <c r="BM69" s="214"/>
      <c r="BN69" s="214"/>
      <c r="BO69" s="214"/>
      <c r="BP69" s="214"/>
      <c r="BQ69" s="214"/>
      <c r="BR69" s="214"/>
      <c r="BS69" s="214"/>
      <c r="BT69" s="214"/>
      <c r="BU69" s="214"/>
      <c r="BV69" s="214"/>
      <c r="BW69" s="214"/>
      <c r="BX69" s="214"/>
      <c r="BY69" s="214"/>
      <c r="BZ69" s="214"/>
      <c r="CA69" s="214"/>
      <c r="CB69" s="214"/>
      <c r="CC69" s="214"/>
      <c r="CD69" s="214"/>
      <c r="CE69" s="214"/>
      <c r="CF69" s="214"/>
      <c r="CG69" s="214"/>
      <c r="CH69" s="214"/>
      <c r="CI69" s="214"/>
      <c r="CJ69" s="214"/>
      <c r="CK69" s="214"/>
      <c r="CL69" s="214"/>
      <c r="CM69" s="214"/>
      <c r="CN69" s="214"/>
      <c r="CO69" s="214"/>
      <c r="CP69" s="214"/>
      <c r="CQ69" s="214"/>
      <c r="CR69" s="214"/>
      <c r="CS69" s="214"/>
      <c r="CT69" s="214"/>
      <c r="CU69" s="214"/>
      <c r="CV69" s="214"/>
      <c r="CW69" s="214"/>
      <c r="CX69" s="214"/>
      <c r="CY69" s="214"/>
      <c r="CZ69" s="214"/>
      <c r="DA69" s="214"/>
      <c r="DB69" s="214"/>
      <c r="DC69" s="214"/>
      <c r="DD69" s="214"/>
      <c r="DE69" s="214"/>
      <c r="DF69" s="214"/>
      <c r="DG69" s="214"/>
      <c r="DH69" s="214"/>
      <c r="DI69" s="214"/>
      <c r="DJ69" s="214"/>
      <c r="DK69" s="214"/>
      <c r="DL69" s="214"/>
      <c r="DM69" s="214"/>
      <c r="DN69" s="214"/>
      <c r="DO69" s="214"/>
      <c r="DP69" s="214"/>
      <c r="DQ69" s="214"/>
      <c r="DR69" s="214"/>
      <c r="DS69" s="214"/>
      <c r="DT69" s="214"/>
      <c r="DU69" s="214"/>
      <c r="DV69" s="214"/>
      <c r="DW69" s="214"/>
      <c r="DX69" s="214"/>
      <c r="DY69" s="214"/>
      <c r="DZ69" s="214"/>
      <c r="EA69" s="214"/>
      <c r="EB69" s="214"/>
      <c r="EC69" s="214"/>
      <c r="ED69" s="214"/>
      <c r="EE69" s="214"/>
      <c r="EF69" s="214"/>
      <c r="EG69" s="214"/>
      <c r="EH69" s="214"/>
      <c r="EI69" s="214"/>
      <c r="EJ69" s="214"/>
      <c r="EK69" s="214"/>
      <c r="EL69" s="214"/>
      <c r="EM69" s="214"/>
      <c r="EN69" s="214"/>
      <c r="EO69" s="214"/>
      <c r="EP69" s="214"/>
      <c r="EQ69" s="214"/>
      <c r="ER69" s="214"/>
      <c r="ES69" s="214"/>
      <c r="ET69" s="214"/>
      <c r="EU69" s="214"/>
      <c r="EV69" s="214"/>
      <c r="EW69" s="214"/>
      <c r="EX69" s="214"/>
      <c r="EY69" s="214"/>
      <c r="EZ69" s="214"/>
      <c r="FA69" s="214"/>
      <c r="FB69" s="214"/>
      <c r="FC69" s="214"/>
      <c r="FD69" s="214"/>
      <c r="FE69" s="214"/>
      <c r="FF69" s="214"/>
      <c r="FG69" s="214"/>
      <c r="FH69" s="214"/>
      <c r="FI69" s="214"/>
      <c r="FJ69" s="214"/>
      <c r="FK69" s="214"/>
      <c r="FL69" s="214"/>
      <c r="FM69" s="214"/>
      <c r="FN69" s="214"/>
      <c r="FO69" s="214"/>
      <c r="FP69" s="214"/>
      <c r="FQ69" s="214"/>
      <c r="FR69" s="214"/>
      <c r="FS69" s="214"/>
      <c r="FT69" s="214"/>
      <c r="FU69" s="214"/>
      <c r="FV69" s="214"/>
      <c r="FW69" s="214"/>
      <c r="FX69" s="214"/>
      <c r="FY69" s="214"/>
      <c r="FZ69" s="214"/>
      <c r="GA69" s="214"/>
      <c r="GB69" s="214"/>
      <c r="GC69" s="214"/>
      <c r="GD69" s="214"/>
      <c r="GE69" s="214"/>
      <c r="GF69" s="214"/>
      <c r="GG69" s="214"/>
      <c r="GH69" s="214"/>
      <c r="GI69" s="214"/>
      <c r="GJ69" s="214"/>
      <c r="GK69" s="214"/>
      <c r="GL69" s="214"/>
      <c r="GM69" s="214"/>
      <c r="GN69" s="214"/>
      <c r="GO69" s="214"/>
      <c r="GP69" s="214"/>
      <c r="GQ69" s="214"/>
      <c r="GR69" s="214"/>
      <c r="GS69" s="214"/>
      <c r="GT69" s="214"/>
      <c r="GU69" s="214"/>
      <c r="GV69" s="214"/>
      <c r="GW69" s="214"/>
      <c r="GX69" s="214"/>
      <c r="GY69" s="214"/>
      <c r="GZ69" s="214"/>
      <c r="HA69" s="214"/>
      <c r="HB69" s="214"/>
      <c r="HC69" s="214"/>
      <c r="HD69" s="214"/>
      <c r="HE69" s="214"/>
      <c r="HF69" s="214"/>
      <c r="HG69" s="214"/>
      <c r="HH69" s="214"/>
      <c r="HI69" s="214"/>
      <c r="HJ69" s="214"/>
      <c r="HK69" s="214"/>
      <c r="HL69" s="214"/>
      <c r="HM69" s="214"/>
      <c r="HN69" s="214"/>
      <c r="HO69" s="214"/>
      <c r="HP69" s="214"/>
      <c r="HQ69" s="214"/>
      <c r="HR69" s="214"/>
      <c r="HS69" s="214"/>
      <c r="HT69" s="214"/>
      <c r="HU69" s="214"/>
      <c r="HV69" s="214"/>
      <c r="HW69" s="214"/>
      <c r="HX69" s="214"/>
      <c r="HY69" s="214"/>
      <c r="HZ69" s="214"/>
      <c r="IA69" s="214"/>
      <c r="IB69" s="214"/>
      <c r="IC69" s="214"/>
      <c r="ID69" s="214"/>
      <c r="IE69" s="214"/>
      <c r="IF69" s="214"/>
      <c r="IG69" s="214"/>
      <c r="IH69" s="214"/>
      <c r="II69" s="214"/>
      <c r="IJ69" s="214"/>
      <c r="IK69" s="214"/>
      <c r="IL69" s="214"/>
      <c r="IM69" s="214"/>
      <c r="IN69" s="214"/>
      <c r="IO69" s="214"/>
      <c r="IP69" s="214"/>
      <c r="IQ69" s="214"/>
      <c r="IR69" s="214"/>
      <c r="IS69" s="214"/>
      <c r="IT69" s="214"/>
      <c r="IU69" s="214"/>
      <c r="IV69" s="214"/>
      <c r="IW69" s="214"/>
      <c r="IX69" s="214"/>
      <c r="IY69" s="214"/>
      <c r="IZ69" s="214"/>
      <c r="JA69" s="214"/>
      <c r="JB69" s="214"/>
      <c r="JC69" s="214"/>
      <c r="JD69" s="214"/>
      <c r="JE69" s="214"/>
      <c r="JF69" s="214"/>
      <c r="JG69" s="214"/>
      <c r="JH69" s="214"/>
      <c r="JI69" s="214"/>
      <c r="JJ69" s="214"/>
      <c r="JK69" s="214"/>
      <c r="JL69" s="214"/>
      <c r="JM69" s="214"/>
      <c r="JN69" s="214"/>
      <c r="JO69" s="214"/>
      <c r="JP69" s="214"/>
      <c r="JQ69" s="214"/>
      <c r="JR69" s="214"/>
      <c r="JS69" s="214"/>
      <c r="JT69" s="214"/>
      <c r="JU69" s="214"/>
      <c r="JV69" s="214"/>
      <c r="JW69" s="214"/>
      <c r="JX69" s="214"/>
      <c r="JY69" s="214"/>
      <c r="JZ69" s="214"/>
      <c r="KA69" s="214"/>
      <c r="KB69" s="214"/>
      <c r="KC69" s="214"/>
      <c r="KD69" s="214"/>
      <c r="KE69" s="214"/>
      <c r="KF69" s="214"/>
      <c r="KG69" s="214"/>
      <c r="KH69" s="214"/>
      <c r="KI69" s="214"/>
      <c r="KJ69" s="214"/>
      <c r="KK69" s="214"/>
      <c r="KL69" s="214"/>
      <c r="KM69" s="214"/>
      <c r="KN69" s="214"/>
      <c r="KO69" s="214"/>
      <c r="KP69" s="214"/>
      <c r="KQ69" s="214"/>
      <c r="KR69" s="214"/>
      <c r="KS69" s="214"/>
      <c r="KT69" s="214"/>
      <c r="KU69" s="214"/>
      <c r="KV69" s="214"/>
      <c r="KW69" s="214"/>
      <c r="KX69" s="214"/>
      <c r="KY69" s="214"/>
      <c r="KZ69" s="214"/>
      <c r="LA69" s="214"/>
      <c r="LB69" s="214"/>
      <c r="LC69" s="214"/>
      <c r="LD69" s="214"/>
      <c r="LE69" s="214"/>
      <c r="LF69" s="214"/>
      <c r="LG69" s="214"/>
      <c r="LH69" s="214"/>
      <c r="LI69" s="214"/>
      <c r="LJ69" s="214"/>
      <c r="LK69" s="214"/>
      <c r="LL69" s="214"/>
      <c r="LM69" s="214"/>
      <c r="LN69" s="214"/>
      <c r="LO69" s="214"/>
      <c r="LP69" s="214"/>
      <c r="LQ69" s="214"/>
      <c r="LR69" s="214"/>
      <c r="LS69" s="214"/>
      <c r="LT69" s="214"/>
      <c r="LU69" s="214"/>
      <c r="LV69" s="214"/>
      <c r="LW69" s="214"/>
      <c r="LX69" s="214"/>
      <c r="LY69" s="214"/>
      <c r="LZ69" s="214"/>
      <c r="MA69" s="214"/>
      <c r="MB69" s="214"/>
      <c r="MC69" s="214"/>
      <c r="MD69" s="214"/>
      <c r="ME69" s="214"/>
      <c r="MF69" s="214"/>
      <c r="MG69" s="214"/>
      <c r="MH69" s="214"/>
      <c r="MI69" s="214"/>
      <c r="MJ69" s="214"/>
      <c r="MK69" s="214"/>
      <c r="ML69" s="214"/>
      <c r="MM69" s="214"/>
      <c r="MN69" s="214"/>
      <c r="MO69" s="214"/>
      <c r="MP69" s="214"/>
      <c r="MQ69" s="214"/>
      <c r="MR69" s="214"/>
      <c r="MS69" s="214"/>
      <c r="MT69" s="214"/>
      <c r="MU69" s="214"/>
      <c r="MV69" s="214"/>
      <c r="MW69" s="214"/>
      <c r="MX69" s="214"/>
      <c r="MY69" s="214"/>
      <c r="MZ69" s="214"/>
      <c r="NA69" s="214"/>
      <c r="NB69" s="214"/>
      <c r="NC69" s="214"/>
      <c r="ND69" s="214"/>
      <c r="NE69" s="214"/>
      <c r="NF69" s="214"/>
      <c r="NG69" s="214"/>
      <c r="NH69" s="214"/>
      <c r="NI69" s="214"/>
      <c r="NJ69" s="214"/>
      <c r="NK69" s="214"/>
      <c r="NL69" s="214"/>
      <c r="NM69" s="214"/>
      <c r="NN69" s="214"/>
      <c r="NO69" s="214"/>
      <c r="NP69" s="214"/>
      <c r="NQ69" s="214"/>
      <c r="NR69" s="214"/>
      <c r="NS69" s="214"/>
      <c r="NT69" s="214"/>
      <c r="NU69" s="214"/>
      <c r="NV69" s="214"/>
      <c r="NW69" s="214"/>
      <c r="NX69" s="214"/>
      <c r="NY69" s="214"/>
      <c r="NZ69" s="214"/>
      <c r="OA69" s="214"/>
      <c r="OB69" s="214"/>
      <c r="OC69" s="214"/>
      <c r="OD69" s="214"/>
      <c r="OE69" s="214"/>
      <c r="OF69" s="214"/>
      <c r="OG69" s="214"/>
      <c r="OH69" s="214"/>
      <c r="OI69" s="214"/>
      <c r="OJ69" s="214"/>
      <c r="OK69" s="214"/>
      <c r="OL69" s="214"/>
      <c r="OM69" s="214"/>
      <c r="ON69" s="214"/>
      <c r="OO69" s="214"/>
      <c r="OP69" s="214"/>
      <c r="OQ69" s="214"/>
      <c r="OR69" s="214"/>
      <c r="OS69" s="214"/>
      <c r="OT69" s="214"/>
      <c r="OU69" s="214"/>
      <c r="OV69" s="214"/>
      <c r="OW69" s="214"/>
      <c r="OX69" s="214"/>
      <c r="OY69" s="214"/>
      <c r="OZ69" s="214"/>
      <c r="PA69" s="214"/>
      <c r="PB69" s="214"/>
      <c r="PC69" s="214"/>
      <c r="PD69" s="214"/>
      <c r="PE69" s="214"/>
      <c r="PF69" s="214"/>
      <c r="PG69" s="214"/>
      <c r="PH69" s="214"/>
      <c r="PI69" s="214"/>
      <c r="PJ69" s="214"/>
      <c r="PK69" s="214"/>
      <c r="PL69" s="214"/>
      <c r="PM69" s="214"/>
      <c r="PN69" s="214"/>
      <c r="PO69" s="214"/>
      <c r="PP69" s="214"/>
      <c r="PQ69" s="214"/>
      <c r="PR69" s="214"/>
      <c r="PS69" s="214"/>
      <c r="PT69" s="214"/>
      <c r="PU69" s="214"/>
      <c r="PV69" s="214"/>
      <c r="PW69" s="214"/>
      <c r="PX69" s="214"/>
      <c r="PY69" s="214"/>
      <c r="PZ69" s="214"/>
      <c r="QA69" s="214"/>
      <c r="QB69" s="214"/>
      <c r="QC69" s="214"/>
      <c r="QD69" s="214"/>
      <c r="QE69" s="214"/>
      <c r="QF69" s="214"/>
      <c r="QG69" s="214"/>
      <c r="QH69" s="214"/>
      <c r="QI69" s="214"/>
      <c r="QJ69" s="214"/>
      <c r="QK69" s="214"/>
      <c r="QL69" s="214"/>
      <c r="QM69" s="214"/>
      <c r="QN69" s="214"/>
      <c r="QO69" s="214"/>
      <c r="QP69" s="214"/>
      <c r="QQ69" s="214"/>
      <c r="QR69" s="214"/>
      <c r="QS69" s="214"/>
      <c r="QT69" s="214"/>
      <c r="QU69" s="214"/>
      <c r="QV69" s="214"/>
      <c r="QW69" s="214"/>
      <c r="QX69" s="214"/>
      <c r="QY69" s="214"/>
      <c r="QZ69" s="214"/>
      <c r="RA69" s="214"/>
      <c r="RB69" s="214"/>
      <c r="RC69" s="214"/>
      <c r="RD69" s="214"/>
      <c r="RE69" s="214"/>
      <c r="RF69" s="214"/>
      <c r="RG69" s="214"/>
      <c r="RH69" s="214"/>
      <c r="RI69" s="214"/>
      <c r="RJ69" s="214"/>
      <c r="RK69" s="214"/>
      <c r="RL69" s="214"/>
      <c r="RM69" s="214"/>
      <c r="RN69" s="214"/>
      <c r="RO69" s="214"/>
      <c r="RP69" s="214"/>
      <c r="RQ69" s="214"/>
      <c r="RR69" s="214"/>
      <c r="RS69" s="214"/>
      <c r="RT69" s="214"/>
      <c r="RU69" s="214"/>
      <c r="RV69" s="214"/>
      <c r="RW69" s="214"/>
      <c r="RX69" s="214"/>
      <c r="RY69" s="214"/>
      <c r="RZ69" s="214"/>
      <c r="SA69" s="214"/>
      <c r="SB69" s="214"/>
      <c r="SC69" s="214"/>
      <c r="SD69" s="214"/>
      <c r="SE69" s="214"/>
      <c r="SF69" s="214"/>
      <c r="SG69" s="214"/>
      <c r="SH69" s="214"/>
      <c r="SI69" s="214"/>
      <c r="SJ69" s="214"/>
      <c r="SK69" s="214"/>
      <c r="SL69" s="214"/>
      <c r="SM69" s="214"/>
      <c r="SN69" s="214"/>
      <c r="SO69" s="214"/>
      <c r="SP69" s="214"/>
      <c r="SQ69" s="214"/>
      <c r="SR69" s="214"/>
      <c r="SS69" s="214"/>
      <c r="ST69" s="214"/>
      <c r="SU69" s="214"/>
      <c r="SV69" s="214"/>
      <c r="SW69" s="214"/>
      <c r="SX69" s="214"/>
      <c r="SY69" s="214"/>
      <c r="SZ69" s="214"/>
      <c r="TA69" s="214"/>
      <c r="TB69" s="214"/>
      <c r="TC69" s="214"/>
      <c r="TD69" s="214"/>
      <c r="TE69" s="214"/>
      <c r="TF69" s="214"/>
      <c r="TG69" s="214"/>
      <c r="TH69" s="214"/>
      <c r="TI69" s="214"/>
      <c r="TJ69" s="214"/>
      <c r="TK69" s="214"/>
      <c r="TL69" s="214"/>
      <c r="TM69" s="214"/>
      <c r="TN69" s="214"/>
      <c r="TO69" s="214"/>
      <c r="TP69" s="214"/>
      <c r="TQ69" s="214"/>
      <c r="TR69" s="214"/>
      <c r="TS69" s="214"/>
      <c r="TT69" s="214"/>
      <c r="TU69" s="214"/>
      <c r="TV69" s="214"/>
      <c r="TW69" s="214"/>
      <c r="TX69" s="214"/>
      <c r="TY69" s="214"/>
      <c r="TZ69" s="214"/>
      <c r="UA69" s="214"/>
      <c r="UB69" s="214"/>
      <c r="UC69" s="214"/>
      <c r="UD69" s="214"/>
      <c r="UE69" s="214"/>
      <c r="UF69" s="214"/>
      <c r="UG69" s="214"/>
      <c r="UH69" s="214"/>
      <c r="UI69" s="214"/>
      <c r="UJ69" s="214"/>
      <c r="UK69" s="214"/>
      <c r="UL69" s="214"/>
      <c r="UM69" s="214"/>
      <c r="UN69" s="214"/>
      <c r="UO69" s="214"/>
      <c r="UP69" s="214"/>
      <c r="UQ69" s="214"/>
      <c r="UR69" s="214"/>
      <c r="US69" s="214"/>
      <c r="UT69" s="214"/>
      <c r="UU69" s="214"/>
      <c r="UV69" s="214"/>
      <c r="UW69" s="214"/>
      <c r="UX69" s="214"/>
      <c r="UY69" s="214"/>
      <c r="UZ69" s="214"/>
      <c r="VA69" s="214"/>
      <c r="VB69" s="214"/>
      <c r="VC69" s="214"/>
      <c r="VD69" s="214"/>
      <c r="VE69" s="214"/>
      <c r="VF69" s="214"/>
      <c r="VG69" s="214"/>
      <c r="VH69" s="214"/>
      <c r="VI69" s="214"/>
      <c r="VJ69" s="214"/>
      <c r="VK69" s="214"/>
      <c r="VL69" s="214"/>
      <c r="VM69" s="214"/>
      <c r="VN69" s="214"/>
      <c r="VO69" s="214"/>
      <c r="VP69" s="214"/>
      <c r="VQ69" s="214"/>
      <c r="VR69" s="214"/>
      <c r="VS69" s="214"/>
      <c r="VT69" s="214"/>
      <c r="VU69" s="214"/>
      <c r="VV69" s="214"/>
      <c r="VW69" s="214"/>
      <c r="VX69" s="214"/>
      <c r="VY69" s="214"/>
      <c r="VZ69" s="214"/>
      <c r="WA69" s="214"/>
      <c r="WB69" s="214"/>
      <c r="WC69" s="214"/>
      <c r="WD69" s="214"/>
      <c r="WE69" s="214"/>
      <c r="WF69" s="214"/>
      <c r="WG69" s="214"/>
      <c r="WH69" s="214"/>
      <c r="WI69" s="214"/>
      <c r="WJ69" s="214"/>
      <c r="WK69" s="214"/>
      <c r="WL69" s="214"/>
      <c r="WM69" s="214"/>
      <c r="WN69" s="214"/>
      <c r="WO69" s="214"/>
      <c r="WP69" s="214"/>
      <c r="WQ69" s="214"/>
      <c r="WR69" s="214"/>
      <c r="WS69" s="214"/>
      <c r="WT69" s="214"/>
      <c r="WU69" s="214"/>
      <c r="WV69" s="214"/>
      <c r="WW69" s="214"/>
      <c r="WX69" s="214"/>
      <c r="WY69" s="214"/>
      <c r="WZ69" s="214"/>
      <c r="XA69" s="214"/>
      <c r="XB69" s="214"/>
      <c r="XC69" s="214"/>
      <c r="XD69" s="214"/>
      <c r="XE69" s="214"/>
      <c r="XF69" s="214"/>
      <c r="XG69" s="214"/>
      <c r="XH69" s="214"/>
      <c r="XI69" s="214"/>
      <c r="XJ69" s="214"/>
      <c r="XK69" s="214"/>
      <c r="XL69" s="214"/>
      <c r="XM69" s="214"/>
      <c r="XN69" s="214"/>
      <c r="XO69" s="214"/>
      <c r="XP69" s="214"/>
      <c r="XQ69" s="214"/>
      <c r="XR69" s="214"/>
      <c r="XS69" s="214"/>
      <c r="XT69" s="214"/>
      <c r="XU69" s="214"/>
      <c r="XV69" s="214"/>
      <c r="XW69" s="214"/>
      <c r="XX69" s="214"/>
      <c r="XY69" s="214"/>
      <c r="XZ69" s="214"/>
      <c r="YA69" s="214"/>
      <c r="YB69" s="214"/>
      <c r="YC69" s="214"/>
      <c r="YD69" s="214"/>
      <c r="YE69" s="214"/>
      <c r="YF69" s="214"/>
      <c r="YG69" s="214"/>
      <c r="YH69" s="214"/>
      <c r="YI69" s="214"/>
      <c r="YJ69" s="214"/>
      <c r="YK69" s="214"/>
      <c r="YL69" s="214"/>
      <c r="YM69" s="214"/>
      <c r="YN69" s="214"/>
      <c r="YO69" s="214"/>
      <c r="YP69" s="214"/>
      <c r="YQ69" s="214"/>
      <c r="YR69" s="214"/>
      <c r="YS69" s="214"/>
      <c r="YT69" s="214"/>
      <c r="YU69" s="214"/>
      <c r="YV69" s="214"/>
      <c r="YW69" s="214"/>
      <c r="YX69" s="214"/>
      <c r="YY69" s="214"/>
      <c r="YZ69" s="214"/>
      <c r="ZA69" s="214"/>
      <c r="ZB69" s="214"/>
      <c r="ZC69" s="214"/>
      <c r="ZD69" s="214"/>
      <c r="ZE69" s="214"/>
      <c r="ZF69" s="214"/>
      <c r="ZG69" s="214"/>
      <c r="ZH69" s="214"/>
      <c r="ZI69" s="214"/>
      <c r="ZJ69" s="214"/>
      <c r="ZK69" s="214"/>
      <c r="ZL69" s="214"/>
      <c r="ZM69" s="214"/>
      <c r="ZN69" s="214"/>
      <c r="ZO69" s="214"/>
      <c r="ZP69" s="214"/>
      <c r="ZQ69" s="214"/>
      <c r="ZR69" s="214"/>
      <c r="ZS69" s="214"/>
      <c r="ZT69" s="214"/>
      <c r="ZU69" s="214"/>
      <c r="ZV69" s="214"/>
      <c r="ZW69" s="214"/>
      <c r="ZX69" s="214"/>
      <c r="ZY69" s="214"/>
      <c r="ZZ69" s="214"/>
      <c r="AAA69" s="214"/>
      <c r="AAB69" s="214"/>
      <c r="AAC69" s="214"/>
      <c r="AAD69" s="214"/>
      <c r="AAE69" s="214"/>
      <c r="AAF69" s="214"/>
      <c r="AAG69" s="214"/>
      <c r="AAH69" s="214"/>
      <c r="AAI69" s="214"/>
      <c r="AAJ69" s="214"/>
      <c r="AAK69" s="214"/>
      <c r="AAL69" s="214"/>
      <c r="AAM69" s="214"/>
      <c r="AAN69" s="214"/>
      <c r="AAO69" s="214"/>
      <c r="AAP69" s="214"/>
      <c r="AAQ69" s="214"/>
      <c r="AAR69" s="214"/>
      <c r="AAS69" s="214"/>
      <c r="AAT69" s="214"/>
      <c r="AAU69" s="214"/>
      <c r="AAV69" s="214"/>
      <c r="AAW69" s="214"/>
      <c r="AAX69" s="214"/>
      <c r="AAY69" s="214"/>
      <c r="AAZ69" s="214"/>
      <c r="ABA69" s="214"/>
      <c r="ABB69" s="214"/>
      <c r="ABC69" s="214"/>
      <c r="ABD69" s="214"/>
      <c r="ABE69" s="214"/>
      <c r="ABF69" s="214"/>
      <c r="ABG69" s="214"/>
      <c r="ABH69" s="214"/>
      <c r="ABI69" s="214"/>
      <c r="ABJ69" s="214"/>
      <c r="ABK69" s="214"/>
      <c r="ABL69" s="214"/>
      <c r="ABM69" s="214"/>
      <c r="ABN69" s="214"/>
      <c r="ABO69" s="214"/>
      <c r="ABP69" s="214"/>
      <c r="ABQ69" s="214"/>
      <c r="ABR69" s="214"/>
      <c r="ABS69" s="214"/>
      <c r="ABT69" s="214"/>
      <c r="ABU69" s="214"/>
      <c r="ABV69" s="214"/>
      <c r="ABW69" s="214"/>
      <c r="ABX69" s="214"/>
      <c r="ABY69" s="214"/>
      <c r="ABZ69" s="214"/>
      <c r="ACA69" s="214"/>
      <c r="ACB69" s="214"/>
      <c r="ACC69" s="214"/>
      <c r="ACD69" s="214"/>
      <c r="ACE69" s="214"/>
      <c r="ACF69" s="214"/>
      <c r="ACG69" s="214"/>
      <c r="ACH69" s="214"/>
      <c r="ACI69" s="214"/>
      <c r="ACJ69" s="214"/>
      <c r="ACK69" s="214"/>
      <c r="ACL69" s="214"/>
      <c r="ACM69" s="214"/>
      <c r="ACN69" s="214"/>
      <c r="ACO69" s="214"/>
      <c r="ACP69" s="214"/>
      <c r="ACQ69" s="214"/>
      <c r="ACR69" s="214"/>
      <c r="ACS69" s="214"/>
      <c r="ACT69" s="214"/>
      <c r="ACU69" s="214"/>
      <c r="ACV69" s="214"/>
      <c r="ACW69" s="214"/>
      <c r="ACX69" s="214"/>
      <c r="ACY69" s="214"/>
      <c r="ACZ69" s="214"/>
      <c r="ADA69" s="214"/>
      <c r="ADB69" s="214"/>
      <c r="ADC69" s="214"/>
      <c r="ADD69" s="214"/>
      <c r="ADE69" s="214"/>
      <c r="ADF69" s="214"/>
      <c r="ADG69" s="214"/>
      <c r="ADH69" s="214"/>
      <c r="ADI69" s="214"/>
      <c r="ADJ69" s="214"/>
      <c r="ADK69" s="214"/>
      <c r="ADL69" s="214"/>
      <c r="ADM69" s="214"/>
      <c r="ADN69" s="214"/>
      <c r="ADO69" s="214"/>
      <c r="ADP69" s="214"/>
      <c r="ADQ69" s="214"/>
      <c r="ADR69" s="214"/>
      <c r="ADS69" s="214"/>
      <c r="ADT69" s="214"/>
      <c r="ADU69" s="214"/>
      <c r="ADV69" s="214"/>
      <c r="ADW69" s="214"/>
      <c r="ADX69" s="214"/>
      <c r="ADY69" s="214"/>
      <c r="ADZ69" s="214"/>
      <c r="AEA69" s="214"/>
      <c r="AEB69" s="214"/>
      <c r="AEC69" s="214"/>
      <c r="AED69" s="214"/>
      <c r="AEE69" s="214"/>
      <c r="AEF69" s="214"/>
      <c r="AEG69" s="214"/>
      <c r="AEH69" s="214"/>
      <c r="AEI69" s="214"/>
      <c r="AEJ69" s="214"/>
      <c r="AEK69" s="214"/>
      <c r="AEL69" s="214"/>
      <c r="AEM69" s="214"/>
      <c r="AEN69" s="214"/>
      <c r="AEO69" s="214"/>
      <c r="AEP69" s="214"/>
      <c r="AEQ69" s="214"/>
      <c r="AER69" s="214"/>
      <c r="AES69" s="214"/>
      <c r="AET69" s="214"/>
      <c r="AEU69" s="214"/>
      <c r="AEV69" s="214"/>
      <c r="AEW69" s="214"/>
      <c r="AEX69" s="214"/>
      <c r="AEY69" s="214"/>
      <c r="AEZ69" s="214"/>
      <c r="AFA69" s="214"/>
      <c r="AFB69" s="214"/>
      <c r="AFC69" s="214"/>
      <c r="AFD69" s="214"/>
      <c r="AFE69" s="214"/>
      <c r="AFF69" s="214"/>
      <c r="AFG69" s="214"/>
      <c r="AFH69" s="214"/>
      <c r="AFI69" s="214"/>
      <c r="AFJ69" s="214"/>
      <c r="AFK69" s="214"/>
      <c r="AFL69" s="214"/>
      <c r="AFM69" s="214"/>
      <c r="AFN69" s="214"/>
      <c r="AFO69" s="214"/>
      <c r="AFP69" s="214"/>
      <c r="AFQ69" s="214"/>
      <c r="AFR69" s="214"/>
      <c r="AFS69" s="214"/>
      <c r="AFT69" s="214"/>
      <c r="AFU69" s="214"/>
      <c r="AFV69" s="214"/>
      <c r="AFW69" s="214"/>
      <c r="AFX69" s="214"/>
      <c r="AFY69" s="214"/>
      <c r="AFZ69" s="214"/>
      <c r="AGA69" s="214"/>
      <c r="AGB69" s="214"/>
      <c r="AGC69" s="214"/>
      <c r="AGD69" s="214"/>
      <c r="AGE69" s="214"/>
      <c r="AGF69" s="214"/>
      <c r="AGG69" s="214"/>
      <c r="AGH69" s="214"/>
      <c r="AGI69" s="214"/>
      <c r="AGJ69" s="214"/>
      <c r="AGK69" s="214"/>
      <c r="AGL69" s="214"/>
      <c r="AGM69" s="214"/>
      <c r="AGN69" s="214"/>
      <c r="AGO69" s="214"/>
      <c r="AGP69" s="214"/>
      <c r="AGQ69" s="214"/>
      <c r="AGR69" s="214"/>
      <c r="AGS69" s="214"/>
      <c r="AGT69" s="214"/>
      <c r="AGU69" s="214"/>
      <c r="AGV69" s="214"/>
      <c r="AGW69" s="214"/>
      <c r="AGX69" s="214"/>
      <c r="AGY69" s="214"/>
      <c r="AGZ69" s="214"/>
      <c r="AHA69" s="214"/>
      <c r="AHB69" s="214"/>
      <c r="AHC69" s="214"/>
      <c r="AHD69" s="214"/>
      <c r="AHE69" s="214"/>
      <c r="AHF69" s="214"/>
      <c r="AHG69" s="214"/>
      <c r="AHH69" s="214"/>
      <c r="AHI69" s="214"/>
      <c r="AHJ69" s="214"/>
      <c r="AHK69" s="214"/>
      <c r="AHL69" s="214"/>
      <c r="AHM69" s="214"/>
      <c r="AHN69" s="214"/>
      <c r="AHO69" s="214"/>
      <c r="AHP69" s="214"/>
      <c r="AHQ69" s="214"/>
      <c r="AHR69" s="214"/>
      <c r="AHS69" s="214"/>
      <c r="AHT69" s="214"/>
      <c r="AHU69" s="214"/>
      <c r="AHV69" s="214"/>
      <c r="AHW69" s="214"/>
      <c r="AHX69" s="214"/>
      <c r="AHY69" s="214"/>
      <c r="AHZ69" s="214"/>
      <c r="AIA69" s="214"/>
      <c r="AIB69" s="214"/>
      <c r="AIC69" s="214"/>
      <c r="AID69" s="214"/>
      <c r="AIE69" s="214"/>
      <c r="AIF69" s="214"/>
      <c r="AIG69" s="214"/>
      <c r="AIH69" s="214"/>
      <c r="AII69" s="214"/>
      <c r="AIJ69" s="214"/>
      <c r="AIK69" s="214"/>
      <c r="AIL69" s="214"/>
      <c r="AIM69" s="214"/>
      <c r="AIN69" s="214"/>
      <c r="AIO69" s="214"/>
      <c r="AIP69" s="214"/>
      <c r="AIQ69" s="214"/>
      <c r="AIR69" s="214"/>
      <c r="AIS69" s="214"/>
      <c r="AIT69" s="214"/>
      <c r="AIU69" s="214"/>
      <c r="AIV69" s="214"/>
      <c r="AIW69" s="214"/>
      <c r="AIX69" s="214"/>
      <c r="AIY69" s="214"/>
      <c r="AIZ69" s="214"/>
      <c r="AJA69" s="214"/>
      <c r="AJB69" s="214"/>
      <c r="AJC69" s="214"/>
      <c r="AJD69" s="214"/>
      <c r="AJE69" s="214"/>
      <c r="AJF69" s="214"/>
      <c r="AJG69" s="214"/>
      <c r="AJH69" s="214"/>
      <c r="AJI69" s="214"/>
      <c r="AJJ69" s="214"/>
      <c r="AJK69" s="214"/>
      <c r="AJL69" s="214"/>
      <c r="AJM69" s="214"/>
      <c r="AJN69" s="214"/>
      <c r="AJO69" s="214"/>
      <c r="AJP69" s="214"/>
      <c r="AJQ69" s="214"/>
      <c r="AJR69" s="214"/>
      <c r="AJS69" s="214"/>
      <c r="AJT69" s="214"/>
      <c r="AJU69" s="214"/>
      <c r="AJV69" s="214"/>
      <c r="AJW69" s="214"/>
      <c r="AJX69" s="214"/>
      <c r="AJY69" s="214"/>
      <c r="AJZ69" s="214"/>
      <c r="AKA69" s="214"/>
      <c r="AKB69" s="214"/>
      <c r="AKC69" s="214"/>
      <c r="AKD69" s="214"/>
      <c r="AKE69" s="214"/>
      <c r="AKF69" s="214"/>
      <c r="AKG69" s="214"/>
      <c r="AKH69" s="214"/>
      <c r="AKI69" s="214"/>
      <c r="AKJ69" s="214"/>
      <c r="AKK69" s="214"/>
      <c r="AKL69" s="214"/>
      <c r="AKM69" s="214"/>
      <c r="AKN69" s="214"/>
      <c r="AKO69" s="214"/>
      <c r="AKP69" s="214"/>
      <c r="AKQ69" s="214"/>
      <c r="AKR69" s="214"/>
      <c r="AKS69" s="214"/>
      <c r="AKT69" s="214"/>
      <c r="AKU69" s="214"/>
      <c r="AKV69" s="214"/>
      <c r="AKW69" s="214"/>
      <c r="AKX69" s="214"/>
      <c r="AKY69" s="214"/>
      <c r="AKZ69" s="214"/>
      <c r="ALA69" s="214"/>
      <c r="ALB69" s="214"/>
      <c r="ALC69" s="214"/>
      <c r="ALD69" s="214"/>
      <c r="ALE69" s="214"/>
      <c r="ALF69" s="214"/>
      <c r="ALG69" s="214"/>
      <c r="ALH69" s="214"/>
      <c r="ALI69" s="214"/>
      <c r="ALJ69" s="214"/>
      <c r="ALK69" s="214"/>
      <c r="ALL69" s="214"/>
      <c r="ALM69" s="214"/>
      <c r="ALN69" s="214"/>
      <c r="ALO69" s="214"/>
      <c r="ALP69" s="214"/>
      <c r="ALQ69" s="214"/>
      <c r="ALR69" s="214"/>
      <c r="ALS69" s="214"/>
      <c r="ALT69" s="214"/>
      <c r="ALU69" s="214"/>
      <c r="ALV69" s="214"/>
      <c r="ALW69" s="214"/>
      <c r="ALX69" s="214"/>
      <c r="ALY69" s="214"/>
      <c r="ALZ69" s="214"/>
      <c r="AMA69" s="214"/>
      <c r="AMB69" s="214"/>
      <c r="AMC69" s="214"/>
      <c r="AMD69" s="214"/>
      <c r="AME69" s="214"/>
      <c r="AMF69" s="214"/>
      <c r="AMG69" s="214"/>
      <c r="AMH69" s="214"/>
      <c r="AMI69" s="214"/>
      <c r="AMJ69" s="214"/>
      <c r="AMK69" s="214"/>
      <c r="AML69" s="214"/>
      <c r="AMM69" s="214"/>
      <c r="AMN69" s="214"/>
      <c r="AMO69" s="214"/>
      <c r="AMP69" s="214"/>
      <c r="AMQ69" s="214"/>
      <c r="AMR69" s="214"/>
      <c r="AMS69" s="214"/>
      <c r="AMT69" s="214"/>
      <c r="AMU69" s="214"/>
      <c r="AMV69" s="214"/>
      <c r="AMW69" s="214"/>
      <c r="AMX69" s="214"/>
      <c r="AMY69" s="214"/>
      <c r="AMZ69" s="214"/>
      <c r="ANA69" s="214"/>
      <c r="ANB69" s="214"/>
      <c r="ANC69" s="214"/>
      <c r="AND69" s="214"/>
      <c r="ANE69" s="214"/>
      <c r="ANF69" s="214"/>
      <c r="ANG69" s="214"/>
      <c r="ANH69" s="214"/>
      <c r="ANI69" s="214"/>
      <c r="ANJ69" s="214"/>
      <c r="ANK69" s="214"/>
      <c r="ANL69" s="214"/>
      <c r="ANM69" s="214"/>
      <c r="ANN69" s="214"/>
      <c r="ANO69" s="214"/>
      <c r="ANP69" s="214"/>
      <c r="ANQ69" s="214"/>
      <c r="ANR69" s="214"/>
      <c r="ANS69" s="214"/>
      <c r="ANT69" s="214"/>
      <c r="ANU69" s="214"/>
      <c r="ANV69" s="214"/>
      <c r="ANW69" s="214"/>
      <c r="ANX69" s="214"/>
      <c r="ANY69" s="214"/>
      <c r="ANZ69" s="214"/>
      <c r="AOA69" s="214"/>
      <c r="AOB69" s="214"/>
      <c r="AOC69" s="214"/>
      <c r="AOD69" s="214"/>
      <c r="AOE69" s="214"/>
      <c r="AOF69" s="214"/>
      <c r="AOG69" s="214"/>
      <c r="AOH69" s="214"/>
      <c r="AOI69" s="214"/>
      <c r="AOJ69" s="214"/>
      <c r="AOK69" s="214"/>
      <c r="AOL69" s="214"/>
      <c r="AOM69" s="214"/>
      <c r="AON69" s="214"/>
      <c r="AOO69" s="214"/>
      <c r="AOP69" s="214"/>
      <c r="AOQ69" s="214"/>
      <c r="AOR69" s="214"/>
      <c r="AOS69" s="214"/>
      <c r="AOT69" s="214"/>
      <c r="AOU69" s="214"/>
      <c r="AOV69" s="214"/>
      <c r="AOW69" s="214"/>
      <c r="AOX69" s="214"/>
      <c r="AOY69" s="214"/>
      <c r="AOZ69" s="214"/>
      <c r="APA69" s="214"/>
      <c r="APB69" s="214"/>
      <c r="APC69" s="214"/>
      <c r="APD69" s="214"/>
      <c r="APE69" s="214"/>
      <c r="APF69" s="214"/>
      <c r="APG69" s="214"/>
      <c r="APH69" s="214"/>
      <c r="API69" s="214"/>
      <c r="APJ69" s="214"/>
      <c r="APK69" s="214"/>
      <c r="APL69" s="214"/>
      <c r="APM69" s="214"/>
      <c r="APN69" s="214"/>
      <c r="APO69" s="214"/>
      <c r="APP69" s="214"/>
      <c r="APQ69" s="214"/>
      <c r="APR69" s="214"/>
      <c r="APS69" s="214"/>
      <c r="APT69" s="214"/>
      <c r="APU69" s="214"/>
      <c r="APV69" s="214"/>
      <c r="APW69" s="214"/>
      <c r="APX69" s="214"/>
      <c r="APY69" s="214"/>
      <c r="APZ69" s="214"/>
      <c r="AQA69" s="214"/>
      <c r="AQB69" s="214"/>
      <c r="AQC69" s="214"/>
      <c r="AQD69" s="214"/>
      <c r="AQE69" s="214"/>
      <c r="AQF69" s="214"/>
      <c r="AQG69" s="214"/>
      <c r="AQH69" s="214"/>
      <c r="AQI69" s="214"/>
      <c r="AQJ69" s="214"/>
      <c r="AQK69" s="214"/>
      <c r="AQL69" s="214"/>
      <c r="AQM69" s="214"/>
      <c r="AQN69" s="214"/>
      <c r="AQO69" s="214"/>
      <c r="AQP69" s="214"/>
      <c r="AQQ69" s="214"/>
      <c r="AQR69" s="214"/>
      <c r="AQS69" s="214"/>
      <c r="AQT69" s="214"/>
      <c r="AQU69" s="214"/>
      <c r="AQV69" s="214"/>
      <c r="AQW69" s="214"/>
      <c r="AQX69" s="214"/>
      <c r="AQY69" s="214"/>
      <c r="AQZ69" s="214"/>
      <c r="ARA69" s="214"/>
      <c r="ARB69" s="214"/>
      <c r="ARC69" s="214"/>
      <c r="ARD69" s="214"/>
      <c r="ARE69" s="214"/>
      <c r="ARF69" s="214"/>
      <c r="ARG69" s="214"/>
      <c r="ARH69" s="214"/>
      <c r="ARI69" s="214"/>
      <c r="ARJ69" s="214"/>
      <c r="ARK69" s="214"/>
      <c r="ARL69" s="214"/>
      <c r="ARM69" s="214"/>
      <c r="ARN69" s="214"/>
      <c r="ARO69" s="214"/>
      <c r="ARP69" s="214"/>
      <c r="ARQ69" s="214"/>
      <c r="ARR69" s="214"/>
      <c r="ARS69" s="214"/>
      <c r="ART69" s="214"/>
      <c r="ARU69" s="214"/>
      <c r="ARV69" s="214"/>
      <c r="ARW69" s="214"/>
      <c r="ARX69" s="214"/>
      <c r="ARY69" s="214"/>
      <c r="ARZ69" s="214"/>
      <c r="ASA69" s="214"/>
      <c r="ASB69" s="214"/>
      <c r="ASC69" s="214"/>
      <c r="ASD69" s="214"/>
      <c r="ASE69" s="214"/>
      <c r="ASF69" s="214"/>
      <c r="ASG69" s="214"/>
      <c r="ASH69" s="214"/>
      <c r="ASI69" s="214"/>
      <c r="ASJ69" s="214"/>
      <c r="ASK69" s="214"/>
      <c r="ASL69" s="214"/>
      <c r="ASM69" s="214"/>
      <c r="ASN69" s="214"/>
      <c r="ASO69" s="214"/>
      <c r="ASP69" s="214"/>
      <c r="ASQ69" s="214"/>
      <c r="ASR69" s="214"/>
      <c r="ASS69" s="214"/>
      <c r="AST69" s="214"/>
      <c r="ASU69" s="214"/>
      <c r="ASV69" s="214"/>
      <c r="ASW69" s="214"/>
      <c r="ASX69" s="214"/>
      <c r="ASY69" s="214"/>
      <c r="ASZ69" s="214"/>
      <c r="ATA69" s="214"/>
      <c r="ATB69" s="214"/>
      <c r="ATC69" s="214"/>
      <c r="ATD69" s="214"/>
      <c r="ATE69" s="214"/>
      <c r="ATF69" s="214"/>
      <c r="ATG69" s="214"/>
      <c r="ATH69" s="214"/>
      <c r="ATI69" s="214"/>
      <c r="ATJ69" s="214"/>
      <c r="ATK69" s="214"/>
      <c r="ATL69" s="214"/>
      <c r="ATM69" s="214"/>
      <c r="ATN69" s="214"/>
      <c r="ATO69" s="214"/>
      <c r="ATP69" s="214"/>
      <c r="ATQ69" s="214"/>
      <c r="ATR69" s="214"/>
      <c r="ATS69" s="214"/>
      <c r="ATT69" s="214"/>
      <c r="ATU69" s="214"/>
      <c r="ATV69" s="214"/>
      <c r="ATW69" s="214"/>
      <c r="ATX69" s="214"/>
      <c r="ATY69" s="214"/>
      <c r="ATZ69" s="214"/>
      <c r="AUA69" s="214"/>
      <c r="AUB69" s="214"/>
      <c r="AUC69" s="214"/>
      <c r="AUD69" s="214"/>
      <c r="AUE69" s="214"/>
      <c r="AUF69" s="214"/>
      <c r="AUG69" s="214"/>
      <c r="AUH69" s="214"/>
      <c r="AUI69" s="214"/>
      <c r="AUJ69" s="214"/>
      <c r="AUK69" s="214"/>
      <c r="AUL69" s="214"/>
      <c r="AUM69" s="214"/>
      <c r="AUN69" s="214"/>
      <c r="AUO69" s="214"/>
      <c r="AUP69" s="214"/>
      <c r="AUQ69" s="214"/>
      <c r="AUR69" s="214"/>
      <c r="AUS69" s="214"/>
      <c r="AUT69" s="214"/>
      <c r="AUU69" s="214"/>
      <c r="AUV69" s="214"/>
      <c r="AUW69" s="214"/>
      <c r="AUX69" s="214"/>
      <c r="AUY69" s="214"/>
      <c r="AUZ69" s="214"/>
      <c r="AVA69" s="214"/>
      <c r="AVB69" s="214"/>
      <c r="AVC69" s="214"/>
      <c r="AVD69" s="214"/>
      <c r="AVE69" s="214"/>
      <c r="AVF69" s="214"/>
      <c r="AVG69" s="214"/>
      <c r="AVH69" s="214"/>
      <c r="AVI69" s="214"/>
      <c r="AVJ69" s="214"/>
      <c r="AVK69" s="214"/>
      <c r="AVL69" s="214"/>
      <c r="AVM69" s="214"/>
      <c r="AVN69" s="214"/>
      <c r="AVO69" s="214"/>
      <c r="AVP69" s="214"/>
      <c r="AVQ69" s="214"/>
      <c r="AVR69" s="214"/>
      <c r="AVS69" s="214"/>
      <c r="AVT69" s="214"/>
      <c r="AVU69" s="214"/>
      <c r="AVV69" s="214"/>
      <c r="AVW69" s="214"/>
      <c r="AVX69" s="214"/>
      <c r="AVY69" s="214"/>
      <c r="AVZ69" s="214"/>
      <c r="AWA69" s="214"/>
      <c r="AWB69" s="214"/>
      <c r="AWC69" s="214"/>
      <c r="AWD69" s="214"/>
      <c r="AWE69" s="214"/>
      <c r="AWF69" s="214"/>
      <c r="AWG69" s="214"/>
      <c r="AWH69" s="214"/>
      <c r="AWI69" s="214"/>
      <c r="AWJ69" s="214"/>
      <c r="AWK69" s="214"/>
      <c r="AWL69" s="214"/>
      <c r="AWM69" s="214"/>
      <c r="AWN69" s="214"/>
      <c r="AWO69" s="214"/>
      <c r="AWP69" s="214"/>
      <c r="AWQ69" s="214"/>
      <c r="AWR69" s="214"/>
      <c r="AWS69" s="214"/>
      <c r="AWT69" s="214"/>
      <c r="AWU69" s="214"/>
      <c r="AWV69" s="214"/>
      <c r="AWW69" s="214"/>
      <c r="AWX69" s="214"/>
      <c r="AWY69" s="214"/>
      <c r="AWZ69" s="214"/>
      <c r="AXA69" s="214"/>
      <c r="AXB69" s="214"/>
      <c r="AXC69" s="214"/>
      <c r="AXD69" s="214"/>
      <c r="AXE69" s="214"/>
      <c r="AXF69" s="214"/>
      <c r="AXG69" s="214"/>
      <c r="AXH69" s="214"/>
      <c r="AXI69" s="214"/>
      <c r="AXJ69" s="214"/>
      <c r="AXK69" s="214"/>
      <c r="AXL69" s="214"/>
      <c r="AXM69" s="214"/>
      <c r="AXN69" s="214"/>
      <c r="AXO69" s="214"/>
      <c r="AXP69" s="214"/>
      <c r="AXQ69" s="214"/>
      <c r="AXR69" s="214"/>
      <c r="AXS69" s="214"/>
      <c r="AXT69" s="214"/>
      <c r="AXU69" s="214"/>
      <c r="AXV69" s="214"/>
      <c r="AXW69" s="214"/>
      <c r="AXX69" s="214"/>
      <c r="AXY69" s="214"/>
      <c r="AXZ69" s="214"/>
      <c r="AYA69" s="214"/>
      <c r="AYB69" s="214"/>
      <c r="AYC69" s="214"/>
      <c r="AYD69" s="214"/>
      <c r="AYE69" s="214"/>
      <c r="AYF69" s="214"/>
      <c r="AYG69" s="214"/>
      <c r="AYH69" s="214"/>
      <c r="AYI69" s="214"/>
      <c r="AYJ69" s="214"/>
      <c r="AYK69" s="214"/>
      <c r="AYL69" s="214"/>
      <c r="AYM69" s="214"/>
      <c r="AYN69" s="214"/>
      <c r="AYO69" s="214"/>
      <c r="AYP69" s="214"/>
      <c r="AYQ69" s="214"/>
      <c r="AYR69" s="214"/>
      <c r="AYS69" s="214"/>
      <c r="AYT69" s="214"/>
      <c r="AYU69" s="214"/>
      <c r="AYV69" s="214"/>
      <c r="AYW69" s="214"/>
      <c r="AYX69" s="214"/>
      <c r="AYY69" s="214"/>
      <c r="AYZ69" s="214"/>
      <c r="AZA69" s="214"/>
      <c r="AZB69" s="214"/>
      <c r="AZC69" s="214"/>
      <c r="AZD69" s="214"/>
      <c r="AZE69" s="214"/>
      <c r="AZF69" s="214"/>
      <c r="AZG69" s="214"/>
      <c r="AZH69" s="214"/>
      <c r="AZI69" s="214"/>
      <c r="AZJ69" s="214"/>
      <c r="AZK69" s="214"/>
      <c r="AZL69" s="214"/>
      <c r="AZM69" s="214"/>
      <c r="AZN69" s="214"/>
      <c r="AZO69" s="214"/>
      <c r="AZP69" s="214"/>
      <c r="AZQ69" s="214"/>
      <c r="AZR69" s="214"/>
      <c r="AZS69" s="214"/>
      <c r="AZT69" s="214"/>
      <c r="AZU69" s="214"/>
      <c r="AZV69" s="214"/>
      <c r="AZW69" s="214"/>
      <c r="AZX69" s="214"/>
      <c r="AZY69" s="214"/>
      <c r="AZZ69" s="214"/>
      <c r="BAA69" s="214"/>
      <c r="BAB69" s="214"/>
      <c r="BAC69" s="214"/>
      <c r="BAD69" s="214"/>
      <c r="BAE69" s="214"/>
      <c r="BAF69" s="214"/>
      <c r="BAG69" s="214"/>
      <c r="BAH69" s="214"/>
      <c r="BAI69" s="214"/>
      <c r="BAJ69" s="214"/>
      <c r="BAK69" s="214"/>
      <c r="BAL69" s="214"/>
      <c r="BAM69" s="214"/>
      <c r="BAN69" s="214"/>
      <c r="BAO69" s="214"/>
      <c r="BAP69" s="214"/>
      <c r="BAQ69" s="214"/>
      <c r="BAR69" s="214"/>
      <c r="BAS69" s="214"/>
      <c r="BAT69" s="214"/>
      <c r="BAU69" s="214"/>
      <c r="BAV69" s="214"/>
      <c r="BAW69" s="214"/>
      <c r="BAX69" s="214"/>
      <c r="BAY69" s="214"/>
      <c r="BAZ69" s="214"/>
      <c r="BBA69" s="214"/>
      <c r="BBB69" s="214"/>
      <c r="BBC69" s="214"/>
      <c r="BBD69" s="214"/>
      <c r="BBE69" s="214"/>
      <c r="BBF69" s="214"/>
      <c r="BBG69" s="214"/>
      <c r="BBH69" s="214"/>
      <c r="BBI69" s="214"/>
      <c r="BBJ69" s="214"/>
      <c r="BBK69" s="214"/>
      <c r="BBL69" s="214"/>
      <c r="BBM69" s="214"/>
      <c r="BBN69" s="214"/>
      <c r="BBO69" s="214"/>
      <c r="BBP69" s="214"/>
      <c r="BBQ69" s="214"/>
      <c r="BBR69" s="214"/>
      <c r="BBS69" s="214"/>
      <c r="BBT69" s="214"/>
      <c r="BBU69" s="214"/>
      <c r="BBV69" s="214"/>
      <c r="BBW69" s="214"/>
      <c r="BBX69" s="214"/>
      <c r="BBY69" s="214"/>
      <c r="BBZ69" s="214"/>
      <c r="BCA69" s="214"/>
      <c r="BCB69" s="214"/>
      <c r="BCC69" s="214"/>
      <c r="BCD69" s="214"/>
      <c r="BCE69" s="214"/>
      <c r="BCF69" s="214"/>
      <c r="BCG69" s="214"/>
      <c r="BCH69" s="214"/>
      <c r="BCI69" s="214"/>
      <c r="BCJ69" s="214"/>
      <c r="BCK69" s="214"/>
      <c r="BCL69" s="214"/>
      <c r="BCM69" s="214"/>
      <c r="BCN69" s="214"/>
      <c r="BCO69" s="214"/>
      <c r="BCP69" s="214"/>
      <c r="BCQ69" s="214"/>
      <c r="BCR69" s="214"/>
      <c r="BCS69" s="214"/>
      <c r="BCT69" s="214"/>
      <c r="BCU69" s="214"/>
      <c r="BCV69" s="214"/>
      <c r="BCW69" s="214"/>
      <c r="BCX69" s="214"/>
      <c r="BCY69" s="214"/>
      <c r="BCZ69" s="214"/>
      <c r="BDA69" s="214"/>
      <c r="BDB69" s="214"/>
      <c r="BDC69" s="214"/>
      <c r="BDD69" s="214"/>
      <c r="BDE69" s="214"/>
      <c r="BDF69" s="214"/>
      <c r="BDG69" s="214"/>
      <c r="BDH69" s="214"/>
      <c r="BDI69" s="214"/>
      <c r="BDJ69" s="214"/>
      <c r="BDK69" s="214"/>
      <c r="BDL69" s="214"/>
      <c r="BDM69" s="214"/>
      <c r="BDN69" s="214"/>
      <c r="BDO69" s="214"/>
      <c r="BDP69" s="214"/>
      <c r="BDQ69" s="214"/>
      <c r="BDR69" s="214"/>
      <c r="BDS69" s="214"/>
      <c r="BDT69" s="214"/>
      <c r="BDU69" s="214"/>
      <c r="BDV69" s="214"/>
      <c r="BDW69" s="214"/>
      <c r="BDX69" s="214"/>
      <c r="BDY69" s="214"/>
      <c r="BDZ69" s="214"/>
      <c r="BEA69" s="214"/>
      <c r="BEB69" s="214"/>
      <c r="BEC69" s="214"/>
      <c r="BED69" s="214"/>
      <c r="BEE69" s="214"/>
      <c r="BEF69" s="214"/>
      <c r="BEG69" s="214"/>
      <c r="BEH69" s="214"/>
      <c r="BEI69" s="214"/>
      <c r="BEJ69" s="214"/>
      <c r="BEK69" s="214"/>
      <c r="BEL69" s="214"/>
      <c r="BEM69" s="214"/>
      <c r="BEN69" s="214"/>
      <c r="BEO69" s="214"/>
      <c r="BEP69" s="214"/>
      <c r="BEQ69" s="214"/>
      <c r="BER69" s="214"/>
      <c r="BES69" s="214"/>
      <c r="BET69" s="214"/>
      <c r="BEU69" s="214"/>
      <c r="BEV69" s="214"/>
      <c r="BEW69" s="214"/>
      <c r="BEX69" s="214"/>
      <c r="BEY69" s="214"/>
      <c r="BEZ69" s="214"/>
      <c r="BFA69" s="214"/>
      <c r="BFB69" s="214"/>
      <c r="BFC69" s="214"/>
      <c r="BFD69" s="214"/>
      <c r="BFE69" s="214"/>
      <c r="BFF69" s="214"/>
      <c r="BFG69" s="214"/>
      <c r="BFH69" s="214"/>
      <c r="BFI69" s="214"/>
      <c r="BFJ69" s="214"/>
      <c r="BFK69" s="214"/>
      <c r="BFL69" s="214"/>
      <c r="BFM69" s="214"/>
      <c r="BFN69" s="214"/>
      <c r="BFO69" s="214"/>
      <c r="BFP69" s="214"/>
      <c r="BFQ69" s="214"/>
      <c r="BFR69" s="214"/>
      <c r="BFS69" s="214"/>
      <c r="BFT69" s="214"/>
      <c r="BFU69" s="214"/>
      <c r="BFV69" s="214"/>
      <c r="BFW69" s="214"/>
      <c r="BFX69" s="214"/>
      <c r="BFY69" s="214"/>
      <c r="BFZ69" s="214"/>
      <c r="BGA69" s="214"/>
      <c r="BGB69" s="214"/>
      <c r="BGC69" s="214"/>
      <c r="BGD69" s="214"/>
      <c r="BGE69" s="214"/>
      <c r="BGF69" s="214"/>
      <c r="BGG69" s="214"/>
      <c r="BGH69" s="214"/>
      <c r="BGI69" s="214"/>
      <c r="BGJ69" s="214"/>
      <c r="BGK69" s="214"/>
      <c r="BGL69" s="214"/>
      <c r="BGM69" s="214"/>
      <c r="BGN69" s="214"/>
      <c r="BGO69" s="214"/>
      <c r="BGP69" s="214"/>
      <c r="BGQ69" s="214"/>
      <c r="BGR69" s="214"/>
      <c r="BGS69" s="214"/>
      <c r="BGT69" s="214"/>
      <c r="BGU69" s="214"/>
      <c r="BGV69" s="214"/>
      <c r="BGW69" s="214"/>
      <c r="BGX69" s="214"/>
      <c r="BGY69" s="214"/>
      <c r="BGZ69" s="214"/>
      <c r="BHA69" s="214"/>
      <c r="BHB69" s="214"/>
      <c r="BHC69" s="214"/>
      <c r="BHD69" s="214"/>
      <c r="BHE69" s="214"/>
      <c r="BHF69" s="214"/>
      <c r="BHG69" s="214"/>
      <c r="BHH69" s="214"/>
      <c r="BHI69" s="214"/>
      <c r="BHJ69" s="214"/>
      <c r="BHK69" s="214"/>
      <c r="BHL69" s="214"/>
      <c r="BHM69" s="214"/>
      <c r="BHN69" s="214"/>
      <c r="BHO69" s="214"/>
      <c r="BHP69" s="214"/>
      <c r="BHQ69" s="214"/>
      <c r="BHR69" s="214"/>
      <c r="BHS69" s="214"/>
      <c r="BHT69" s="214"/>
      <c r="BHU69" s="214"/>
      <c r="BHV69" s="214"/>
      <c r="BHW69" s="214"/>
    </row>
    <row r="70" spans="1:1583" s="217" customFormat="1" ht="16.5">
      <c r="A70" s="252"/>
      <c r="B70" s="180" t="s">
        <v>378</v>
      </c>
      <c r="C70" s="416" t="s">
        <v>501</v>
      </c>
      <c r="D70" s="420" t="s">
        <v>584</v>
      </c>
      <c r="E70" s="59" t="s">
        <v>42</v>
      </c>
      <c r="F70" s="132">
        <v>207</v>
      </c>
      <c r="G70" s="60" t="s">
        <v>724</v>
      </c>
      <c r="H70" s="473">
        <f t="shared" si="21"/>
        <v>206.51828950211231</v>
      </c>
      <c r="I70" s="92">
        <f>VLOOKUP($B70,'DCS Data'!$E$2:$AJ$100,MATCH('Daily Report'!I$1,'DCS Data'!$E$2:$AJ$2,0),0)</f>
        <v>206.09759251384406</v>
      </c>
      <c r="J70" s="255"/>
      <c r="K70" s="92">
        <f>VLOOKUP($B70,'DCS Data'!$E$2:$AJ$100,MATCH('Daily Report'!K$1,'DCS Data'!$E$2:$AJ$2,0),0)</f>
        <v>206.18926194589719</v>
      </c>
      <c r="L70" s="92">
        <f>VLOOKUP($B70,'DCS Data'!$E$2:$AJ$100,MATCH('Daily Report'!L$1,'DCS Data'!$E$2:$AJ$2,0),0)</f>
        <v>206.19939541609591</v>
      </c>
      <c r="M70" s="92">
        <f>VLOOKUP($B70,'DCS Data'!$E$2:$AJ$100,MATCH('Daily Report'!M$1,'DCS Data'!$E$2:$AJ$2,0),0)</f>
        <v>206.23000500645523</v>
      </c>
      <c r="N70" s="92">
        <f>VLOOKUP($B70,'DCS Data'!$E$2:$AJ$100,MATCH('Daily Report'!N$1,'DCS Data'!$E$2:$AJ$2,0),0)</f>
        <v>206.24665822169089</v>
      </c>
      <c r="O70" s="92">
        <f>VLOOKUP($B70,'DCS Data'!$E$2:$AJ$100,MATCH('Daily Report'!O$1,'DCS Data'!$E$2:$AJ$2,0),0)</f>
        <v>206.25896279733124</v>
      </c>
      <c r="P70" s="92">
        <f>VLOOKUP($B70,'DCS Data'!$E$2:$AJ$100,MATCH('Daily Report'!P$1,'DCS Data'!$E$2:$AJ$2,0),0)</f>
        <v>206.20518694050162</v>
      </c>
      <c r="Q70" s="92">
        <f>VLOOKUP($B70,'DCS Data'!$E$2:$AJ$100,MATCH('Daily Report'!Q$1,'DCS Data'!$E$2:$AJ$2,0),0)</f>
        <v>206.13218291709259</v>
      </c>
      <c r="R70" s="92">
        <f>VLOOKUP($B70,'DCS Data'!$E$2:$AJ$100,MATCH('Daily Report'!R$1,'DCS Data'!$E$2:$AJ$2,0),0)</f>
        <v>206.19822316493088</v>
      </c>
      <c r="S70" s="92">
        <f>VLOOKUP($B70,'DCS Data'!$E$2:$AJ$100,MATCH('Daily Report'!S$1,'DCS Data'!$E$2:$AJ$2,0),0)</f>
        <v>206.16137015675207</v>
      </c>
      <c r="T70" s="92">
        <f>VLOOKUP($B70,'DCS Data'!$E$2:$AJ$100,MATCH('Daily Report'!T$1,'DCS Data'!$E$2:$AJ$2,0),0)</f>
        <v>206.24297868164197</v>
      </c>
      <c r="U70" s="92">
        <f>VLOOKUP($B70,'DCS Data'!$E$2:$AJ$100,MATCH('Daily Report'!U$1,'DCS Data'!$E$2:$AJ$2,0),0)</f>
        <v>206.2682593336437</v>
      </c>
      <c r="V70" s="92">
        <f>VLOOKUP($B70,'DCS Data'!$E$2:$AJ$100,MATCH('Daily Report'!V$1,'DCS Data'!$E$2:$AJ$2,0),0)</f>
        <v>206.30783265400078</v>
      </c>
      <c r="W70" s="92">
        <f>VLOOKUP($B70,'DCS Data'!$E$2:$AJ$100,MATCH('Daily Report'!W$1,'DCS Data'!$E$2:$AJ$2,0),0)</f>
        <v>206.32439745364059</v>
      </c>
      <c r="X70" s="92">
        <f>VLOOKUP($B70,'DCS Data'!$E$2:$AJ$100,MATCH('Daily Report'!X$1,'DCS Data'!$E$2:$AJ$2,0),0)</f>
        <v>206.33898462835248</v>
      </c>
      <c r="Y70" s="92">
        <f>VLOOKUP($B70,'DCS Data'!$E$2:$AJ$100,MATCH('Daily Report'!Y$1,'DCS Data'!$E$2:$AJ$2,0),0)</f>
        <v>206.70273776839949</v>
      </c>
      <c r="Z70" s="92">
        <f>VLOOKUP($B70,'DCS Data'!$E$2:$AJ$100,MATCH('Daily Report'!Z$1,'DCS Data'!$E$2:$AJ$2,0),0)</f>
        <v>206.81097497389118</v>
      </c>
      <c r="AA70" s="92">
        <f>VLOOKUP($B70,'DCS Data'!$E$2:$AJ$100,MATCH('Daily Report'!AA$1,'DCS Data'!$E$2:$AJ$2,0),0)</f>
        <v>206.97214081451409</v>
      </c>
      <c r="AB70" s="92">
        <f>VLOOKUP($B70,'DCS Data'!$E$2:$AJ$100,MATCH('Daily Report'!AB$1,'DCS Data'!$E$2:$AJ$2,0),0)</f>
        <v>206.9580590577265</v>
      </c>
      <c r="AC70" s="92">
        <f>VLOOKUP($B70,'DCS Data'!$E$2:$AJ$100,MATCH('Daily Report'!AC$1,'DCS Data'!$E$2:$AJ$2,0),0)</f>
        <v>206.80660386340926</v>
      </c>
      <c r="AD70" s="92">
        <f>VLOOKUP($B70,'DCS Data'!$E$2:$AJ$100,MATCH('Daily Report'!AD$1,'DCS Data'!$E$2:$AJ$2,0),0)</f>
        <v>206.69484522096258</v>
      </c>
      <c r="AE70" s="92">
        <f>VLOOKUP($B70,'DCS Data'!$E$2:$AJ$100,MATCH('Daily Report'!AE$1,'DCS Data'!$E$2:$AJ$2,0),0)</f>
        <v>206.85117728040368</v>
      </c>
      <c r="AF70" s="92">
        <f>VLOOKUP($B70,'DCS Data'!$E$2:$AJ$100,MATCH('Daily Report'!AF$1,'DCS Data'!$E$2:$AJ$2,0),0)</f>
        <v>206.68464637177877</v>
      </c>
      <c r="AG70" s="92">
        <f>VLOOKUP($B70,'DCS Data'!$E$2:$AJ$100,MATCH('Daily Report'!AG$1,'DCS Data'!$E$2:$AJ$2,0),0)</f>
        <v>206.68523391735016</v>
      </c>
      <c r="AH70" s="92">
        <f>VLOOKUP($B70,'DCS Data'!$E$2:$AJ$100,MATCH('Daily Report'!AH$1,'DCS Data'!$E$2:$AJ$2,0),0)</f>
        <v>206.69322751208207</v>
      </c>
      <c r="AI70" s="92">
        <f>VLOOKUP($B70,'DCS Data'!$E$2:$AJ$100,MATCH('Daily Report'!AI$1,'DCS Data'!$E$2:$AJ$2,0),0)</f>
        <v>206.5816860295642</v>
      </c>
      <c r="AJ70" s="92">
        <f>VLOOKUP($B70,'DCS Data'!$E$2:$AJ$100,MATCH('Daily Report'!AJ$1,'DCS Data'!$E$2:$AJ$2,0),0)</f>
        <v>206.72174441346095</v>
      </c>
      <c r="AK70" s="92">
        <f>VLOOKUP($B70,'DCS Data'!$E$2:$AJ$100,MATCH('Daily Report'!AK$1,'DCS Data'!$E$2:$AJ$2,0),0)</f>
        <v>206.76369990742998</v>
      </c>
      <c r="AL70" s="92">
        <f>VLOOKUP($B70,'DCS Data'!$E$2:$AJ$100,MATCH('Daily Report'!AL$1,'DCS Data'!$E$2:$AJ$2,0),0)</f>
        <v>206.88420727978789</v>
      </c>
      <c r="AM70" s="92">
        <f>VLOOKUP($B70,'DCS Data'!$E$2:$AJ$100,MATCH('Daily Report'!AM$1,'DCS Data'!$E$2:$AJ$2,0),0)</f>
        <v>206.97821780286458</v>
      </c>
      <c r="AN70" s="92">
        <f>VLOOKUP($B70,'DCS Data'!$E$2:$AJ$100,MATCH('Daily Report'!AN$1,'DCS Data'!$E$2:$AJ$2,0),0)</f>
        <v>206.87648051998454</v>
      </c>
      <c r="AO70" s="214"/>
      <c r="AP70" s="214"/>
      <c r="AQ70" s="214"/>
      <c r="AR70" s="214"/>
      <c r="AS70" s="214"/>
      <c r="AT70" s="214"/>
      <c r="AU70" s="214"/>
      <c r="AV70" s="214"/>
      <c r="AW70" s="214"/>
      <c r="AX70" s="214"/>
      <c r="AY70" s="214"/>
      <c r="AZ70" s="214"/>
      <c r="BA70" s="214"/>
      <c r="BB70" s="214"/>
      <c r="BC70" s="214"/>
      <c r="BD70" s="214"/>
      <c r="BE70" s="214"/>
      <c r="BF70" s="214"/>
      <c r="BG70" s="214"/>
      <c r="BH70" s="214"/>
      <c r="BI70" s="214"/>
      <c r="BJ70" s="214"/>
      <c r="BK70" s="214"/>
      <c r="BL70" s="214"/>
      <c r="BM70" s="214"/>
      <c r="BN70" s="214"/>
      <c r="BO70" s="214"/>
      <c r="BP70" s="214"/>
      <c r="BQ70" s="214"/>
      <c r="BR70" s="214"/>
      <c r="BS70" s="214"/>
      <c r="BT70" s="214"/>
      <c r="BU70" s="214"/>
      <c r="BV70" s="214"/>
      <c r="BW70" s="214"/>
      <c r="BX70" s="214"/>
      <c r="BY70" s="214"/>
      <c r="BZ70" s="214"/>
      <c r="CA70" s="214"/>
      <c r="CB70" s="214"/>
      <c r="CC70" s="214"/>
      <c r="CD70" s="214"/>
      <c r="CE70" s="214"/>
      <c r="CF70" s="214"/>
      <c r="CG70" s="214"/>
      <c r="CH70" s="214"/>
      <c r="CI70" s="214"/>
      <c r="CJ70" s="214"/>
      <c r="CK70" s="214"/>
      <c r="CL70" s="214"/>
      <c r="CM70" s="214"/>
      <c r="CN70" s="214"/>
      <c r="CO70" s="214"/>
      <c r="CP70" s="214"/>
      <c r="CQ70" s="214"/>
      <c r="CR70" s="214"/>
      <c r="CS70" s="214"/>
      <c r="CT70" s="214"/>
      <c r="CU70" s="214"/>
      <c r="CV70" s="214"/>
      <c r="CW70" s="214"/>
      <c r="CX70" s="214"/>
      <c r="CY70" s="214"/>
      <c r="CZ70" s="214"/>
      <c r="DA70" s="214"/>
      <c r="DB70" s="214"/>
      <c r="DC70" s="214"/>
      <c r="DD70" s="214"/>
      <c r="DE70" s="214"/>
      <c r="DF70" s="214"/>
      <c r="DG70" s="214"/>
      <c r="DH70" s="214"/>
      <c r="DI70" s="214"/>
      <c r="DJ70" s="214"/>
      <c r="DK70" s="214"/>
      <c r="DL70" s="214"/>
      <c r="DM70" s="214"/>
      <c r="DN70" s="214"/>
      <c r="DO70" s="214"/>
      <c r="DP70" s="214"/>
      <c r="DQ70" s="214"/>
      <c r="DR70" s="214"/>
      <c r="DS70" s="214"/>
      <c r="DT70" s="214"/>
      <c r="DU70" s="214"/>
      <c r="DV70" s="214"/>
      <c r="DW70" s="214"/>
      <c r="DX70" s="214"/>
      <c r="DY70" s="214"/>
      <c r="DZ70" s="214"/>
      <c r="EA70" s="214"/>
      <c r="EB70" s="214"/>
      <c r="EC70" s="214"/>
      <c r="ED70" s="214"/>
      <c r="EE70" s="214"/>
      <c r="EF70" s="214"/>
      <c r="EG70" s="214"/>
      <c r="EH70" s="214"/>
      <c r="EI70" s="214"/>
      <c r="EJ70" s="214"/>
      <c r="EK70" s="214"/>
      <c r="EL70" s="214"/>
      <c r="EM70" s="214"/>
      <c r="EN70" s="214"/>
      <c r="EO70" s="214"/>
      <c r="EP70" s="214"/>
      <c r="EQ70" s="214"/>
      <c r="ER70" s="214"/>
      <c r="ES70" s="214"/>
      <c r="ET70" s="214"/>
      <c r="EU70" s="214"/>
      <c r="EV70" s="214"/>
      <c r="EW70" s="214"/>
      <c r="EX70" s="214"/>
      <c r="EY70" s="214"/>
      <c r="EZ70" s="214"/>
      <c r="FA70" s="214"/>
      <c r="FB70" s="214"/>
      <c r="FC70" s="214"/>
      <c r="FD70" s="214"/>
      <c r="FE70" s="214"/>
      <c r="FF70" s="214"/>
      <c r="FG70" s="214"/>
      <c r="FH70" s="214"/>
      <c r="FI70" s="214"/>
      <c r="FJ70" s="214"/>
      <c r="FK70" s="214"/>
      <c r="FL70" s="214"/>
      <c r="FM70" s="214"/>
      <c r="FN70" s="214"/>
      <c r="FO70" s="214"/>
      <c r="FP70" s="214"/>
      <c r="FQ70" s="214"/>
      <c r="FR70" s="214"/>
      <c r="FS70" s="214"/>
      <c r="FT70" s="214"/>
      <c r="FU70" s="214"/>
      <c r="FV70" s="214"/>
      <c r="FW70" s="214"/>
      <c r="FX70" s="214"/>
      <c r="FY70" s="214"/>
      <c r="FZ70" s="214"/>
      <c r="GA70" s="214"/>
      <c r="GB70" s="214"/>
      <c r="GC70" s="214"/>
      <c r="GD70" s="214"/>
      <c r="GE70" s="214"/>
      <c r="GF70" s="214"/>
      <c r="GG70" s="214"/>
      <c r="GH70" s="214"/>
      <c r="GI70" s="214"/>
      <c r="GJ70" s="214"/>
      <c r="GK70" s="214"/>
      <c r="GL70" s="214"/>
      <c r="GM70" s="214"/>
      <c r="GN70" s="214"/>
      <c r="GO70" s="214"/>
      <c r="GP70" s="214"/>
      <c r="GQ70" s="214"/>
      <c r="GR70" s="214"/>
      <c r="GS70" s="214"/>
      <c r="GT70" s="214"/>
      <c r="GU70" s="214"/>
      <c r="GV70" s="214"/>
      <c r="GW70" s="214"/>
      <c r="GX70" s="214"/>
      <c r="GY70" s="214"/>
      <c r="GZ70" s="214"/>
      <c r="HA70" s="214"/>
      <c r="HB70" s="214"/>
      <c r="HC70" s="214"/>
      <c r="HD70" s="214"/>
      <c r="HE70" s="214"/>
      <c r="HF70" s="214"/>
      <c r="HG70" s="214"/>
      <c r="HH70" s="214"/>
      <c r="HI70" s="214"/>
      <c r="HJ70" s="214"/>
      <c r="HK70" s="214"/>
      <c r="HL70" s="214"/>
      <c r="HM70" s="214"/>
      <c r="HN70" s="214"/>
      <c r="HO70" s="214"/>
      <c r="HP70" s="214"/>
      <c r="HQ70" s="214"/>
      <c r="HR70" s="214"/>
      <c r="HS70" s="214"/>
      <c r="HT70" s="214"/>
      <c r="HU70" s="214"/>
      <c r="HV70" s="214"/>
      <c r="HW70" s="214"/>
      <c r="HX70" s="214"/>
      <c r="HY70" s="214"/>
      <c r="HZ70" s="214"/>
      <c r="IA70" s="214"/>
      <c r="IB70" s="214"/>
      <c r="IC70" s="214"/>
      <c r="ID70" s="214"/>
      <c r="IE70" s="214"/>
      <c r="IF70" s="214"/>
      <c r="IG70" s="214"/>
      <c r="IH70" s="214"/>
      <c r="II70" s="214"/>
      <c r="IJ70" s="214"/>
      <c r="IK70" s="214"/>
      <c r="IL70" s="214"/>
      <c r="IM70" s="214"/>
      <c r="IN70" s="214"/>
      <c r="IO70" s="214"/>
      <c r="IP70" s="214"/>
      <c r="IQ70" s="214"/>
      <c r="IR70" s="214"/>
      <c r="IS70" s="214"/>
      <c r="IT70" s="214"/>
      <c r="IU70" s="214"/>
      <c r="IV70" s="214"/>
      <c r="IW70" s="214"/>
      <c r="IX70" s="214"/>
      <c r="IY70" s="214"/>
      <c r="IZ70" s="214"/>
      <c r="JA70" s="214"/>
      <c r="JB70" s="214"/>
      <c r="JC70" s="214"/>
      <c r="JD70" s="214"/>
      <c r="JE70" s="214"/>
      <c r="JF70" s="214"/>
      <c r="JG70" s="214"/>
      <c r="JH70" s="214"/>
      <c r="JI70" s="214"/>
      <c r="JJ70" s="214"/>
      <c r="JK70" s="214"/>
      <c r="JL70" s="214"/>
      <c r="JM70" s="214"/>
      <c r="JN70" s="214"/>
      <c r="JO70" s="214"/>
      <c r="JP70" s="214"/>
      <c r="JQ70" s="214"/>
      <c r="JR70" s="214"/>
      <c r="JS70" s="214"/>
      <c r="JT70" s="214"/>
      <c r="JU70" s="214"/>
      <c r="JV70" s="214"/>
      <c r="JW70" s="214"/>
      <c r="JX70" s="214"/>
      <c r="JY70" s="214"/>
      <c r="JZ70" s="214"/>
      <c r="KA70" s="214"/>
      <c r="KB70" s="214"/>
      <c r="KC70" s="214"/>
      <c r="KD70" s="214"/>
      <c r="KE70" s="214"/>
      <c r="KF70" s="214"/>
      <c r="KG70" s="214"/>
      <c r="KH70" s="214"/>
      <c r="KI70" s="214"/>
      <c r="KJ70" s="214"/>
      <c r="KK70" s="214"/>
      <c r="KL70" s="214"/>
      <c r="KM70" s="214"/>
      <c r="KN70" s="214"/>
      <c r="KO70" s="214"/>
      <c r="KP70" s="214"/>
      <c r="KQ70" s="214"/>
      <c r="KR70" s="214"/>
      <c r="KS70" s="214"/>
      <c r="KT70" s="214"/>
      <c r="KU70" s="214"/>
      <c r="KV70" s="214"/>
      <c r="KW70" s="214"/>
      <c r="KX70" s="214"/>
      <c r="KY70" s="214"/>
      <c r="KZ70" s="214"/>
      <c r="LA70" s="214"/>
      <c r="LB70" s="214"/>
      <c r="LC70" s="214"/>
      <c r="LD70" s="214"/>
      <c r="LE70" s="214"/>
      <c r="LF70" s="214"/>
      <c r="LG70" s="214"/>
      <c r="LH70" s="214"/>
      <c r="LI70" s="214"/>
      <c r="LJ70" s="214"/>
      <c r="LK70" s="214"/>
      <c r="LL70" s="214"/>
      <c r="LM70" s="214"/>
      <c r="LN70" s="214"/>
      <c r="LO70" s="214"/>
      <c r="LP70" s="214"/>
      <c r="LQ70" s="214"/>
      <c r="LR70" s="214"/>
      <c r="LS70" s="214"/>
      <c r="LT70" s="214"/>
      <c r="LU70" s="214"/>
      <c r="LV70" s="214"/>
      <c r="LW70" s="214"/>
      <c r="LX70" s="214"/>
      <c r="LY70" s="214"/>
      <c r="LZ70" s="214"/>
      <c r="MA70" s="214"/>
      <c r="MB70" s="214"/>
      <c r="MC70" s="214"/>
      <c r="MD70" s="214"/>
      <c r="ME70" s="214"/>
      <c r="MF70" s="214"/>
      <c r="MG70" s="214"/>
      <c r="MH70" s="214"/>
      <c r="MI70" s="214"/>
      <c r="MJ70" s="214"/>
      <c r="MK70" s="214"/>
      <c r="ML70" s="214"/>
      <c r="MM70" s="214"/>
      <c r="MN70" s="214"/>
      <c r="MO70" s="214"/>
      <c r="MP70" s="214"/>
      <c r="MQ70" s="214"/>
      <c r="MR70" s="214"/>
      <c r="MS70" s="214"/>
      <c r="MT70" s="214"/>
      <c r="MU70" s="214"/>
      <c r="MV70" s="214"/>
      <c r="MW70" s="214"/>
      <c r="MX70" s="214"/>
      <c r="MY70" s="214"/>
      <c r="MZ70" s="214"/>
      <c r="NA70" s="214"/>
      <c r="NB70" s="214"/>
      <c r="NC70" s="214"/>
      <c r="ND70" s="214"/>
      <c r="NE70" s="214"/>
      <c r="NF70" s="214"/>
      <c r="NG70" s="214"/>
      <c r="NH70" s="214"/>
      <c r="NI70" s="214"/>
      <c r="NJ70" s="214"/>
      <c r="NK70" s="214"/>
      <c r="NL70" s="214"/>
      <c r="NM70" s="214"/>
      <c r="NN70" s="214"/>
      <c r="NO70" s="214"/>
      <c r="NP70" s="214"/>
      <c r="NQ70" s="214"/>
      <c r="NR70" s="214"/>
      <c r="NS70" s="214"/>
      <c r="NT70" s="214"/>
      <c r="NU70" s="214"/>
      <c r="NV70" s="214"/>
      <c r="NW70" s="214"/>
      <c r="NX70" s="214"/>
      <c r="NY70" s="214"/>
      <c r="NZ70" s="214"/>
      <c r="OA70" s="214"/>
      <c r="OB70" s="214"/>
      <c r="OC70" s="214"/>
      <c r="OD70" s="214"/>
      <c r="OE70" s="214"/>
      <c r="OF70" s="214"/>
      <c r="OG70" s="214"/>
      <c r="OH70" s="214"/>
      <c r="OI70" s="214"/>
      <c r="OJ70" s="214"/>
      <c r="OK70" s="214"/>
      <c r="OL70" s="214"/>
      <c r="OM70" s="214"/>
      <c r="ON70" s="214"/>
      <c r="OO70" s="214"/>
      <c r="OP70" s="214"/>
      <c r="OQ70" s="214"/>
      <c r="OR70" s="214"/>
      <c r="OS70" s="214"/>
      <c r="OT70" s="214"/>
      <c r="OU70" s="214"/>
      <c r="OV70" s="214"/>
      <c r="OW70" s="214"/>
      <c r="OX70" s="214"/>
      <c r="OY70" s="214"/>
      <c r="OZ70" s="214"/>
      <c r="PA70" s="214"/>
      <c r="PB70" s="214"/>
      <c r="PC70" s="214"/>
      <c r="PD70" s="214"/>
      <c r="PE70" s="214"/>
      <c r="PF70" s="214"/>
      <c r="PG70" s="214"/>
      <c r="PH70" s="214"/>
      <c r="PI70" s="214"/>
      <c r="PJ70" s="214"/>
      <c r="PK70" s="214"/>
      <c r="PL70" s="214"/>
      <c r="PM70" s="214"/>
      <c r="PN70" s="214"/>
      <c r="PO70" s="214"/>
      <c r="PP70" s="214"/>
      <c r="PQ70" s="214"/>
      <c r="PR70" s="214"/>
      <c r="PS70" s="214"/>
      <c r="PT70" s="214"/>
      <c r="PU70" s="214"/>
      <c r="PV70" s="214"/>
      <c r="PW70" s="214"/>
      <c r="PX70" s="214"/>
      <c r="PY70" s="214"/>
      <c r="PZ70" s="214"/>
      <c r="QA70" s="214"/>
      <c r="QB70" s="214"/>
      <c r="QC70" s="214"/>
      <c r="QD70" s="214"/>
      <c r="QE70" s="214"/>
      <c r="QF70" s="214"/>
      <c r="QG70" s="214"/>
      <c r="QH70" s="214"/>
      <c r="QI70" s="214"/>
      <c r="QJ70" s="214"/>
      <c r="QK70" s="214"/>
      <c r="QL70" s="214"/>
      <c r="QM70" s="214"/>
      <c r="QN70" s="214"/>
      <c r="QO70" s="214"/>
      <c r="QP70" s="214"/>
      <c r="QQ70" s="214"/>
      <c r="QR70" s="214"/>
      <c r="QS70" s="214"/>
      <c r="QT70" s="214"/>
      <c r="QU70" s="214"/>
      <c r="QV70" s="214"/>
      <c r="QW70" s="214"/>
      <c r="QX70" s="214"/>
      <c r="QY70" s="214"/>
      <c r="QZ70" s="214"/>
      <c r="RA70" s="214"/>
      <c r="RB70" s="214"/>
      <c r="RC70" s="214"/>
      <c r="RD70" s="214"/>
      <c r="RE70" s="214"/>
      <c r="RF70" s="214"/>
      <c r="RG70" s="214"/>
      <c r="RH70" s="214"/>
      <c r="RI70" s="214"/>
      <c r="RJ70" s="214"/>
      <c r="RK70" s="214"/>
      <c r="RL70" s="214"/>
      <c r="RM70" s="214"/>
      <c r="RN70" s="214"/>
      <c r="RO70" s="214"/>
      <c r="RP70" s="214"/>
      <c r="RQ70" s="214"/>
      <c r="RR70" s="214"/>
      <c r="RS70" s="214"/>
      <c r="RT70" s="214"/>
      <c r="RU70" s="214"/>
      <c r="RV70" s="214"/>
      <c r="RW70" s="214"/>
      <c r="RX70" s="214"/>
      <c r="RY70" s="214"/>
      <c r="RZ70" s="214"/>
      <c r="SA70" s="214"/>
      <c r="SB70" s="214"/>
      <c r="SC70" s="214"/>
      <c r="SD70" s="214"/>
      <c r="SE70" s="214"/>
      <c r="SF70" s="214"/>
      <c r="SG70" s="214"/>
      <c r="SH70" s="214"/>
      <c r="SI70" s="214"/>
      <c r="SJ70" s="214"/>
      <c r="SK70" s="214"/>
      <c r="SL70" s="214"/>
      <c r="SM70" s="214"/>
      <c r="SN70" s="214"/>
      <c r="SO70" s="214"/>
      <c r="SP70" s="214"/>
      <c r="SQ70" s="214"/>
      <c r="SR70" s="214"/>
      <c r="SS70" s="214"/>
      <c r="ST70" s="214"/>
      <c r="SU70" s="214"/>
      <c r="SV70" s="214"/>
      <c r="SW70" s="214"/>
      <c r="SX70" s="214"/>
      <c r="SY70" s="214"/>
      <c r="SZ70" s="214"/>
      <c r="TA70" s="214"/>
      <c r="TB70" s="214"/>
      <c r="TC70" s="214"/>
      <c r="TD70" s="214"/>
      <c r="TE70" s="214"/>
      <c r="TF70" s="214"/>
      <c r="TG70" s="214"/>
      <c r="TH70" s="214"/>
      <c r="TI70" s="214"/>
      <c r="TJ70" s="214"/>
      <c r="TK70" s="214"/>
      <c r="TL70" s="214"/>
      <c r="TM70" s="214"/>
      <c r="TN70" s="214"/>
      <c r="TO70" s="214"/>
      <c r="TP70" s="214"/>
      <c r="TQ70" s="214"/>
      <c r="TR70" s="214"/>
      <c r="TS70" s="214"/>
      <c r="TT70" s="214"/>
      <c r="TU70" s="214"/>
      <c r="TV70" s="214"/>
      <c r="TW70" s="214"/>
      <c r="TX70" s="214"/>
      <c r="TY70" s="214"/>
      <c r="TZ70" s="214"/>
      <c r="UA70" s="214"/>
      <c r="UB70" s="214"/>
      <c r="UC70" s="214"/>
      <c r="UD70" s="214"/>
      <c r="UE70" s="214"/>
      <c r="UF70" s="214"/>
      <c r="UG70" s="214"/>
      <c r="UH70" s="214"/>
      <c r="UI70" s="214"/>
      <c r="UJ70" s="214"/>
      <c r="UK70" s="214"/>
      <c r="UL70" s="214"/>
      <c r="UM70" s="214"/>
      <c r="UN70" s="214"/>
      <c r="UO70" s="214"/>
      <c r="UP70" s="214"/>
      <c r="UQ70" s="214"/>
      <c r="UR70" s="214"/>
      <c r="US70" s="214"/>
      <c r="UT70" s="214"/>
      <c r="UU70" s="214"/>
      <c r="UV70" s="214"/>
      <c r="UW70" s="214"/>
      <c r="UX70" s="214"/>
      <c r="UY70" s="214"/>
      <c r="UZ70" s="214"/>
      <c r="VA70" s="214"/>
      <c r="VB70" s="214"/>
      <c r="VC70" s="214"/>
      <c r="VD70" s="214"/>
      <c r="VE70" s="214"/>
      <c r="VF70" s="214"/>
      <c r="VG70" s="214"/>
      <c r="VH70" s="214"/>
      <c r="VI70" s="214"/>
      <c r="VJ70" s="214"/>
      <c r="VK70" s="214"/>
      <c r="VL70" s="214"/>
      <c r="VM70" s="214"/>
      <c r="VN70" s="214"/>
      <c r="VO70" s="214"/>
      <c r="VP70" s="214"/>
      <c r="VQ70" s="214"/>
      <c r="VR70" s="214"/>
      <c r="VS70" s="214"/>
      <c r="VT70" s="214"/>
      <c r="VU70" s="214"/>
      <c r="VV70" s="214"/>
      <c r="VW70" s="214"/>
      <c r="VX70" s="214"/>
      <c r="VY70" s="214"/>
      <c r="VZ70" s="214"/>
      <c r="WA70" s="214"/>
      <c r="WB70" s="214"/>
      <c r="WC70" s="214"/>
      <c r="WD70" s="214"/>
      <c r="WE70" s="214"/>
      <c r="WF70" s="214"/>
      <c r="WG70" s="214"/>
      <c r="WH70" s="214"/>
      <c r="WI70" s="214"/>
      <c r="WJ70" s="214"/>
      <c r="WK70" s="214"/>
      <c r="WL70" s="214"/>
      <c r="WM70" s="214"/>
      <c r="WN70" s="214"/>
      <c r="WO70" s="214"/>
      <c r="WP70" s="214"/>
      <c r="WQ70" s="214"/>
      <c r="WR70" s="214"/>
      <c r="WS70" s="214"/>
      <c r="WT70" s="214"/>
      <c r="WU70" s="214"/>
      <c r="WV70" s="214"/>
      <c r="WW70" s="214"/>
      <c r="WX70" s="214"/>
      <c r="WY70" s="214"/>
      <c r="WZ70" s="214"/>
      <c r="XA70" s="214"/>
      <c r="XB70" s="214"/>
      <c r="XC70" s="214"/>
      <c r="XD70" s="214"/>
      <c r="XE70" s="214"/>
      <c r="XF70" s="214"/>
      <c r="XG70" s="214"/>
      <c r="XH70" s="214"/>
      <c r="XI70" s="214"/>
      <c r="XJ70" s="214"/>
      <c r="XK70" s="214"/>
      <c r="XL70" s="214"/>
      <c r="XM70" s="214"/>
      <c r="XN70" s="214"/>
      <c r="XO70" s="214"/>
      <c r="XP70" s="214"/>
      <c r="XQ70" s="214"/>
      <c r="XR70" s="214"/>
      <c r="XS70" s="214"/>
      <c r="XT70" s="214"/>
      <c r="XU70" s="214"/>
      <c r="XV70" s="214"/>
      <c r="XW70" s="214"/>
      <c r="XX70" s="214"/>
      <c r="XY70" s="214"/>
      <c r="XZ70" s="214"/>
      <c r="YA70" s="214"/>
      <c r="YB70" s="214"/>
      <c r="YC70" s="214"/>
      <c r="YD70" s="214"/>
      <c r="YE70" s="214"/>
      <c r="YF70" s="214"/>
      <c r="YG70" s="214"/>
      <c r="YH70" s="214"/>
      <c r="YI70" s="214"/>
      <c r="YJ70" s="214"/>
      <c r="YK70" s="214"/>
      <c r="YL70" s="214"/>
      <c r="YM70" s="214"/>
      <c r="YN70" s="214"/>
      <c r="YO70" s="214"/>
      <c r="YP70" s="214"/>
      <c r="YQ70" s="214"/>
      <c r="YR70" s="214"/>
      <c r="YS70" s="214"/>
      <c r="YT70" s="214"/>
      <c r="YU70" s="214"/>
      <c r="YV70" s="214"/>
      <c r="YW70" s="214"/>
      <c r="YX70" s="214"/>
      <c r="YY70" s="214"/>
      <c r="YZ70" s="214"/>
      <c r="ZA70" s="214"/>
      <c r="ZB70" s="214"/>
      <c r="ZC70" s="214"/>
      <c r="ZD70" s="214"/>
      <c r="ZE70" s="214"/>
      <c r="ZF70" s="214"/>
      <c r="ZG70" s="214"/>
      <c r="ZH70" s="214"/>
      <c r="ZI70" s="214"/>
      <c r="ZJ70" s="214"/>
      <c r="ZK70" s="214"/>
      <c r="ZL70" s="214"/>
      <c r="ZM70" s="214"/>
      <c r="ZN70" s="214"/>
      <c r="ZO70" s="214"/>
      <c r="ZP70" s="214"/>
      <c r="ZQ70" s="214"/>
      <c r="ZR70" s="214"/>
      <c r="ZS70" s="214"/>
      <c r="ZT70" s="214"/>
      <c r="ZU70" s="214"/>
      <c r="ZV70" s="214"/>
      <c r="ZW70" s="214"/>
      <c r="ZX70" s="214"/>
      <c r="ZY70" s="214"/>
      <c r="ZZ70" s="214"/>
      <c r="AAA70" s="214"/>
      <c r="AAB70" s="214"/>
      <c r="AAC70" s="214"/>
      <c r="AAD70" s="214"/>
      <c r="AAE70" s="214"/>
      <c r="AAF70" s="214"/>
      <c r="AAG70" s="214"/>
      <c r="AAH70" s="214"/>
      <c r="AAI70" s="214"/>
      <c r="AAJ70" s="214"/>
      <c r="AAK70" s="214"/>
      <c r="AAL70" s="214"/>
      <c r="AAM70" s="214"/>
      <c r="AAN70" s="214"/>
      <c r="AAO70" s="214"/>
      <c r="AAP70" s="214"/>
      <c r="AAQ70" s="214"/>
      <c r="AAR70" s="214"/>
      <c r="AAS70" s="214"/>
      <c r="AAT70" s="214"/>
      <c r="AAU70" s="214"/>
      <c r="AAV70" s="214"/>
      <c r="AAW70" s="214"/>
      <c r="AAX70" s="214"/>
      <c r="AAY70" s="214"/>
      <c r="AAZ70" s="214"/>
      <c r="ABA70" s="214"/>
      <c r="ABB70" s="214"/>
      <c r="ABC70" s="214"/>
      <c r="ABD70" s="214"/>
      <c r="ABE70" s="214"/>
      <c r="ABF70" s="214"/>
      <c r="ABG70" s="214"/>
      <c r="ABH70" s="214"/>
      <c r="ABI70" s="214"/>
      <c r="ABJ70" s="214"/>
      <c r="ABK70" s="214"/>
      <c r="ABL70" s="214"/>
      <c r="ABM70" s="214"/>
      <c r="ABN70" s="214"/>
      <c r="ABO70" s="214"/>
      <c r="ABP70" s="214"/>
      <c r="ABQ70" s="214"/>
      <c r="ABR70" s="214"/>
      <c r="ABS70" s="214"/>
      <c r="ABT70" s="214"/>
      <c r="ABU70" s="214"/>
      <c r="ABV70" s="214"/>
      <c r="ABW70" s="214"/>
      <c r="ABX70" s="214"/>
      <c r="ABY70" s="214"/>
      <c r="ABZ70" s="214"/>
      <c r="ACA70" s="214"/>
      <c r="ACB70" s="214"/>
      <c r="ACC70" s="214"/>
      <c r="ACD70" s="214"/>
      <c r="ACE70" s="214"/>
      <c r="ACF70" s="214"/>
      <c r="ACG70" s="214"/>
      <c r="ACH70" s="214"/>
      <c r="ACI70" s="214"/>
      <c r="ACJ70" s="214"/>
      <c r="ACK70" s="214"/>
      <c r="ACL70" s="214"/>
      <c r="ACM70" s="214"/>
      <c r="ACN70" s="214"/>
      <c r="ACO70" s="214"/>
      <c r="ACP70" s="214"/>
      <c r="ACQ70" s="214"/>
      <c r="ACR70" s="214"/>
      <c r="ACS70" s="214"/>
      <c r="ACT70" s="214"/>
      <c r="ACU70" s="214"/>
      <c r="ACV70" s="214"/>
      <c r="ACW70" s="214"/>
      <c r="ACX70" s="214"/>
      <c r="ACY70" s="214"/>
      <c r="ACZ70" s="214"/>
      <c r="ADA70" s="214"/>
      <c r="ADB70" s="214"/>
      <c r="ADC70" s="214"/>
      <c r="ADD70" s="214"/>
      <c r="ADE70" s="214"/>
      <c r="ADF70" s="214"/>
      <c r="ADG70" s="214"/>
      <c r="ADH70" s="214"/>
      <c r="ADI70" s="214"/>
      <c r="ADJ70" s="214"/>
      <c r="ADK70" s="214"/>
      <c r="ADL70" s="214"/>
      <c r="ADM70" s="214"/>
      <c r="ADN70" s="214"/>
      <c r="ADO70" s="214"/>
      <c r="ADP70" s="214"/>
      <c r="ADQ70" s="214"/>
      <c r="ADR70" s="214"/>
      <c r="ADS70" s="214"/>
      <c r="ADT70" s="214"/>
      <c r="ADU70" s="214"/>
      <c r="ADV70" s="214"/>
      <c r="ADW70" s="214"/>
      <c r="ADX70" s="214"/>
      <c r="ADY70" s="214"/>
      <c r="ADZ70" s="214"/>
      <c r="AEA70" s="214"/>
      <c r="AEB70" s="214"/>
      <c r="AEC70" s="214"/>
      <c r="AED70" s="214"/>
      <c r="AEE70" s="214"/>
      <c r="AEF70" s="214"/>
      <c r="AEG70" s="214"/>
      <c r="AEH70" s="214"/>
      <c r="AEI70" s="214"/>
      <c r="AEJ70" s="214"/>
      <c r="AEK70" s="214"/>
      <c r="AEL70" s="214"/>
      <c r="AEM70" s="214"/>
      <c r="AEN70" s="214"/>
      <c r="AEO70" s="214"/>
      <c r="AEP70" s="214"/>
      <c r="AEQ70" s="214"/>
      <c r="AER70" s="214"/>
      <c r="AES70" s="214"/>
      <c r="AET70" s="214"/>
      <c r="AEU70" s="214"/>
      <c r="AEV70" s="214"/>
      <c r="AEW70" s="214"/>
      <c r="AEX70" s="214"/>
      <c r="AEY70" s="214"/>
      <c r="AEZ70" s="214"/>
      <c r="AFA70" s="214"/>
      <c r="AFB70" s="214"/>
      <c r="AFC70" s="214"/>
      <c r="AFD70" s="214"/>
      <c r="AFE70" s="214"/>
      <c r="AFF70" s="214"/>
      <c r="AFG70" s="214"/>
      <c r="AFH70" s="214"/>
      <c r="AFI70" s="214"/>
      <c r="AFJ70" s="214"/>
      <c r="AFK70" s="214"/>
      <c r="AFL70" s="214"/>
      <c r="AFM70" s="214"/>
      <c r="AFN70" s="214"/>
      <c r="AFO70" s="214"/>
      <c r="AFP70" s="214"/>
      <c r="AFQ70" s="214"/>
      <c r="AFR70" s="214"/>
      <c r="AFS70" s="214"/>
      <c r="AFT70" s="214"/>
      <c r="AFU70" s="214"/>
      <c r="AFV70" s="214"/>
      <c r="AFW70" s="214"/>
      <c r="AFX70" s="214"/>
      <c r="AFY70" s="214"/>
      <c r="AFZ70" s="214"/>
      <c r="AGA70" s="214"/>
      <c r="AGB70" s="214"/>
      <c r="AGC70" s="214"/>
      <c r="AGD70" s="214"/>
      <c r="AGE70" s="214"/>
      <c r="AGF70" s="214"/>
      <c r="AGG70" s="214"/>
      <c r="AGH70" s="214"/>
      <c r="AGI70" s="214"/>
      <c r="AGJ70" s="214"/>
      <c r="AGK70" s="214"/>
      <c r="AGL70" s="214"/>
      <c r="AGM70" s="214"/>
      <c r="AGN70" s="214"/>
      <c r="AGO70" s="214"/>
      <c r="AGP70" s="214"/>
      <c r="AGQ70" s="214"/>
      <c r="AGR70" s="214"/>
      <c r="AGS70" s="214"/>
      <c r="AGT70" s="214"/>
      <c r="AGU70" s="214"/>
      <c r="AGV70" s="214"/>
      <c r="AGW70" s="214"/>
      <c r="AGX70" s="214"/>
      <c r="AGY70" s="214"/>
      <c r="AGZ70" s="214"/>
      <c r="AHA70" s="214"/>
      <c r="AHB70" s="214"/>
      <c r="AHC70" s="214"/>
      <c r="AHD70" s="214"/>
      <c r="AHE70" s="214"/>
      <c r="AHF70" s="214"/>
      <c r="AHG70" s="214"/>
      <c r="AHH70" s="214"/>
      <c r="AHI70" s="214"/>
      <c r="AHJ70" s="214"/>
      <c r="AHK70" s="214"/>
      <c r="AHL70" s="214"/>
      <c r="AHM70" s="214"/>
      <c r="AHN70" s="214"/>
      <c r="AHO70" s="214"/>
      <c r="AHP70" s="214"/>
      <c r="AHQ70" s="214"/>
      <c r="AHR70" s="214"/>
      <c r="AHS70" s="214"/>
      <c r="AHT70" s="214"/>
      <c r="AHU70" s="214"/>
      <c r="AHV70" s="214"/>
      <c r="AHW70" s="214"/>
      <c r="AHX70" s="214"/>
      <c r="AHY70" s="214"/>
      <c r="AHZ70" s="214"/>
      <c r="AIA70" s="214"/>
      <c r="AIB70" s="214"/>
      <c r="AIC70" s="214"/>
      <c r="AID70" s="214"/>
      <c r="AIE70" s="214"/>
      <c r="AIF70" s="214"/>
      <c r="AIG70" s="214"/>
      <c r="AIH70" s="214"/>
      <c r="AII70" s="214"/>
      <c r="AIJ70" s="214"/>
      <c r="AIK70" s="214"/>
      <c r="AIL70" s="214"/>
      <c r="AIM70" s="214"/>
      <c r="AIN70" s="214"/>
      <c r="AIO70" s="214"/>
      <c r="AIP70" s="214"/>
      <c r="AIQ70" s="214"/>
      <c r="AIR70" s="214"/>
      <c r="AIS70" s="214"/>
      <c r="AIT70" s="214"/>
      <c r="AIU70" s="214"/>
      <c r="AIV70" s="214"/>
      <c r="AIW70" s="214"/>
      <c r="AIX70" s="214"/>
      <c r="AIY70" s="214"/>
      <c r="AIZ70" s="214"/>
      <c r="AJA70" s="214"/>
      <c r="AJB70" s="214"/>
      <c r="AJC70" s="214"/>
      <c r="AJD70" s="214"/>
      <c r="AJE70" s="214"/>
      <c r="AJF70" s="214"/>
      <c r="AJG70" s="214"/>
      <c r="AJH70" s="214"/>
      <c r="AJI70" s="214"/>
      <c r="AJJ70" s="214"/>
      <c r="AJK70" s="214"/>
      <c r="AJL70" s="214"/>
      <c r="AJM70" s="214"/>
      <c r="AJN70" s="214"/>
      <c r="AJO70" s="214"/>
      <c r="AJP70" s="214"/>
      <c r="AJQ70" s="214"/>
      <c r="AJR70" s="214"/>
      <c r="AJS70" s="214"/>
      <c r="AJT70" s="214"/>
      <c r="AJU70" s="214"/>
      <c r="AJV70" s="214"/>
      <c r="AJW70" s="214"/>
      <c r="AJX70" s="214"/>
      <c r="AJY70" s="214"/>
      <c r="AJZ70" s="214"/>
      <c r="AKA70" s="214"/>
      <c r="AKB70" s="214"/>
      <c r="AKC70" s="214"/>
      <c r="AKD70" s="214"/>
      <c r="AKE70" s="214"/>
      <c r="AKF70" s="214"/>
      <c r="AKG70" s="214"/>
      <c r="AKH70" s="214"/>
      <c r="AKI70" s="214"/>
      <c r="AKJ70" s="214"/>
      <c r="AKK70" s="214"/>
      <c r="AKL70" s="214"/>
      <c r="AKM70" s="214"/>
      <c r="AKN70" s="214"/>
      <c r="AKO70" s="214"/>
      <c r="AKP70" s="214"/>
      <c r="AKQ70" s="214"/>
      <c r="AKR70" s="214"/>
      <c r="AKS70" s="214"/>
      <c r="AKT70" s="214"/>
      <c r="AKU70" s="214"/>
      <c r="AKV70" s="214"/>
      <c r="AKW70" s="214"/>
      <c r="AKX70" s="214"/>
      <c r="AKY70" s="214"/>
      <c r="AKZ70" s="214"/>
      <c r="ALA70" s="214"/>
      <c r="ALB70" s="214"/>
      <c r="ALC70" s="214"/>
      <c r="ALD70" s="214"/>
      <c r="ALE70" s="214"/>
      <c r="ALF70" s="214"/>
      <c r="ALG70" s="214"/>
      <c r="ALH70" s="214"/>
      <c r="ALI70" s="214"/>
      <c r="ALJ70" s="214"/>
      <c r="ALK70" s="214"/>
      <c r="ALL70" s="214"/>
      <c r="ALM70" s="214"/>
      <c r="ALN70" s="214"/>
      <c r="ALO70" s="214"/>
      <c r="ALP70" s="214"/>
      <c r="ALQ70" s="214"/>
      <c r="ALR70" s="214"/>
      <c r="ALS70" s="214"/>
      <c r="ALT70" s="214"/>
      <c r="ALU70" s="214"/>
      <c r="ALV70" s="214"/>
      <c r="ALW70" s="214"/>
      <c r="ALX70" s="214"/>
      <c r="ALY70" s="214"/>
      <c r="ALZ70" s="214"/>
      <c r="AMA70" s="214"/>
      <c r="AMB70" s="214"/>
      <c r="AMC70" s="214"/>
      <c r="AMD70" s="214"/>
      <c r="AME70" s="214"/>
      <c r="AMF70" s="214"/>
      <c r="AMG70" s="214"/>
      <c r="AMH70" s="214"/>
      <c r="AMI70" s="214"/>
      <c r="AMJ70" s="214"/>
      <c r="AMK70" s="214"/>
      <c r="AML70" s="214"/>
      <c r="AMM70" s="214"/>
      <c r="AMN70" s="214"/>
      <c r="AMO70" s="214"/>
      <c r="AMP70" s="214"/>
      <c r="AMQ70" s="214"/>
      <c r="AMR70" s="214"/>
      <c r="AMS70" s="214"/>
      <c r="AMT70" s="214"/>
      <c r="AMU70" s="214"/>
      <c r="AMV70" s="214"/>
      <c r="AMW70" s="214"/>
      <c r="AMX70" s="214"/>
      <c r="AMY70" s="214"/>
      <c r="AMZ70" s="214"/>
      <c r="ANA70" s="214"/>
      <c r="ANB70" s="214"/>
      <c r="ANC70" s="214"/>
      <c r="AND70" s="214"/>
      <c r="ANE70" s="214"/>
      <c r="ANF70" s="214"/>
      <c r="ANG70" s="214"/>
      <c r="ANH70" s="214"/>
      <c r="ANI70" s="214"/>
      <c r="ANJ70" s="214"/>
      <c r="ANK70" s="214"/>
      <c r="ANL70" s="214"/>
      <c r="ANM70" s="214"/>
      <c r="ANN70" s="214"/>
      <c r="ANO70" s="214"/>
      <c r="ANP70" s="214"/>
      <c r="ANQ70" s="214"/>
      <c r="ANR70" s="214"/>
      <c r="ANS70" s="214"/>
      <c r="ANT70" s="214"/>
      <c r="ANU70" s="214"/>
      <c r="ANV70" s="214"/>
      <c r="ANW70" s="214"/>
      <c r="ANX70" s="214"/>
      <c r="ANY70" s="214"/>
      <c r="ANZ70" s="214"/>
      <c r="AOA70" s="214"/>
      <c r="AOB70" s="214"/>
      <c r="AOC70" s="214"/>
      <c r="AOD70" s="214"/>
      <c r="AOE70" s="214"/>
      <c r="AOF70" s="214"/>
      <c r="AOG70" s="214"/>
      <c r="AOH70" s="214"/>
      <c r="AOI70" s="214"/>
      <c r="AOJ70" s="214"/>
      <c r="AOK70" s="214"/>
      <c r="AOL70" s="214"/>
      <c r="AOM70" s="214"/>
      <c r="AON70" s="214"/>
      <c r="AOO70" s="214"/>
      <c r="AOP70" s="214"/>
      <c r="AOQ70" s="214"/>
      <c r="AOR70" s="214"/>
      <c r="AOS70" s="214"/>
      <c r="AOT70" s="214"/>
      <c r="AOU70" s="214"/>
      <c r="AOV70" s="214"/>
      <c r="AOW70" s="214"/>
      <c r="AOX70" s="214"/>
      <c r="AOY70" s="214"/>
      <c r="AOZ70" s="214"/>
      <c r="APA70" s="214"/>
      <c r="APB70" s="214"/>
      <c r="APC70" s="214"/>
      <c r="APD70" s="214"/>
      <c r="APE70" s="214"/>
      <c r="APF70" s="214"/>
      <c r="APG70" s="214"/>
      <c r="APH70" s="214"/>
      <c r="API70" s="214"/>
      <c r="APJ70" s="214"/>
      <c r="APK70" s="214"/>
      <c r="APL70" s="214"/>
      <c r="APM70" s="214"/>
      <c r="APN70" s="214"/>
      <c r="APO70" s="214"/>
      <c r="APP70" s="214"/>
      <c r="APQ70" s="214"/>
      <c r="APR70" s="214"/>
      <c r="APS70" s="214"/>
      <c r="APT70" s="214"/>
      <c r="APU70" s="214"/>
      <c r="APV70" s="214"/>
      <c r="APW70" s="214"/>
      <c r="APX70" s="214"/>
      <c r="APY70" s="214"/>
      <c r="APZ70" s="214"/>
      <c r="AQA70" s="214"/>
      <c r="AQB70" s="214"/>
      <c r="AQC70" s="214"/>
      <c r="AQD70" s="214"/>
      <c r="AQE70" s="214"/>
      <c r="AQF70" s="214"/>
      <c r="AQG70" s="214"/>
      <c r="AQH70" s="214"/>
      <c r="AQI70" s="214"/>
      <c r="AQJ70" s="214"/>
      <c r="AQK70" s="214"/>
      <c r="AQL70" s="214"/>
      <c r="AQM70" s="214"/>
      <c r="AQN70" s="214"/>
      <c r="AQO70" s="214"/>
      <c r="AQP70" s="214"/>
      <c r="AQQ70" s="214"/>
      <c r="AQR70" s="214"/>
      <c r="AQS70" s="214"/>
      <c r="AQT70" s="214"/>
      <c r="AQU70" s="214"/>
      <c r="AQV70" s="214"/>
      <c r="AQW70" s="214"/>
      <c r="AQX70" s="214"/>
      <c r="AQY70" s="214"/>
      <c r="AQZ70" s="214"/>
      <c r="ARA70" s="214"/>
      <c r="ARB70" s="214"/>
      <c r="ARC70" s="214"/>
      <c r="ARD70" s="214"/>
      <c r="ARE70" s="214"/>
      <c r="ARF70" s="214"/>
      <c r="ARG70" s="214"/>
      <c r="ARH70" s="214"/>
      <c r="ARI70" s="214"/>
      <c r="ARJ70" s="214"/>
      <c r="ARK70" s="214"/>
      <c r="ARL70" s="214"/>
      <c r="ARM70" s="214"/>
      <c r="ARN70" s="214"/>
      <c r="ARO70" s="214"/>
      <c r="ARP70" s="214"/>
      <c r="ARQ70" s="214"/>
      <c r="ARR70" s="214"/>
      <c r="ARS70" s="214"/>
      <c r="ART70" s="214"/>
      <c r="ARU70" s="214"/>
      <c r="ARV70" s="214"/>
      <c r="ARW70" s="214"/>
      <c r="ARX70" s="214"/>
      <c r="ARY70" s="214"/>
      <c r="ARZ70" s="214"/>
      <c r="ASA70" s="214"/>
      <c r="ASB70" s="214"/>
      <c r="ASC70" s="214"/>
      <c r="ASD70" s="214"/>
      <c r="ASE70" s="214"/>
      <c r="ASF70" s="214"/>
      <c r="ASG70" s="214"/>
      <c r="ASH70" s="214"/>
      <c r="ASI70" s="214"/>
      <c r="ASJ70" s="214"/>
      <c r="ASK70" s="214"/>
      <c r="ASL70" s="214"/>
      <c r="ASM70" s="214"/>
      <c r="ASN70" s="214"/>
      <c r="ASO70" s="214"/>
      <c r="ASP70" s="214"/>
      <c r="ASQ70" s="214"/>
      <c r="ASR70" s="214"/>
      <c r="ASS70" s="214"/>
      <c r="AST70" s="214"/>
      <c r="ASU70" s="214"/>
      <c r="ASV70" s="214"/>
      <c r="ASW70" s="214"/>
      <c r="ASX70" s="214"/>
      <c r="ASY70" s="214"/>
      <c r="ASZ70" s="214"/>
      <c r="ATA70" s="214"/>
      <c r="ATB70" s="214"/>
      <c r="ATC70" s="214"/>
      <c r="ATD70" s="214"/>
      <c r="ATE70" s="214"/>
      <c r="ATF70" s="214"/>
      <c r="ATG70" s="214"/>
      <c r="ATH70" s="214"/>
      <c r="ATI70" s="214"/>
      <c r="ATJ70" s="214"/>
      <c r="ATK70" s="214"/>
      <c r="ATL70" s="214"/>
      <c r="ATM70" s="214"/>
      <c r="ATN70" s="214"/>
      <c r="ATO70" s="214"/>
      <c r="ATP70" s="214"/>
      <c r="ATQ70" s="214"/>
      <c r="ATR70" s="214"/>
      <c r="ATS70" s="214"/>
      <c r="ATT70" s="214"/>
      <c r="ATU70" s="214"/>
      <c r="ATV70" s="214"/>
      <c r="ATW70" s="214"/>
      <c r="ATX70" s="214"/>
      <c r="ATY70" s="214"/>
      <c r="ATZ70" s="214"/>
      <c r="AUA70" s="214"/>
      <c r="AUB70" s="214"/>
      <c r="AUC70" s="214"/>
      <c r="AUD70" s="214"/>
      <c r="AUE70" s="214"/>
      <c r="AUF70" s="214"/>
      <c r="AUG70" s="214"/>
      <c r="AUH70" s="214"/>
      <c r="AUI70" s="214"/>
      <c r="AUJ70" s="214"/>
      <c r="AUK70" s="214"/>
      <c r="AUL70" s="214"/>
      <c r="AUM70" s="214"/>
      <c r="AUN70" s="214"/>
      <c r="AUO70" s="214"/>
      <c r="AUP70" s="214"/>
      <c r="AUQ70" s="214"/>
      <c r="AUR70" s="214"/>
      <c r="AUS70" s="214"/>
      <c r="AUT70" s="214"/>
      <c r="AUU70" s="214"/>
      <c r="AUV70" s="214"/>
      <c r="AUW70" s="214"/>
      <c r="AUX70" s="214"/>
      <c r="AUY70" s="214"/>
      <c r="AUZ70" s="214"/>
      <c r="AVA70" s="214"/>
      <c r="AVB70" s="214"/>
      <c r="AVC70" s="214"/>
      <c r="AVD70" s="214"/>
      <c r="AVE70" s="214"/>
      <c r="AVF70" s="214"/>
      <c r="AVG70" s="214"/>
      <c r="AVH70" s="214"/>
      <c r="AVI70" s="214"/>
      <c r="AVJ70" s="214"/>
      <c r="AVK70" s="214"/>
      <c r="AVL70" s="214"/>
      <c r="AVM70" s="214"/>
      <c r="AVN70" s="214"/>
      <c r="AVO70" s="214"/>
      <c r="AVP70" s="214"/>
      <c r="AVQ70" s="214"/>
      <c r="AVR70" s="214"/>
      <c r="AVS70" s="214"/>
      <c r="AVT70" s="214"/>
      <c r="AVU70" s="214"/>
      <c r="AVV70" s="214"/>
      <c r="AVW70" s="214"/>
      <c r="AVX70" s="214"/>
      <c r="AVY70" s="214"/>
      <c r="AVZ70" s="214"/>
      <c r="AWA70" s="214"/>
      <c r="AWB70" s="214"/>
      <c r="AWC70" s="214"/>
      <c r="AWD70" s="214"/>
      <c r="AWE70" s="214"/>
      <c r="AWF70" s="214"/>
      <c r="AWG70" s="214"/>
      <c r="AWH70" s="214"/>
      <c r="AWI70" s="214"/>
      <c r="AWJ70" s="214"/>
      <c r="AWK70" s="214"/>
      <c r="AWL70" s="214"/>
      <c r="AWM70" s="214"/>
      <c r="AWN70" s="214"/>
      <c r="AWO70" s="214"/>
      <c r="AWP70" s="214"/>
      <c r="AWQ70" s="214"/>
      <c r="AWR70" s="214"/>
      <c r="AWS70" s="214"/>
      <c r="AWT70" s="214"/>
      <c r="AWU70" s="214"/>
      <c r="AWV70" s="214"/>
      <c r="AWW70" s="214"/>
      <c r="AWX70" s="214"/>
      <c r="AWY70" s="214"/>
      <c r="AWZ70" s="214"/>
      <c r="AXA70" s="214"/>
      <c r="AXB70" s="214"/>
      <c r="AXC70" s="214"/>
      <c r="AXD70" s="214"/>
      <c r="AXE70" s="214"/>
      <c r="AXF70" s="214"/>
      <c r="AXG70" s="214"/>
      <c r="AXH70" s="214"/>
      <c r="AXI70" s="214"/>
      <c r="AXJ70" s="214"/>
      <c r="AXK70" s="214"/>
      <c r="AXL70" s="214"/>
      <c r="AXM70" s="214"/>
      <c r="AXN70" s="214"/>
      <c r="AXO70" s="214"/>
      <c r="AXP70" s="214"/>
      <c r="AXQ70" s="214"/>
      <c r="AXR70" s="214"/>
      <c r="AXS70" s="214"/>
      <c r="AXT70" s="214"/>
      <c r="AXU70" s="214"/>
      <c r="AXV70" s="214"/>
      <c r="AXW70" s="214"/>
      <c r="AXX70" s="214"/>
      <c r="AXY70" s="214"/>
      <c r="AXZ70" s="214"/>
      <c r="AYA70" s="214"/>
      <c r="AYB70" s="214"/>
      <c r="AYC70" s="214"/>
      <c r="AYD70" s="214"/>
      <c r="AYE70" s="214"/>
      <c r="AYF70" s="214"/>
      <c r="AYG70" s="214"/>
      <c r="AYH70" s="214"/>
      <c r="AYI70" s="214"/>
      <c r="AYJ70" s="214"/>
      <c r="AYK70" s="214"/>
      <c r="AYL70" s="214"/>
      <c r="AYM70" s="214"/>
      <c r="AYN70" s="214"/>
      <c r="AYO70" s="214"/>
      <c r="AYP70" s="214"/>
      <c r="AYQ70" s="214"/>
      <c r="AYR70" s="214"/>
      <c r="AYS70" s="214"/>
      <c r="AYT70" s="214"/>
      <c r="AYU70" s="214"/>
      <c r="AYV70" s="214"/>
      <c r="AYW70" s="214"/>
      <c r="AYX70" s="214"/>
      <c r="AYY70" s="214"/>
      <c r="AYZ70" s="214"/>
      <c r="AZA70" s="214"/>
      <c r="AZB70" s="214"/>
      <c r="AZC70" s="214"/>
      <c r="AZD70" s="214"/>
      <c r="AZE70" s="214"/>
      <c r="AZF70" s="214"/>
      <c r="AZG70" s="214"/>
      <c r="AZH70" s="214"/>
      <c r="AZI70" s="214"/>
      <c r="AZJ70" s="214"/>
      <c r="AZK70" s="214"/>
      <c r="AZL70" s="214"/>
      <c r="AZM70" s="214"/>
      <c r="AZN70" s="214"/>
      <c r="AZO70" s="214"/>
      <c r="AZP70" s="214"/>
      <c r="AZQ70" s="214"/>
      <c r="AZR70" s="214"/>
      <c r="AZS70" s="214"/>
      <c r="AZT70" s="214"/>
      <c r="AZU70" s="214"/>
      <c r="AZV70" s="214"/>
      <c r="AZW70" s="214"/>
      <c r="AZX70" s="214"/>
      <c r="AZY70" s="214"/>
      <c r="AZZ70" s="214"/>
      <c r="BAA70" s="214"/>
      <c r="BAB70" s="214"/>
      <c r="BAC70" s="214"/>
      <c r="BAD70" s="214"/>
      <c r="BAE70" s="214"/>
      <c r="BAF70" s="214"/>
      <c r="BAG70" s="214"/>
      <c r="BAH70" s="214"/>
      <c r="BAI70" s="214"/>
      <c r="BAJ70" s="214"/>
      <c r="BAK70" s="214"/>
      <c r="BAL70" s="214"/>
      <c r="BAM70" s="214"/>
      <c r="BAN70" s="214"/>
      <c r="BAO70" s="214"/>
      <c r="BAP70" s="214"/>
      <c r="BAQ70" s="214"/>
      <c r="BAR70" s="214"/>
      <c r="BAS70" s="214"/>
      <c r="BAT70" s="214"/>
      <c r="BAU70" s="214"/>
      <c r="BAV70" s="214"/>
      <c r="BAW70" s="214"/>
      <c r="BAX70" s="214"/>
      <c r="BAY70" s="214"/>
      <c r="BAZ70" s="214"/>
      <c r="BBA70" s="214"/>
      <c r="BBB70" s="214"/>
      <c r="BBC70" s="214"/>
      <c r="BBD70" s="214"/>
      <c r="BBE70" s="214"/>
      <c r="BBF70" s="214"/>
      <c r="BBG70" s="214"/>
      <c r="BBH70" s="214"/>
      <c r="BBI70" s="214"/>
      <c r="BBJ70" s="214"/>
      <c r="BBK70" s="214"/>
      <c r="BBL70" s="214"/>
      <c r="BBM70" s="214"/>
      <c r="BBN70" s="214"/>
      <c r="BBO70" s="214"/>
      <c r="BBP70" s="214"/>
      <c r="BBQ70" s="214"/>
      <c r="BBR70" s="214"/>
      <c r="BBS70" s="214"/>
      <c r="BBT70" s="214"/>
      <c r="BBU70" s="214"/>
      <c r="BBV70" s="214"/>
      <c r="BBW70" s="214"/>
      <c r="BBX70" s="214"/>
      <c r="BBY70" s="214"/>
      <c r="BBZ70" s="214"/>
      <c r="BCA70" s="214"/>
      <c r="BCB70" s="214"/>
      <c r="BCC70" s="214"/>
      <c r="BCD70" s="214"/>
      <c r="BCE70" s="214"/>
      <c r="BCF70" s="214"/>
      <c r="BCG70" s="214"/>
      <c r="BCH70" s="214"/>
      <c r="BCI70" s="214"/>
      <c r="BCJ70" s="214"/>
      <c r="BCK70" s="214"/>
      <c r="BCL70" s="214"/>
      <c r="BCM70" s="214"/>
      <c r="BCN70" s="214"/>
      <c r="BCO70" s="214"/>
      <c r="BCP70" s="214"/>
      <c r="BCQ70" s="214"/>
      <c r="BCR70" s="214"/>
      <c r="BCS70" s="214"/>
      <c r="BCT70" s="214"/>
      <c r="BCU70" s="214"/>
      <c r="BCV70" s="214"/>
      <c r="BCW70" s="214"/>
      <c r="BCX70" s="214"/>
      <c r="BCY70" s="214"/>
      <c r="BCZ70" s="214"/>
      <c r="BDA70" s="214"/>
      <c r="BDB70" s="214"/>
      <c r="BDC70" s="214"/>
      <c r="BDD70" s="214"/>
      <c r="BDE70" s="214"/>
      <c r="BDF70" s="214"/>
      <c r="BDG70" s="214"/>
      <c r="BDH70" s="214"/>
      <c r="BDI70" s="214"/>
      <c r="BDJ70" s="214"/>
      <c r="BDK70" s="214"/>
      <c r="BDL70" s="214"/>
      <c r="BDM70" s="214"/>
      <c r="BDN70" s="214"/>
      <c r="BDO70" s="214"/>
      <c r="BDP70" s="214"/>
      <c r="BDQ70" s="214"/>
      <c r="BDR70" s="214"/>
      <c r="BDS70" s="214"/>
      <c r="BDT70" s="214"/>
      <c r="BDU70" s="214"/>
      <c r="BDV70" s="214"/>
      <c r="BDW70" s="214"/>
      <c r="BDX70" s="214"/>
      <c r="BDY70" s="214"/>
      <c r="BDZ70" s="214"/>
      <c r="BEA70" s="214"/>
      <c r="BEB70" s="214"/>
      <c r="BEC70" s="214"/>
      <c r="BED70" s="214"/>
      <c r="BEE70" s="214"/>
      <c r="BEF70" s="214"/>
      <c r="BEG70" s="214"/>
      <c r="BEH70" s="214"/>
      <c r="BEI70" s="214"/>
      <c r="BEJ70" s="214"/>
      <c r="BEK70" s="214"/>
      <c r="BEL70" s="214"/>
      <c r="BEM70" s="214"/>
      <c r="BEN70" s="214"/>
      <c r="BEO70" s="214"/>
      <c r="BEP70" s="214"/>
      <c r="BEQ70" s="214"/>
      <c r="BER70" s="214"/>
      <c r="BES70" s="214"/>
      <c r="BET70" s="214"/>
      <c r="BEU70" s="214"/>
      <c r="BEV70" s="214"/>
      <c r="BEW70" s="214"/>
      <c r="BEX70" s="214"/>
      <c r="BEY70" s="214"/>
      <c r="BEZ70" s="214"/>
      <c r="BFA70" s="214"/>
      <c r="BFB70" s="214"/>
      <c r="BFC70" s="214"/>
      <c r="BFD70" s="214"/>
      <c r="BFE70" s="214"/>
      <c r="BFF70" s="214"/>
      <c r="BFG70" s="214"/>
      <c r="BFH70" s="214"/>
      <c r="BFI70" s="214"/>
      <c r="BFJ70" s="214"/>
      <c r="BFK70" s="214"/>
      <c r="BFL70" s="214"/>
      <c r="BFM70" s="214"/>
      <c r="BFN70" s="214"/>
      <c r="BFO70" s="214"/>
      <c r="BFP70" s="214"/>
      <c r="BFQ70" s="214"/>
      <c r="BFR70" s="214"/>
      <c r="BFS70" s="214"/>
      <c r="BFT70" s="214"/>
      <c r="BFU70" s="214"/>
      <c r="BFV70" s="214"/>
      <c r="BFW70" s="214"/>
      <c r="BFX70" s="214"/>
      <c r="BFY70" s="214"/>
      <c r="BFZ70" s="214"/>
      <c r="BGA70" s="214"/>
      <c r="BGB70" s="214"/>
      <c r="BGC70" s="214"/>
      <c r="BGD70" s="214"/>
      <c r="BGE70" s="214"/>
      <c r="BGF70" s="214"/>
      <c r="BGG70" s="214"/>
      <c r="BGH70" s="214"/>
      <c r="BGI70" s="214"/>
      <c r="BGJ70" s="214"/>
      <c r="BGK70" s="214"/>
      <c r="BGL70" s="214"/>
      <c r="BGM70" s="214"/>
      <c r="BGN70" s="214"/>
      <c r="BGO70" s="214"/>
      <c r="BGP70" s="214"/>
      <c r="BGQ70" s="214"/>
      <c r="BGR70" s="214"/>
      <c r="BGS70" s="214"/>
      <c r="BGT70" s="214"/>
      <c r="BGU70" s="214"/>
      <c r="BGV70" s="214"/>
      <c r="BGW70" s="214"/>
      <c r="BGX70" s="214"/>
      <c r="BGY70" s="214"/>
      <c r="BGZ70" s="214"/>
      <c r="BHA70" s="214"/>
      <c r="BHB70" s="214"/>
      <c r="BHC70" s="214"/>
      <c r="BHD70" s="214"/>
      <c r="BHE70" s="214"/>
      <c r="BHF70" s="214"/>
      <c r="BHG70" s="214"/>
      <c r="BHH70" s="214"/>
      <c r="BHI70" s="214"/>
      <c r="BHJ70" s="214"/>
      <c r="BHK70" s="214"/>
      <c r="BHL70" s="214"/>
      <c r="BHM70" s="214"/>
      <c r="BHN70" s="214"/>
      <c r="BHO70" s="214"/>
      <c r="BHP70" s="214"/>
      <c r="BHQ70" s="214"/>
      <c r="BHR70" s="214"/>
      <c r="BHS70" s="214"/>
      <c r="BHT70" s="214"/>
      <c r="BHU70" s="214"/>
      <c r="BHV70" s="214"/>
      <c r="BHW70" s="214"/>
    </row>
    <row r="71" spans="1:1583" s="217" customFormat="1" ht="16.5">
      <c r="A71" s="252" t="s">
        <v>79</v>
      </c>
      <c r="B71" s="180" t="s">
        <v>379</v>
      </c>
      <c r="C71" s="416" t="s">
        <v>502</v>
      </c>
      <c r="D71" s="420" t="s">
        <v>557</v>
      </c>
      <c r="E71" s="59" t="s">
        <v>42</v>
      </c>
      <c r="F71" s="132">
        <v>320</v>
      </c>
      <c r="G71" s="60" t="s">
        <v>725</v>
      </c>
      <c r="H71" s="473">
        <f t="shared" si="21"/>
        <v>297.62202798057172</v>
      </c>
      <c r="I71" s="92">
        <f>VLOOKUP($B71,'DCS Data'!$E$2:$AJ$100,MATCH('Daily Report'!I$1,'DCS Data'!$E$2:$AJ$2,0),0)</f>
        <v>295.2470993240396</v>
      </c>
      <c r="J71" s="255"/>
      <c r="K71" s="92">
        <f>VLOOKUP($B71,'DCS Data'!$E$2:$AJ$100,MATCH('Daily Report'!K$1,'DCS Data'!$E$2:$AJ$2,0),0)</f>
        <v>296.64649280078959</v>
      </c>
      <c r="L71" s="92">
        <f>VLOOKUP($B71,'DCS Data'!$E$2:$AJ$100,MATCH('Daily Report'!L$1,'DCS Data'!$E$2:$AJ$2,0),0)</f>
        <v>297.29404791943722</v>
      </c>
      <c r="M71" s="92">
        <f>VLOOKUP($B71,'DCS Data'!$E$2:$AJ$100,MATCH('Daily Report'!M$1,'DCS Data'!$E$2:$AJ$2,0),0)</f>
        <v>297.23334792724296</v>
      </c>
      <c r="N71" s="92">
        <f>VLOOKUP($B71,'DCS Data'!$E$2:$AJ$100,MATCH('Daily Report'!N$1,'DCS Data'!$E$2:$AJ$2,0),0)</f>
        <v>297.64577581528783</v>
      </c>
      <c r="O71" s="92">
        <f>VLOOKUP($B71,'DCS Data'!$E$2:$AJ$100,MATCH('Daily Report'!O$1,'DCS Data'!$E$2:$AJ$2,0),0)</f>
        <v>298.1039023344253</v>
      </c>
      <c r="P71" s="92">
        <f>VLOOKUP($B71,'DCS Data'!$E$2:$AJ$100,MATCH('Daily Report'!P$1,'DCS Data'!$E$2:$AJ$2,0),0)</f>
        <v>298.23731535271713</v>
      </c>
      <c r="Q71" s="92">
        <f>VLOOKUP($B71,'DCS Data'!$E$2:$AJ$100,MATCH('Daily Report'!Q$1,'DCS Data'!$E$2:$AJ$2,0),0)</f>
        <v>297.99809129675532</v>
      </c>
      <c r="R71" s="92">
        <f>VLOOKUP($B71,'DCS Data'!$E$2:$AJ$100,MATCH('Daily Report'!R$1,'DCS Data'!$E$2:$AJ$2,0),0)</f>
        <v>297.73685442819277</v>
      </c>
      <c r="S71" s="92">
        <f>VLOOKUP($B71,'DCS Data'!$E$2:$AJ$100,MATCH('Daily Report'!S$1,'DCS Data'!$E$2:$AJ$2,0),0)</f>
        <v>297.0482221377128</v>
      </c>
      <c r="T71" s="92">
        <f>VLOOKUP($B71,'DCS Data'!$E$2:$AJ$100,MATCH('Daily Report'!T$1,'DCS Data'!$E$2:$AJ$2,0),0)</f>
        <v>296.59345483354213</v>
      </c>
      <c r="U71" s="92">
        <f>VLOOKUP($B71,'DCS Data'!$E$2:$AJ$100,MATCH('Daily Report'!U$1,'DCS Data'!$E$2:$AJ$2,0),0)</f>
        <v>296.92655222642242</v>
      </c>
      <c r="V71" s="92">
        <f>VLOOKUP($B71,'DCS Data'!$E$2:$AJ$100,MATCH('Daily Report'!V$1,'DCS Data'!$E$2:$AJ$2,0),0)</f>
        <v>297.78344939606399</v>
      </c>
      <c r="W71" s="92">
        <f>VLOOKUP($B71,'DCS Data'!$E$2:$AJ$100,MATCH('Daily Report'!W$1,'DCS Data'!$E$2:$AJ$2,0),0)</f>
        <v>297.89546544705581</v>
      </c>
      <c r="X71" s="92">
        <f>VLOOKUP($B71,'DCS Data'!$E$2:$AJ$100,MATCH('Daily Report'!X$1,'DCS Data'!$E$2:$AJ$2,0),0)</f>
        <v>297.20680930256776</v>
      </c>
      <c r="Y71" s="92">
        <f>VLOOKUP($B71,'DCS Data'!$E$2:$AJ$100,MATCH('Daily Report'!Y$1,'DCS Data'!$E$2:$AJ$2,0),0)</f>
        <v>295.70631021773136</v>
      </c>
      <c r="Z71" s="92">
        <f>VLOOKUP($B71,'DCS Data'!$E$2:$AJ$100,MATCH('Daily Report'!Z$1,'DCS Data'!$E$2:$AJ$2,0),0)</f>
        <v>295.55303863272911</v>
      </c>
      <c r="AA71" s="92">
        <f>VLOOKUP($B71,'DCS Data'!$E$2:$AJ$100,MATCH('Daily Report'!AA$1,'DCS Data'!$E$2:$AJ$2,0),0)</f>
        <v>296.24679056274812</v>
      </c>
      <c r="AB71" s="92">
        <f>VLOOKUP($B71,'DCS Data'!$E$2:$AJ$100,MATCH('Daily Report'!AB$1,'DCS Data'!$E$2:$AJ$2,0),0)</f>
        <v>296.72546636232386</v>
      </c>
      <c r="AC71" s="92">
        <f>VLOOKUP($B71,'DCS Data'!$E$2:$AJ$100,MATCH('Daily Report'!AC$1,'DCS Data'!$E$2:$AJ$2,0),0)</f>
        <v>297.1021686806406</v>
      </c>
      <c r="AD71" s="92">
        <f>VLOOKUP($B71,'DCS Data'!$E$2:$AJ$100,MATCH('Daily Report'!AD$1,'DCS Data'!$E$2:$AJ$2,0),0)</f>
        <v>297.93583949644039</v>
      </c>
      <c r="AE71" s="92">
        <f>VLOOKUP($B71,'DCS Data'!$E$2:$AJ$100,MATCH('Daily Report'!AE$1,'DCS Data'!$E$2:$AJ$2,0),0)</f>
        <v>298.3540872723238</v>
      </c>
      <c r="AF71" s="92">
        <f>VLOOKUP($B71,'DCS Data'!$E$2:$AJ$100,MATCH('Daily Report'!AF$1,'DCS Data'!$E$2:$AJ$2,0),0)</f>
        <v>298.5811513407636</v>
      </c>
      <c r="AG71" s="92">
        <f>VLOOKUP($B71,'DCS Data'!$E$2:$AJ$100,MATCH('Daily Report'!AG$1,'DCS Data'!$E$2:$AJ$2,0),0)</f>
        <v>298.58489428562041</v>
      </c>
      <c r="AH71" s="92">
        <f>VLOOKUP($B71,'DCS Data'!$E$2:$AJ$100,MATCH('Daily Report'!AH$1,'DCS Data'!$E$2:$AJ$2,0),0)</f>
        <v>298.52076277194965</v>
      </c>
      <c r="AI71" s="92">
        <f>VLOOKUP($B71,'DCS Data'!$E$2:$AJ$100,MATCH('Daily Report'!AI$1,'DCS Data'!$E$2:$AJ$2,0),0)</f>
        <v>298.85155210068746</v>
      </c>
      <c r="AJ71" s="92">
        <f>VLOOKUP($B71,'DCS Data'!$E$2:$AJ$100,MATCH('Daily Report'!AJ$1,'DCS Data'!$E$2:$AJ$2,0),0)</f>
        <v>298.46436056543786</v>
      </c>
      <c r="AK71" s="92">
        <f>VLOOKUP($B71,'DCS Data'!$E$2:$AJ$100,MATCH('Daily Report'!AK$1,'DCS Data'!$E$2:$AJ$2,0),0)</f>
        <v>298.96587822470303</v>
      </c>
      <c r="AL71" s="92">
        <f>VLOOKUP($B71,'DCS Data'!$E$2:$AJ$100,MATCH('Daily Report'!AL$1,'DCS Data'!$E$2:$AJ$2,0),0)</f>
        <v>298.55716760487815</v>
      </c>
      <c r="AM71" s="92">
        <f>VLOOKUP($B71,'DCS Data'!$E$2:$AJ$100,MATCH('Daily Report'!AM$1,'DCS Data'!$E$2:$AJ$2,0),0)</f>
        <v>299.20413449280727</v>
      </c>
      <c r="AN71" s="92">
        <f>VLOOKUP($B71,'DCS Data'!$E$2:$AJ$100,MATCH('Daily Report'!AN$1,'DCS Data'!$E$2:$AJ$2,0),0)</f>
        <v>299.33238424368631</v>
      </c>
      <c r="AO71" s="214"/>
      <c r="AP71" s="214"/>
      <c r="AQ71" s="214"/>
      <c r="AR71" s="214"/>
      <c r="AS71" s="214"/>
      <c r="AT71" s="214"/>
      <c r="AU71" s="214"/>
      <c r="AV71" s="214"/>
      <c r="AW71" s="214"/>
      <c r="AX71" s="214"/>
      <c r="AY71" s="214"/>
      <c r="AZ71" s="214"/>
      <c r="BA71" s="214"/>
      <c r="BB71" s="214"/>
      <c r="BC71" s="214"/>
      <c r="BD71" s="214"/>
      <c r="BE71" s="214"/>
      <c r="BF71" s="214"/>
      <c r="BG71" s="214"/>
      <c r="BH71" s="214"/>
      <c r="BI71" s="214"/>
      <c r="BJ71" s="214"/>
      <c r="BK71" s="214"/>
      <c r="BL71" s="214"/>
      <c r="BM71" s="214"/>
      <c r="BN71" s="214"/>
      <c r="BO71" s="214"/>
      <c r="BP71" s="214"/>
      <c r="BQ71" s="214"/>
      <c r="BR71" s="214"/>
      <c r="BS71" s="214"/>
      <c r="BT71" s="214"/>
      <c r="BU71" s="214"/>
      <c r="BV71" s="214"/>
      <c r="BW71" s="214"/>
      <c r="BX71" s="214"/>
      <c r="BY71" s="214"/>
      <c r="BZ71" s="214"/>
      <c r="CA71" s="214"/>
      <c r="CB71" s="214"/>
      <c r="CC71" s="214"/>
      <c r="CD71" s="214"/>
      <c r="CE71" s="214"/>
      <c r="CF71" s="214"/>
      <c r="CG71" s="214"/>
      <c r="CH71" s="214"/>
      <c r="CI71" s="214"/>
      <c r="CJ71" s="214"/>
      <c r="CK71" s="214"/>
      <c r="CL71" s="214"/>
      <c r="CM71" s="214"/>
      <c r="CN71" s="214"/>
      <c r="CO71" s="214"/>
      <c r="CP71" s="214"/>
      <c r="CQ71" s="214"/>
      <c r="CR71" s="214"/>
      <c r="CS71" s="214"/>
      <c r="CT71" s="214"/>
      <c r="CU71" s="214"/>
      <c r="CV71" s="214"/>
      <c r="CW71" s="214"/>
      <c r="CX71" s="214"/>
      <c r="CY71" s="214"/>
      <c r="CZ71" s="214"/>
      <c r="DA71" s="214"/>
      <c r="DB71" s="214"/>
      <c r="DC71" s="214"/>
      <c r="DD71" s="214"/>
      <c r="DE71" s="214"/>
      <c r="DF71" s="214"/>
      <c r="DG71" s="214"/>
      <c r="DH71" s="214"/>
      <c r="DI71" s="214"/>
      <c r="DJ71" s="214"/>
      <c r="DK71" s="214"/>
      <c r="DL71" s="214"/>
      <c r="DM71" s="214"/>
      <c r="DN71" s="214"/>
      <c r="DO71" s="214"/>
      <c r="DP71" s="214"/>
      <c r="DQ71" s="214"/>
      <c r="DR71" s="214"/>
      <c r="DS71" s="214"/>
      <c r="DT71" s="214"/>
      <c r="DU71" s="214"/>
      <c r="DV71" s="214"/>
      <c r="DW71" s="214"/>
      <c r="DX71" s="214"/>
      <c r="DY71" s="214"/>
      <c r="DZ71" s="214"/>
      <c r="EA71" s="214"/>
      <c r="EB71" s="214"/>
      <c r="EC71" s="214"/>
      <c r="ED71" s="214"/>
      <c r="EE71" s="214"/>
      <c r="EF71" s="214"/>
      <c r="EG71" s="214"/>
      <c r="EH71" s="214"/>
      <c r="EI71" s="214"/>
      <c r="EJ71" s="214"/>
      <c r="EK71" s="214"/>
      <c r="EL71" s="214"/>
      <c r="EM71" s="214"/>
      <c r="EN71" s="214"/>
      <c r="EO71" s="214"/>
      <c r="EP71" s="214"/>
      <c r="EQ71" s="214"/>
      <c r="ER71" s="214"/>
      <c r="ES71" s="214"/>
      <c r="ET71" s="214"/>
      <c r="EU71" s="214"/>
      <c r="EV71" s="214"/>
      <c r="EW71" s="214"/>
      <c r="EX71" s="214"/>
      <c r="EY71" s="214"/>
      <c r="EZ71" s="214"/>
      <c r="FA71" s="214"/>
      <c r="FB71" s="214"/>
      <c r="FC71" s="214"/>
      <c r="FD71" s="214"/>
      <c r="FE71" s="214"/>
      <c r="FF71" s="214"/>
      <c r="FG71" s="214"/>
      <c r="FH71" s="214"/>
      <c r="FI71" s="214"/>
      <c r="FJ71" s="214"/>
      <c r="FK71" s="214"/>
      <c r="FL71" s="214"/>
      <c r="FM71" s="214"/>
      <c r="FN71" s="214"/>
      <c r="FO71" s="214"/>
      <c r="FP71" s="214"/>
      <c r="FQ71" s="214"/>
      <c r="FR71" s="214"/>
      <c r="FS71" s="214"/>
      <c r="FT71" s="214"/>
      <c r="FU71" s="214"/>
      <c r="FV71" s="214"/>
      <c r="FW71" s="214"/>
      <c r="FX71" s="214"/>
      <c r="FY71" s="214"/>
      <c r="FZ71" s="214"/>
      <c r="GA71" s="214"/>
      <c r="GB71" s="214"/>
      <c r="GC71" s="214"/>
      <c r="GD71" s="214"/>
      <c r="GE71" s="214"/>
      <c r="GF71" s="214"/>
      <c r="GG71" s="214"/>
      <c r="GH71" s="214"/>
      <c r="GI71" s="214"/>
      <c r="GJ71" s="214"/>
      <c r="GK71" s="214"/>
      <c r="GL71" s="214"/>
      <c r="GM71" s="214"/>
      <c r="GN71" s="214"/>
      <c r="GO71" s="214"/>
      <c r="GP71" s="214"/>
      <c r="GQ71" s="214"/>
      <c r="GR71" s="214"/>
      <c r="GS71" s="214"/>
      <c r="GT71" s="214"/>
      <c r="GU71" s="214"/>
      <c r="GV71" s="214"/>
      <c r="GW71" s="214"/>
      <c r="GX71" s="214"/>
      <c r="GY71" s="214"/>
      <c r="GZ71" s="214"/>
      <c r="HA71" s="214"/>
      <c r="HB71" s="214"/>
      <c r="HC71" s="214"/>
      <c r="HD71" s="214"/>
      <c r="HE71" s="214"/>
      <c r="HF71" s="214"/>
      <c r="HG71" s="214"/>
      <c r="HH71" s="214"/>
      <c r="HI71" s="214"/>
      <c r="HJ71" s="214"/>
      <c r="HK71" s="214"/>
      <c r="HL71" s="214"/>
      <c r="HM71" s="214"/>
      <c r="HN71" s="214"/>
      <c r="HO71" s="214"/>
      <c r="HP71" s="214"/>
      <c r="HQ71" s="214"/>
      <c r="HR71" s="214"/>
      <c r="HS71" s="214"/>
      <c r="HT71" s="214"/>
      <c r="HU71" s="214"/>
      <c r="HV71" s="214"/>
      <c r="HW71" s="214"/>
      <c r="HX71" s="214"/>
      <c r="HY71" s="214"/>
      <c r="HZ71" s="214"/>
      <c r="IA71" s="214"/>
      <c r="IB71" s="214"/>
      <c r="IC71" s="214"/>
      <c r="ID71" s="214"/>
      <c r="IE71" s="214"/>
      <c r="IF71" s="214"/>
      <c r="IG71" s="214"/>
      <c r="IH71" s="214"/>
      <c r="II71" s="214"/>
      <c r="IJ71" s="214"/>
      <c r="IK71" s="214"/>
      <c r="IL71" s="214"/>
      <c r="IM71" s="214"/>
      <c r="IN71" s="214"/>
      <c r="IO71" s="214"/>
      <c r="IP71" s="214"/>
      <c r="IQ71" s="214"/>
      <c r="IR71" s="214"/>
      <c r="IS71" s="214"/>
      <c r="IT71" s="214"/>
      <c r="IU71" s="214"/>
      <c r="IV71" s="214"/>
      <c r="IW71" s="214"/>
      <c r="IX71" s="214"/>
      <c r="IY71" s="214"/>
      <c r="IZ71" s="214"/>
      <c r="JA71" s="214"/>
      <c r="JB71" s="214"/>
      <c r="JC71" s="214"/>
      <c r="JD71" s="214"/>
      <c r="JE71" s="214"/>
      <c r="JF71" s="214"/>
      <c r="JG71" s="214"/>
      <c r="JH71" s="214"/>
      <c r="JI71" s="214"/>
      <c r="JJ71" s="214"/>
      <c r="JK71" s="214"/>
      <c r="JL71" s="214"/>
      <c r="JM71" s="214"/>
      <c r="JN71" s="214"/>
      <c r="JO71" s="214"/>
      <c r="JP71" s="214"/>
      <c r="JQ71" s="214"/>
      <c r="JR71" s="214"/>
      <c r="JS71" s="214"/>
      <c r="JT71" s="214"/>
      <c r="JU71" s="214"/>
      <c r="JV71" s="214"/>
      <c r="JW71" s="214"/>
      <c r="JX71" s="214"/>
      <c r="JY71" s="214"/>
      <c r="JZ71" s="214"/>
      <c r="KA71" s="214"/>
      <c r="KB71" s="214"/>
      <c r="KC71" s="214"/>
      <c r="KD71" s="214"/>
      <c r="KE71" s="214"/>
      <c r="KF71" s="214"/>
      <c r="KG71" s="214"/>
      <c r="KH71" s="214"/>
      <c r="KI71" s="214"/>
      <c r="KJ71" s="214"/>
      <c r="KK71" s="214"/>
      <c r="KL71" s="214"/>
      <c r="KM71" s="214"/>
      <c r="KN71" s="214"/>
      <c r="KO71" s="214"/>
      <c r="KP71" s="214"/>
      <c r="KQ71" s="214"/>
      <c r="KR71" s="214"/>
      <c r="KS71" s="214"/>
      <c r="KT71" s="214"/>
      <c r="KU71" s="214"/>
      <c r="KV71" s="214"/>
      <c r="KW71" s="214"/>
      <c r="KX71" s="214"/>
      <c r="KY71" s="214"/>
      <c r="KZ71" s="214"/>
      <c r="LA71" s="214"/>
      <c r="LB71" s="214"/>
      <c r="LC71" s="214"/>
      <c r="LD71" s="214"/>
      <c r="LE71" s="214"/>
      <c r="LF71" s="214"/>
      <c r="LG71" s="214"/>
      <c r="LH71" s="214"/>
      <c r="LI71" s="214"/>
      <c r="LJ71" s="214"/>
      <c r="LK71" s="214"/>
      <c r="LL71" s="214"/>
      <c r="LM71" s="214"/>
      <c r="LN71" s="214"/>
      <c r="LO71" s="214"/>
      <c r="LP71" s="214"/>
      <c r="LQ71" s="214"/>
      <c r="LR71" s="214"/>
      <c r="LS71" s="214"/>
      <c r="LT71" s="214"/>
      <c r="LU71" s="214"/>
      <c r="LV71" s="214"/>
      <c r="LW71" s="214"/>
      <c r="LX71" s="214"/>
      <c r="LY71" s="214"/>
      <c r="LZ71" s="214"/>
      <c r="MA71" s="214"/>
      <c r="MB71" s="214"/>
      <c r="MC71" s="214"/>
      <c r="MD71" s="214"/>
      <c r="ME71" s="214"/>
      <c r="MF71" s="214"/>
      <c r="MG71" s="214"/>
      <c r="MH71" s="214"/>
      <c r="MI71" s="214"/>
      <c r="MJ71" s="214"/>
      <c r="MK71" s="214"/>
      <c r="ML71" s="214"/>
      <c r="MM71" s="214"/>
      <c r="MN71" s="214"/>
      <c r="MO71" s="214"/>
      <c r="MP71" s="214"/>
      <c r="MQ71" s="214"/>
      <c r="MR71" s="214"/>
      <c r="MS71" s="214"/>
      <c r="MT71" s="214"/>
      <c r="MU71" s="214"/>
      <c r="MV71" s="214"/>
      <c r="MW71" s="214"/>
      <c r="MX71" s="214"/>
      <c r="MY71" s="214"/>
      <c r="MZ71" s="214"/>
      <c r="NA71" s="214"/>
      <c r="NB71" s="214"/>
      <c r="NC71" s="214"/>
      <c r="ND71" s="214"/>
      <c r="NE71" s="214"/>
      <c r="NF71" s="214"/>
      <c r="NG71" s="214"/>
      <c r="NH71" s="214"/>
      <c r="NI71" s="214"/>
      <c r="NJ71" s="214"/>
      <c r="NK71" s="214"/>
      <c r="NL71" s="214"/>
      <c r="NM71" s="214"/>
      <c r="NN71" s="214"/>
      <c r="NO71" s="214"/>
      <c r="NP71" s="214"/>
      <c r="NQ71" s="214"/>
      <c r="NR71" s="214"/>
      <c r="NS71" s="214"/>
      <c r="NT71" s="214"/>
      <c r="NU71" s="214"/>
      <c r="NV71" s="214"/>
      <c r="NW71" s="214"/>
      <c r="NX71" s="214"/>
      <c r="NY71" s="214"/>
      <c r="NZ71" s="214"/>
      <c r="OA71" s="214"/>
      <c r="OB71" s="214"/>
      <c r="OC71" s="214"/>
      <c r="OD71" s="214"/>
      <c r="OE71" s="214"/>
      <c r="OF71" s="214"/>
      <c r="OG71" s="214"/>
      <c r="OH71" s="214"/>
      <c r="OI71" s="214"/>
      <c r="OJ71" s="214"/>
      <c r="OK71" s="214"/>
      <c r="OL71" s="214"/>
      <c r="OM71" s="214"/>
      <c r="ON71" s="214"/>
      <c r="OO71" s="214"/>
      <c r="OP71" s="214"/>
      <c r="OQ71" s="214"/>
      <c r="OR71" s="214"/>
      <c r="OS71" s="214"/>
      <c r="OT71" s="214"/>
      <c r="OU71" s="214"/>
      <c r="OV71" s="214"/>
      <c r="OW71" s="214"/>
      <c r="OX71" s="214"/>
      <c r="OY71" s="214"/>
      <c r="OZ71" s="214"/>
      <c r="PA71" s="214"/>
      <c r="PB71" s="214"/>
      <c r="PC71" s="214"/>
      <c r="PD71" s="214"/>
      <c r="PE71" s="214"/>
      <c r="PF71" s="214"/>
      <c r="PG71" s="214"/>
      <c r="PH71" s="214"/>
      <c r="PI71" s="214"/>
      <c r="PJ71" s="214"/>
      <c r="PK71" s="214"/>
      <c r="PL71" s="214"/>
      <c r="PM71" s="214"/>
      <c r="PN71" s="214"/>
      <c r="PO71" s="214"/>
      <c r="PP71" s="214"/>
      <c r="PQ71" s="214"/>
      <c r="PR71" s="214"/>
      <c r="PS71" s="214"/>
      <c r="PT71" s="214"/>
      <c r="PU71" s="214"/>
      <c r="PV71" s="214"/>
      <c r="PW71" s="214"/>
      <c r="PX71" s="214"/>
      <c r="PY71" s="214"/>
      <c r="PZ71" s="214"/>
      <c r="QA71" s="214"/>
      <c r="QB71" s="214"/>
      <c r="QC71" s="214"/>
      <c r="QD71" s="214"/>
      <c r="QE71" s="214"/>
      <c r="QF71" s="214"/>
      <c r="QG71" s="214"/>
      <c r="QH71" s="214"/>
      <c r="QI71" s="214"/>
      <c r="QJ71" s="214"/>
      <c r="QK71" s="214"/>
      <c r="QL71" s="214"/>
      <c r="QM71" s="214"/>
      <c r="QN71" s="214"/>
      <c r="QO71" s="214"/>
      <c r="QP71" s="214"/>
      <c r="QQ71" s="214"/>
      <c r="QR71" s="214"/>
      <c r="QS71" s="214"/>
      <c r="QT71" s="214"/>
      <c r="QU71" s="214"/>
      <c r="QV71" s="214"/>
      <c r="QW71" s="214"/>
      <c r="QX71" s="214"/>
      <c r="QY71" s="214"/>
      <c r="QZ71" s="214"/>
      <c r="RA71" s="214"/>
      <c r="RB71" s="214"/>
      <c r="RC71" s="214"/>
      <c r="RD71" s="214"/>
      <c r="RE71" s="214"/>
      <c r="RF71" s="214"/>
      <c r="RG71" s="214"/>
      <c r="RH71" s="214"/>
      <c r="RI71" s="214"/>
      <c r="RJ71" s="214"/>
      <c r="RK71" s="214"/>
      <c r="RL71" s="214"/>
      <c r="RM71" s="214"/>
      <c r="RN71" s="214"/>
      <c r="RO71" s="214"/>
      <c r="RP71" s="214"/>
      <c r="RQ71" s="214"/>
      <c r="RR71" s="214"/>
      <c r="RS71" s="214"/>
      <c r="RT71" s="214"/>
      <c r="RU71" s="214"/>
      <c r="RV71" s="214"/>
      <c r="RW71" s="214"/>
      <c r="RX71" s="214"/>
      <c r="RY71" s="214"/>
      <c r="RZ71" s="214"/>
      <c r="SA71" s="214"/>
      <c r="SB71" s="214"/>
      <c r="SC71" s="214"/>
      <c r="SD71" s="214"/>
      <c r="SE71" s="214"/>
      <c r="SF71" s="214"/>
      <c r="SG71" s="214"/>
      <c r="SH71" s="214"/>
      <c r="SI71" s="214"/>
      <c r="SJ71" s="214"/>
      <c r="SK71" s="214"/>
      <c r="SL71" s="214"/>
      <c r="SM71" s="214"/>
      <c r="SN71" s="214"/>
      <c r="SO71" s="214"/>
      <c r="SP71" s="214"/>
      <c r="SQ71" s="214"/>
      <c r="SR71" s="214"/>
      <c r="SS71" s="214"/>
      <c r="ST71" s="214"/>
      <c r="SU71" s="214"/>
      <c r="SV71" s="214"/>
      <c r="SW71" s="214"/>
      <c r="SX71" s="214"/>
      <c r="SY71" s="214"/>
      <c r="SZ71" s="214"/>
      <c r="TA71" s="214"/>
      <c r="TB71" s="214"/>
      <c r="TC71" s="214"/>
      <c r="TD71" s="214"/>
      <c r="TE71" s="214"/>
      <c r="TF71" s="214"/>
      <c r="TG71" s="214"/>
      <c r="TH71" s="214"/>
      <c r="TI71" s="214"/>
      <c r="TJ71" s="214"/>
      <c r="TK71" s="214"/>
      <c r="TL71" s="214"/>
      <c r="TM71" s="214"/>
      <c r="TN71" s="214"/>
      <c r="TO71" s="214"/>
      <c r="TP71" s="214"/>
      <c r="TQ71" s="214"/>
      <c r="TR71" s="214"/>
      <c r="TS71" s="214"/>
      <c r="TT71" s="214"/>
      <c r="TU71" s="214"/>
      <c r="TV71" s="214"/>
      <c r="TW71" s="214"/>
      <c r="TX71" s="214"/>
      <c r="TY71" s="214"/>
      <c r="TZ71" s="214"/>
      <c r="UA71" s="214"/>
      <c r="UB71" s="214"/>
      <c r="UC71" s="214"/>
      <c r="UD71" s="214"/>
      <c r="UE71" s="214"/>
      <c r="UF71" s="214"/>
      <c r="UG71" s="214"/>
      <c r="UH71" s="214"/>
      <c r="UI71" s="214"/>
      <c r="UJ71" s="214"/>
      <c r="UK71" s="214"/>
      <c r="UL71" s="214"/>
      <c r="UM71" s="214"/>
      <c r="UN71" s="214"/>
      <c r="UO71" s="214"/>
      <c r="UP71" s="214"/>
      <c r="UQ71" s="214"/>
      <c r="UR71" s="214"/>
      <c r="US71" s="214"/>
      <c r="UT71" s="214"/>
      <c r="UU71" s="214"/>
      <c r="UV71" s="214"/>
      <c r="UW71" s="214"/>
      <c r="UX71" s="214"/>
      <c r="UY71" s="214"/>
      <c r="UZ71" s="214"/>
      <c r="VA71" s="214"/>
      <c r="VB71" s="214"/>
      <c r="VC71" s="214"/>
      <c r="VD71" s="214"/>
      <c r="VE71" s="214"/>
      <c r="VF71" s="214"/>
      <c r="VG71" s="214"/>
      <c r="VH71" s="214"/>
      <c r="VI71" s="214"/>
      <c r="VJ71" s="214"/>
      <c r="VK71" s="214"/>
      <c r="VL71" s="214"/>
      <c r="VM71" s="214"/>
      <c r="VN71" s="214"/>
      <c r="VO71" s="214"/>
      <c r="VP71" s="214"/>
      <c r="VQ71" s="214"/>
      <c r="VR71" s="214"/>
      <c r="VS71" s="214"/>
      <c r="VT71" s="214"/>
      <c r="VU71" s="214"/>
      <c r="VV71" s="214"/>
      <c r="VW71" s="214"/>
      <c r="VX71" s="214"/>
      <c r="VY71" s="214"/>
      <c r="VZ71" s="214"/>
      <c r="WA71" s="214"/>
      <c r="WB71" s="214"/>
      <c r="WC71" s="214"/>
      <c r="WD71" s="214"/>
      <c r="WE71" s="214"/>
      <c r="WF71" s="214"/>
      <c r="WG71" s="214"/>
      <c r="WH71" s="214"/>
      <c r="WI71" s="214"/>
      <c r="WJ71" s="214"/>
      <c r="WK71" s="214"/>
      <c r="WL71" s="214"/>
      <c r="WM71" s="214"/>
      <c r="WN71" s="214"/>
      <c r="WO71" s="214"/>
      <c r="WP71" s="214"/>
      <c r="WQ71" s="214"/>
      <c r="WR71" s="214"/>
      <c r="WS71" s="214"/>
      <c r="WT71" s="214"/>
      <c r="WU71" s="214"/>
      <c r="WV71" s="214"/>
      <c r="WW71" s="214"/>
      <c r="WX71" s="214"/>
      <c r="WY71" s="214"/>
      <c r="WZ71" s="214"/>
      <c r="XA71" s="214"/>
      <c r="XB71" s="214"/>
      <c r="XC71" s="214"/>
      <c r="XD71" s="214"/>
      <c r="XE71" s="214"/>
      <c r="XF71" s="214"/>
      <c r="XG71" s="214"/>
      <c r="XH71" s="214"/>
      <c r="XI71" s="214"/>
      <c r="XJ71" s="214"/>
      <c r="XK71" s="214"/>
      <c r="XL71" s="214"/>
      <c r="XM71" s="214"/>
      <c r="XN71" s="214"/>
      <c r="XO71" s="214"/>
      <c r="XP71" s="214"/>
      <c r="XQ71" s="214"/>
      <c r="XR71" s="214"/>
      <c r="XS71" s="214"/>
      <c r="XT71" s="214"/>
      <c r="XU71" s="214"/>
      <c r="XV71" s="214"/>
      <c r="XW71" s="214"/>
      <c r="XX71" s="214"/>
      <c r="XY71" s="214"/>
      <c r="XZ71" s="214"/>
      <c r="YA71" s="214"/>
      <c r="YB71" s="214"/>
      <c r="YC71" s="214"/>
      <c r="YD71" s="214"/>
      <c r="YE71" s="214"/>
      <c r="YF71" s="214"/>
      <c r="YG71" s="214"/>
      <c r="YH71" s="214"/>
      <c r="YI71" s="214"/>
      <c r="YJ71" s="214"/>
      <c r="YK71" s="214"/>
      <c r="YL71" s="214"/>
      <c r="YM71" s="214"/>
      <c r="YN71" s="214"/>
      <c r="YO71" s="214"/>
      <c r="YP71" s="214"/>
      <c r="YQ71" s="214"/>
      <c r="YR71" s="214"/>
      <c r="YS71" s="214"/>
      <c r="YT71" s="214"/>
      <c r="YU71" s="214"/>
      <c r="YV71" s="214"/>
      <c r="YW71" s="214"/>
      <c r="YX71" s="214"/>
      <c r="YY71" s="214"/>
      <c r="YZ71" s="214"/>
      <c r="ZA71" s="214"/>
      <c r="ZB71" s="214"/>
      <c r="ZC71" s="214"/>
      <c r="ZD71" s="214"/>
      <c r="ZE71" s="214"/>
      <c r="ZF71" s="214"/>
      <c r="ZG71" s="214"/>
      <c r="ZH71" s="214"/>
      <c r="ZI71" s="214"/>
      <c r="ZJ71" s="214"/>
      <c r="ZK71" s="214"/>
      <c r="ZL71" s="214"/>
      <c r="ZM71" s="214"/>
      <c r="ZN71" s="214"/>
      <c r="ZO71" s="214"/>
      <c r="ZP71" s="214"/>
      <c r="ZQ71" s="214"/>
      <c r="ZR71" s="214"/>
      <c r="ZS71" s="214"/>
      <c r="ZT71" s="214"/>
      <c r="ZU71" s="214"/>
      <c r="ZV71" s="214"/>
      <c r="ZW71" s="214"/>
      <c r="ZX71" s="214"/>
      <c r="ZY71" s="214"/>
      <c r="ZZ71" s="214"/>
      <c r="AAA71" s="214"/>
      <c r="AAB71" s="214"/>
      <c r="AAC71" s="214"/>
      <c r="AAD71" s="214"/>
      <c r="AAE71" s="214"/>
      <c r="AAF71" s="214"/>
      <c r="AAG71" s="214"/>
      <c r="AAH71" s="214"/>
      <c r="AAI71" s="214"/>
      <c r="AAJ71" s="214"/>
      <c r="AAK71" s="214"/>
      <c r="AAL71" s="214"/>
      <c r="AAM71" s="214"/>
      <c r="AAN71" s="214"/>
      <c r="AAO71" s="214"/>
      <c r="AAP71" s="214"/>
      <c r="AAQ71" s="214"/>
      <c r="AAR71" s="214"/>
      <c r="AAS71" s="214"/>
      <c r="AAT71" s="214"/>
      <c r="AAU71" s="214"/>
      <c r="AAV71" s="214"/>
      <c r="AAW71" s="214"/>
      <c r="AAX71" s="214"/>
      <c r="AAY71" s="214"/>
      <c r="AAZ71" s="214"/>
      <c r="ABA71" s="214"/>
      <c r="ABB71" s="214"/>
      <c r="ABC71" s="214"/>
      <c r="ABD71" s="214"/>
      <c r="ABE71" s="214"/>
      <c r="ABF71" s="214"/>
      <c r="ABG71" s="214"/>
      <c r="ABH71" s="214"/>
      <c r="ABI71" s="214"/>
      <c r="ABJ71" s="214"/>
      <c r="ABK71" s="214"/>
      <c r="ABL71" s="214"/>
      <c r="ABM71" s="214"/>
      <c r="ABN71" s="214"/>
      <c r="ABO71" s="214"/>
      <c r="ABP71" s="214"/>
      <c r="ABQ71" s="214"/>
      <c r="ABR71" s="214"/>
      <c r="ABS71" s="214"/>
      <c r="ABT71" s="214"/>
      <c r="ABU71" s="214"/>
      <c r="ABV71" s="214"/>
      <c r="ABW71" s="214"/>
      <c r="ABX71" s="214"/>
      <c r="ABY71" s="214"/>
      <c r="ABZ71" s="214"/>
      <c r="ACA71" s="214"/>
      <c r="ACB71" s="214"/>
      <c r="ACC71" s="214"/>
      <c r="ACD71" s="214"/>
      <c r="ACE71" s="214"/>
      <c r="ACF71" s="214"/>
      <c r="ACG71" s="214"/>
      <c r="ACH71" s="214"/>
      <c r="ACI71" s="214"/>
      <c r="ACJ71" s="214"/>
      <c r="ACK71" s="214"/>
      <c r="ACL71" s="214"/>
      <c r="ACM71" s="214"/>
      <c r="ACN71" s="214"/>
      <c r="ACO71" s="214"/>
      <c r="ACP71" s="214"/>
      <c r="ACQ71" s="214"/>
      <c r="ACR71" s="214"/>
      <c r="ACS71" s="214"/>
      <c r="ACT71" s="214"/>
      <c r="ACU71" s="214"/>
      <c r="ACV71" s="214"/>
      <c r="ACW71" s="214"/>
      <c r="ACX71" s="214"/>
      <c r="ACY71" s="214"/>
      <c r="ACZ71" s="214"/>
      <c r="ADA71" s="214"/>
      <c r="ADB71" s="214"/>
      <c r="ADC71" s="214"/>
      <c r="ADD71" s="214"/>
      <c r="ADE71" s="214"/>
      <c r="ADF71" s="214"/>
      <c r="ADG71" s="214"/>
      <c r="ADH71" s="214"/>
      <c r="ADI71" s="214"/>
      <c r="ADJ71" s="214"/>
      <c r="ADK71" s="214"/>
      <c r="ADL71" s="214"/>
      <c r="ADM71" s="214"/>
      <c r="ADN71" s="214"/>
      <c r="ADO71" s="214"/>
      <c r="ADP71" s="214"/>
      <c r="ADQ71" s="214"/>
      <c r="ADR71" s="214"/>
      <c r="ADS71" s="214"/>
      <c r="ADT71" s="214"/>
      <c r="ADU71" s="214"/>
      <c r="ADV71" s="214"/>
      <c r="ADW71" s="214"/>
      <c r="ADX71" s="214"/>
      <c r="ADY71" s="214"/>
      <c r="ADZ71" s="214"/>
      <c r="AEA71" s="214"/>
      <c r="AEB71" s="214"/>
      <c r="AEC71" s="214"/>
      <c r="AED71" s="214"/>
      <c r="AEE71" s="214"/>
      <c r="AEF71" s="214"/>
      <c r="AEG71" s="214"/>
      <c r="AEH71" s="214"/>
      <c r="AEI71" s="214"/>
      <c r="AEJ71" s="214"/>
      <c r="AEK71" s="214"/>
      <c r="AEL71" s="214"/>
      <c r="AEM71" s="214"/>
      <c r="AEN71" s="214"/>
      <c r="AEO71" s="214"/>
      <c r="AEP71" s="214"/>
      <c r="AEQ71" s="214"/>
      <c r="AER71" s="214"/>
      <c r="AES71" s="214"/>
      <c r="AET71" s="214"/>
      <c r="AEU71" s="214"/>
      <c r="AEV71" s="214"/>
      <c r="AEW71" s="214"/>
      <c r="AEX71" s="214"/>
      <c r="AEY71" s="214"/>
      <c r="AEZ71" s="214"/>
      <c r="AFA71" s="214"/>
      <c r="AFB71" s="214"/>
      <c r="AFC71" s="214"/>
      <c r="AFD71" s="214"/>
      <c r="AFE71" s="214"/>
      <c r="AFF71" s="214"/>
      <c r="AFG71" s="214"/>
      <c r="AFH71" s="214"/>
      <c r="AFI71" s="214"/>
      <c r="AFJ71" s="214"/>
      <c r="AFK71" s="214"/>
      <c r="AFL71" s="214"/>
      <c r="AFM71" s="214"/>
      <c r="AFN71" s="214"/>
      <c r="AFO71" s="214"/>
      <c r="AFP71" s="214"/>
      <c r="AFQ71" s="214"/>
      <c r="AFR71" s="214"/>
      <c r="AFS71" s="214"/>
      <c r="AFT71" s="214"/>
      <c r="AFU71" s="214"/>
      <c r="AFV71" s="214"/>
      <c r="AFW71" s="214"/>
      <c r="AFX71" s="214"/>
      <c r="AFY71" s="214"/>
      <c r="AFZ71" s="214"/>
      <c r="AGA71" s="214"/>
      <c r="AGB71" s="214"/>
      <c r="AGC71" s="214"/>
      <c r="AGD71" s="214"/>
      <c r="AGE71" s="214"/>
      <c r="AGF71" s="214"/>
      <c r="AGG71" s="214"/>
      <c r="AGH71" s="214"/>
      <c r="AGI71" s="214"/>
      <c r="AGJ71" s="214"/>
      <c r="AGK71" s="214"/>
      <c r="AGL71" s="214"/>
      <c r="AGM71" s="214"/>
      <c r="AGN71" s="214"/>
      <c r="AGO71" s="214"/>
      <c r="AGP71" s="214"/>
      <c r="AGQ71" s="214"/>
      <c r="AGR71" s="214"/>
      <c r="AGS71" s="214"/>
      <c r="AGT71" s="214"/>
      <c r="AGU71" s="214"/>
      <c r="AGV71" s="214"/>
      <c r="AGW71" s="214"/>
      <c r="AGX71" s="214"/>
      <c r="AGY71" s="214"/>
      <c r="AGZ71" s="214"/>
      <c r="AHA71" s="214"/>
      <c r="AHB71" s="214"/>
      <c r="AHC71" s="214"/>
      <c r="AHD71" s="214"/>
      <c r="AHE71" s="214"/>
      <c r="AHF71" s="214"/>
      <c r="AHG71" s="214"/>
      <c r="AHH71" s="214"/>
      <c r="AHI71" s="214"/>
      <c r="AHJ71" s="214"/>
      <c r="AHK71" s="214"/>
      <c r="AHL71" s="214"/>
      <c r="AHM71" s="214"/>
      <c r="AHN71" s="214"/>
      <c r="AHO71" s="214"/>
      <c r="AHP71" s="214"/>
      <c r="AHQ71" s="214"/>
      <c r="AHR71" s="214"/>
      <c r="AHS71" s="214"/>
      <c r="AHT71" s="214"/>
      <c r="AHU71" s="214"/>
      <c r="AHV71" s="214"/>
      <c r="AHW71" s="214"/>
      <c r="AHX71" s="214"/>
      <c r="AHY71" s="214"/>
      <c r="AHZ71" s="214"/>
      <c r="AIA71" s="214"/>
      <c r="AIB71" s="214"/>
      <c r="AIC71" s="214"/>
      <c r="AID71" s="214"/>
      <c r="AIE71" s="214"/>
      <c r="AIF71" s="214"/>
      <c r="AIG71" s="214"/>
      <c r="AIH71" s="214"/>
      <c r="AII71" s="214"/>
      <c r="AIJ71" s="214"/>
      <c r="AIK71" s="214"/>
      <c r="AIL71" s="214"/>
      <c r="AIM71" s="214"/>
      <c r="AIN71" s="214"/>
      <c r="AIO71" s="214"/>
      <c r="AIP71" s="214"/>
      <c r="AIQ71" s="214"/>
      <c r="AIR71" s="214"/>
      <c r="AIS71" s="214"/>
      <c r="AIT71" s="214"/>
      <c r="AIU71" s="214"/>
      <c r="AIV71" s="214"/>
      <c r="AIW71" s="214"/>
      <c r="AIX71" s="214"/>
      <c r="AIY71" s="214"/>
      <c r="AIZ71" s="214"/>
      <c r="AJA71" s="214"/>
      <c r="AJB71" s="214"/>
      <c r="AJC71" s="214"/>
      <c r="AJD71" s="214"/>
      <c r="AJE71" s="214"/>
      <c r="AJF71" s="214"/>
      <c r="AJG71" s="214"/>
      <c r="AJH71" s="214"/>
      <c r="AJI71" s="214"/>
      <c r="AJJ71" s="214"/>
      <c r="AJK71" s="214"/>
      <c r="AJL71" s="214"/>
      <c r="AJM71" s="214"/>
      <c r="AJN71" s="214"/>
      <c r="AJO71" s="214"/>
      <c r="AJP71" s="214"/>
      <c r="AJQ71" s="214"/>
      <c r="AJR71" s="214"/>
      <c r="AJS71" s="214"/>
      <c r="AJT71" s="214"/>
      <c r="AJU71" s="214"/>
      <c r="AJV71" s="214"/>
      <c r="AJW71" s="214"/>
      <c r="AJX71" s="214"/>
      <c r="AJY71" s="214"/>
      <c r="AJZ71" s="214"/>
      <c r="AKA71" s="214"/>
      <c r="AKB71" s="214"/>
      <c r="AKC71" s="214"/>
      <c r="AKD71" s="214"/>
      <c r="AKE71" s="214"/>
      <c r="AKF71" s="214"/>
      <c r="AKG71" s="214"/>
      <c r="AKH71" s="214"/>
      <c r="AKI71" s="214"/>
      <c r="AKJ71" s="214"/>
      <c r="AKK71" s="214"/>
      <c r="AKL71" s="214"/>
      <c r="AKM71" s="214"/>
      <c r="AKN71" s="214"/>
      <c r="AKO71" s="214"/>
      <c r="AKP71" s="214"/>
      <c r="AKQ71" s="214"/>
      <c r="AKR71" s="214"/>
      <c r="AKS71" s="214"/>
      <c r="AKT71" s="214"/>
      <c r="AKU71" s="214"/>
      <c r="AKV71" s="214"/>
      <c r="AKW71" s="214"/>
      <c r="AKX71" s="214"/>
      <c r="AKY71" s="214"/>
      <c r="AKZ71" s="214"/>
      <c r="ALA71" s="214"/>
      <c r="ALB71" s="214"/>
      <c r="ALC71" s="214"/>
      <c r="ALD71" s="214"/>
      <c r="ALE71" s="214"/>
      <c r="ALF71" s="214"/>
      <c r="ALG71" s="214"/>
      <c r="ALH71" s="214"/>
      <c r="ALI71" s="214"/>
      <c r="ALJ71" s="214"/>
      <c r="ALK71" s="214"/>
      <c r="ALL71" s="214"/>
      <c r="ALM71" s="214"/>
      <c r="ALN71" s="214"/>
      <c r="ALO71" s="214"/>
      <c r="ALP71" s="214"/>
      <c r="ALQ71" s="214"/>
      <c r="ALR71" s="214"/>
      <c r="ALS71" s="214"/>
      <c r="ALT71" s="214"/>
      <c r="ALU71" s="214"/>
      <c r="ALV71" s="214"/>
      <c r="ALW71" s="214"/>
      <c r="ALX71" s="214"/>
      <c r="ALY71" s="214"/>
      <c r="ALZ71" s="214"/>
      <c r="AMA71" s="214"/>
      <c r="AMB71" s="214"/>
      <c r="AMC71" s="214"/>
      <c r="AMD71" s="214"/>
      <c r="AME71" s="214"/>
      <c r="AMF71" s="214"/>
      <c r="AMG71" s="214"/>
      <c r="AMH71" s="214"/>
      <c r="AMI71" s="214"/>
      <c r="AMJ71" s="214"/>
      <c r="AMK71" s="214"/>
      <c r="AML71" s="214"/>
      <c r="AMM71" s="214"/>
      <c r="AMN71" s="214"/>
      <c r="AMO71" s="214"/>
      <c r="AMP71" s="214"/>
      <c r="AMQ71" s="214"/>
      <c r="AMR71" s="214"/>
      <c r="AMS71" s="214"/>
      <c r="AMT71" s="214"/>
      <c r="AMU71" s="214"/>
      <c r="AMV71" s="214"/>
      <c r="AMW71" s="214"/>
      <c r="AMX71" s="214"/>
      <c r="AMY71" s="214"/>
      <c r="AMZ71" s="214"/>
      <c r="ANA71" s="214"/>
      <c r="ANB71" s="214"/>
      <c r="ANC71" s="214"/>
      <c r="AND71" s="214"/>
      <c r="ANE71" s="214"/>
      <c r="ANF71" s="214"/>
      <c r="ANG71" s="214"/>
      <c r="ANH71" s="214"/>
      <c r="ANI71" s="214"/>
      <c r="ANJ71" s="214"/>
      <c r="ANK71" s="214"/>
      <c r="ANL71" s="214"/>
      <c r="ANM71" s="214"/>
      <c r="ANN71" s="214"/>
      <c r="ANO71" s="214"/>
      <c r="ANP71" s="214"/>
      <c r="ANQ71" s="214"/>
      <c r="ANR71" s="214"/>
      <c r="ANS71" s="214"/>
      <c r="ANT71" s="214"/>
      <c r="ANU71" s="214"/>
      <c r="ANV71" s="214"/>
      <c r="ANW71" s="214"/>
      <c r="ANX71" s="214"/>
      <c r="ANY71" s="214"/>
      <c r="ANZ71" s="214"/>
      <c r="AOA71" s="214"/>
      <c r="AOB71" s="214"/>
      <c r="AOC71" s="214"/>
      <c r="AOD71" s="214"/>
      <c r="AOE71" s="214"/>
      <c r="AOF71" s="214"/>
      <c r="AOG71" s="214"/>
      <c r="AOH71" s="214"/>
      <c r="AOI71" s="214"/>
      <c r="AOJ71" s="214"/>
      <c r="AOK71" s="214"/>
      <c r="AOL71" s="214"/>
      <c r="AOM71" s="214"/>
      <c r="AON71" s="214"/>
      <c r="AOO71" s="214"/>
      <c r="AOP71" s="214"/>
      <c r="AOQ71" s="214"/>
      <c r="AOR71" s="214"/>
      <c r="AOS71" s="214"/>
      <c r="AOT71" s="214"/>
      <c r="AOU71" s="214"/>
      <c r="AOV71" s="214"/>
      <c r="AOW71" s="214"/>
      <c r="AOX71" s="214"/>
      <c r="AOY71" s="214"/>
      <c r="AOZ71" s="214"/>
      <c r="APA71" s="214"/>
      <c r="APB71" s="214"/>
      <c r="APC71" s="214"/>
      <c r="APD71" s="214"/>
      <c r="APE71" s="214"/>
      <c r="APF71" s="214"/>
      <c r="APG71" s="214"/>
      <c r="APH71" s="214"/>
      <c r="API71" s="214"/>
      <c r="APJ71" s="214"/>
      <c r="APK71" s="214"/>
      <c r="APL71" s="214"/>
      <c r="APM71" s="214"/>
      <c r="APN71" s="214"/>
      <c r="APO71" s="214"/>
      <c r="APP71" s="214"/>
      <c r="APQ71" s="214"/>
      <c r="APR71" s="214"/>
      <c r="APS71" s="214"/>
      <c r="APT71" s="214"/>
      <c r="APU71" s="214"/>
      <c r="APV71" s="214"/>
      <c r="APW71" s="214"/>
      <c r="APX71" s="214"/>
      <c r="APY71" s="214"/>
      <c r="APZ71" s="214"/>
      <c r="AQA71" s="214"/>
      <c r="AQB71" s="214"/>
      <c r="AQC71" s="214"/>
      <c r="AQD71" s="214"/>
      <c r="AQE71" s="214"/>
      <c r="AQF71" s="214"/>
      <c r="AQG71" s="214"/>
      <c r="AQH71" s="214"/>
      <c r="AQI71" s="214"/>
      <c r="AQJ71" s="214"/>
      <c r="AQK71" s="214"/>
      <c r="AQL71" s="214"/>
      <c r="AQM71" s="214"/>
      <c r="AQN71" s="214"/>
      <c r="AQO71" s="214"/>
      <c r="AQP71" s="214"/>
      <c r="AQQ71" s="214"/>
      <c r="AQR71" s="214"/>
      <c r="AQS71" s="214"/>
      <c r="AQT71" s="214"/>
      <c r="AQU71" s="214"/>
      <c r="AQV71" s="214"/>
      <c r="AQW71" s="214"/>
      <c r="AQX71" s="214"/>
      <c r="AQY71" s="214"/>
      <c r="AQZ71" s="214"/>
      <c r="ARA71" s="214"/>
      <c r="ARB71" s="214"/>
      <c r="ARC71" s="214"/>
      <c r="ARD71" s="214"/>
      <c r="ARE71" s="214"/>
      <c r="ARF71" s="214"/>
      <c r="ARG71" s="214"/>
      <c r="ARH71" s="214"/>
      <c r="ARI71" s="214"/>
      <c r="ARJ71" s="214"/>
      <c r="ARK71" s="214"/>
      <c r="ARL71" s="214"/>
      <c r="ARM71" s="214"/>
      <c r="ARN71" s="214"/>
      <c r="ARO71" s="214"/>
      <c r="ARP71" s="214"/>
      <c r="ARQ71" s="214"/>
      <c r="ARR71" s="214"/>
      <c r="ARS71" s="214"/>
      <c r="ART71" s="214"/>
      <c r="ARU71" s="214"/>
      <c r="ARV71" s="214"/>
      <c r="ARW71" s="214"/>
      <c r="ARX71" s="214"/>
      <c r="ARY71" s="214"/>
      <c r="ARZ71" s="214"/>
      <c r="ASA71" s="214"/>
      <c r="ASB71" s="214"/>
      <c r="ASC71" s="214"/>
      <c r="ASD71" s="214"/>
      <c r="ASE71" s="214"/>
      <c r="ASF71" s="214"/>
      <c r="ASG71" s="214"/>
      <c r="ASH71" s="214"/>
      <c r="ASI71" s="214"/>
      <c r="ASJ71" s="214"/>
      <c r="ASK71" s="214"/>
      <c r="ASL71" s="214"/>
      <c r="ASM71" s="214"/>
      <c r="ASN71" s="214"/>
      <c r="ASO71" s="214"/>
      <c r="ASP71" s="214"/>
      <c r="ASQ71" s="214"/>
      <c r="ASR71" s="214"/>
      <c r="ASS71" s="214"/>
      <c r="AST71" s="214"/>
      <c r="ASU71" s="214"/>
      <c r="ASV71" s="214"/>
      <c r="ASW71" s="214"/>
      <c r="ASX71" s="214"/>
      <c r="ASY71" s="214"/>
      <c r="ASZ71" s="214"/>
      <c r="ATA71" s="214"/>
      <c r="ATB71" s="214"/>
      <c r="ATC71" s="214"/>
      <c r="ATD71" s="214"/>
      <c r="ATE71" s="214"/>
      <c r="ATF71" s="214"/>
      <c r="ATG71" s="214"/>
      <c r="ATH71" s="214"/>
      <c r="ATI71" s="214"/>
      <c r="ATJ71" s="214"/>
      <c r="ATK71" s="214"/>
      <c r="ATL71" s="214"/>
      <c r="ATM71" s="214"/>
      <c r="ATN71" s="214"/>
      <c r="ATO71" s="214"/>
      <c r="ATP71" s="214"/>
      <c r="ATQ71" s="214"/>
      <c r="ATR71" s="214"/>
      <c r="ATS71" s="214"/>
      <c r="ATT71" s="214"/>
      <c r="ATU71" s="214"/>
      <c r="ATV71" s="214"/>
      <c r="ATW71" s="214"/>
      <c r="ATX71" s="214"/>
      <c r="ATY71" s="214"/>
      <c r="ATZ71" s="214"/>
      <c r="AUA71" s="214"/>
      <c r="AUB71" s="214"/>
      <c r="AUC71" s="214"/>
      <c r="AUD71" s="214"/>
      <c r="AUE71" s="214"/>
      <c r="AUF71" s="214"/>
      <c r="AUG71" s="214"/>
      <c r="AUH71" s="214"/>
      <c r="AUI71" s="214"/>
      <c r="AUJ71" s="214"/>
      <c r="AUK71" s="214"/>
      <c r="AUL71" s="214"/>
      <c r="AUM71" s="214"/>
      <c r="AUN71" s="214"/>
      <c r="AUO71" s="214"/>
      <c r="AUP71" s="214"/>
      <c r="AUQ71" s="214"/>
      <c r="AUR71" s="214"/>
      <c r="AUS71" s="214"/>
      <c r="AUT71" s="214"/>
      <c r="AUU71" s="214"/>
      <c r="AUV71" s="214"/>
      <c r="AUW71" s="214"/>
      <c r="AUX71" s="214"/>
      <c r="AUY71" s="214"/>
      <c r="AUZ71" s="214"/>
      <c r="AVA71" s="214"/>
      <c r="AVB71" s="214"/>
      <c r="AVC71" s="214"/>
      <c r="AVD71" s="214"/>
      <c r="AVE71" s="214"/>
      <c r="AVF71" s="214"/>
      <c r="AVG71" s="214"/>
      <c r="AVH71" s="214"/>
      <c r="AVI71" s="214"/>
      <c r="AVJ71" s="214"/>
      <c r="AVK71" s="214"/>
      <c r="AVL71" s="214"/>
      <c r="AVM71" s="214"/>
      <c r="AVN71" s="214"/>
      <c r="AVO71" s="214"/>
      <c r="AVP71" s="214"/>
      <c r="AVQ71" s="214"/>
      <c r="AVR71" s="214"/>
      <c r="AVS71" s="214"/>
      <c r="AVT71" s="214"/>
      <c r="AVU71" s="214"/>
      <c r="AVV71" s="214"/>
      <c r="AVW71" s="214"/>
      <c r="AVX71" s="214"/>
      <c r="AVY71" s="214"/>
      <c r="AVZ71" s="214"/>
      <c r="AWA71" s="214"/>
      <c r="AWB71" s="214"/>
      <c r="AWC71" s="214"/>
      <c r="AWD71" s="214"/>
      <c r="AWE71" s="214"/>
      <c r="AWF71" s="214"/>
      <c r="AWG71" s="214"/>
      <c r="AWH71" s="214"/>
      <c r="AWI71" s="214"/>
      <c r="AWJ71" s="214"/>
      <c r="AWK71" s="214"/>
      <c r="AWL71" s="214"/>
      <c r="AWM71" s="214"/>
      <c r="AWN71" s="214"/>
      <c r="AWO71" s="214"/>
      <c r="AWP71" s="214"/>
      <c r="AWQ71" s="214"/>
      <c r="AWR71" s="214"/>
      <c r="AWS71" s="214"/>
      <c r="AWT71" s="214"/>
      <c r="AWU71" s="214"/>
      <c r="AWV71" s="214"/>
      <c r="AWW71" s="214"/>
      <c r="AWX71" s="214"/>
      <c r="AWY71" s="214"/>
      <c r="AWZ71" s="214"/>
      <c r="AXA71" s="214"/>
      <c r="AXB71" s="214"/>
      <c r="AXC71" s="214"/>
      <c r="AXD71" s="214"/>
      <c r="AXE71" s="214"/>
      <c r="AXF71" s="214"/>
      <c r="AXG71" s="214"/>
      <c r="AXH71" s="214"/>
      <c r="AXI71" s="214"/>
      <c r="AXJ71" s="214"/>
      <c r="AXK71" s="214"/>
      <c r="AXL71" s="214"/>
      <c r="AXM71" s="214"/>
      <c r="AXN71" s="214"/>
      <c r="AXO71" s="214"/>
      <c r="AXP71" s="214"/>
      <c r="AXQ71" s="214"/>
      <c r="AXR71" s="214"/>
      <c r="AXS71" s="214"/>
      <c r="AXT71" s="214"/>
      <c r="AXU71" s="214"/>
      <c r="AXV71" s="214"/>
      <c r="AXW71" s="214"/>
      <c r="AXX71" s="214"/>
      <c r="AXY71" s="214"/>
      <c r="AXZ71" s="214"/>
      <c r="AYA71" s="214"/>
      <c r="AYB71" s="214"/>
      <c r="AYC71" s="214"/>
      <c r="AYD71" s="214"/>
      <c r="AYE71" s="214"/>
      <c r="AYF71" s="214"/>
      <c r="AYG71" s="214"/>
      <c r="AYH71" s="214"/>
      <c r="AYI71" s="214"/>
      <c r="AYJ71" s="214"/>
      <c r="AYK71" s="214"/>
      <c r="AYL71" s="214"/>
      <c r="AYM71" s="214"/>
      <c r="AYN71" s="214"/>
      <c r="AYO71" s="214"/>
      <c r="AYP71" s="214"/>
      <c r="AYQ71" s="214"/>
      <c r="AYR71" s="214"/>
      <c r="AYS71" s="214"/>
      <c r="AYT71" s="214"/>
      <c r="AYU71" s="214"/>
      <c r="AYV71" s="214"/>
      <c r="AYW71" s="214"/>
      <c r="AYX71" s="214"/>
      <c r="AYY71" s="214"/>
      <c r="AYZ71" s="214"/>
      <c r="AZA71" s="214"/>
      <c r="AZB71" s="214"/>
      <c r="AZC71" s="214"/>
      <c r="AZD71" s="214"/>
      <c r="AZE71" s="214"/>
      <c r="AZF71" s="214"/>
      <c r="AZG71" s="214"/>
      <c r="AZH71" s="214"/>
      <c r="AZI71" s="214"/>
      <c r="AZJ71" s="214"/>
      <c r="AZK71" s="214"/>
      <c r="AZL71" s="214"/>
      <c r="AZM71" s="214"/>
      <c r="AZN71" s="214"/>
      <c r="AZO71" s="214"/>
      <c r="AZP71" s="214"/>
      <c r="AZQ71" s="214"/>
      <c r="AZR71" s="214"/>
      <c r="AZS71" s="214"/>
      <c r="AZT71" s="214"/>
      <c r="AZU71" s="214"/>
      <c r="AZV71" s="214"/>
      <c r="AZW71" s="214"/>
      <c r="AZX71" s="214"/>
      <c r="AZY71" s="214"/>
      <c r="AZZ71" s="214"/>
      <c r="BAA71" s="214"/>
      <c r="BAB71" s="214"/>
      <c r="BAC71" s="214"/>
      <c r="BAD71" s="214"/>
      <c r="BAE71" s="214"/>
      <c r="BAF71" s="214"/>
      <c r="BAG71" s="214"/>
      <c r="BAH71" s="214"/>
      <c r="BAI71" s="214"/>
      <c r="BAJ71" s="214"/>
      <c r="BAK71" s="214"/>
      <c r="BAL71" s="214"/>
      <c r="BAM71" s="214"/>
      <c r="BAN71" s="214"/>
      <c r="BAO71" s="214"/>
      <c r="BAP71" s="214"/>
      <c r="BAQ71" s="214"/>
      <c r="BAR71" s="214"/>
      <c r="BAS71" s="214"/>
      <c r="BAT71" s="214"/>
      <c r="BAU71" s="214"/>
      <c r="BAV71" s="214"/>
      <c r="BAW71" s="214"/>
      <c r="BAX71" s="214"/>
      <c r="BAY71" s="214"/>
      <c r="BAZ71" s="214"/>
      <c r="BBA71" s="214"/>
      <c r="BBB71" s="214"/>
      <c r="BBC71" s="214"/>
      <c r="BBD71" s="214"/>
      <c r="BBE71" s="214"/>
      <c r="BBF71" s="214"/>
      <c r="BBG71" s="214"/>
      <c r="BBH71" s="214"/>
      <c r="BBI71" s="214"/>
      <c r="BBJ71" s="214"/>
      <c r="BBK71" s="214"/>
      <c r="BBL71" s="214"/>
      <c r="BBM71" s="214"/>
      <c r="BBN71" s="214"/>
      <c r="BBO71" s="214"/>
      <c r="BBP71" s="214"/>
      <c r="BBQ71" s="214"/>
      <c r="BBR71" s="214"/>
      <c r="BBS71" s="214"/>
      <c r="BBT71" s="214"/>
      <c r="BBU71" s="214"/>
      <c r="BBV71" s="214"/>
      <c r="BBW71" s="214"/>
      <c r="BBX71" s="214"/>
      <c r="BBY71" s="214"/>
      <c r="BBZ71" s="214"/>
      <c r="BCA71" s="214"/>
      <c r="BCB71" s="214"/>
      <c r="BCC71" s="214"/>
      <c r="BCD71" s="214"/>
      <c r="BCE71" s="214"/>
      <c r="BCF71" s="214"/>
      <c r="BCG71" s="214"/>
      <c r="BCH71" s="214"/>
      <c r="BCI71" s="214"/>
      <c r="BCJ71" s="214"/>
      <c r="BCK71" s="214"/>
      <c r="BCL71" s="214"/>
      <c r="BCM71" s="214"/>
      <c r="BCN71" s="214"/>
      <c r="BCO71" s="214"/>
      <c r="BCP71" s="214"/>
      <c r="BCQ71" s="214"/>
      <c r="BCR71" s="214"/>
      <c r="BCS71" s="214"/>
      <c r="BCT71" s="214"/>
      <c r="BCU71" s="214"/>
      <c r="BCV71" s="214"/>
      <c r="BCW71" s="214"/>
      <c r="BCX71" s="214"/>
      <c r="BCY71" s="214"/>
      <c r="BCZ71" s="214"/>
      <c r="BDA71" s="214"/>
      <c r="BDB71" s="214"/>
      <c r="BDC71" s="214"/>
      <c r="BDD71" s="214"/>
      <c r="BDE71" s="214"/>
      <c r="BDF71" s="214"/>
      <c r="BDG71" s="214"/>
      <c r="BDH71" s="214"/>
      <c r="BDI71" s="214"/>
      <c r="BDJ71" s="214"/>
      <c r="BDK71" s="214"/>
      <c r="BDL71" s="214"/>
      <c r="BDM71" s="214"/>
      <c r="BDN71" s="214"/>
      <c r="BDO71" s="214"/>
      <c r="BDP71" s="214"/>
      <c r="BDQ71" s="214"/>
      <c r="BDR71" s="214"/>
      <c r="BDS71" s="214"/>
      <c r="BDT71" s="214"/>
      <c r="BDU71" s="214"/>
      <c r="BDV71" s="214"/>
      <c r="BDW71" s="214"/>
      <c r="BDX71" s="214"/>
      <c r="BDY71" s="214"/>
      <c r="BDZ71" s="214"/>
      <c r="BEA71" s="214"/>
      <c r="BEB71" s="214"/>
      <c r="BEC71" s="214"/>
      <c r="BED71" s="214"/>
      <c r="BEE71" s="214"/>
      <c r="BEF71" s="214"/>
      <c r="BEG71" s="214"/>
      <c r="BEH71" s="214"/>
      <c r="BEI71" s="214"/>
      <c r="BEJ71" s="214"/>
      <c r="BEK71" s="214"/>
      <c r="BEL71" s="214"/>
      <c r="BEM71" s="214"/>
      <c r="BEN71" s="214"/>
      <c r="BEO71" s="214"/>
      <c r="BEP71" s="214"/>
      <c r="BEQ71" s="214"/>
      <c r="BER71" s="214"/>
      <c r="BES71" s="214"/>
      <c r="BET71" s="214"/>
      <c r="BEU71" s="214"/>
      <c r="BEV71" s="214"/>
      <c r="BEW71" s="214"/>
      <c r="BEX71" s="214"/>
      <c r="BEY71" s="214"/>
      <c r="BEZ71" s="214"/>
      <c r="BFA71" s="214"/>
      <c r="BFB71" s="214"/>
      <c r="BFC71" s="214"/>
      <c r="BFD71" s="214"/>
      <c r="BFE71" s="214"/>
      <c r="BFF71" s="214"/>
      <c r="BFG71" s="214"/>
      <c r="BFH71" s="214"/>
      <c r="BFI71" s="214"/>
      <c r="BFJ71" s="214"/>
      <c r="BFK71" s="214"/>
      <c r="BFL71" s="214"/>
      <c r="BFM71" s="214"/>
      <c r="BFN71" s="214"/>
      <c r="BFO71" s="214"/>
      <c r="BFP71" s="214"/>
      <c r="BFQ71" s="214"/>
      <c r="BFR71" s="214"/>
      <c r="BFS71" s="214"/>
      <c r="BFT71" s="214"/>
      <c r="BFU71" s="214"/>
      <c r="BFV71" s="214"/>
      <c r="BFW71" s="214"/>
      <c r="BFX71" s="214"/>
      <c r="BFY71" s="214"/>
      <c r="BFZ71" s="214"/>
      <c r="BGA71" s="214"/>
      <c r="BGB71" s="214"/>
      <c r="BGC71" s="214"/>
      <c r="BGD71" s="214"/>
      <c r="BGE71" s="214"/>
      <c r="BGF71" s="214"/>
      <c r="BGG71" s="214"/>
      <c r="BGH71" s="214"/>
      <c r="BGI71" s="214"/>
      <c r="BGJ71" s="214"/>
      <c r="BGK71" s="214"/>
      <c r="BGL71" s="214"/>
      <c r="BGM71" s="214"/>
      <c r="BGN71" s="214"/>
      <c r="BGO71" s="214"/>
      <c r="BGP71" s="214"/>
      <c r="BGQ71" s="214"/>
      <c r="BGR71" s="214"/>
      <c r="BGS71" s="214"/>
      <c r="BGT71" s="214"/>
      <c r="BGU71" s="214"/>
      <c r="BGV71" s="214"/>
      <c r="BGW71" s="214"/>
      <c r="BGX71" s="214"/>
      <c r="BGY71" s="214"/>
      <c r="BGZ71" s="214"/>
      <c r="BHA71" s="214"/>
      <c r="BHB71" s="214"/>
      <c r="BHC71" s="214"/>
      <c r="BHD71" s="214"/>
      <c r="BHE71" s="214"/>
      <c r="BHF71" s="214"/>
      <c r="BHG71" s="214"/>
      <c r="BHH71" s="214"/>
      <c r="BHI71" s="214"/>
      <c r="BHJ71" s="214"/>
      <c r="BHK71" s="214"/>
      <c r="BHL71" s="214"/>
      <c r="BHM71" s="214"/>
      <c r="BHN71" s="214"/>
      <c r="BHO71" s="214"/>
      <c r="BHP71" s="214"/>
      <c r="BHQ71" s="214"/>
      <c r="BHR71" s="214"/>
      <c r="BHS71" s="214"/>
      <c r="BHT71" s="214"/>
      <c r="BHU71" s="214"/>
      <c r="BHV71" s="214"/>
      <c r="BHW71" s="214"/>
    </row>
    <row r="72" spans="1:1583" s="219" customFormat="1" ht="17.25" thickBot="1">
      <c r="A72" s="253" t="s">
        <v>81</v>
      </c>
      <c r="B72" s="185" t="s">
        <v>380</v>
      </c>
      <c r="C72" s="416" t="s">
        <v>503</v>
      </c>
      <c r="D72" s="420" t="s">
        <v>558</v>
      </c>
      <c r="E72" s="265" t="s">
        <v>42</v>
      </c>
      <c r="F72" s="137">
        <v>343</v>
      </c>
      <c r="G72" s="60" t="s">
        <v>726</v>
      </c>
      <c r="H72" s="473">
        <f t="shared" si="21"/>
        <v>307.28494539747942</v>
      </c>
      <c r="I72" s="97">
        <f>VLOOKUP($B72,'DCS Data'!$E$2:$AJ$100,MATCH('Daily Report'!I$1,'DCS Data'!$E$2:$AJ$2,0),0)</f>
        <v>304.58876795864524</v>
      </c>
      <c r="J72" s="255"/>
      <c r="K72" s="97">
        <f>VLOOKUP($B72,'DCS Data'!$E$2:$AJ$100,MATCH('Daily Report'!K$1,'DCS Data'!$E$2:$AJ$2,0),0)</f>
        <v>307.71964412786349</v>
      </c>
      <c r="L72" s="97">
        <f>VLOOKUP($B72,'DCS Data'!$E$2:$AJ$100,MATCH('Daily Report'!L$1,'DCS Data'!$E$2:$AJ$2,0),0)</f>
        <v>307.9921008539751</v>
      </c>
      <c r="M72" s="97">
        <f>VLOOKUP($B72,'DCS Data'!$E$2:$AJ$100,MATCH('Daily Report'!M$1,'DCS Data'!$E$2:$AJ$2,0),0)</f>
        <v>307.51255517037947</v>
      </c>
      <c r="N72" s="97">
        <f>VLOOKUP($B72,'DCS Data'!$E$2:$AJ$100,MATCH('Daily Report'!N$1,'DCS Data'!$E$2:$AJ$2,0),0)</f>
        <v>308.00677846519528</v>
      </c>
      <c r="O72" s="97">
        <f>VLOOKUP($B72,'DCS Data'!$E$2:$AJ$100,MATCH('Daily Report'!O$1,'DCS Data'!$E$2:$AJ$2,0),0)</f>
        <v>308.61907647258346</v>
      </c>
      <c r="P72" s="97">
        <f>VLOOKUP($B72,'DCS Data'!$E$2:$AJ$100,MATCH('Daily Report'!P$1,'DCS Data'!$E$2:$AJ$2,0),0)</f>
        <v>308.34735480719428</v>
      </c>
      <c r="Q72" s="97">
        <f>VLOOKUP($B72,'DCS Data'!$E$2:$AJ$100,MATCH('Daily Report'!Q$1,'DCS Data'!$E$2:$AJ$2,0),0)</f>
        <v>307.67890635176616</v>
      </c>
      <c r="R72" s="97">
        <f>VLOOKUP($B72,'DCS Data'!$E$2:$AJ$100,MATCH('Daily Report'!R$1,'DCS Data'!$E$2:$AJ$2,0),0)</f>
        <v>307.2518909423103</v>
      </c>
      <c r="S72" s="97">
        <f>VLOOKUP($B72,'DCS Data'!$E$2:$AJ$100,MATCH('Daily Report'!S$1,'DCS Data'!$E$2:$AJ$2,0),0)</f>
        <v>306.64569398728418</v>
      </c>
      <c r="T72" s="97">
        <f>VLOOKUP($B72,'DCS Data'!$E$2:$AJ$100,MATCH('Daily Report'!T$1,'DCS Data'!$E$2:$AJ$2,0),0)</f>
        <v>306.21672184117097</v>
      </c>
      <c r="U72" s="97">
        <f>VLOOKUP($B72,'DCS Data'!$E$2:$AJ$100,MATCH('Daily Report'!U$1,'DCS Data'!$E$2:$AJ$2,0),0)</f>
        <v>306.47436440872019</v>
      </c>
      <c r="V72" s="97">
        <f>VLOOKUP($B72,'DCS Data'!$E$2:$AJ$100,MATCH('Daily Report'!V$1,'DCS Data'!$E$2:$AJ$2,0),0)</f>
        <v>306.95060700592558</v>
      </c>
      <c r="W72" s="97">
        <f>VLOOKUP($B72,'DCS Data'!$E$2:$AJ$100,MATCH('Daily Report'!W$1,'DCS Data'!$E$2:$AJ$2,0),0)</f>
        <v>307.3263700822427</v>
      </c>
      <c r="X72" s="97">
        <f>VLOOKUP($B72,'DCS Data'!$E$2:$AJ$100,MATCH('Daily Report'!X$1,'DCS Data'!$E$2:$AJ$2,0),0)</f>
        <v>306.39793001361988</v>
      </c>
      <c r="Y72" s="97">
        <f>VLOOKUP($B72,'DCS Data'!$E$2:$AJ$100,MATCH('Daily Report'!Y$1,'DCS Data'!$E$2:$AJ$2,0),0)</f>
        <v>304.43240247299315</v>
      </c>
      <c r="Z72" s="97">
        <f>VLOOKUP($B72,'DCS Data'!$E$2:$AJ$100,MATCH('Daily Report'!Z$1,'DCS Data'!$E$2:$AJ$2,0),0)</f>
        <v>304.07291433790294</v>
      </c>
      <c r="AA72" s="97">
        <f>VLOOKUP($B72,'DCS Data'!$E$2:$AJ$100,MATCH('Daily Report'!AA$1,'DCS Data'!$E$2:$AJ$2,0),0)</f>
        <v>305.49498399461243</v>
      </c>
      <c r="AB72" s="97">
        <f>VLOOKUP($B72,'DCS Data'!$E$2:$AJ$100,MATCH('Daily Report'!AB$1,'DCS Data'!$E$2:$AJ$2,0),0)</f>
        <v>305.91246870611877</v>
      </c>
      <c r="AC72" s="97">
        <f>VLOOKUP($B72,'DCS Data'!$E$2:$AJ$100,MATCH('Daily Report'!AC$1,'DCS Data'!$E$2:$AJ$2,0),0)</f>
        <v>306.39125750955697</v>
      </c>
      <c r="AD72" s="97">
        <f>VLOOKUP($B72,'DCS Data'!$E$2:$AJ$100,MATCH('Daily Report'!AD$1,'DCS Data'!$E$2:$AJ$2,0),0)</f>
        <v>307.74616558745277</v>
      </c>
      <c r="AE72" s="97">
        <f>VLOOKUP($B72,'DCS Data'!$E$2:$AJ$100,MATCH('Daily Report'!AE$1,'DCS Data'!$E$2:$AJ$2,0),0)</f>
        <v>308.30577763814284</v>
      </c>
      <c r="AF72" s="97">
        <f>VLOOKUP($B72,'DCS Data'!$E$2:$AJ$100,MATCH('Daily Report'!AF$1,'DCS Data'!$E$2:$AJ$2,0),0)</f>
        <v>308.0301279473282</v>
      </c>
      <c r="AG72" s="97">
        <f>VLOOKUP($B72,'DCS Data'!$E$2:$AJ$100,MATCH('Daily Report'!AG$1,'DCS Data'!$E$2:$AJ$2,0),0)</f>
        <v>308.23281372127605</v>
      </c>
      <c r="AH72" s="97">
        <f>VLOOKUP($B72,'DCS Data'!$E$2:$AJ$100,MATCH('Daily Report'!AH$1,'DCS Data'!$E$2:$AJ$2,0),0)</f>
        <v>308.31709520034292</v>
      </c>
      <c r="AI72" s="97">
        <f>VLOOKUP($B72,'DCS Data'!$E$2:$AJ$100,MATCH('Daily Report'!AI$1,'DCS Data'!$E$2:$AJ$2,0),0)</f>
        <v>308.49266748318405</v>
      </c>
      <c r="AJ72" s="97">
        <f>VLOOKUP($B72,'DCS Data'!$E$2:$AJ$100,MATCH('Daily Report'!AJ$1,'DCS Data'!$E$2:$AJ$2,0),0)</f>
        <v>308.13880465215328</v>
      </c>
      <c r="AK72" s="97">
        <f>VLOOKUP($B72,'DCS Data'!$E$2:$AJ$100,MATCH('Daily Report'!AK$1,'DCS Data'!$E$2:$AJ$2,0),0)</f>
        <v>308.39015266126472</v>
      </c>
      <c r="AL72" s="97">
        <f>VLOOKUP($B72,'DCS Data'!$E$2:$AJ$100,MATCH('Daily Report'!AL$1,'DCS Data'!$E$2:$AJ$2,0),0)</f>
        <v>308.27535504055146</v>
      </c>
      <c r="AM72" s="97">
        <f>VLOOKUP($B72,'DCS Data'!$E$2:$AJ$100,MATCH('Daily Report'!AM$1,'DCS Data'!$E$2:$AJ$2,0),0)</f>
        <v>308.91515607167582</v>
      </c>
      <c r="AN72" s="97">
        <f>VLOOKUP($B72,'DCS Data'!$E$2:$AJ$100,MATCH('Daily Report'!AN$1,'DCS Data'!$E$2:$AJ$2,0),0)</f>
        <v>308.95640180842781</v>
      </c>
      <c r="AO72" s="218"/>
      <c r="AP72" s="218"/>
      <c r="AQ72" s="218"/>
      <c r="AR72" s="218"/>
      <c r="AS72" s="218"/>
      <c r="AT72" s="218"/>
      <c r="AU72" s="218"/>
      <c r="AV72" s="218"/>
      <c r="AW72" s="218"/>
      <c r="AX72" s="218"/>
      <c r="AY72" s="218"/>
      <c r="AZ72" s="218"/>
      <c r="BA72" s="218"/>
      <c r="BB72" s="218"/>
      <c r="BC72" s="218"/>
      <c r="BD72" s="218"/>
      <c r="BE72" s="218"/>
      <c r="BF72" s="218"/>
      <c r="BG72" s="218"/>
      <c r="BH72" s="218"/>
      <c r="BI72" s="218"/>
      <c r="BJ72" s="218"/>
      <c r="BK72" s="218"/>
      <c r="BL72" s="218"/>
      <c r="BM72" s="218"/>
      <c r="BN72" s="218"/>
      <c r="BO72" s="218"/>
      <c r="BP72" s="218"/>
      <c r="BQ72" s="218"/>
      <c r="BR72" s="218"/>
      <c r="BS72" s="218"/>
      <c r="BT72" s="218"/>
      <c r="BU72" s="218"/>
      <c r="BV72" s="218"/>
      <c r="BW72" s="218"/>
      <c r="BX72" s="218"/>
      <c r="BY72" s="218"/>
      <c r="BZ72" s="218"/>
      <c r="CA72" s="218"/>
      <c r="CB72" s="218"/>
      <c r="CC72" s="218"/>
      <c r="CD72" s="218"/>
      <c r="CE72" s="218"/>
      <c r="CF72" s="218"/>
      <c r="CG72" s="218"/>
      <c r="CH72" s="218"/>
      <c r="CI72" s="218"/>
      <c r="CJ72" s="218"/>
      <c r="CK72" s="218"/>
      <c r="CL72" s="218"/>
      <c r="CM72" s="218"/>
      <c r="CN72" s="218"/>
      <c r="CO72" s="218"/>
      <c r="CP72" s="218"/>
      <c r="CQ72" s="218"/>
      <c r="CR72" s="218"/>
      <c r="CS72" s="218"/>
      <c r="CT72" s="218"/>
      <c r="CU72" s="218"/>
      <c r="CV72" s="218"/>
      <c r="CW72" s="218"/>
      <c r="CX72" s="218"/>
      <c r="CY72" s="218"/>
      <c r="CZ72" s="218"/>
      <c r="DA72" s="218"/>
      <c r="DB72" s="218"/>
      <c r="DC72" s="218"/>
      <c r="DD72" s="218"/>
      <c r="DE72" s="218"/>
      <c r="DF72" s="218"/>
      <c r="DG72" s="218"/>
      <c r="DH72" s="218"/>
      <c r="DI72" s="218"/>
      <c r="DJ72" s="218"/>
      <c r="DK72" s="218"/>
      <c r="DL72" s="218"/>
      <c r="DM72" s="218"/>
      <c r="DN72" s="218"/>
      <c r="DO72" s="218"/>
      <c r="DP72" s="218"/>
      <c r="DQ72" s="218"/>
      <c r="DR72" s="218"/>
      <c r="DS72" s="218"/>
      <c r="DT72" s="218"/>
      <c r="DU72" s="218"/>
      <c r="DV72" s="218"/>
      <c r="DW72" s="218"/>
      <c r="DX72" s="218"/>
      <c r="DY72" s="218"/>
      <c r="DZ72" s="218"/>
      <c r="EA72" s="218"/>
      <c r="EB72" s="218"/>
      <c r="EC72" s="218"/>
      <c r="ED72" s="218"/>
      <c r="EE72" s="218"/>
      <c r="EF72" s="218"/>
      <c r="EG72" s="218"/>
      <c r="EH72" s="218"/>
      <c r="EI72" s="218"/>
      <c r="EJ72" s="218"/>
      <c r="EK72" s="218"/>
      <c r="EL72" s="218"/>
      <c r="EM72" s="218"/>
      <c r="EN72" s="218"/>
      <c r="EO72" s="218"/>
      <c r="EP72" s="218"/>
      <c r="EQ72" s="218"/>
      <c r="ER72" s="218"/>
      <c r="ES72" s="218"/>
      <c r="ET72" s="218"/>
      <c r="EU72" s="218"/>
      <c r="EV72" s="218"/>
      <c r="EW72" s="218"/>
      <c r="EX72" s="218"/>
      <c r="EY72" s="218"/>
      <c r="EZ72" s="218"/>
      <c r="FA72" s="218"/>
      <c r="FB72" s="218"/>
      <c r="FC72" s="218"/>
      <c r="FD72" s="218"/>
      <c r="FE72" s="218"/>
      <c r="FF72" s="218"/>
      <c r="FG72" s="218"/>
      <c r="FH72" s="218"/>
      <c r="FI72" s="218"/>
      <c r="FJ72" s="218"/>
      <c r="FK72" s="218"/>
      <c r="FL72" s="218"/>
      <c r="FM72" s="218"/>
      <c r="FN72" s="218"/>
      <c r="FO72" s="218"/>
      <c r="FP72" s="218"/>
      <c r="FQ72" s="218"/>
      <c r="FR72" s="218"/>
      <c r="FS72" s="218"/>
      <c r="FT72" s="218"/>
      <c r="FU72" s="218"/>
      <c r="FV72" s="218"/>
      <c r="FW72" s="218"/>
      <c r="FX72" s="218"/>
      <c r="FY72" s="218"/>
      <c r="FZ72" s="218"/>
      <c r="GA72" s="218"/>
      <c r="GB72" s="218"/>
      <c r="GC72" s="218"/>
      <c r="GD72" s="218"/>
      <c r="GE72" s="218"/>
      <c r="GF72" s="218"/>
      <c r="GG72" s="218"/>
      <c r="GH72" s="218"/>
      <c r="GI72" s="218"/>
      <c r="GJ72" s="218"/>
      <c r="GK72" s="218"/>
      <c r="GL72" s="218"/>
      <c r="GM72" s="218"/>
      <c r="GN72" s="218"/>
      <c r="GO72" s="218"/>
      <c r="GP72" s="218"/>
      <c r="GQ72" s="218"/>
      <c r="GR72" s="218"/>
      <c r="GS72" s="218"/>
      <c r="GT72" s="218"/>
      <c r="GU72" s="218"/>
      <c r="GV72" s="218"/>
      <c r="GW72" s="218"/>
      <c r="GX72" s="218"/>
      <c r="GY72" s="218"/>
      <c r="GZ72" s="218"/>
      <c r="HA72" s="218"/>
      <c r="HB72" s="218"/>
      <c r="HC72" s="218"/>
      <c r="HD72" s="218"/>
      <c r="HE72" s="218"/>
      <c r="HF72" s="218"/>
      <c r="HG72" s="218"/>
      <c r="HH72" s="218"/>
      <c r="HI72" s="218"/>
      <c r="HJ72" s="218"/>
      <c r="HK72" s="218"/>
      <c r="HL72" s="218"/>
      <c r="HM72" s="218"/>
      <c r="HN72" s="218"/>
      <c r="HO72" s="218"/>
      <c r="HP72" s="218"/>
      <c r="HQ72" s="218"/>
      <c r="HR72" s="218"/>
      <c r="HS72" s="218"/>
      <c r="HT72" s="218"/>
      <c r="HU72" s="218"/>
      <c r="HV72" s="218"/>
      <c r="HW72" s="218"/>
      <c r="HX72" s="218"/>
      <c r="HY72" s="218"/>
      <c r="HZ72" s="218"/>
      <c r="IA72" s="218"/>
      <c r="IB72" s="218"/>
      <c r="IC72" s="218"/>
      <c r="ID72" s="218"/>
      <c r="IE72" s="218"/>
      <c r="IF72" s="218"/>
      <c r="IG72" s="218"/>
      <c r="IH72" s="218"/>
      <c r="II72" s="218"/>
      <c r="IJ72" s="218"/>
      <c r="IK72" s="218"/>
      <c r="IL72" s="218"/>
      <c r="IM72" s="218"/>
      <c r="IN72" s="218"/>
      <c r="IO72" s="218"/>
      <c r="IP72" s="218"/>
      <c r="IQ72" s="218"/>
      <c r="IR72" s="218"/>
      <c r="IS72" s="218"/>
      <c r="IT72" s="218"/>
      <c r="IU72" s="218"/>
      <c r="IV72" s="218"/>
      <c r="IW72" s="218"/>
      <c r="IX72" s="218"/>
      <c r="IY72" s="218"/>
      <c r="IZ72" s="218"/>
      <c r="JA72" s="218"/>
      <c r="JB72" s="218"/>
      <c r="JC72" s="218"/>
      <c r="JD72" s="218"/>
      <c r="JE72" s="218"/>
      <c r="JF72" s="218"/>
      <c r="JG72" s="218"/>
      <c r="JH72" s="218"/>
      <c r="JI72" s="218"/>
      <c r="JJ72" s="218"/>
      <c r="JK72" s="218"/>
      <c r="JL72" s="218"/>
      <c r="JM72" s="218"/>
      <c r="JN72" s="218"/>
      <c r="JO72" s="218"/>
      <c r="JP72" s="218"/>
      <c r="JQ72" s="218"/>
      <c r="JR72" s="218"/>
      <c r="JS72" s="218"/>
      <c r="JT72" s="218"/>
      <c r="JU72" s="218"/>
      <c r="JV72" s="218"/>
      <c r="JW72" s="218"/>
      <c r="JX72" s="218"/>
      <c r="JY72" s="218"/>
      <c r="JZ72" s="218"/>
      <c r="KA72" s="218"/>
      <c r="KB72" s="218"/>
      <c r="KC72" s="218"/>
      <c r="KD72" s="218"/>
      <c r="KE72" s="218"/>
      <c r="KF72" s="218"/>
      <c r="KG72" s="218"/>
      <c r="KH72" s="218"/>
      <c r="KI72" s="218"/>
      <c r="KJ72" s="218"/>
      <c r="KK72" s="218"/>
      <c r="KL72" s="218"/>
      <c r="KM72" s="218"/>
      <c r="KN72" s="218"/>
      <c r="KO72" s="218"/>
      <c r="KP72" s="218"/>
      <c r="KQ72" s="218"/>
      <c r="KR72" s="218"/>
      <c r="KS72" s="218"/>
      <c r="KT72" s="218"/>
      <c r="KU72" s="218"/>
      <c r="KV72" s="218"/>
      <c r="KW72" s="218"/>
      <c r="KX72" s="218"/>
      <c r="KY72" s="218"/>
      <c r="KZ72" s="218"/>
      <c r="LA72" s="218"/>
      <c r="LB72" s="218"/>
      <c r="LC72" s="218"/>
      <c r="LD72" s="218"/>
      <c r="LE72" s="218"/>
      <c r="LF72" s="218"/>
      <c r="LG72" s="218"/>
      <c r="LH72" s="218"/>
      <c r="LI72" s="218"/>
      <c r="LJ72" s="218"/>
      <c r="LK72" s="218"/>
      <c r="LL72" s="218"/>
      <c r="LM72" s="218"/>
      <c r="LN72" s="218"/>
      <c r="LO72" s="218"/>
      <c r="LP72" s="218"/>
      <c r="LQ72" s="218"/>
      <c r="LR72" s="218"/>
      <c r="LS72" s="218"/>
      <c r="LT72" s="218"/>
      <c r="LU72" s="218"/>
      <c r="LV72" s="218"/>
      <c r="LW72" s="218"/>
      <c r="LX72" s="218"/>
      <c r="LY72" s="218"/>
      <c r="LZ72" s="218"/>
      <c r="MA72" s="218"/>
      <c r="MB72" s="218"/>
      <c r="MC72" s="218"/>
      <c r="MD72" s="218"/>
      <c r="ME72" s="218"/>
      <c r="MF72" s="218"/>
      <c r="MG72" s="218"/>
      <c r="MH72" s="218"/>
      <c r="MI72" s="218"/>
      <c r="MJ72" s="218"/>
      <c r="MK72" s="218"/>
      <c r="ML72" s="218"/>
      <c r="MM72" s="218"/>
      <c r="MN72" s="218"/>
      <c r="MO72" s="218"/>
      <c r="MP72" s="218"/>
      <c r="MQ72" s="218"/>
      <c r="MR72" s="218"/>
      <c r="MS72" s="218"/>
      <c r="MT72" s="218"/>
      <c r="MU72" s="218"/>
      <c r="MV72" s="218"/>
      <c r="MW72" s="218"/>
      <c r="MX72" s="218"/>
      <c r="MY72" s="218"/>
      <c r="MZ72" s="218"/>
      <c r="NA72" s="218"/>
      <c r="NB72" s="218"/>
      <c r="NC72" s="218"/>
      <c r="ND72" s="218"/>
      <c r="NE72" s="218"/>
      <c r="NF72" s="218"/>
      <c r="NG72" s="218"/>
      <c r="NH72" s="218"/>
      <c r="NI72" s="218"/>
      <c r="NJ72" s="218"/>
      <c r="NK72" s="218"/>
      <c r="NL72" s="218"/>
      <c r="NM72" s="218"/>
      <c r="NN72" s="218"/>
      <c r="NO72" s="218"/>
      <c r="NP72" s="218"/>
      <c r="NQ72" s="218"/>
      <c r="NR72" s="218"/>
      <c r="NS72" s="218"/>
      <c r="NT72" s="218"/>
      <c r="NU72" s="218"/>
      <c r="NV72" s="218"/>
      <c r="NW72" s="218"/>
      <c r="NX72" s="218"/>
      <c r="NY72" s="218"/>
      <c r="NZ72" s="218"/>
      <c r="OA72" s="218"/>
      <c r="OB72" s="218"/>
      <c r="OC72" s="218"/>
      <c r="OD72" s="218"/>
      <c r="OE72" s="218"/>
      <c r="OF72" s="218"/>
      <c r="OG72" s="218"/>
      <c r="OH72" s="218"/>
      <c r="OI72" s="218"/>
      <c r="OJ72" s="218"/>
      <c r="OK72" s="218"/>
      <c r="OL72" s="218"/>
      <c r="OM72" s="218"/>
      <c r="ON72" s="218"/>
      <c r="OO72" s="218"/>
      <c r="OP72" s="218"/>
      <c r="OQ72" s="218"/>
      <c r="OR72" s="218"/>
      <c r="OS72" s="218"/>
      <c r="OT72" s="218"/>
      <c r="OU72" s="218"/>
      <c r="OV72" s="218"/>
      <c r="OW72" s="218"/>
      <c r="OX72" s="218"/>
      <c r="OY72" s="218"/>
      <c r="OZ72" s="218"/>
      <c r="PA72" s="218"/>
      <c r="PB72" s="218"/>
      <c r="PC72" s="218"/>
      <c r="PD72" s="218"/>
      <c r="PE72" s="218"/>
      <c r="PF72" s="218"/>
      <c r="PG72" s="218"/>
      <c r="PH72" s="218"/>
      <c r="PI72" s="218"/>
      <c r="PJ72" s="218"/>
      <c r="PK72" s="218"/>
      <c r="PL72" s="218"/>
      <c r="PM72" s="218"/>
      <c r="PN72" s="218"/>
      <c r="PO72" s="218"/>
      <c r="PP72" s="218"/>
      <c r="PQ72" s="218"/>
      <c r="PR72" s="218"/>
      <c r="PS72" s="218"/>
      <c r="PT72" s="218"/>
      <c r="PU72" s="218"/>
      <c r="PV72" s="218"/>
      <c r="PW72" s="218"/>
      <c r="PX72" s="218"/>
      <c r="PY72" s="218"/>
      <c r="PZ72" s="218"/>
      <c r="QA72" s="218"/>
      <c r="QB72" s="218"/>
      <c r="QC72" s="218"/>
      <c r="QD72" s="218"/>
      <c r="QE72" s="218"/>
      <c r="QF72" s="218"/>
      <c r="QG72" s="218"/>
      <c r="QH72" s="218"/>
      <c r="QI72" s="218"/>
      <c r="QJ72" s="218"/>
      <c r="QK72" s="218"/>
      <c r="QL72" s="218"/>
      <c r="QM72" s="218"/>
      <c r="QN72" s="218"/>
      <c r="QO72" s="218"/>
      <c r="QP72" s="218"/>
      <c r="QQ72" s="218"/>
      <c r="QR72" s="218"/>
      <c r="QS72" s="218"/>
      <c r="QT72" s="218"/>
      <c r="QU72" s="218"/>
      <c r="QV72" s="218"/>
      <c r="QW72" s="218"/>
      <c r="QX72" s="218"/>
      <c r="QY72" s="218"/>
      <c r="QZ72" s="218"/>
      <c r="RA72" s="218"/>
      <c r="RB72" s="218"/>
      <c r="RC72" s="218"/>
      <c r="RD72" s="218"/>
      <c r="RE72" s="218"/>
      <c r="RF72" s="218"/>
      <c r="RG72" s="218"/>
      <c r="RH72" s="218"/>
      <c r="RI72" s="218"/>
      <c r="RJ72" s="218"/>
      <c r="RK72" s="218"/>
      <c r="RL72" s="218"/>
      <c r="RM72" s="218"/>
      <c r="RN72" s="218"/>
      <c r="RO72" s="218"/>
      <c r="RP72" s="218"/>
      <c r="RQ72" s="218"/>
      <c r="RR72" s="218"/>
      <c r="RS72" s="218"/>
      <c r="RT72" s="218"/>
      <c r="RU72" s="218"/>
      <c r="RV72" s="218"/>
      <c r="RW72" s="218"/>
      <c r="RX72" s="218"/>
      <c r="RY72" s="218"/>
      <c r="RZ72" s="218"/>
      <c r="SA72" s="218"/>
      <c r="SB72" s="218"/>
      <c r="SC72" s="218"/>
      <c r="SD72" s="218"/>
      <c r="SE72" s="218"/>
      <c r="SF72" s="218"/>
      <c r="SG72" s="218"/>
      <c r="SH72" s="218"/>
      <c r="SI72" s="218"/>
      <c r="SJ72" s="218"/>
      <c r="SK72" s="218"/>
      <c r="SL72" s="218"/>
      <c r="SM72" s="218"/>
      <c r="SN72" s="218"/>
      <c r="SO72" s="218"/>
      <c r="SP72" s="218"/>
      <c r="SQ72" s="218"/>
      <c r="SR72" s="218"/>
      <c r="SS72" s="218"/>
      <c r="ST72" s="218"/>
      <c r="SU72" s="218"/>
      <c r="SV72" s="218"/>
      <c r="SW72" s="218"/>
      <c r="SX72" s="218"/>
      <c r="SY72" s="218"/>
      <c r="SZ72" s="218"/>
      <c r="TA72" s="218"/>
      <c r="TB72" s="218"/>
      <c r="TC72" s="218"/>
      <c r="TD72" s="218"/>
      <c r="TE72" s="218"/>
      <c r="TF72" s="218"/>
      <c r="TG72" s="218"/>
      <c r="TH72" s="218"/>
      <c r="TI72" s="218"/>
      <c r="TJ72" s="218"/>
      <c r="TK72" s="218"/>
      <c r="TL72" s="218"/>
      <c r="TM72" s="218"/>
      <c r="TN72" s="218"/>
      <c r="TO72" s="218"/>
      <c r="TP72" s="218"/>
      <c r="TQ72" s="218"/>
      <c r="TR72" s="218"/>
      <c r="TS72" s="218"/>
      <c r="TT72" s="218"/>
      <c r="TU72" s="218"/>
      <c r="TV72" s="218"/>
      <c r="TW72" s="218"/>
      <c r="TX72" s="218"/>
      <c r="TY72" s="218"/>
      <c r="TZ72" s="218"/>
      <c r="UA72" s="218"/>
      <c r="UB72" s="218"/>
      <c r="UC72" s="218"/>
      <c r="UD72" s="218"/>
      <c r="UE72" s="218"/>
      <c r="UF72" s="218"/>
      <c r="UG72" s="218"/>
      <c r="UH72" s="218"/>
      <c r="UI72" s="218"/>
      <c r="UJ72" s="218"/>
      <c r="UK72" s="218"/>
      <c r="UL72" s="218"/>
      <c r="UM72" s="218"/>
      <c r="UN72" s="218"/>
      <c r="UO72" s="218"/>
      <c r="UP72" s="218"/>
      <c r="UQ72" s="218"/>
      <c r="UR72" s="218"/>
      <c r="US72" s="218"/>
      <c r="UT72" s="218"/>
      <c r="UU72" s="218"/>
      <c r="UV72" s="218"/>
      <c r="UW72" s="218"/>
      <c r="UX72" s="218"/>
      <c r="UY72" s="218"/>
      <c r="UZ72" s="218"/>
      <c r="VA72" s="218"/>
      <c r="VB72" s="218"/>
      <c r="VC72" s="218"/>
      <c r="VD72" s="218"/>
      <c r="VE72" s="218"/>
      <c r="VF72" s="218"/>
      <c r="VG72" s="218"/>
      <c r="VH72" s="218"/>
      <c r="VI72" s="218"/>
      <c r="VJ72" s="218"/>
      <c r="VK72" s="218"/>
      <c r="VL72" s="218"/>
      <c r="VM72" s="218"/>
      <c r="VN72" s="218"/>
      <c r="VO72" s="218"/>
      <c r="VP72" s="218"/>
      <c r="VQ72" s="218"/>
      <c r="VR72" s="218"/>
      <c r="VS72" s="218"/>
      <c r="VT72" s="218"/>
      <c r="VU72" s="218"/>
      <c r="VV72" s="218"/>
      <c r="VW72" s="218"/>
      <c r="VX72" s="218"/>
      <c r="VY72" s="218"/>
      <c r="VZ72" s="218"/>
      <c r="WA72" s="218"/>
      <c r="WB72" s="218"/>
      <c r="WC72" s="218"/>
      <c r="WD72" s="218"/>
      <c r="WE72" s="218"/>
      <c r="WF72" s="218"/>
      <c r="WG72" s="218"/>
      <c r="WH72" s="218"/>
      <c r="WI72" s="218"/>
      <c r="WJ72" s="218"/>
      <c r="WK72" s="218"/>
      <c r="WL72" s="218"/>
      <c r="WM72" s="218"/>
      <c r="WN72" s="218"/>
      <c r="WO72" s="218"/>
      <c r="WP72" s="218"/>
      <c r="WQ72" s="218"/>
      <c r="WR72" s="218"/>
      <c r="WS72" s="218"/>
      <c r="WT72" s="218"/>
      <c r="WU72" s="218"/>
      <c r="WV72" s="218"/>
      <c r="WW72" s="218"/>
      <c r="WX72" s="218"/>
      <c r="WY72" s="218"/>
      <c r="WZ72" s="218"/>
      <c r="XA72" s="218"/>
      <c r="XB72" s="218"/>
      <c r="XC72" s="218"/>
      <c r="XD72" s="218"/>
      <c r="XE72" s="218"/>
      <c r="XF72" s="218"/>
      <c r="XG72" s="218"/>
      <c r="XH72" s="218"/>
      <c r="XI72" s="218"/>
      <c r="XJ72" s="218"/>
      <c r="XK72" s="218"/>
      <c r="XL72" s="218"/>
      <c r="XM72" s="218"/>
      <c r="XN72" s="218"/>
      <c r="XO72" s="218"/>
      <c r="XP72" s="218"/>
      <c r="XQ72" s="218"/>
      <c r="XR72" s="218"/>
      <c r="XS72" s="218"/>
      <c r="XT72" s="218"/>
      <c r="XU72" s="218"/>
      <c r="XV72" s="218"/>
      <c r="XW72" s="218"/>
      <c r="XX72" s="218"/>
      <c r="XY72" s="218"/>
      <c r="XZ72" s="218"/>
      <c r="YA72" s="218"/>
      <c r="YB72" s="218"/>
      <c r="YC72" s="218"/>
      <c r="YD72" s="218"/>
      <c r="YE72" s="218"/>
      <c r="YF72" s="218"/>
      <c r="YG72" s="218"/>
      <c r="YH72" s="218"/>
      <c r="YI72" s="218"/>
      <c r="YJ72" s="218"/>
      <c r="YK72" s="218"/>
      <c r="YL72" s="218"/>
      <c r="YM72" s="218"/>
      <c r="YN72" s="218"/>
      <c r="YO72" s="218"/>
      <c r="YP72" s="218"/>
      <c r="YQ72" s="218"/>
      <c r="YR72" s="218"/>
      <c r="YS72" s="218"/>
      <c r="YT72" s="218"/>
      <c r="YU72" s="218"/>
      <c r="YV72" s="218"/>
      <c r="YW72" s="218"/>
      <c r="YX72" s="218"/>
      <c r="YY72" s="218"/>
      <c r="YZ72" s="218"/>
      <c r="ZA72" s="218"/>
      <c r="ZB72" s="218"/>
      <c r="ZC72" s="218"/>
      <c r="ZD72" s="218"/>
      <c r="ZE72" s="218"/>
      <c r="ZF72" s="218"/>
      <c r="ZG72" s="218"/>
      <c r="ZH72" s="218"/>
      <c r="ZI72" s="218"/>
      <c r="ZJ72" s="218"/>
      <c r="ZK72" s="218"/>
      <c r="ZL72" s="218"/>
      <c r="ZM72" s="218"/>
      <c r="ZN72" s="218"/>
      <c r="ZO72" s="218"/>
      <c r="ZP72" s="218"/>
      <c r="ZQ72" s="218"/>
      <c r="ZR72" s="218"/>
      <c r="ZS72" s="218"/>
      <c r="ZT72" s="218"/>
      <c r="ZU72" s="218"/>
      <c r="ZV72" s="218"/>
      <c r="ZW72" s="218"/>
      <c r="ZX72" s="218"/>
      <c r="ZY72" s="218"/>
      <c r="ZZ72" s="218"/>
      <c r="AAA72" s="218"/>
      <c r="AAB72" s="218"/>
      <c r="AAC72" s="218"/>
      <c r="AAD72" s="218"/>
      <c r="AAE72" s="218"/>
      <c r="AAF72" s="218"/>
      <c r="AAG72" s="218"/>
      <c r="AAH72" s="218"/>
      <c r="AAI72" s="218"/>
      <c r="AAJ72" s="218"/>
      <c r="AAK72" s="218"/>
      <c r="AAL72" s="218"/>
      <c r="AAM72" s="218"/>
      <c r="AAN72" s="218"/>
      <c r="AAO72" s="218"/>
      <c r="AAP72" s="218"/>
      <c r="AAQ72" s="218"/>
      <c r="AAR72" s="218"/>
      <c r="AAS72" s="218"/>
      <c r="AAT72" s="218"/>
      <c r="AAU72" s="218"/>
      <c r="AAV72" s="218"/>
      <c r="AAW72" s="218"/>
      <c r="AAX72" s="218"/>
      <c r="AAY72" s="218"/>
      <c r="AAZ72" s="218"/>
      <c r="ABA72" s="218"/>
      <c r="ABB72" s="218"/>
      <c r="ABC72" s="218"/>
      <c r="ABD72" s="218"/>
      <c r="ABE72" s="218"/>
      <c r="ABF72" s="218"/>
      <c r="ABG72" s="218"/>
      <c r="ABH72" s="218"/>
      <c r="ABI72" s="218"/>
      <c r="ABJ72" s="218"/>
      <c r="ABK72" s="218"/>
      <c r="ABL72" s="218"/>
      <c r="ABM72" s="218"/>
      <c r="ABN72" s="218"/>
      <c r="ABO72" s="218"/>
      <c r="ABP72" s="218"/>
      <c r="ABQ72" s="218"/>
      <c r="ABR72" s="218"/>
      <c r="ABS72" s="218"/>
      <c r="ABT72" s="218"/>
      <c r="ABU72" s="218"/>
      <c r="ABV72" s="218"/>
      <c r="ABW72" s="218"/>
      <c r="ABX72" s="218"/>
      <c r="ABY72" s="218"/>
      <c r="ABZ72" s="218"/>
      <c r="ACA72" s="218"/>
      <c r="ACB72" s="218"/>
      <c r="ACC72" s="218"/>
      <c r="ACD72" s="218"/>
      <c r="ACE72" s="218"/>
      <c r="ACF72" s="218"/>
      <c r="ACG72" s="218"/>
      <c r="ACH72" s="218"/>
      <c r="ACI72" s="218"/>
      <c r="ACJ72" s="218"/>
      <c r="ACK72" s="218"/>
      <c r="ACL72" s="218"/>
      <c r="ACM72" s="218"/>
      <c r="ACN72" s="218"/>
      <c r="ACO72" s="218"/>
      <c r="ACP72" s="218"/>
      <c r="ACQ72" s="218"/>
      <c r="ACR72" s="218"/>
      <c r="ACS72" s="218"/>
      <c r="ACT72" s="218"/>
      <c r="ACU72" s="218"/>
      <c r="ACV72" s="218"/>
      <c r="ACW72" s="218"/>
      <c r="ACX72" s="218"/>
      <c r="ACY72" s="218"/>
      <c r="ACZ72" s="218"/>
      <c r="ADA72" s="218"/>
      <c r="ADB72" s="218"/>
      <c r="ADC72" s="218"/>
      <c r="ADD72" s="218"/>
      <c r="ADE72" s="218"/>
      <c r="ADF72" s="218"/>
      <c r="ADG72" s="218"/>
      <c r="ADH72" s="218"/>
      <c r="ADI72" s="218"/>
      <c r="ADJ72" s="218"/>
      <c r="ADK72" s="218"/>
      <c r="ADL72" s="218"/>
      <c r="ADM72" s="218"/>
      <c r="ADN72" s="218"/>
      <c r="ADO72" s="218"/>
      <c r="ADP72" s="218"/>
      <c r="ADQ72" s="218"/>
      <c r="ADR72" s="218"/>
      <c r="ADS72" s="218"/>
      <c r="ADT72" s="218"/>
      <c r="ADU72" s="218"/>
      <c r="ADV72" s="218"/>
      <c r="ADW72" s="218"/>
      <c r="ADX72" s="218"/>
      <c r="ADY72" s="218"/>
      <c r="ADZ72" s="218"/>
      <c r="AEA72" s="218"/>
      <c r="AEB72" s="218"/>
      <c r="AEC72" s="218"/>
      <c r="AED72" s="218"/>
      <c r="AEE72" s="218"/>
      <c r="AEF72" s="218"/>
      <c r="AEG72" s="218"/>
      <c r="AEH72" s="218"/>
      <c r="AEI72" s="218"/>
      <c r="AEJ72" s="218"/>
      <c r="AEK72" s="218"/>
      <c r="AEL72" s="218"/>
      <c r="AEM72" s="218"/>
      <c r="AEN72" s="218"/>
      <c r="AEO72" s="218"/>
      <c r="AEP72" s="218"/>
      <c r="AEQ72" s="218"/>
      <c r="AER72" s="218"/>
      <c r="AES72" s="218"/>
      <c r="AET72" s="218"/>
      <c r="AEU72" s="218"/>
      <c r="AEV72" s="218"/>
      <c r="AEW72" s="218"/>
      <c r="AEX72" s="218"/>
      <c r="AEY72" s="218"/>
      <c r="AEZ72" s="218"/>
      <c r="AFA72" s="218"/>
      <c r="AFB72" s="218"/>
      <c r="AFC72" s="218"/>
      <c r="AFD72" s="218"/>
      <c r="AFE72" s="218"/>
      <c r="AFF72" s="218"/>
      <c r="AFG72" s="218"/>
      <c r="AFH72" s="218"/>
      <c r="AFI72" s="218"/>
      <c r="AFJ72" s="218"/>
      <c r="AFK72" s="218"/>
      <c r="AFL72" s="218"/>
      <c r="AFM72" s="218"/>
      <c r="AFN72" s="218"/>
      <c r="AFO72" s="218"/>
      <c r="AFP72" s="218"/>
      <c r="AFQ72" s="218"/>
      <c r="AFR72" s="218"/>
      <c r="AFS72" s="218"/>
      <c r="AFT72" s="218"/>
      <c r="AFU72" s="218"/>
      <c r="AFV72" s="218"/>
      <c r="AFW72" s="218"/>
      <c r="AFX72" s="218"/>
      <c r="AFY72" s="218"/>
      <c r="AFZ72" s="218"/>
      <c r="AGA72" s="218"/>
      <c r="AGB72" s="218"/>
      <c r="AGC72" s="218"/>
      <c r="AGD72" s="218"/>
      <c r="AGE72" s="218"/>
      <c r="AGF72" s="218"/>
      <c r="AGG72" s="218"/>
      <c r="AGH72" s="218"/>
      <c r="AGI72" s="218"/>
      <c r="AGJ72" s="218"/>
      <c r="AGK72" s="218"/>
      <c r="AGL72" s="218"/>
      <c r="AGM72" s="218"/>
      <c r="AGN72" s="218"/>
      <c r="AGO72" s="218"/>
      <c r="AGP72" s="218"/>
      <c r="AGQ72" s="218"/>
      <c r="AGR72" s="218"/>
      <c r="AGS72" s="218"/>
      <c r="AGT72" s="218"/>
      <c r="AGU72" s="218"/>
      <c r="AGV72" s="218"/>
      <c r="AGW72" s="218"/>
      <c r="AGX72" s="218"/>
      <c r="AGY72" s="218"/>
      <c r="AGZ72" s="218"/>
      <c r="AHA72" s="218"/>
      <c r="AHB72" s="218"/>
      <c r="AHC72" s="218"/>
      <c r="AHD72" s="218"/>
      <c r="AHE72" s="218"/>
      <c r="AHF72" s="218"/>
      <c r="AHG72" s="218"/>
      <c r="AHH72" s="218"/>
      <c r="AHI72" s="218"/>
      <c r="AHJ72" s="218"/>
      <c r="AHK72" s="218"/>
      <c r="AHL72" s="218"/>
      <c r="AHM72" s="218"/>
      <c r="AHN72" s="218"/>
      <c r="AHO72" s="218"/>
      <c r="AHP72" s="218"/>
      <c r="AHQ72" s="218"/>
      <c r="AHR72" s="218"/>
      <c r="AHS72" s="218"/>
      <c r="AHT72" s="218"/>
      <c r="AHU72" s="218"/>
      <c r="AHV72" s="218"/>
      <c r="AHW72" s="218"/>
      <c r="AHX72" s="218"/>
      <c r="AHY72" s="218"/>
      <c r="AHZ72" s="218"/>
      <c r="AIA72" s="218"/>
      <c r="AIB72" s="218"/>
      <c r="AIC72" s="218"/>
      <c r="AID72" s="218"/>
      <c r="AIE72" s="218"/>
      <c r="AIF72" s="218"/>
      <c r="AIG72" s="218"/>
      <c r="AIH72" s="218"/>
      <c r="AII72" s="218"/>
      <c r="AIJ72" s="218"/>
      <c r="AIK72" s="218"/>
      <c r="AIL72" s="218"/>
      <c r="AIM72" s="218"/>
      <c r="AIN72" s="218"/>
      <c r="AIO72" s="218"/>
      <c r="AIP72" s="218"/>
      <c r="AIQ72" s="218"/>
      <c r="AIR72" s="218"/>
      <c r="AIS72" s="218"/>
      <c r="AIT72" s="218"/>
      <c r="AIU72" s="218"/>
      <c r="AIV72" s="218"/>
      <c r="AIW72" s="218"/>
      <c r="AIX72" s="218"/>
      <c r="AIY72" s="218"/>
      <c r="AIZ72" s="218"/>
      <c r="AJA72" s="218"/>
      <c r="AJB72" s="218"/>
      <c r="AJC72" s="218"/>
      <c r="AJD72" s="218"/>
      <c r="AJE72" s="218"/>
      <c r="AJF72" s="218"/>
      <c r="AJG72" s="218"/>
      <c r="AJH72" s="218"/>
      <c r="AJI72" s="218"/>
      <c r="AJJ72" s="218"/>
      <c r="AJK72" s="218"/>
      <c r="AJL72" s="218"/>
      <c r="AJM72" s="218"/>
      <c r="AJN72" s="218"/>
      <c r="AJO72" s="218"/>
      <c r="AJP72" s="218"/>
      <c r="AJQ72" s="218"/>
      <c r="AJR72" s="218"/>
      <c r="AJS72" s="218"/>
      <c r="AJT72" s="218"/>
      <c r="AJU72" s="218"/>
      <c r="AJV72" s="218"/>
      <c r="AJW72" s="218"/>
      <c r="AJX72" s="218"/>
      <c r="AJY72" s="218"/>
      <c r="AJZ72" s="218"/>
      <c r="AKA72" s="218"/>
      <c r="AKB72" s="218"/>
      <c r="AKC72" s="218"/>
      <c r="AKD72" s="218"/>
      <c r="AKE72" s="218"/>
      <c r="AKF72" s="218"/>
      <c r="AKG72" s="218"/>
      <c r="AKH72" s="218"/>
      <c r="AKI72" s="218"/>
      <c r="AKJ72" s="218"/>
      <c r="AKK72" s="218"/>
      <c r="AKL72" s="218"/>
      <c r="AKM72" s="218"/>
      <c r="AKN72" s="218"/>
      <c r="AKO72" s="218"/>
      <c r="AKP72" s="218"/>
      <c r="AKQ72" s="218"/>
      <c r="AKR72" s="218"/>
      <c r="AKS72" s="218"/>
      <c r="AKT72" s="218"/>
      <c r="AKU72" s="218"/>
      <c r="AKV72" s="218"/>
      <c r="AKW72" s="218"/>
      <c r="AKX72" s="218"/>
      <c r="AKY72" s="218"/>
      <c r="AKZ72" s="218"/>
      <c r="ALA72" s="218"/>
      <c r="ALB72" s="218"/>
      <c r="ALC72" s="218"/>
      <c r="ALD72" s="218"/>
      <c r="ALE72" s="218"/>
      <c r="ALF72" s="218"/>
      <c r="ALG72" s="218"/>
      <c r="ALH72" s="218"/>
      <c r="ALI72" s="218"/>
      <c r="ALJ72" s="218"/>
      <c r="ALK72" s="218"/>
      <c r="ALL72" s="218"/>
      <c r="ALM72" s="218"/>
      <c r="ALN72" s="218"/>
      <c r="ALO72" s="218"/>
      <c r="ALP72" s="218"/>
      <c r="ALQ72" s="218"/>
      <c r="ALR72" s="218"/>
      <c r="ALS72" s="218"/>
      <c r="ALT72" s="218"/>
      <c r="ALU72" s="218"/>
      <c r="ALV72" s="218"/>
      <c r="ALW72" s="218"/>
      <c r="ALX72" s="218"/>
      <c r="ALY72" s="218"/>
      <c r="ALZ72" s="218"/>
      <c r="AMA72" s="218"/>
      <c r="AMB72" s="218"/>
      <c r="AMC72" s="218"/>
      <c r="AMD72" s="218"/>
      <c r="AME72" s="218"/>
      <c r="AMF72" s="218"/>
      <c r="AMG72" s="218"/>
      <c r="AMH72" s="218"/>
      <c r="AMI72" s="218"/>
      <c r="AMJ72" s="218"/>
      <c r="AMK72" s="218"/>
      <c r="AML72" s="218"/>
      <c r="AMM72" s="218"/>
      <c r="AMN72" s="218"/>
      <c r="AMO72" s="218"/>
      <c r="AMP72" s="218"/>
      <c r="AMQ72" s="218"/>
      <c r="AMR72" s="218"/>
      <c r="AMS72" s="218"/>
      <c r="AMT72" s="218"/>
      <c r="AMU72" s="218"/>
      <c r="AMV72" s="218"/>
      <c r="AMW72" s="218"/>
      <c r="AMX72" s="218"/>
      <c r="AMY72" s="218"/>
      <c r="AMZ72" s="218"/>
      <c r="ANA72" s="218"/>
      <c r="ANB72" s="218"/>
      <c r="ANC72" s="218"/>
      <c r="AND72" s="218"/>
      <c r="ANE72" s="218"/>
      <c r="ANF72" s="218"/>
      <c r="ANG72" s="218"/>
      <c r="ANH72" s="218"/>
      <c r="ANI72" s="218"/>
      <c r="ANJ72" s="218"/>
      <c r="ANK72" s="218"/>
      <c r="ANL72" s="218"/>
      <c r="ANM72" s="218"/>
      <c r="ANN72" s="218"/>
      <c r="ANO72" s="218"/>
      <c r="ANP72" s="218"/>
      <c r="ANQ72" s="218"/>
      <c r="ANR72" s="218"/>
      <c r="ANS72" s="218"/>
      <c r="ANT72" s="218"/>
      <c r="ANU72" s="218"/>
      <c r="ANV72" s="218"/>
      <c r="ANW72" s="218"/>
      <c r="ANX72" s="218"/>
      <c r="ANY72" s="218"/>
      <c r="ANZ72" s="218"/>
      <c r="AOA72" s="218"/>
      <c r="AOB72" s="218"/>
      <c r="AOC72" s="218"/>
      <c r="AOD72" s="218"/>
      <c r="AOE72" s="218"/>
      <c r="AOF72" s="218"/>
      <c r="AOG72" s="218"/>
      <c r="AOH72" s="218"/>
      <c r="AOI72" s="218"/>
      <c r="AOJ72" s="218"/>
      <c r="AOK72" s="218"/>
      <c r="AOL72" s="218"/>
      <c r="AOM72" s="218"/>
      <c r="AON72" s="218"/>
      <c r="AOO72" s="218"/>
      <c r="AOP72" s="218"/>
      <c r="AOQ72" s="218"/>
      <c r="AOR72" s="218"/>
      <c r="AOS72" s="218"/>
      <c r="AOT72" s="218"/>
      <c r="AOU72" s="218"/>
      <c r="AOV72" s="218"/>
      <c r="AOW72" s="218"/>
      <c r="AOX72" s="218"/>
      <c r="AOY72" s="218"/>
      <c r="AOZ72" s="218"/>
      <c r="APA72" s="218"/>
      <c r="APB72" s="218"/>
      <c r="APC72" s="218"/>
      <c r="APD72" s="218"/>
      <c r="APE72" s="218"/>
      <c r="APF72" s="218"/>
      <c r="APG72" s="218"/>
      <c r="APH72" s="218"/>
      <c r="API72" s="218"/>
      <c r="APJ72" s="218"/>
      <c r="APK72" s="218"/>
      <c r="APL72" s="218"/>
      <c r="APM72" s="218"/>
      <c r="APN72" s="218"/>
      <c r="APO72" s="218"/>
      <c r="APP72" s="218"/>
      <c r="APQ72" s="218"/>
      <c r="APR72" s="218"/>
      <c r="APS72" s="218"/>
      <c r="APT72" s="218"/>
      <c r="APU72" s="218"/>
      <c r="APV72" s="218"/>
      <c r="APW72" s="218"/>
      <c r="APX72" s="218"/>
      <c r="APY72" s="218"/>
      <c r="APZ72" s="218"/>
      <c r="AQA72" s="218"/>
      <c r="AQB72" s="218"/>
      <c r="AQC72" s="218"/>
      <c r="AQD72" s="218"/>
      <c r="AQE72" s="218"/>
      <c r="AQF72" s="218"/>
      <c r="AQG72" s="218"/>
      <c r="AQH72" s="218"/>
      <c r="AQI72" s="218"/>
      <c r="AQJ72" s="218"/>
      <c r="AQK72" s="218"/>
      <c r="AQL72" s="218"/>
      <c r="AQM72" s="218"/>
      <c r="AQN72" s="218"/>
      <c r="AQO72" s="218"/>
      <c r="AQP72" s="218"/>
      <c r="AQQ72" s="218"/>
      <c r="AQR72" s="218"/>
      <c r="AQS72" s="218"/>
      <c r="AQT72" s="218"/>
      <c r="AQU72" s="218"/>
      <c r="AQV72" s="218"/>
      <c r="AQW72" s="218"/>
      <c r="AQX72" s="218"/>
      <c r="AQY72" s="218"/>
      <c r="AQZ72" s="218"/>
      <c r="ARA72" s="218"/>
      <c r="ARB72" s="218"/>
      <c r="ARC72" s="218"/>
      <c r="ARD72" s="218"/>
      <c r="ARE72" s="218"/>
      <c r="ARF72" s="218"/>
      <c r="ARG72" s="218"/>
      <c r="ARH72" s="218"/>
      <c r="ARI72" s="218"/>
      <c r="ARJ72" s="218"/>
      <c r="ARK72" s="218"/>
      <c r="ARL72" s="218"/>
      <c r="ARM72" s="218"/>
      <c r="ARN72" s="218"/>
      <c r="ARO72" s="218"/>
      <c r="ARP72" s="218"/>
      <c r="ARQ72" s="218"/>
      <c r="ARR72" s="218"/>
      <c r="ARS72" s="218"/>
      <c r="ART72" s="218"/>
      <c r="ARU72" s="218"/>
      <c r="ARV72" s="218"/>
      <c r="ARW72" s="218"/>
      <c r="ARX72" s="218"/>
      <c r="ARY72" s="218"/>
      <c r="ARZ72" s="218"/>
      <c r="ASA72" s="218"/>
      <c r="ASB72" s="218"/>
      <c r="ASC72" s="218"/>
      <c r="ASD72" s="218"/>
      <c r="ASE72" s="218"/>
      <c r="ASF72" s="218"/>
      <c r="ASG72" s="218"/>
      <c r="ASH72" s="218"/>
      <c r="ASI72" s="218"/>
      <c r="ASJ72" s="218"/>
      <c r="ASK72" s="218"/>
      <c r="ASL72" s="218"/>
      <c r="ASM72" s="218"/>
      <c r="ASN72" s="218"/>
      <c r="ASO72" s="218"/>
      <c r="ASP72" s="218"/>
      <c r="ASQ72" s="218"/>
      <c r="ASR72" s="218"/>
      <c r="ASS72" s="218"/>
      <c r="AST72" s="218"/>
      <c r="ASU72" s="218"/>
      <c r="ASV72" s="218"/>
      <c r="ASW72" s="218"/>
      <c r="ASX72" s="218"/>
      <c r="ASY72" s="218"/>
      <c r="ASZ72" s="218"/>
      <c r="ATA72" s="218"/>
      <c r="ATB72" s="218"/>
      <c r="ATC72" s="218"/>
      <c r="ATD72" s="218"/>
      <c r="ATE72" s="218"/>
      <c r="ATF72" s="218"/>
      <c r="ATG72" s="218"/>
      <c r="ATH72" s="218"/>
      <c r="ATI72" s="218"/>
      <c r="ATJ72" s="218"/>
      <c r="ATK72" s="218"/>
      <c r="ATL72" s="218"/>
      <c r="ATM72" s="218"/>
      <c r="ATN72" s="218"/>
      <c r="ATO72" s="218"/>
      <c r="ATP72" s="218"/>
      <c r="ATQ72" s="218"/>
      <c r="ATR72" s="218"/>
      <c r="ATS72" s="218"/>
      <c r="ATT72" s="218"/>
      <c r="ATU72" s="218"/>
      <c r="ATV72" s="218"/>
      <c r="ATW72" s="218"/>
      <c r="ATX72" s="218"/>
      <c r="ATY72" s="218"/>
      <c r="ATZ72" s="218"/>
      <c r="AUA72" s="218"/>
      <c r="AUB72" s="218"/>
      <c r="AUC72" s="218"/>
      <c r="AUD72" s="218"/>
      <c r="AUE72" s="218"/>
      <c r="AUF72" s="218"/>
      <c r="AUG72" s="218"/>
      <c r="AUH72" s="218"/>
      <c r="AUI72" s="218"/>
      <c r="AUJ72" s="218"/>
      <c r="AUK72" s="218"/>
      <c r="AUL72" s="218"/>
      <c r="AUM72" s="218"/>
      <c r="AUN72" s="218"/>
      <c r="AUO72" s="218"/>
      <c r="AUP72" s="218"/>
      <c r="AUQ72" s="218"/>
      <c r="AUR72" s="218"/>
      <c r="AUS72" s="218"/>
      <c r="AUT72" s="218"/>
      <c r="AUU72" s="218"/>
      <c r="AUV72" s="218"/>
      <c r="AUW72" s="218"/>
      <c r="AUX72" s="218"/>
      <c r="AUY72" s="218"/>
      <c r="AUZ72" s="218"/>
      <c r="AVA72" s="218"/>
      <c r="AVB72" s="218"/>
      <c r="AVC72" s="218"/>
      <c r="AVD72" s="218"/>
      <c r="AVE72" s="218"/>
      <c r="AVF72" s="218"/>
      <c r="AVG72" s="218"/>
      <c r="AVH72" s="218"/>
      <c r="AVI72" s="218"/>
      <c r="AVJ72" s="218"/>
      <c r="AVK72" s="218"/>
      <c r="AVL72" s="218"/>
      <c r="AVM72" s="218"/>
      <c r="AVN72" s="218"/>
      <c r="AVO72" s="218"/>
      <c r="AVP72" s="218"/>
      <c r="AVQ72" s="218"/>
      <c r="AVR72" s="218"/>
      <c r="AVS72" s="218"/>
      <c r="AVT72" s="218"/>
      <c r="AVU72" s="218"/>
      <c r="AVV72" s="218"/>
      <c r="AVW72" s="218"/>
      <c r="AVX72" s="218"/>
      <c r="AVY72" s="218"/>
      <c r="AVZ72" s="218"/>
      <c r="AWA72" s="218"/>
      <c r="AWB72" s="218"/>
      <c r="AWC72" s="218"/>
      <c r="AWD72" s="218"/>
      <c r="AWE72" s="218"/>
      <c r="AWF72" s="218"/>
      <c r="AWG72" s="218"/>
      <c r="AWH72" s="218"/>
      <c r="AWI72" s="218"/>
      <c r="AWJ72" s="218"/>
      <c r="AWK72" s="218"/>
      <c r="AWL72" s="218"/>
      <c r="AWM72" s="218"/>
      <c r="AWN72" s="218"/>
      <c r="AWO72" s="218"/>
      <c r="AWP72" s="218"/>
      <c r="AWQ72" s="218"/>
      <c r="AWR72" s="218"/>
      <c r="AWS72" s="218"/>
      <c r="AWT72" s="218"/>
      <c r="AWU72" s="218"/>
      <c r="AWV72" s="218"/>
      <c r="AWW72" s="218"/>
      <c r="AWX72" s="218"/>
      <c r="AWY72" s="218"/>
      <c r="AWZ72" s="218"/>
      <c r="AXA72" s="218"/>
      <c r="AXB72" s="218"/>
      <c r="AXC72" s="218"/>
      <c r="AXD72" s="218"/>
      <c r="AXE72" s="218"/>
      <c r="AXF72" s="218"/>
      <c r="AXG72" s="218"/>
      <c r="AXH72" s="218"/>
      <c r="AXI72" s="218"/>
      <c r="AXJ72" s="218"/>
      <c r="AXK72" s="218"/>
      <c r="AXL72" s="218"/>
      <c r="AXM72" s="218"/>
      <c r="AXN72" s="218"/>
      <c r="AXO72" s="218"/>
      <c r="AXP72" s="218"/>
      <c r="AXQ72" s="218"/>
      <c r="AXR72" s="218"/>
      <c r="AXS72" s="218"/>
      <c r="AXT72" s="218"/>
      <c r="AXU72" s="218"/>
      <c r="AXV72" s="218"/>
      <c r="AXW72" s="218"/>
      <c r="AXX72" s="218"/>
      <c r="AXY72" s="218"/>
      <c r="AXZ72" s="218"/>
      <c r="AYA72" s="218"/>
      <c r="AYB72" s="218"/>
      <c r="AYC72" s="218"/>
      <c r="AYD72" s="218"/>
      <c r="AYE72" s="218"/>
      <c r="AYF72" s="218"/>
      <c r="AYG72" s="218"/>
      <c r="AYH72" s="218"/>
      <c r="AYI72" s="218"/>
      <c r="AYJ72" s="218"/>
      <c r="AYK72" s="218"/>
      <c r="AYL72" s="218"/>
      <c r="AYM72" s="218"/>
      <c r="AYN72" s="218"/>
      <c r="AYO72" s="218"/>
      <c r="AYP72" s="218"/>
      <c r="AYQ72" s="218"/>
      <c r="AYR72" s="218"/>
      <c r="AYS72" s="218"/>
      <c r="AYT72" s="218"/>
      <c r="AYU72" s="218"/>
      <c r="AYV72" s="218"/>
      <c r="AYW72" s="218"/>
      <c r="AYX72" s="218"/>
      <c r="AYY72" s="218"/>
      <c r="AYZ72" s="218"/>
      <c r="AZA72" s="218"/>
      <c r="AZB72" s="218"/>
      <c r="AZC72" s="218"/>
      <c r="AZD72" s="218"/>
      <c r="AZE72" s="218"/>
      <c r="AZF72" s="218"/>
      <c r="AZG72" s="218"/>
      <c r="AZH72" s="218"/>
      <c r="AZI72" s="218"/>
      <c r="AZJ72" s="218"/>
      <c r="AZK72" s="218"/>
      <c r="AZL72" s="218"/>
      <c r="AZM72" s="218"/>
      <c r="AZN72" s="218"/>
      <c r="AZO72" s="218"/>
      <c r="AZP72" s="218"/>
      <c r="AZQ72" s="218"/>
      <c r="AZR72" s="218"/>
      <c r="AZS72" s="218"/>
      <c r="AZT72" s="218"/>
      <c r="AZU72" s="218"/>
      <c r="AZV72" s="218"/>
      <c r="AZW72" s="218"/>
      <c r="AZX72" s="218"/>
      <c r="AZY72" s="218"/>
      <c r="AZZ72" s="218"/>
      <c r="BAA72" s="218"/>
      <c r="BAB72" s="218"/>
      <c r="BAC72" s="218"/>
      <c r="BAD72" s="218"/>
      <c r="BAE72" s="218"/>
      <c r="BAF72" s="218"/>
      <c r="BAG72" s="218"/>
      <c r="BAH72" s="218"/>
      <c r="BAI72" s="218"/>
      <c r="BAJ72" s="218"/>
      <c r="BAK72" s="218"/>
      <c r="BAL72" s="218"/>
      <c r="BAM72" s="218"/>
      <c r="BAN72" s="218"/>
      <c r="BAO72" s="218"/>
      <c r="BAP72" s="218"/>
      <c r="BAQ72" s="218"/>
      <c r="BAR72" s="218"/>
      <c r="BAS72" s="218"/>
      <c r="BAT72" s="218"/>
      <c r="BAU72" s="218"/>
      <c r="BAV72" s="218"/>
      <c r="BAW72" s="218"/>
      <c r="BAX72" s="218"/>
      <c r="BAY72" s="218"/>
      <c r="BAZ72" s="218"/>
      <c r="BBA72" s="218"/>
      <c r="BBB72" s="218"/>
      <c r="BBC72" s="218"/>
      <c r="BBD72" s="218"/>
      <c r="BBE72" s="218"/>
      <c r="BBF72" s="218"/>
      <c r="BBG72" s="218"/>
      <c r="BBH72" s="218"/>
      <c r="BBI72" s="218"/>
      <c r="BBJ72" s="218"/>
      <c r="BBK72" s="218"/>
      <c r="BBL72" s="218"/>
      <c r="BBM72" s="218"/>
      <c r="BBN72" s="218"/>
      <c r="BBO72" s="218"/>
      <c r="BBP72" s="218"/>
      <c r="BBQ72" s="218"/>
      <c r="BBR72" s="218"/>
      <c r="BBS72" s="218"/>
      <c r="BBT72" s="218"/>
      <c r="BBU72" s="218"/>
      <c r="BBV72" s="218"/>
      <c r="BBW72" s="218"/>
      <c r="BBX72" s="218"/>
      <c r="BBY72" s="218"/>
      <c r="BBZ72" s="218"/>
      <c r="BCA72" s="218"/>
      <c r="BCB72" s="218"/>
      <c r="BCC72" s="218"/>
      <c r="BCD72" s="218"/>
      <c r="BCE72" s="218"/>
      <c r="BCF72" s="218"/>
      <c r="BCG72" s="218"/>
      <c r="BCH72" s="218"/>
      <c r="BCI72" s="218"/>
      <c r="BCJ72" s="218"/>
      <c r="BCK72" s="218"/>
      <c r="BCL72" s="218"/>
      <c r="BCM72" s="218"/>
      <c r="BCN72" s="218"/>
      <c r="BCO72" s="218"/>
      <c r="BCP72" s="218"/>
      <c r="BCQ72" s="218"/>
      <c r="BCR72" s="218"/>
      <c r="BCS72" s="218"/>
      <c r="BCT72" s="218"/>
      <c r="BCU72" s="218"/>
      <c r="BCV72" s="218"/>
      <c r="BCW72" s="218"/>
      <c r="BCX72" s="218"/>
      <c r="BCY72" s="218"/>
      <c r="BCZ72" s="218"/>
      <c r="BDA72" s="218"/>
      <c r="BDB72" s="218"/>
      <c r="BDC72" s="218"/>
      <c r="BDD72" s="218"/>
      <c r="BDE72" s="218"/>
      <c r="BDF72" s="218"/>
      <c r="BDG72" s="218"/>
      <c r="BDH72" s="218"/>
      <c r="BDI72" s="218"/>
      <c r="BDJ72" s="218"/>
      <c r="BDK72" s="218"/>
      <c r="BDL72" s="218"/>
      <c r="BDM72" s="218"/>
      <c r="BDN72" s="218"/>
      <c r="BDO72" s="218"/>
      <c r="BDP72" s="218"/>
      <c r="BDQ72" s="218"/>
      <c r="BDR72" s="218"/>
      <c r="BDS72" s="218"/>
      <c r="BDT72" s="218"/>
      <c r="BDU72" s="218"/>
      <c r="BDV72" s="218"/>
      <c r="BDW72" s="218"/>
      <c r="BDX72" s="218"/>
      <c r="BDY72" s="218"/>
      <c r="BDZ72" s="218"/>
      <c r="BEA72" s="218"/>
      <c r="BEB72" s="218"/>
      <c r="BEC72" s="218"/>
      <c r="BED72" s="218"/>
      <c r="BEE72" s="218"/>
      <c r="BEF72" s="218"/>
      <c r="BEG72" s="218"/>
      <c r="BEH72" s="218"/>
      <c r="BEI72" s="218"/>
      <c r="BEJ72" s="218"/>
      <c r="BEK72" s="218"/>
      <c r="BEL72" s="218"/>
      <c r="BEM72" s="218"/>
      <c r="BEN72" s="218"/>
      <c r="BEO72" s="218"/>
      <c r="BEP72" s="218"/>
      <c r="BEQ72" s="218"/>
      <c r="BER72" s="218"/>
      <c r="BES72" s="218"/>
      <c r="BET72" s="218"/>
      <c r="BEU72" s="218"/>
      <c r="BEV72" s="218"/>
      <c r="BEW72" s="218"/>
      <c r="BEX72" s="218"/>
      <c r="BEY72" s="218"/>
      <c r="BEZ72" s="218"/>
      <c r="BFA72" s="218"/>
      <c r="BFB72" s="218"/>
      <c r="BFC72" s="218"/>
      <c r="BFD72" s="218"/>
      <c r="BFE72" s="218"/>
      <c r="BFF72" s="218"/>
      <c r="BFG72" s="218"/>
      <c r="BFH72" s="218"/>
      <c r="BFI72" s="218"/>
      <c r="BFJ72" s="218"/>
      <c r="BFK72" s="218"/>
      <c r="BFL72" s="218"/>
      <c r="BFM72" s="218"/>
      <c r="BFN72" s="218"/>
      <c r="BFO72" s="218"/>
      <c r="BFP72" s="218"/>
      <c r="BFQ72" s="218"/>
      <c r="BFR72" s="218"/>
      <c r="BFS72" s="218"/>
      <c r="BFT72" s="218"/>
      <c r="BFU72" s="218"/>
      <c r="BFV72" s="218"/>
      <c r="BFW72" s="218"/>
      <c r="BFX72" s="218"/>
      <c r="BFY72" s="218"/>
      <c r="BFZ72" s="218"/>
      <c r="BGA72" s="218"/>
      <c r="BGB72" s="218"/>
      <c r="BGC72" s="218"/>
      <c r="BGD72" s="218"/>
      <c r="BGE72" s="218"/>
      <c r="BGF72" s="218"/>
      <c r="BGG72" s="218"/>
      <c r="BGH72" s="218"/>
      <c r="BGI72" s="218"/>
      <c r="BGJ72" s="218"/>
      <c r="BGK72" s="218"/>
      <c r="BGL72" s="218"/>
      <c r="BGM72" s="218"/>
      <c r="BGN72" s="218"/>
      <c r="BGO72" s="218"/>
      <c r="BGP72" s="218"/>
      <c r="BGQ72" s="218"/>
      <c r="BGR72" s="218"/>
      <c r="BGS72" s="218"/>
      <c r="BGT72" s="218"/>
      <c r="BGU72" s="218"/>
      <c r="BGV72" s="218"/>
      <c r="BGW72" s="218"/>
      <c r="BGX72" s="218"/>
      <c r="BGY72" s="218"/>
      <c r="BGZ72" s="218"/>
      <c r="BHA72" s="218"/>
      <c r="BHB72" s="218"/>
      <c r="BHC72" s="218"/>
      <c r="BHD72" s="218"/>
      <c r="BHE72" s="218"/>
      <c r="BHF72" s="218"/>
      <c r="BHG72" s="218"/>
      <c r="BHH72" s="218"/>
      <c r="BHI72" s="218"/>
      <c r="BHJ72" s="218"/>
      <c r="BHK72" s="218"/>
      <c r="BHL72" s="218"/>
      <c r="BHM72" s="218"/>
      <c r="BHN72" s="218"/>
      <c r="BHO72" s="218"/>
      <c r="BHP72" s="218"/>
      <c r="BHQ72" s="218"/>
      <c r="BHR72" s="218"/>
      <c r="BHS72" s="218"/>
      <c r="BHT72" s="218"/>
      <c r="BHU72" s="218"/>
      <c r="BHV72" s="218"/>
      <c r="BHW72" s="218"/>
    </row>
    <row r="73" spans="1:1583" s="216" customFormat="1" ht="16.5">
      <c r="A73" s="251" t="s">
        <v>83</v>
      </c>
      <c r="B73" s="184" t="s">
        <v>381</v>
      </c>
      <c r="C73" s="416" t="s">
        <v>504</v>
      </c>
      <c r="D73" s="420" t="s">
        <v>559</v>
      </c>
      <c r="E73" s="63" t="s">
        <v>42</v>
      </c>
      <c r="F73" s="131">
        <v>45</v>
      </c>
      <c r="G73" s="60" t="s">
        <v>727</v>
      </c>
      <c r="H73" s="473">
        <f t="shared" si="21"/>
        <v>30.757096546523712</v>
      </c>
      <c r="I73" s="95">
        <f>VLOOKUP($B73,'DCS Data'!$E$2:$AJ$100,MATCH('Daily Report'!I$1,'DCS Data'!$E$2:$AJ$2,0),0)</f>
        <v>34.601791474742029</v>
      </c>
      <c r="J73" s="255"/>
      <c r="K73" s="95">
        <f>VLOOKUP($B73,'DCS Data'!$E$2:$AJ$100,MATCH('Daily Report'!K$1,'DCS Data'!$E$2:$AJ$2,0),0)</f>
        <v>33.166352613259576</v>
      </c>
      <c r="L73" s="95">
        <f>VLOOKUP($B73,'DCS Data'!$E$2:$AJ$100,MATCH('Daily Report'!L$1,'DCS Data'!$E$2:$AJ$2,0),0)</f>
        <v>32.200875295817077</v>
      </c>
      <c r="M73" s="95">
        <f>VLOOKUP($B73,'DCS Data'!$E$2:$AJ$100,MATCH('Daily Report'!M$1,'DCS Data'!$E$2:$AJ$2,0),0)</f>
        <v>31.191070521305033</v>
      </c>
      <c r="N73" s="95">
        <f>VLOOKUP($B73,'DCS Data'!$E$2:$AJ$100,MATCH('Daily Report'!N$1,'DCS Data'!$E$2:$AJ$2,0),0)</f>
        <v>31.569694777976061</v>
      </c>
      <c r="O73" s="95">
        <f>VLOOKUP($B73,'DCS Data'!$E$2:$AJ$100,MATCH('Daily Report'!O$1,'DCS Data'!$E$2:$AJ$2,0),0)</f>
        <v>31.099280523456734</v>
      </c>
      <c r="P73" s="95">
        <f>VLOOKUP($B73,'DCS Data'!$E$2:$AJ$100,MATCH('Daily Report'!P$1,'DCS Data'!$E$2:$AJ$2,0),0)</f>
        <v>31.463176326924401</v>
      </c>
      <c r="Q73" s="95">
        <f>VLOOKUP($B73,'DCS Data'!$E$2:$AJ$100,MATCH('Daily Report'!Q$1,'DCS Data'!$E$2:$AJ$2,0),0)</f>
        <v>32.192817945210891</v>
      </c>
      <c r="R73" s="95">
        <f>VLOOKUP($B73,'DCS Data'!$E$2:$AJ$100,MATCH('Daily Report'!R$1,'DCS Data'!$E$2:$AJ$2,0),0)</f>
        <v>31.564681224932233</v>
      </c>
      <c r="S73" s="95">
        <f>VLOOKUP($B73,'DCS Data'!$E$2:$AJ$100,MATCH('Daily Report'!S$1,'DCS Data'!$E$2:$AJ$2,0),0)</f>
        <v>31.59615802194562</v>
      </c>
      <c r="T73" s="95">
        <f>VLOOKUP($B73,'DCS Data'!$E$2:$AJ$100,MATCH('Daily Report'!T$1,'DCS Data'!$E$2:$AJ$2,0),0)</f>
        <v>31.209434270360799</v>
      </c>
      <c r="U73" s="95">
        <f>VLOOKUP($B73,'DCS Data'!$E$2:$AJ$100,MATCH('Daily Report'!U$1,'DCS Data'!$E$2:$AJ$2,0),0)</f>
        <v>31.07274230390896</v>
      </c>
      <c r="V73" s="95">
        <f>VLOOKUP($B73,'DCS Data'!$E$2:$AJ$100,MATCH('Daily Report'!V$1,'DCS Data'!$E$2:$AJ$2,0),0)</f>
        <v>29.870896364038707</v>
      </c>
      <c r="W73" s="95">
        <f>VLOOKUP($B73,'DCS Data'!$E$2:$AJ$100,MATCH('Daily Report'!W$1,'DCS Data'!$E$2:$AJ$2,0),0)</f>
        <v>30.332988692607312</v>
      </c>
      <c r="X73" s="95">
        <f>VLOOKUP($B73,'DCS Data'!$E$2:$AJ$100,MATCH('Daily Report'!X$1,'DCS Data'!$E$2:$AJ$2,0),0)</f>
        <v>29.983726954610962</v>
      </c>
      <c r="Y73" s="95">
        <f>VLOOKUP($B73,'DCS Data'!$E$2:$AJ$100,MATCH('Daily Report'!Y$1,'DCS Data'!$E$2:$AJ$2,0),0)</f>
        <v>30.066784856891118</v>
      </c>
      <c r="Z73" s="95">
        <f>VLOOKUP($B73,'DCS Data'!$E$2:$AJ$100,MATCH('Daily Report'!Z$1,'DCS Data'!$E$2:$AJ$2,0),0)</f>
        <v>30.451501615445402</v>
      </c>
      <c r="AA73" s="95">
        <f>VLOOKUP($B73,'DCS Data'!$E$2:$AJ$100,MATCH('Daily Report'!AA$1,'DCS Data'!$E$2:$AJ$2,0),0)</f>
        <v>30.507766185609572</v>
      </c>
      <c r="AB73" s="95">
        <f>VLOOKUP($B73,'DCS Data'!$E$2:$AJ$100,MATCH('Daily Report'!AB$1,'DCS Data'!$E$2:$AJ$2,0),0)</f>
        <v>29.814835418214241</v>
      </c>
      <c r="AC73" s="95">
        <f>VLOOKUP($B73,'DCS Data'!$E$2:$AJ$100,MATCH('Daily Report'!AC$1,'DCS Data'!$E$2:$AJ$2,0),0)</f>
        <v>31.126215491212776</v>
      </c>
      <c r="AD73" s="95">
        <f>VLOOKUP($B73,'DCS Data'!$E$2:$AJ$100,MATCH('Daily Report'!AD$1,'DCS Data'!$E$2:$AJ$2,0),0)</f>
        <v>30.221755073826955</v>
      </c>
      <c r="AE73" s="95">
        <f>VLOOKUP($B73,'DCS Data'!$E$2:$AJ$100,MATCH('Daily Report'!AE$1,'DCS Data'!$E$2:$AJ$2,0),0)</f>
        <v>30.006212425009632</v>
      </c>
      <c r="AF73" s="95">
        <f>VLOOKUP($B73,'DCS Data'!$E$2:$AJ$100,MATCH('Daily Report'!AF$1,'DCS Data'!$E$2:$AJ$2,0),0)</f>
        <v>30.068411390516552</v>
      </c>
      <c r="AG73" s="95">
        <f>VLOOKUP($B73,'DCS Data'!$E$2:$AJ$100,MATCH('Daily Report'!AG$1,'DCS Data'!$E$2:$AJ$2,0),0)</f>
        <v>30.374667222755871</v>
      </c>
      <c r="AH73" s="95">
        <f>VLOOKUP($B73,'DCS Data'!$E$2:$AJ$100,MATCH('Daily Report'!AH$1,'DCS Data'!$E$2:$AJ$2,0),0)</f>
        <v>31.123696596902267</v>
      </c>
      <c r="AI73" s="95">
        <f>VLOOKUP($B73,'DCS Data'!$E$2:$AJ$100,MATCH('Daily Report'!AI$1,'DCS Data'!$E$2:$AJ$2,0),0)</f>
        <v>31.387818888165558</v>
      </c>
      <c r="AJ73" s="95">
        <f>VLOOKUP($B73,'DCS Data'!$E$2:$AJ$100,MATCH('Daily Report'!AJ$1,'DCS Data'!$E$2:$AJ$2,0),0)</f>
        <v>30.115569900143111</v>
      </c>
      <c r="AK73" s="95">
        <f>VLOOKUP($B73,'DCS Data'!$E$2:$AJ$100,MATCH('Daily Report'!AK$1,'DCS Data'!$E$2:$AJ$2,0),0)</f>
        <v>29.248243812010369</v>
      </c>
      <c r="AL73" s="95">
        <f>VLOOKUP($B73,'DCS Data'!$E$2:$AJ$100,MATCH('Daily Report'!AL$1,'DCS Data'!$E$2:$AJ$2,0),0)</f>
        <v>28.590013514126504</v>
      </c>
      <c r="AM73" s="95">
        <f>VLOOKUP($B73,'DCS Data'!$E$2:$AJ$100,MATCH('Daily Report'!AM$1,'DCS Data'!$E$2:$AJ$2,0),0)</f>
        <v>28.880322249508257</v>
      </c>
      <c r="AN73" s="95">
        <f>VLOOKUP($B73,'DCS Data'!$E$2:$AJ$100,MATCH('Daily Report'!AN$1,'DCS Data'!$E$2:$AJ$2,0),0)</f>
        <v>28.370490990800484</v>
      </c>
      <c r="AO73" s="215"/>
      <c r="AP73" s="215"/>
      <c r="AQ73" s="215"/>
      <c r="AR73" s="215"/>
      <c r="AS73" s="215"/>
      <c r="AT73" s="215"/>
      <c r="AU73" s="215"/>
      <c r="AV73" s="215"/>
      <c r="AW73" s="215"/>
      <c r="AX73" s="215"/>
      <c r="AY73" s="215"/>
      <c r="AZ73" s="215"/>
      <c r="BA73" s="215"/>
      <c r="BB73" s="215"/>
      <c r="BC73" s="215"/>
      <c r="BD73" s="215"/>
      <c r="BE73" s="215"/>
      <c r="BF73" s="215"/>
      <c r="BG73" s="215"/>
      <c r="BH73" s="215"/>
      <c r="BI73" s="215"/>
      <c r="BJ73" s="215"/>
      <c r="BK73" s="215"/>
      <c r="BL73" s="215"/>
      <c r="BM73" s="215"/>
      <c r="BN73" s="215"/>
      <c r="BO73" s="215"/>
      <c r="BP73" s="215"/>
      <c r="BQ73" s="215"/>
      <c r="BR73" s="215"/>
      <c r="BS73" s="215"/>
      <c r="BT73" s="215"/>
      <c r="BU73" s="215"/>
      <c r="BV73" s="215"/>
      <c r="BW73" s="215"/>
      <c r="BX73" s="215"/>
      <c r="BY73" s="215"/>
      <c r="BZ73" s="215"/>
      <c r="CA73" s="215"/>
      <c r="CB73" s="215"/>
      <c r="CC73" s="215"/>
      <c r="CD73" s="215"/>
      <c r="CE73" s="215"/>
      <c r="CF73" s="215"/>
      <c r="CG73" s="215"/>
      <c r="CH73" s="215"/>
      <c r="CI73" s="215"/>
      <c r="CJ73" s="215"/>
      <c r="CK73" s="215"/>
      <c r="CL73" s="215"/>
      <c r="CM73" s="215"/>
      <c r="CN73" s="215"/>
      <c r="CO73" s="215"/>
      <c r="CP73" s="215"/>
      <c r="CQ73" s="215"/>
      <c r="CR73" s="215"/>
      <c r="CS73" s="215"/>
      <c r="CT73" s="215"/>
      <c r="CU73" s="215"/>
      <c r="CV73" s="215"/>
      <c r="CW73" s="215"/>
      <c r="CX73" s="215"/>
      <c r="CY73" s="215"/>
      <c r="CZ73" s="215"/>
      <c r="DA73" s="215"/>
      <c r="DB73" s="215"/>
      <c r="DC73" s="215"/>
      <c r="DD73" s="215"/>
      <c r="DE73" s="215"/>
      <c r="DF73" s="215"/>
      <c r="DG73" s="215"/>
      <c r="DH73" s="215"/>
      <c r="DI73" s="215"/>
      <c r="DJ73" s="215"/>
      <c r="DK73" s="215"/>
      <c r="DL73" s="215"/>
      <c r="DM73" s="215"/>
      <c r="DN73" s="215"/>
      <c r="DO73" s="215"/>
      <c r="DP73" s="215"/>
      <c r="DQ73" s="215"/>
      <c r="DR73" s="215"/>
      <c r="DS73" s="215"/>
      <c r="DT73" s="215"/>
      <c r="DU73" s="215"/>
      <c r="DV73" s="215"/>
      <c r="DW73" s="215"/>
      <c r="DX73" s="215"/>
      <c r="DY73" s="215"/>
      <c r="DZ73" s="215"/>
      <c r="EA73" s="215"/>
      <c r="EB73" s="215"/>
      <c r="EC73" s="215"/>
      <c r="ED73" s="215"/>
      <c r="EE73" s="215"/>
      <c r="EF73" s="215"/>
      <c r="EG73" s="215"/>
      <c r="EH73" s="215"/>
      <c r="EI73" s="215"/>
      <c r="EJ73" s="215"/>
      <c r="EK73" s="215"/>
      <c r="EL73" s="215"/>
      <c r="EM73" s="215"/>
      <c r="EN73" s="215"/>
      <c r="EO73" s="215"/>
      <c r="EP73" s="215"/>
      <c r="EQ73" s="215"/>
      <c r="ER73" s="215"/>
      <c r="ES73" s="215"/>
      <c r="ET73" s="215"/>
      <c r="EU73" s="215"/>
      <c r="EV73" s="215"/>
      <c r="EW73" s="215"/>
      <c r="EX73" s="215"/>
      <c r="EY73" s="215"/>
      <c r="EZ73" s="215"/>
      <c r="FA73" s="215"/>
      <c r="FB73" s="215"/>
      <c r="FC73" s="215"/>
      <c r="FD73" s="215"/>
      <c r="FE73" s="215"/>
      <c r="FF73" s="215"/>
      <c r="FG73" s="215"/>
      <c r="FH73" s="215"/>
      <c r="FI73" s="215"/>
      <c r="FJ73" s="215"/>
      <c r="FK73" s="215"/>
      <c r="FL73" s="215"/>
      <c r="FM73" s="215"/>
      <c r="FN73" s="215"/>
      <c r="FO73" s="215"/>
      <c r="FP73" s="215"/>
      <c r="FQ73" s="215"/>
      <c r="FR73" s="215"/>
      <c r="FS73" s="215"/>
      <c r="FT73" s="215"/>
      <c r="FU73" s="215"/>
      <c r="FV73" s="215"/>
      <c r="FW73" s="215"/>
      <c r="FX73" s="215"/>
      <c r="FY73" s="215"/>
      <c r="FZ73" s="215"/>
      <c r="GA73" s="215"/>
      <c r="GB73" s="215"/>
      <c r="GC73" s="215"/>
      <c r="GD73" s="215"/>
      <c r="GE73" s="215"/>
      <c r="GF73" s="215"/>
      <c r="GG73" s="215"/>
      <c r="GH73" s="215"/>
      <c r="GI73" s="215"/>
      <c r="GJ73" s="215"/>
      <c r="GK73" s="215"/>
      <c r="GL73" s="215"/>
      <c r="GM73" s="215"/>
      <c r="GN73" s="215"/>
      <c r="GO73" s="215"/>
      <c r="GP73" s="215"/>
      <c r="GQ73" s="215"/>
      <c r="GR73" s="215"/>
      <c r="GS73" s="215"/>
      <c r="GT73" s="215"/>
      <c r="GU73" s="215"/>
      <c r="GV73" s="215"/>
      <c r="GW73" s="215"/>
      <c r="GX73" s="215"/>
      <c r="GY73" s="215"/>
      <c r="GZ73" s="215"/>
      <c r="HA73" s="215"/>
      <c r="HB73" s="215"/>
      <c r="HC73" s="215"/>
      <c r="HD73" s="215"/>
      <c r="HE73" s="215"/>
      <c r="HF73" s="215"/>
      <c r="HG73" s="215"/>
      <c r="HH73" s="215"/>
      <c r="HI73" s="215"/>
      <c r="HJ73" s="215"/>
      <c r="HK73" s="215"/>
      <c r="HL73" s="215"/>
      <c r="HM73" s="215"/>
      <c r="HN73" s="215"/>
      <c r="HO73" s="215"/>
      <c r="HP73" s="215"/>
      <c r="HQ73" s="215"/>
      <c r="HR73" s="215"/>
      <c r="HS73" s="215"/>
      <c r="HT73" s="215"/>
      <c r="HU73" s="215"/>
      <c r="HV73" s="215"/>
      <c r="HW73" s="215"/>
      <c r="HX73" s="215"/>
      <c r="HY73" s="215"/>
      <c r="HZ73" s="215"/>
      <c r="IA73" s="215"/>
      <c r="IB73" s="215"/>
      <c r="IC73" s="215"/>
      <c r="ID73" s="215"/>
      <c r="IE73" s="215"/>
      <c r="IF73" s="215"/>
      <c r="IG73" s="215"/>
      <c r="IH73" s="215"/>
      <c r="II73" s="215"/>
      <c r="IJ73" s="215"/>
      <c r="IK73" s="215"/>
      <c r="IL73" s="215"/>
      <c r="IM73" s="215"/>
      <c r="IN73" s="215"/>
      <c r="IO73" s="215"/>
      <c r="IP73" s="215"/>
      <c r="IQ73" s="215"/>
      <c r="IR73" s="215"/>
      <c r="IS73" s="215"/>
      <c r="IT73" s="215"/>
      <c r="IU73" s="215"/>
      <c r="IV73" s="215"/>
      <c r="IW73" s="215"/>
      <c r="IX73" s="215"/>
      <c r="IY73" s="215"/>
      <c r="IZ73" s="215"/>
      <c r="JA73" s="215"/>
      <c r="JB73" s="215"/>
      <c r="JC73" s="215"/>
      <c r="JD73" s="215"/>
      <c r="JE73" s="215"/>
      <c r="JF73" s="215"/>
      <c r="JG73" s="215"/>
      <c r="JH73" s="215"/>
      <c r="JI73" s="215"/>
      <c r="JJ73" s="215"/>
      <c r="JK73" s="215"/>
      <c r="JL73" s="215"/>
      <c r="JM73" s="215"/>
      <c r="JN73" s="215"/>
      <c r="JO73" s="215"/>
      <c r="JP73" s="215"/>
      <c r="JQ73" s="215"/>
      <c r="JR73" s="215"/>
      <c r="JS73" s="215"/>
      <c r="JT73" s="215"/>
      <c r="JU73" s="215"/>
      <c r="JV73" s="215"/>
      <c r="JW73" s="215"/>
      <c r="JX73" s="215"/>
      <c r="JY73" s="215"/>
      <c r="JZ73" s="215"/>
      <c r="KA73" s="215"/>
      <c r="KB73" s="215"/>
      <c r="KC73" s="215"/>
      <c r="KD73" s="215"/>
      <c r="KE73" s="215"/>
      <c r="KF73" s="215"/>
      <c r="KG73" s="215"/>
      <c r="KH73" s="215"/>
      <c r="KI73" s="215"/>
      <c r="KJ73" s="215"/>
      <c r="KK73" s="215"/>
      <c r="KL73" s="215"/>
      <c r="KM73" s="215"/>
      <c r="KN73" s="215"/>
      <c r="KO73" s="215"/>
      <c r="KP73" s="215"/>
      <c r="KQ73" s="215"/>
      <c r="KR73" s="215"/>
      <c r="KS73" s="215"/>
      <c r="KT73" s="215"/>
      <c r="KU73" s="215"/>
      <c r="KV73" s="215"/>
      <c r="KW73" s="215"/>
      <c r="KX73" s="215"/>
      <c r="KY73" s="215"/>
      <c r="KZ73" s="215"/>
      <c r="LA73" s="215"/>
      <c r="LB73" s="215"/>
      <c r="LC73" s="215"/>
      <c r="LD73" s="215"/>
      <c r="LE73" s="215"/>
      <c r="LF73" s="215"/>
      <c r="LG73" s="215"/>
      <c r="LH73" s="215"/>
      <c r="LI73" s="215"/>
      <c r="LJ73" s="215"/>
      <c r="LK73" s="215"/>
      <c r="LL73" s="215"/>
      <c r="LM73" s="215"/>
      <c r="LN73" s="215"/>
      <c r="LO73" s="215"/>
      <c r="LP73" s="215"/>
      <c r="LQ73" s="215"/>
      <c r="LR73" s="215"/>
      <c r="LS73" s="215"/>
      <c r="LT73" s="215"/>
      <c r="LU73" s="215"/>
      <c r="LV73" s="215"/>
      <c r="LW73" s="215"/>
      <c r="LX73" s="215"/>
      <c r="LY73" s="215"/>
      <c r="LZ73" s="215"/>
      <c r="MA73" s="215"/>
      <c r="MB73" s="215"/>
      <c r="MC73" s="215"/>
      <c r="MD73" s="215"/>
      <c r="ME73" s="215"/>
      <c r="MF73" s="215"/>
      <c r="MG73" s="215"/>
      <c r="MH73" s="215"/>
      <c r="MI73" s="215"/>
      <c r="MJ73" s="215"/>
      <c r="MK73" s="215"/>
      <c r="ML73" s="215"/>
      <c r="MM73" s="215"/>
      <c r="MN73" s="215"/>
      <c r="MO73" s="215"/>
      <c r="MP73" s="215"/>
      <c r="MQ73" s="215"/>
      <c r="MR73" s="215"/>
      <c r="MS73" s="215"/>
      <c r="MT73" s="215"/>
      <c r="MU73" s="215"/>
      <c r="MV73" s="215"/>
      <c r="MW73" s="215"/>
      <c r="MX73" s="215"/>
      <c r="MY73" s="215"/>
      <c r="MZ73" s="215"/>
      <c r="NA73" s="215"/>
      <c r="NB73" s="215"/>
      <c r="NC73" s="215"/>
      <c r="ND73" s="215"/>
      <c r="NE73" s="215"/>
      <c r="NF73" s="215"/>
      <c r="NG73" s="215"/>
      <c r="NH73" s="215"/>
      <c r="NI73" s="215"/>
      <c r="NJ73" s="215"/>
      <c r="NK73" s="215"/>
      <c r="NL73" s="215"/>
      <c r="NM73" s="215"/>
      <c r="NN73" s="215"/>
      <c r="NO73" s="215"/>
      <c r="NP73" s="215"/>
      <c r="NQ73" s="215"/>
      <c r="NR73" s="215"/>
      <c r="NS73" s="215"/>
      <c r="NT73" s="215"/>
      <c r="NU73" s="215"/>
      <c r="NV73" s="215"/>
      <c r="NW73" s="215"/>
      <c r="NX73" s="215"/>
      <c r="NY73" s="215"/>
      <c r="NZ73" s="215"/>
      <c r="OA73" s="215"/>
      <c r="OB73" s="215"/>
      <c r="OC73" s="215"/>
      <c r="OD73" s="215"/>
      <c r="OE73" s="215"/>
      <c r="OF73" s="215"/>
      <c r="OG73" s="215"/>
      <c r="OH73" s="215"/>
      <c r="OI73" s="215"/>
      <c r="OJ73" s="215"/>
      <c r="OK73" s="215"/>
      <c r="OL73" s="215"/>
      <c r="OM73" s="215"/>
      <c r="ON73" s="215"/>
      <c r="OO73" s="215"/>
      <c r="OP73" s="215"/>
      <c r="OQ73" s="215"/>
      <c r="OR73" s="215"/>
      <c r="OS73" s="215"/>
      <c r="OT73" s="215"/>
      <c r="OU73" s="215"/>
      <c r="OV73" s="215"/>
      <c r="OW73" s="215"/>
      <c r="OX73" s="215"/>
      <c r="OY73" s="215"/>
      <c r="OZ73" s="215"/>
      <c r="PA73" s="215"/>
      <c r="PB73" s="215"/>
      <c r="PC73" s="215"/>
      <c r="PD73" s="215"/>
      <c r="PE73" s="215"/>
      <c r="PF73" s="215"/>
      <c r="PG73" s="215"/>
      <c r="PH73" s="215"/>
      <c r="PI73" s="215"/>
      <c r="PJ73" s="215"/>
      <c r="PK73" s="215"/>
      <c r="PL73" s="215"/>
      <c r="PM73" s="215"/>
      <c r="PN73" s="215"/>
      <c r="PO73" s="215"/>
      <c r="PP73" s="215"/>
      <c r="PQ73" s="215"/>
      <c r="PR73" s="215"/>
      <c r="PS73" s="215"/>
      <c r="PT73" s="215"/>
      <c r="PU73" s="215"/>
      <c r="PV73" s="215"/>
      <c r="PW73" s="215"/>
      <c r="PX73" s="215"/>
      <c r="PY73" s="215"/>
      <c r="PZ73" s="215"/>
      <c r="QA73" s="215"/>
      <c r="QB73" s="215"/>
      <c r="QC73" s="215"/>
      <c r="QD73" s="215"/>
      <c r="QE73" s="215"/>
      <c r="QF73" s="215"/>
      <c r="QG73" s="215"/>
      <c r="QH73" s="215"/>
      <c r="QI73" s="215"/>
      <c r="QJ73" s="215"/>
      <c r="QK73" s="215"/>
      <c r="QL73" s="215"/>
      <c r="QM73" s="215"/>
      <c r="QN73" s="215"/>
      <c r="QO73" s="215"/>
      <c r="QP73" s="215"/>
      <c r="QQ73" s="215"/>
      <c r="QR73" s="215"/>
      <c r="QS73" s="215"/>
      <c r="QT73" s="215"/>
      <c r="QU73" s="215"/>
      <c r="QV73" s="215"/>
      <c r="QW73" s="215"/>
      <c r="QX73" s="215"/>
      <c r="QY73" s="215"/>
      <c r="QZ73" s="215"/>
      <c r="RA73" s="215"/>
      <c r="RB73" s="215"/>
      <c r="RC73" s="215"/>
      <c r="RD73" s="215"/>
      <c r="RE73" s="215"/>
      <c r="RF73" s="215"/>
      <c r="RG73" s="215"/>
      <c r="RH73" s="215"/>
      <c r="RI73" s="215"/>
      <c r="RJ73" s="215"/>
      <c r="RK73" s="215"/>
      <c r="RL73" s="215"/>
      <c r="RM73" s="215"/>
      <c r="RN73" s="215"/>
      <c r="RO73" s="215"/>
      <c r="RP73" s="215"/>
      <c r="RQ73" s="215"/>
      <c r="RR73" s="215"/>
      <c r="RS73" s="215"/>
      <c r="RT73" s="215"/>
      <c r="RU73" s="215"/>
      <c r="RV73" s="215"/>
      <c r="RW73" s="215"/>
      <c r="RX73" s="215"/>
      <c r="RY73" s="215"/>
      <c r="RZ73" s="215"/>
      <c r="SA73" s="215"/>
      <c r="SB73" s="215"/>
      <c r="SC73" s="215"/>
      <c r="SD73" s="215"/>
      <c r="SE73" s="215"/>
      <c r="SF73" s="215"/>
      <c r="SG73" s="215"/>
      <c r="SH73" s="215"/>
      <c r="SI73" s="215"/>
      <c r="SJ73" s="215"/>
      <c r="SK73" s="215"/>
      <c r="SL73" s="215"/>
      <c r="SM73" s="215"/>
      <c r="SN73" s="215"/>
      <c r="SO73" s="215"/>
      <c r="SP73" s="215"/>
      <c r="SQ73" s="215"/>
      <c r="SR73" s="215"/>
      <c r="SS73" s="215"/>
      <c r="ST73" s="215"/>
      <c r="SU73" s="215"/>
      <c r="SV73" s="215"/>
      <c r="SW73" s="215"/>
      <c r="SX73" s="215"/>
      <c r="SY73" s="215"/>
      <c r="SZ73" s="215"/>
      <c r="TA73" s="215"/>
      <c r="TB73" s="215"/>
      <c r="TC73" s="215"/>
      <c r="TD73" s="215"/>
      <c r="TE73" s="215"/>
      <c r="TF73" s="215"/>
      <c r="TG73" s="215"/>
      <c r="TH73" s="215"/>
      <c r="TI73" s="215"/>
      <c r="TJ73" s="215"/>
      <c r="TK73" s="215"/>
      <c r="TL73" s="215"/>
      <c r="TM73" s="215"/>
      <c r="TN73" s="215"/>
      <c r="TO73" s="215"/>
      <c r="TP73" s="215"/>
      <c r="TQ73" s="215"/>
      <c r="TR73" s="215"/>
      <c r="TS73" s="215"/>
      <c r="TT73" s="215"/>
      <c r="TU73" s="215"/>
      <c r="TV73" s="215"/>
      <c r="TW73" s="215"/>
      <c r="TX73" s="215"/>
      <c r="TY73" s="215"/>
      <c r="TZ73" s="215"/>
      <c r="UA73" s="215"/>
      <c r="UB73" s="215"/>
      <c r="UC73" s="215"/>
      <c r="UD73" s="215"/>
      <c r="UE73" s="215"/>
      <c r="UF73" s="215"/>
      <c r="UG73" s="215"/>
      <c r="UH73" s="215"/>
      <c r="UI73" s="215"/>
      <c r="UJ73" s="215"/>
      <c r="UK73" s="215"/>
      <c r="UL73" s="215"/>
      <c r="UM73" s="215"/>
      <c r="UN73" s="215"/>
      <c r="UO73" s="215"/>
      <c r="UP73" s="215"/>
      <c r="UQ73" s="215"/>
      <c r="UR73" s="215"/>
      <c r="US73" s="215"/>
      <c r="UT73" s="215"/>
      <c r="UU73" s="215"/>
      <c r="UV73" s="215"/>
      <c r="UW73" s="215"/>
      <c r="UX73" s="215"/>
      <c r="UY73" s="215"/>
      <c r="UZ73" s="215"/>
      <c r="VA73" s="215"/>
      <c r="VB73" s="215"/>
      <c r="VC73" s="215"/>
      <c r="VD73" s="215"/>
      <c r="VE73" s="215"/>
      <c r="VF73" s="215"/>
      <c r="VG73" s="215"/>
      <c r="VH73" s="215"/>
      <c r="VI73" s="215"/>
      <c r="VJ73" s="215"/>
      <c r="VK73" s="215"/>
      <c r="VL73" s="215"/>
      <c r="VM73" s="215"/>
      <c r="VN73" s="215"/>
      <c r="VO73" s="215"/>
      <c r="VP73" s="215"/>
      <c r="VQ73" s="215"/>
      <c r="VR73" s="215"/>
      <c r="VS73" s="215"/>
      <c r="VT73" s="215"/>
      <c r="VU73" s="215"/>
      <c r="VV73" s="215"/>
      <c r="VW73" s="215"/>
      <c r="VX73" s="215"/>
      <c r="VY73" s="215"/>
      <c r="VZ73" s="215"/>
      <c r="WA73" s="215"/>
      <c r="WB73" s="215"/>
      <c r="WC73" s="215"/>
      <c r="WD73" s="215"/>
      <c r="WE73" s="215"/>
      <c r="WF73" s="215"/>
      <c r="WG73" s="215"/>
      <c r="WH73" s="215"/>
      <c r="WI73" s="215"/>
      <c r="WJ73" s="215"/>
      <c r="WK73" s="215"/>
      <c r="WL73" s="215"/>
      <c r="WM73" s="215"/>
      <c r="WN73" s="215"/>
      <c r="WO73" s="215"/>
      <c r="WP73" s="215"/>
      <c r="WQ73" s="215"/>
      <c r="WR73" s="215"/>
      <c r="WS73" s="215"/>
      <c r="WT73" s="215"/>
      <c r="WU73" s="215"/>
      <c r="WV73" s="215"/>
      <c r="WW73" s="215"/>
      <c r="WX73" s="215"/>
      <c r="WY73" s="215"/>
      <c r="WZ73" s="215"/>
      <c r="XA73" s="215"/>
      <c r="XB73" s="215"/>
      <c r="XC73" s="215"/>
      <c r="XD73" s="215"/>
      <c r="XE73" s="215"/>
      <c r="XF73" s="215"/>
      <c r="XG73" s="215"/>
      <c r="XH73" s="215"/>
      <c r="XI73" s="215"/>
      <c r="XJ73" s="215"/>
      <c r="XK73" s="215"/>
      <c r="XL73" s="215"/>
      <c r="XM73" s="215"/>
      <c r="XN73" s="215"/>
      <c r="XO73" s="215"/>
      <c r="XP73" s="215"/>
      <c r="XQ73" s="215"/>
      <c r="XR73" s="215"/>
      <c r="XS73" s="215"/>
      <c r="XT73" s="215"/>
      <c r="XU73" s="215"/>
      <c r="XV73" s="215"/>
      <c r="XW73" s="215"/>
      <c r="XX73" s="215"/>
      <c r="XY73" s="215"/>
      <c r="XZ73" s="215"/>
      <c r="YA73" s="215"/>
      <c r="YB73" s="215"/>
      <c r="YC73" s="215"/>
      <c r="YD73" s="215"/>
      <c r="YE73" s="215"/>
      <c r="YF73" s="215"/>
      <c r="YG73" s="215"/>
      <c r="YH73" s="215"/>
      <c r="YI73" s="215"/>
      <c r="YJ73" s="215"/>
      <c r="YK73" s="215"/>
      <c r="YL73" s="215"/>
      <c r="YM73" s="215"/>
      <c r="YN73" s="215"/>
      <c r="YO73" s="215"/>
      <c r="YP73" s="215"/>
      <c r="YQ73" s="215"/>
      <c r="YR73" s="215"/>
      <c r="YS73" s="215"/>
      <c r="YT73" s="215"/>
      <c r="YU73" s="215"/>
      <c r="YV73" s="215"/>
      <c r="YW73" s="215"/>
      <c r="YX73" s="215"/>
      <c r="YY73" s="215"/>
      <c r="YZ73" s="215"/>
      <c r="ZA73" s="215"/>
      <c r="ZB73" s="215"/>
      <c r="ZC73" s="215"/>
      <c r="ZD73" s="215"/>
      <c r="ZE73" s="215"/>
      <c r="ZF73" s="215"/>
      <c r="ZG73" s="215"/>
      <c r="ZH73" s="215"/>
      <c r="ZI73" s="215"/>
      <c r="ZJ73" s="215"/>
      <c r="ZK73" s="215"/>
      <c r="ZL73" s="215"/>
      <c r="ZM73" s="215"/>
      <c r="ZN73" s="215"/>
      <c r="ZO73" s="215"/>
      <c r="ZP73" s="215"/>
      <c r="ZQ73" s="215"/>
      <c r="ZR73" s="215"/>
      <c r="ZS73" s="215"/>
      <c r="ZT73" s="215"/>
      <c r="ZU73" s="215"/>
      <c r="ZV73" s="215"/>
      <c r="ZW73" s="215"/>
      <c r="ZX73" s="215"/>
      <c r="ZY73" s="215"/>
      <c r="ZZ73" s="215"/>
      <c r="AAA73" s="215"/>
      <c r="AAB73" s="215"/>
      <c r="AAC73" s="215"/>
      <c r="AAD73" s="215"/>
      <c r="AAE73" s="215"/>
      <c r="AAF73" s="215"/>
      <c r="AAG73" s="215"/>
      <c r="AAH73" s="215"/>
      <c r="AAI73" s="215"/>
      <c r="AAJ73" s="215"/>
      <c r="AAK73" s="215"/>
      <c r="AAL73" s="215"/>
      <c r="AAM73" s="215"/>
      <c r="AAN73" s="215"/>
      <c r="AAO73" s="215"/>
      <c r="AAP73" s="215"/>
      <c r="AAQ73" s="215"/>
      <c r="AAR73" s="215"/>
      <c r="AAS73" s="215"/>
      <c r="AAT73" s="215"/>
      <c r="AAU73" s="215"/>
      <c r="AAV73" s="215"/>
      <c r="AAW73" s="215"/>
      <c r="AAX73" s="215"/>
      <c r="AAY73" s="215"/>
      <c r="AAZ73" s="215"/>
      <c r="ABA73" s="215"/>
      <c r="ABB73" s="215"/>
      <c r="ABC73" s="215"/>
      <c r="ABD73" s="215"/>
      <c r="ABE73" s="215"/>
      <c r="ABF73" s="215"/>
      <c r="ABG73" s="215"/>
      <c r="ABH73" s="215"/>
      <c r="ABI73" s="215"/>
      <c r="ABJ73" s="215"/>
      <c r="ABK73" s="215"/>
      <c r="ABL73" s="215"/>
      <c r="ABM73" s="215"/>
      <c r="ABN73" s="215"/>
      <c r="ABO73" s="215"/>
      <c r="ABP73" s="215"/>
      <c r="ABQ73" s="215"/>
      <c r="ABR73" s="215"/>
      <c r="ABS73" s="215"/>
      <c r="ABT73" s="215"/>
      <c r="ABU73" s="215"/>
      <c r="ABV73" s="215"/>
      <c r="ABW73" s="215"/>
      <c r="ABX73" s="215"/>
      <c r="ABY73" s="215"/>
      <c r="ABZ73" s="215"/>
      <c r="ACA73" s="215"/>
      <c r="ACB73" s="215"/>
      <c r="ACC73" s="215"/>
      <c r="ACD73" s="215"/>
      <c r="ACE73" s="215"/>
      <c r="ACF73" s="215"/>
      <c r="ACG73" s="215"/>
      <c r="ACH73" s="215"/>
      <c r="ACI73" s="215"/>
      <c r="ACJ73" s="215"/>
      <c r="ACK73" s="215"/>
      <c r="ACL73" s="215"/>
      <c r="ACM73" s="215"/>
      <c r="ACN73" s="215"/>
      <c r="ACO73" s="215"/>
      <c r="ACP73" s="215"/>
      <c r="ACQ73" s="215"/>
      <c r="ACR73" s="215"/>
      <c r="ACS73" s="215"/>
      <c r="ACT73" s="215"/>
      <c r="ACU73" s="215"/>
      <c r="ACV73" s="215"/>
      <c r="ACW73" s="215"/>
      <c r="ACX73" s="215"/>
      <c r="ACY73" s="215"/>
      <c r="ACZ73" s="215"/>
      <c r="ADA73" s="215"/>
      <c r="ADB73" s="215"/>
      <c r="ADC73" s="215"/>
      <c r="ADD73" s="215"/>
      <c r="ADE73" s="215"/>
      <c r="ADF73" s="215"/>
      <c r="ADG73" s="215"/>
      <c r="ADH73" s="215"/>
      <c r="ADI73" s="215"/>
      <c r="ADJ73" s="215"/>
      <c r="ADK73" s="215"/>
      <c r="ADL73" s="215"/>
      <c r="ADM73" s="215"/>
      <c r="ADN73" s="215"/>
      <c r="ADO73" s="215"/>
      <c r="ADP73" s="215"/>
      <c r="ADQ73" s="215"/>
      <c r="ADR73" s="215"/>
      <c r="ADS73" s="215"/>
      <c r="ADT73" s="215"/>
      <c r="ADU73" s="215"/>
      <c r="ADV73" s="215"/>
      <c r="ADW73" s="215"/>
      <c r="ADX73" s="215"/>
      <c r="ADY73" s="215"/>
      <c r="ADZ73" s="215"/>
      <c r="AEA73" s="215"/>
      <c r="AEB73" s="215"/>
      <c r="AEC73" s="215"/>
      <c r="AED73" s="215"/>
      <c r="AEE73" s="215"/>
      <c r="AEF73" s="215"/>
      <c r="AEG73" s="215"/>
      <c r="AEH73" s="215"/>
      <c r="AEI73" s="215"/>
      <c r="AEJ73" s="215"/>
      <c r="AEK73" s="215"/>
      <c r="AEL73" s="215"/>
      <c r="AEM73" s="215"/>
      <c r="AEN73" s="215"/>
      <c r="AEO73" s="215"/>
      <c r="AEP73" s="215"/>
      <c r="AEQ73" s="215"/>
      <c r="AER73" s="215"/>
      <c r="AES73" s="215"/>
      <c r="AET73" s="215"/>
      <c r="AEU73" s="215"/>
      <c r="AEV73" s="215"/>
      <c r="AEW73" s="215"/>
      <c r="AEX73" s="215"/>
      <c r="AEY73" s="215"/>
      <c r="AEZ73" s="215"/>
      <c r="AFA73" s="215"/>
      <c r="AFB73" s="215"/>
      <c r="AFC73" s="215"/>
      <c r="AFD73" s="215"/>
      <c r="AFE73" s="215"/>
      <c r="AFF73" s="215"/>
      <c r="AFG73" s="215"/>
      <c r="AFH73" s="215"/>
      <c r="AFI73" s="215"/>
      <c r="AFJ73" s="215"/>
      <c r="AFK73" s="215"/>
      <c r="AFL73" s="215"/>
      <c r="AFM73" s="215"/>
      <c r="AFN73" s="215"/>
      <c r="AFO73" s="215"/>
      <c r="AFP73" s="215"/>
      <c r="AFQ73" s="215"/>
      <c r="AFR73" s="215"/>
      <c r="AFS73" s="215"/>
      <c r="AFT73" s="215"/>
      <c r="AFU73" s="215"/>
      <c r="AFV73" s="215"/>
      <c r="AFW73" s="215"/>
      <c r="AFX73" s="215"/>
      <c r="AFY73" s="215"/>
      <c r="AFZ73" s="215"/>
      <c r="AGA73" s="215"/>
      <c r="AGB73" s="215"/>
      <c r="AGC73" s="215"/>
      <c r="AGD73" s="215"/>
      <c r="AGE73" s="215"/>
      <c r="AGF73" s="215"/>
      <c r="AGG73" s="215"/>
      <c r="AGH73" s="215"/>
      <c r="AGI73" s="215"/>
      <c r="AGJ73" s="215"/>
      <c r="AGK73" s="215"/>
      <c r="AGL73" s="215"/>
      <c r="AGM73" s="215"/>
      <c r="AGN73" s="215"/>
      <c r="AGO73" s="215"/>
      <c r="AGP73" s="215"/>
      <c r="AGQ73" s="215"/>
      <c r="AGR73" s="215"/>
      <c r="AGS73" s="215"/>
      <c r="AGT73" s="215"/>
      <c r="AGU73" s="215"/>
      <c r="AGV73" s="215"/>
      <c r="AGW73" s="215"/>
      <c r="AGX73" s="215"/>
      <c r="AGY73" s="215"/>
      <c r="AGZ73" s="215"/>
      <c r="AHA73" s="215"/>
      <c r="AHB73" s="215"/>
      <c r="AHC73" s="215"/>
      <c r="AHD73" s="215"/>
      <c r="AHE73" s="215"/>
      <c r="AHF73" s="215"/>
      <c r="AHG73" s="215"/>
      <c r="AHH73" s="215"/>
      <c r="AHI73" s="215"/>
      <c r="AHJ73" s="215"/>
      <c r="AHK73" s="215"/>
      <c r="AHL73" s="215"/>
      <c r="AHM73" s="215"/>
      <c r="AHN73" s="215"/>
      <c r="AHO73" s="215"/>
      <c r="AHP73" s="215"/>
      <c r="AHQ73" s="215"/>
      <c r="AHR73" s="215"/>
      <c r="AHS73" s="215"/>
      <c r="AHT73" s="215"/>
      <c r="AHU73" s="215"/>
      <c r="AHV73" s="215"/>
      <c r="AHW73" s="215"/>
      <c r="AHX73" s="215"/>
      <c r="AHY73" s="215"/>
      <c r="AHZ73" s="215"/>
      <c r="AIA73" s="215"/>
      <c r="AIB73" s="215"/>
      <c r="AIC73" s="215"/>
      <c r="AID73" s="215"/>
      <c r="AIE73" s="215"/>
      <c r="AIF73" s="215"/>
      <c r="AIG73" s="215"/>
      <c r="AIH73" s="215"/>
      <c r="AII73" s="215"/>
      <c r="AIJ73" s="215"/>
      <c r="AIK73" s="215"/>
      <c r="AIL73" s="215"/>
      <c r="AIM73" s="215"/>
      <c r="AIN73" s="215"/>
      <c r="AIO73" s="215"/>
      <c r="AIP73" s="215"/>
      <c r="AIQ73" s="215"/>
      <c r="AIR73" s="215"/>
      <c r="AIS73" s="215"/>
      <c r="AIT73" s="215"/>
      <c r="AIU73" s="215"/>
      <c r="AIV73" s="215"/>
      <c r="AIW73" s="215"/>
      <c r="AIX73" s="215"/>
      <c r="AIY73" s="215"/>
      <c r="AIZ73" s="215"/>
      <c r="AJA73" s="215"/>
      <c r="AJB73" s="215"/>
      <c r="AJC73" s="215"/>
      <c r="AJD73" s="215"/>
      <c r="AJE73" s="215"/>
      <c r="AJF73" s="215"/>
      <c r="AJG73" s="215"/>
      <c r="AJH73" s="215"/>
      <c r="AJI73" s="215"/>
      <c r="AJJ73" s="215"/>
      <c r="AJK73" s="215"/>
      <c r="AJL73" s="215"/>
      <c r="AJM73" s="215"/>
      <c r="AJN73" s="215"/>
      <c r="AJO73" s="215"/>
      <c r="AJP73" s="215"/>
      <c r="AJQ73" s="215"/>
      <c r="AJR73" s="215"/>
      <c r="AJS73" s="215"/>
      <c r="AJT73" s="215"/>
      <c r="AJU73" s="215"/>
      <c r="AJV73" s="215"/>
      <c r="AJW73" s="215"/>
      <c r="AJX73" s="215"/>
      <c r="AJY73" s="215"/>
      <c r="AJZ73" s="215"/>
      <c r="AKA73" s="215"/>
      <c r="AKB73" s="215"/>
      <c r="AKC73" s="215"/>
      <c r="AKD73" s="215"/>
      <c r="AKE73" s="215"/>
      <c r="AKF73" s="215"/>
      <c r="AKG73" s="215"/>
      <c r="AKH73" s="215"/>
      <c r="AKI73" s="215"/>
      <c r="AKJ73" s="215"/>
      <c r="AKK73" s="215"/>
      <c r="AKL73" s="215"/>
      <c r="AKM73" s="215"/>
      <c r="AKN73" s="215"/>
      <c r="AKO73" s="215"/>
      <c r="AKP73" s="215"/>
      <c r="AKQ73" s="215"/>
      <c r="AKR73" s="215"/>
      <c r="AKS73" s="215"/>
      <c r="AKT73" s="215"/>
      <c r="AKU73" s="215"/>
      <c r="AKV73" s="215"/>
      <c r="AKW73" s="215"/>
      <c r="AKX73" s="215"/>
      <c r="AKY73" s="215"/>
      <c r="AKZ73" s="215"/>
      <c r="ALA73" s="215"/>
      <c r="ALB73" s="215"/>
      <c r="ALC73" s="215"/>
      <c r="ALD73" s="215"/>
      <c r="ALE73" s="215"/>
      <c r="ALF73" s="215"/>
      <c r="ALG73" s="215"/>
      <c r="ALH73" s="215"/>
      <c r="ALI73" s="215"/>
      <c r="ALJ73" s="215"/>
      <c r="ALK73" s="215"/>
      <c r="ALL73" s="215"/>
      <c r="ALM73" s="215"/>
      <c r="ALN73" s="215"/>
      <c r="ALO73" s="215"/>
      <c r="ALP73" s="215"/>
      <c r="ALQ73" s="215"/>
      <c r="ALR73" s="215"/>
      <c r="ALS73" s="215"/>
      <c r="ALT73" s="215"/>
      <c r="ALU73" s="215"/>
      <c r="ALV73" s="215"/>
      <c r="ALW73" s="215"/>
      <c r="ALX73" s="215"/>
      <c r="ALY73" s="215"/>
      <c r="ALZ73" s="215"/>
      <c r="AMA73" s="215"/>
      <c r="AMB73" s="215"/>
      <c r="AMC73" s="215"/>
      <c r="AMD73" s="215"/>
      <c r="AME73" s="215"/>
      <c r="AMF73" s="215"/>
      <c r="AMG73" s="215"/>
      <c r="AMH73" s="215"/>
      <c r="AMI73" s="215"/>
      <c r="AMJ73" s="215"/>
      <c r="AMK73" s="215"/>
      <c r="AML73" s="215"/>
      <c r="AMM73" s="215"/>
      <c r="AMN73" s="215"/>
      <c r="AMO73" s="215"/>
      <c r="AMP73" s="215"/>
      <c r="AMQ73" s="215"/>
      <c r="AMR73" s="215"/>
      <c r="AMS73" s="215"/>
      <c r="AMT73" s="215"/>
      <c r="AMU73" s="215"/>
      <c r="AMV73" s="215"/>
      <c r="AMW73" s="215"/>
      <c r="AMX73" s="215"/>
      <c r="AMY73" s="215"/>
      <c r="AMZ73" s="215"/>
      <c r="ANA73" s="215"/>
      <c r="ANB73" s="215"/>
      <c r="ANC73" s="215"/>
      <c r="AND73" s="215"/>
      <c r="ANE73" s="215"/>
      <c r="ANF73" s="215"/>
      <c r="ANG73" s="215"/>
      <c r="ANH73" s="215"/>
      <c r="ANI73" s="215"/>
      <c r="ANJ73" s="215"/>
      <c r="ANK73" s="215"/>
      <c r="ANL73" s="215"/>
      <c r="ANM73" s="215"/>
      <c r="ANN73" s="215"/>
      <c r="ANO73" s="215"/>
      <c r="ANP73" s="215"/>
      <c r="ANQ73" s="215"/>
      <c r="ANR73" s="215"/>
      <c r="ANS73" s="215"/>
      <c r="ANT73" s="215"/>
      <c r="ANU73" s="215"/>
      <c r="ANV73" s="215"/>
      <c r="ANW73" s="215"/>
      <c r="ANX73" s="215"/>
      <c r="ANY73" s="215"/>
      <c r="ANZ73" s="215"/>
      <c r="AOA73" s="215"/>
      <c r="AOB73" s="215"/>
      <c r="AOC73" s="215"/>
      <c r="AOD73" s="215"/>
      <c r="AOE73" s="215"/>
      <c r="AOF73" s="215"/>
      <c r="AOG73" s="215"/>
      <c r="AOH73" s="215"/>
      <c r="AOI73" s="215"/>
      <c r="AOJ73" s="215"/>
      <c r="AOK73" s="215"/>
      <c r="AOL73" s="215"/>
      <c r="AOM73" s="215"/>
      <c r="AON73" s="215"/>
      <c r="AOO73" s="215"/>
      <c r="AOP73" s="215"/>
      <c r="AOQ73" s="215"/>
      <c r="AOR73" s="215"/>
      <c r="AOS73" s="215"/>
      <c r="AOT73" s="215"/>
      <c r="AOU73" s="215"/>
      <c r="AOV73" s="215"/>
      <c r="AOW73" s="215"/>
      <c r="AOX73" s="215"/>
      <c r="AOY73" s="215"/>
      <c r="AOZ73" s="215"/>
      <c r="APA73" s="215"/>
      <c r="APB73" s="215"/>
      <c r="APC73" s="215"/>
      <c r="APD73" s="215"/>
      <c r="APE73" s="215"/>
      <c r="APF73" s="215"/>
      <c r="APG73" s="215"/>
      <c r="APH73" s="215"/>
      <c r="API73" s="215"/>
      <c r="APJ73" s="215"/>
      <c r="APK73" s="215"/>
      <c r="APL73" s="215"/>
      <c r="APM73" s="215"/>
      <c r="APN73" s="215"/>
      <c r="APO73" s="215"/>
      <c r="APP73" s="215"/>
      <c r="APQ73" s="215"/>
      <c r="APR73" s="215"/>
      <c r="APS73" s="215"/>
      <c r="APT73" s="215"/>
      <c r="APU73" s="215"/>
      <c r="APV73" s="215"/>
      <c r="APW73" s="215"/>
      <c r="APX73" s="215"/>
      <c r="APY73" s="215"/>
      <c r="APZ73" s="215"/>
      <c r="AQA73" s="215"/>
      <c r="AQB73" s="215"/>
      <c r="AQC73" s="215"/>
      <c r="AQD73" s="215"/>
      <c r="AQE73" s="215"/>
      <c r="AQF73" s="215"/>
      <c r="AQG73" s="215"/>
      <c r="AQH73" s="215"/>
      <c r="AQI73" s="215"/>
      <c r="AQJ73" s="215"/>
      <c r="AQK73" s="215"/>
      <c r="AQL73" s="215"/>
      <c r="AQM73" s="215"/>
      <c r="AQN73" s="215"/>
      <c r="AQO73" s="215"/>
      <c r="AQP73" s="215"/>
      <c r="AQQ73" s="215"/>
      <c r="AQR73" s="215"/>
      <c r="AQS73" s="215"/>
      <c r="AQT73" s="215"/>
      <c r="AQU73" s="215"/>
      <c r="AQV73" s="215"/>
      <c r="AQW73" s="215"/>
      <c r="AQX73" s="215"/>
      <c r="AQY73" s="215"/>
      <c r="AQZ73" s="215"/>
      <c r="ARA73" s="215"/>
      <c r="ARB73" s="215"/>
      <c r="ARC73" s="215"/>
      <c r="ARD73" s="215"/>
      <c r="ARE73" s="215"/>
      <c r="ARF73" s="215"/>
      <c r="ARG73" s="215"/>
      <c r="ARH73" s="215"/>
      <c r="ARI73" s="215"/>
      <c r="ARJ73" s="215"/>
      <c r="ARK73" s="215"/>
      <c r="ARL73" s="215"/>
      <c r="ARM73" s="215"/>
      <c r="ARN73" s="215"/>
      <c r="ARO73" s="215"/>
      <c r="ARP73" s="215"/>
      <c r="ARQ73" s="215"/>
      <c r="ARR73" s="215"/>
      <c r="ARS73" s="215"/>
      <c r="ART73" s="215"/>
      <c r="ARU73" s="215"/>
      <c r="ARV73" s="215"/>
      <c r="ARW73" s="215"/>
      <c r="ARX73" s="215"/>
      <c r="ARY73" s="215"/>
      <c r="ARZ73" s="215"/>
      <c r="ASA73" s="215"/>
      <c r="ASB73" s="215"/>
      <c r="ASC73" s="215"/>
      <c r="ASD73" s="215"/>
      <c r="ASE73" s="215"/>
      <c r="ASF73" s="215"/>
      <c r="ASG73" s="215"/>
      <c r="ASH73" s="215"/>
      <c r="ASI73" s="215"/>
      <c r="ASJ73" s="215"/>
      <c r="ASK73" s="215"/>
      <c r="ASL73" s="215"/>
      <c r="ASM73" s="215"/>
      <c r="ASN73" s="215"/>
      <c r="ASO73" s="215"/>
      <c r="ASP73" s="215"/>
      <c r="ASQ73" s="215"/>
      <c r="ASR73" s="215"/>
      <c r="ASS73" s="215"/>
      <c r="AST73" s="215"/>
      <c r="ASU73" s="215"/>
      <c r="ASV73" s="215"/>
      <c r="ASW73" s="215"/>
      <c r="ASX73" s="215"/>
      <c r="ASY73" s="215"/>
      <c r="ASZ73" s="215"/>
      <c r="ATA73" s="215"/>
      <c r="ATB73" s="215"/>
      <c r="ATC73" s="215"/>
      <c r="ATD73" s="215"/>
      <c r="ATE73" s="215"/>
      <c r="ATF73" s="215"/>
      <c r="ATG73" s="215"/>
      <c r="ATH73" s="215"/>
      <c r="ATI73" s="215"/>
      <c r="ATJ73" s="215"/>
      <c r="ATK73" s="215"/>
      <c r="ATL73" s="215"/>
      <c r="ATM73" s="215"/>
      <c r="ATN73" s="215"/>
      <c r="ATO73" s="215"/>
      <c r="ATP73" s="215"/>
      <c r="ATQ73" s="215"/>
      <c r="ATR73" s="215"/>
      <c r="ATS73" s="215"/>
      <c r="ATT73" s="215"/>
      <c r="ATU73" s="215"/>
      <c r="ATV73" s="215"/>
      <c r="ATW73" s="215"/>
      <c r="ATX73" s="215"/>
      <c r="ATY73" s="215"/>
      <c r="ATZ73" s="215"/>
      <c r="AUA73" s="215"/>
      <c r="AUB73" s="215"/>
      <c r="AUC73" s="215"/>
      <c r="AUD73" s="215"/>
      <c r="AUE73" s="215"/>
      <c r="AUF73" s="215"/>
      <c r="AUG73" s="215"/>
      <c r="AUH73" s="215"/>
      <c r="AUI73" s="215"/>
      <c r="AUJ73" s="215"/>
      <c r="AUK73" s="215"/>
      <c r="AUL73" s="215"/>
      <c r="AUM73" s="215"/>
      <c r="AUN73" s="215"/>
      <c r="AUO73" s="215"/>
      <c r="AUP73" s="215"/>
      <c r="AUQ73" s="215"/>
      <c r="AUR73" s="215"/>
      <c r="AUS73" s="215"/>
      <c r="AUT73" s="215"/>
      <c r="AUU73" s="215"/>
      <c r="AUV73" s="215"/>
      <c r="AUW73" s="215"/>
      <c r="AUX73" s="215"/>
      <c r="AUY73" s="215"/>
      <c r="AUZ73" s="215"/>
      <c r="AVA73" s="215"/>
      <c r="AVB73" s="215"/>
      <c r="AVC73" s="215"/>
      <c r="AVD73" s="215"/>
      <c r="AVE73" s="215"/>
      <c r="AVF73" s="215"/>
      <c r="AVG73" s="215"/>
      <c r="AVH73" s="215"/>
      <c r="AVI73" s="215"/>
      <c r="AVJ73" s="215"/>
      <c r="AVK73" s="215"/>
      <c r="AVL73" s="215"/>
      <c r="AVM73" s="215"/>
      <c r="AVN73" s="215"/>
      <c r="AVO73" s="215"/>
      <c r="AVP73" s="215"/>
      <c r="AVQ73" s="215"/>
      <c r="AVR73" s="215"/>
      <c r="AVS73" s="215"/>
      <c r="AVT73" s="215"/>
      <c r="AVU73" s="215"/>
      <c r="AVV73" s="215"/>
      <c r="AVW73" s="215"/>
      <c r="AVX73" s="215"/>
      <c r="AVY73" s="215"/>
      <c r="AVZ73" s="215"/>
      <c r="AWA73" s="215"/>
      <c r="AWB73" s="215"/>
      <c r="AWC73" s="215"/>
      <c r="AWD73" s="215"/>
      <c r="AWE73" s="215"/>
      <c r="AWF73" s="215"/>
      <c r="AWG73" s="215"/>
      <c r="AWH73" s="215"/>
      <c r="AWI73" s="215"/>
      <c r="AWJ73" s="215"/>
      <c r="AWK73" s="215"/>
      <c r="AWL73" s="215"/>
      <c r="AWM73" s="215"/>
      <c r="AWN73" s="215"/>
      <c r="AWO73" s="215"/>
      <c r="AWP73" s="215"/>
      <c r="AWQ73" s="215"/>
      <c r="AWR73" s="215"/>
      <c r="AWS73" s="215"/>
      <c r="AWT73" s="215"/>
      <c r="AWU73" s="215"/>
      <c r="AWV73" s="215"/>
      <c r="AWW73" s="215"/>
      <c r="AWX73" s="215"/>
      <c r="AWY73" s="215"/>
      <c r="AWZ73" s="215"/>
      <c r="AXA73" s="215"/>
      <c r="AXB73" s="215"/>
      <c r="AXC73" s="215"/>
      <c r="AXD73" s="215"/>
      <c r="AXE73" s="215"/>
      <c r="AXF73" s="215"/>
      <c r="AXG73" s="215"/>
      <c r="AXH73" s="215"/>
      <c r="AXI73" s="215"/>
      <c r="AXJ73" s="215"/>
      <c r="AXK73" s="215"/>
      <c r="AXL73" s="215"/>
      <c r="AXM73" s="215"/>
      <c r="AXN73" s="215"/>
      <c r="AXO73" s="215"/>
      <c r="AXP73" s="215"/>
      <c r="AXQ73" s="215"/>
      <c r="AXR73" s="215"/>
      <c r="AXS73" s="215"/>
      <c r="AXT73" s="215"/>
      <c r="AXU73" s="215"/>
      <c r="AXV73" s="215"/>
      <c r="AXW73" s="215"/>
      <c r="AXX73" s="215"/>
      <c r="AXY73" s="215"/>
      <c r="AXZ73" s="215"/>
      <c r="AYA73" s="215"/>
      <c r="AYB73" s="215"/>
      <c r="AYC73" s="215"/>
      <c r="AYD73" s="215"/>
      <c r="AYE73" s="215"/>
      <c r="AYF73" s="215"/>
      <c r="AYG73" s="215"/>
      <c r="AYH73" s="215"/>
      <c r="AYI73" s="215"/>
      <c r="AYJ73" s="215"/>
      <c r="AYK73" s="215"/>
      <c r="AYL73" s="215"/>
      <c r="AYM73" s="215"/>
      <c r="AYN73" s="215"/>
      <c r="AYO73" s="215"/>
      <c r="AYP73" s="215"/>
      <c r="AYQ73" s="215"/>
      <c r="AYR73" s="215"/>
      <c r="AYS73" s="215"/>
      <c r="AYT73" s="215"/>
      <c r="AYU73" s="215"/>
      <c r="AYV73" s="215"/>
      <c r="AYW73" s="215"/>
      <c r="AYX73" s="215"/>
      <c r="AYY73" s="215"/>
      <c r="AYZ73" s="215"/>
      <c r="AZA73" s="215"/>
      <c r="AZB73" s="215"/>
      <c r="AZC73" s="215"/>
      <c r="AZD73" s="215"/>
      <c r="AZE73" s="215"/>
      <c r="AZF73" s="215"/>
      <c r="AZG73" s="215"/>
      <c r="AZH73" s="215"/>
      <c r="AZI73" s="215"/>
      <c r="AZJ73" s="215"/>
      <c r="AZK73" s="215"/>
      <c r="AZL73" s="215"/>
      <c r="AZM73" s="215"/>
      <c r="AZN73" s="215"/>
      <c r="AZO73" s="215"/>
      <c r="AZP73" s="215"/>
      <c r="AZQ73" s="215"/>
      <c r="AZR73" s="215"/>
      <c r="AZS73" s="215"/>
      <c r="AZT73" s="215"/>
      <c r="AZU73" s="215"/>
      <c r="AZV73" s="215"/>
      <c r="AZW73" s="215"/>
      <c r="AZX73" s="215"/>
      <c r="AZY73" s="215"/>
      <c r="AZZ73" s="215"/>
      <c r="BAA73" s="215"/>
      <c r="BAB73" s="215"/>
      <c r="BAC73" s="215"/>
      <c r="BAD73" s="215"/>
      <c r="BAE73" s="215"/>
      <c r="BAF73" s="215"/>
      <c r="BAG73" s="215"/>
      <c r="BAH73" s="215"/>
      <c r="BAI73" s="215"/>
      <c r="BAJ73" s="215"/>
      <c r="BAK73" s="215"/>
      <c r="BAL73" s="215"/>
      <c r="BAM73" s="215"/>
      <c r="BAN73" s="215"/>
      <c r="BAO73" s="215"/>
      <c r="BAP73" s="215"/>
      <c r="BAQ73" s="215"/>
      <c r="BAR73" s="215"/>
      <c r="BAS73" s="215"/>
      <c r="BAT73" s="215"/>
      <c r="BAU73" s="215"/>
      <c r="BAV73" s="215"/>
      <c r="BAW73" s="215"/>
      <c r="BAX73" s="215"/>
      <c r="BAY73" s="215"/>
      <c r="BAZ73" s="215"/>
      <c r="BBA73" s="215"/>
      <c r="BBB73" s="215"/>
      <c r="BBC73" s="215"/>
      <c r="BBD73" s="215"/>
      <c r="BBE73" s="215"/>
      <c r="BBF73" s="215"/>
      <c r="BBG73" s="215"/>
      <c r="BBH73" s="215"/>
      <c r="BBI73" s="215"/>
      <c r="BBJ73" s="215"/>
      <c r="BBK73" s="215"/>
      <c r="BBL73" s="215"/>
      <c r="BBM73" s="215"/>
      <c r="BBN73" s="215"/>
      <c r="BBO73" s="215"/>
      <c r="BBP73" s="215"/>
      <c r="BBQ73" s="215"/>
      <c r="BBR73" s="215"/>
      <c r="BBS73" s="215"/>
      <c r="BBT73" s="215"/>
      <c r="BBU73" s="215"/>
      <c r="BBV73" s="215"/>
      <c r="BBW73" s="215"/>
      <c r="BBX73" s="215"/>
      <c r="BBY73" s="215"/>
      <c r="BBZ73" s="215"/>
      <c r="BCA73" s="215"/>
      <c r="BCB73" s="215"/>
      <c r="BCC73" s="215"/>
      <c r="BCD73" s="215"/>
      <c r="BCE73" s="215"/>
      <c r="BCF73" s="215"/>
      <c r="BCG73" s="215"/>
      <c r="BCH73" s="215"/>
      <c r="BCI73" s="215"/>
      <c r="BCJ73" s="215"/>
      <c r="BCK73" s="215"/>
      <c r="BCL73" s="215"/>
      <c r="BCM73" s="215"/>
      <c r="BCN73" s="215"/>
      <c r="BCO73" s="215"/>
      <c r="BCP73" s="215"/>
      <c r="BCQ73" s="215"/>
      <c r="BCR73" s="215"/>
      <c r="BCS73" s="215"/>
      <c r="BCT73" s="215"/>
      <c r="BCU73" s="215"/>
      <c r="BCV73" s="215"/>
      <c r="BCW73" s="215"/>
      <c r="BCX73" s="215"/>
      <c r="BCY73" s="215"/>
      <c r="BCZ73" s="215"/>
      <c r="BDA73" s="215"/>
      <c r="BDB73" s="215"/>
      <c r="BDC73" s="215"/>
      <c r="BDD73" s="215"/>
      <c r="BDE73" s="215"/>
      <c r="BDF73" s="215"/>
      <c r="BDG73" s="215"/>
      <c r="BDH73" s="215"/>
      <c r="BDI73" s="215"/>
      <c r="BDJ73" s="215"/>
      <c r="BDK73" s="215"/>
      <c r="BDL73" s="215"/>
      <c r="BDM73" s="215"/>
      <c r="BDN73" s="215"/>
      <c r="BDO73" s="215"/>
      <c r="BDP73" s="215"/>
      <c r="BDQ73" s="215"/>
      <c r="BDR73" s="215"/>
      <c r="BDS73" s="215"/>
      <c r="BDT73" s="215"/>
      <c r="BDU73" s="215"/>
      <c r="BDV73" s="215"/>
      <c r="BDW73" s="215"/>
      <c r="BDX73" s="215"/>
      <c r="BDY73" s="215"/>
      <c r="BDZ73" s="215"/>
      <c r="BEA73" s="215"/>
      <c r="BEB73" s="215"/>
      <c r="BEC73" s="215"/>
      <c r="BED73" s="215"/>
      <c r="BEE73" s="215"/>
      <c r="BEF73" s="215"/>
      <c r="BEG73" s="215"/>
      <c r="BEH73" s="215"/>
      <c r="BEI73" s="215"/>
      <c r="BEJ73" s="215"/>
      <c r="BEK73" s="215"/>
      <c r="BEL73" s="215"/>
      <c r="BEM73" s="215"/>
      <c r="BEN73" s="215"/>
      <c r="BEO73" s="215"/>
      <c r="BEP73" s="215"/>
      <c r="BEQ73" s="215"/>
      <c r="BER73" s="215"/>
      <c r="BES73" s="215"/>
      <c r="BET73" s="215"/>
      <c r="BEU73" s="215"/>
      <c r="BEV73" s="215"/>
      <c r="BEW73" s="215"/>
      <c r="BEX73" s="215"/>
      <c r="BEY73" s="215"/>
      <c r="BEZ73" s="215"/>
      <c r="BFA73" s="215"/>
      <c r="BFB73" s="215"/>
      <c r="BFC73" s="215"/>
      <c r="BFD73" s="215"/>
      <c r="BFE73" s="215"/>
      <c r="BFF73" s="215"/>
      <c r="BFG73" s="215"/>
      <c r="BFH73" s="215"/>
      <c r="BFI73" s="215"/>
      <c r="BFJ73" s="215"/>
      <c r="BFK73" s="215"/>
      <c r="BFL73" s="215"/>
      <c r="BFM73" s="215"/>
      <c r="BFN73" s="215"/>
      <c r="BFO73" s="215"/>
      <c r="BFP73" s="215"/>
      <c r="BFQ73" s="215"/>
      <c r="BFR73" s="215"/>
      <c r="BFS73" s="215"/>
      <c r="BFT73" s="215"/>
      <c r="BFU73" s="215"/>
      <c r="BFV73" s="215"/>
      <c r="BFW73" s="215"/>
      <c r="BFX73" s="215"/>
      <c r="BFY73" s="215"/>
      <c r="BFZ73" s="215"/>
      <c r="BGA73" s="215"/>
      <c r="BGB73" s="215"/>
      <c r="BGC73" s="215"/>
      <c r="BGD73" s="215"/>
      <c r="BGE73" s="215"/>
      <c r="BGF73" s="215"/>
      <c r="BGG73" s="215"/>
      <c r="BGH73" s="215"/>
      <c r="BGI73" s="215"/>
      <c r="BGJ73" s="215"/>
      <c r="BGK73" s="215"/>
      <c r="BGL73" s="215"/>
      <c r="BGM73" s="215"/>
      <c r="BGN73" s="215"/>
      <c r="BGO73" s="215"/>
      <c r="BGP73" s="215"/>
      <c r="BGQ73" s="215"/>
      <c r="BGR73" s="215"/>
      <c r="BGS73" s="215"/>
      <c r="BGT73" s="215"/>
      <c r="BGU73" s="215"/>
      <c r="BGV73" s="215"/>
      <c r="BGW73" s="215"/>
      <c r="BGX73" s="215"/>
      <c r="BGY73" s="215"/>
      <c r="BGZ73" s="215"/>
      <c r="BHA73" s="215"/>
      <c r="BHB73" s="215"/>
      <c r="BHC73" s="215"/>
      <c r="BHD73" s="215"/>
      <c r="BHE73" s="215"/>
      <c r="BHF73" s="215"/>
      <c r="BHG73" s="215"/>
      <c r="BHH73" s="215"/>
      <c r="BHI73" s="215"/>
      <c r="BHJ73" s="215"/>
      <c r="BHK73" s="215"/>
      <c r="BHL73" s="215"/>
      <c r="BHM73" s="215"/>
      <c r="BHN73" s="215"/>
      <c r="BHO73" s="215"/>
      <c r="BHP73" s="215"/>
      <c r="BHQ73" s="215"/>
      <c r="BHR73" s="215"/>
      <c r="BHS73" s="215"/>
      <c r="BHT73" s="215"/>
      <c r="BHU73" s="215"/>
      <c r="BHV73" s="215"/>
      <c r="BHW73" s="215"/>
    </row>
    <row r="74" spans="1:1583" s="219" customFormat="1" ht="15.75" thickBot="1">
      <c r="A74" s="253" t="s">
        <v>84</v>
      </c>
      <c r="B74" s="185" t="s">
        <v>382</v>
      </c>
      <c r="C74" s="416" t="s">
        <v>505</v>
      </c>
      <c r="D74" s="420" t="s">
        <v>560</v>
      </c>
      <c r="E74" s="265" t="s">
        <v>46</v>
      </c>
      <c r="F74" s="137">
        <v>45</v>
      </c>
      <c r="G74" s="60" t="s">
        <v>728</v>
      </c>
      <c r="H74" s="473">
        <f t="shared" si="21"/>
        <v>7.3566242982619832</v>
      </c>
      <c r="I74" s="97">
        <f>VLOOKUP($B74,'DCS Data'!$E$2:$AJ$100,MATCH('Daily Report'!I$1,'DCS Data'!$E$2:$AJ$2,0),0)</f>
        <v>7.0383621388676882</v>
      </c>
      <c r="J74" s="255"/>
      <c r="K74" s="97">
        <f>VLOOKUP($B74,'DCS Data'!$E$2:$AJ$100,MATCH('Daily Report'!K$1,'DCS Data'!$E$2:$AJ$2,0),0)</f>
        <v>7.0297894712378275</v>
      </c>
      <c r="L74" s="97">
        <f>VLOOKUP($B74,'DCS Data'!$E$2:$AJ$100,MATCH('Daily Report'!L$1,'DCS Data'!$E$2:$AJ$2,0),0)</f>
        <v>7.0323054622113421</v>
      </c>
      <c r="M74" s="97">
        <f>VLOOKUP($B74,'DCS Data'!$E$2:$AJ$100,MATCH('Daily Report'!M$1,'DCS Data'!$E$2:$AJ$2,0),0)</f>
        <v>7.037097006299657</v>
      </c>
      <c r="N74" s="97">
        <f>VLOOKUP($B74,'DCS Data'!$E$2:$AJ$100,MATCH('Daily Report'!N$1,'DCS Data'!$E$2:$AJ$2,0),0)</f>
        <v>7.081652685485774</v>
      </c>
      <c r="O74" s="97">
        <f>VLOOKUP($B74,'DCS Data'!$E$2:$AJ$100,MATCH('Daily Report'!O$1,'DCS Data'!$E$2:$AJ$2,0),0)</f>
        <v>7.1054276956289524</v>
      </c>
      <c r="P74" s="97">
        <f>VLOOKUP($B74,'DCS Data'!$E$2:$AJ$100,MATCH('Daily Report'!P$1,'DCS Data'!$E$2:$AJ$2,0),0)</f>
        <v>7.1430206326781898</v>
      </c>
      <c r="Q74" s="97">
        <f>VLOOKUP($B74,'DCS Data'!$E$2:$AJ$100,MATCH('Daily Report'!Q$1,'DCS Data'!$E$2:$AJ$2,0),0)</f>
        <v>7.194199678729805</v>
      </c>
      <c r="R74" s="97">
        <f>VLOOKUP($B74,'DCS Data'!$E$2:$AJ$100,MATCH('Daily Report'!R$1,'DCS Data'!$E$2:$AJ$2,0),0)</f>
        <v>7.2025157873427927</v>
      </c>
      <c r="S74" s="97">
        <f>VLOOKUP($B74,'DCS Data'!$E$2:$AJ$100,MATCH('Daily Report'!S$1,'DCS Data'!$E$2:$AJ$2,0),0)</f>
        <v>7.2265094226961564</v>
      </c>
      <c r="T74" s="97">
        <f>VLOOKUP($B74,'DCS Data'!$E$2:$AJ$100,MATCH('Daily Report'!T$1,'DCS Data'!$E$2:$AJ$2,0),0)</f>
        <v>7.2476492873613729</v>
      </c>
      <c r="U74" s="97">
        <f>VLOOKUP($B74,'DCS Data'!$E$2:$AJ$100,MATCH('Daily Report'!U$1,'DCS Data'!$E$2:$AJ$2,0),0)</f>
        <v>7.276516625722822</v>
      </c>
      <c r="V74" s="97">
        <f>VLOOKUP($B74,'DCS Data'!$E$2:$AJ$100,MATCH('Daily Report'!V$1,'DCS Data'!$E$2:$AJ$2,0),0)</f>
        <v>7.2684662644355962</v>
      </c>
      <c r="W74" s="97">
        <f>VLOOKUP($B74,'DCS Data'!$E$2:$AJ$100,MATCH('Daily Report'!W$1,'DCS Data'!$E$2:$AJ$2,0),0)</f>
        <v>7.3071090476943965</v>
      </c>
      <c r="X74" s="97">
        <f>VLOOKUP($B74,'DCS Data'!$E$2:$AJ$100,MATCH('Daily Report'!X$1,'DCS Data'!$E$2:$AJ$2,0),0)</f>
        <v>7.3308874158350088</v>
      </c>
      <c r="Y74" s="97">
        <f>VLOOKUP($B74,'DCS Data'!$E$2:$AJ$100,MATCH('Daily Report'!Y$1,'DCS Data'!$E$2:$AJ$2,0),0)</f>
        <v>7.360405215702535</v>
      </c>
      <c r="Z74" s="97">
        <f>VLOOKUP($B74,'DCS Data'!$E$2:$AJ$100,MATCH('Daily Report'!Z$1,'DCS Data'!$E$2:$AJ$2,0),0)</f>
        <v>7.3954423749634319</v>
      </c>
      <c r="AA74" s="97">
        <f>VLOOKUP($B74,'DCS Data'!$E$2:$AJ$100,MATCH('Daily Report'!AA$1,'DCS Data'!$E$2:$AJ$2,0),0)</f>
        <v>7.4296079678177689</v>
      </c>
      <c r="AB74" s="97">
        <f>VLOOKUP($B74,'DCS Data'!$E$2:$AJ$100,MATCH('Daily Report'!AB$1,'DCS Data'!$E$2:$AJ$2,0),0)</f>
        <v>7.4350110896426456</v>
      </c>
      <c r="AC74" s="97">
        <f>VLOOKUP($B74,'DCS Data'!$E$2:$AJ$100,MATCH('Daily Report'!AC$1,'DCS Data'!$E$2:$AJ$2,0),0)</f>
        <v>7.4962595173090572</v>
      </c>
      <c r="AD74" s="97">
        <f>VLOOKUP($B74,'DCS Data'!$E$2:$AJ$100,MATCH('Daily Report'!AD$1,'DCS Data'!$E$2:$AJ$2,0),0)</f>
        <v>7.4900098588351032</v>
      </c>
      <c r="AE74" s="97">
        <f>VLOOKUP($B74,'DCS Data'!$E$2:$AJ$100,MATCH('Daily Report'!AE$1,'DCS Data'!$E$2:$AJ$2,0),0)</f>
        <v>7.5061895146528235</v>
      </c>
      <c r="AF74" s="97">
        <f>VLOOKUP($B74,'DCS Data'!$E$2:$AJ$100,MATCH('Daily Report'!AF$1,'DCS Data'!$E$2:$AJ$2,0),0)</f>
        <v>7.5338417849252872</v>
      </c>
      <c r="AG74" s="97">
        <f>VLOOKUP($B74,'DCS Data'!$E$2:$AJ$100,MATCH('Daily Report'!AG$1,'DCS Data'!$E$2:$AJ$2,0),0)</f>
        <v>7.5676646483118803</v>
      </c>
      <c r="AH74" s="97">
        <f>VLOOKUP($B74,'DCS Data'!$E$2:$AJ$100,MATCH('Daily Report'!AH$1,'DCS Data'!$E$2:$AJ$2,0),0)</f>
        <v>7.6126006495653771</v>
      </c>
      <c r="AI74" s="97">
        <f>VLOOKUP($B74,'DCS Data'!$E$2:$AJ$100,MATCH('Daily Report'!AI$1,'DCS Data'!$E$2:$AJ$2,0),0)</f>
        <v>7.6420263089059111</v>
      </c>
      <c r="AJ74" s="97">
        <f>VLOOKUP($B74,'DCS Data'!$E$2:$AJ$100,MATCH('Daily Report'!AJ$1,'DCS Data'!$E$2:$AJ$2,0),0)</f>
        <v>7.6221301990625125</v>
      </c>
      <c r="AK74" s="97">
        <f>VLOOKUP($B74,'DCS Data'!$E$2:$AJ$100,MATCH('Daily Report'!AK$1,'DCS Data'!$E$2:$AJ$2,0),0)</f>
        <v>7.607814939633978</v>
      </c>
      <c r="AL74" s="97">
        <f>VLOOKUP($B74,'DCS Data'!$E$2:$AJ$100,MATCH('Daily Report'!AL$1,'DCS Data'!$E$2:$AJ$2,0),0)</f>
        <v>7.6012973318815638</v>
      </c>
      <c r="AM74" s="97">
        <f>VLOOKUP($B74,'DCS Data'!$E$2:$AJ$100,MATCH('Daily Report'!AM$1,'DCS Data'!$E$2:$AJ$2,0),0)</f>
        <v>7.6179307853895022</v>
      </c>
      <c r="AN74" s="97">
        <f>VLOOKUP($B74,'DCS Data'!$E$2:$AJ$100,MATCH('Daily Report'!AN$1,'DCS Data'!$E$2:$AJ$2,0),0)</f>
        <v>7.6156124372947378</v>
      </c>
      <c r="AO74" s="218"/>
      <c r="AP74" s="218"/>
      <c r="AQ74" s="218"/>
      <c r="AR74" s="218"/>
      <c r="AS74" s="218"/>
      <c r="AT74" s="218"/>
      <c r="AU74" s="218"/>
      <c r="AV74" s="218"/>
      <c r="AW74" s="218"/>
      <c r="AX74" s="218"/>
      <c r="AY74" s="218"/>
      <c r="AZ74" s="218"/>
      <c r="BA74" s="218"/>
      <c r="BB74" s="218"/>
      <c r="BC74" s="218"/>
      <c r="BD74" s="218"/>
      <c r="BE74" s="218"/>
      <c r="BF74" s="218"/>
      <c r="BG74" s="218"/>
      <c r="BH74" s="218"/>
      <c r="BI74" s="218"/>
      <c r="BJ74" s="218"/>
      <c r="BK74" s="218"/>
      <c r="BL74" s="218"/>
      <c r="BM74" s="218"/>
      <c r="BN74" s="218"/>
      <c r="BO74" s="218"/>
      <c r="BP74" s="218"/>
      <c r="BQ74" s="218"/>
      <c r="BR74" s="218"/>
      <c r="BS74" s="218"/>
      <c r="BT74" s="218"/>
      <c r="BU74" s="218"/>
      <c r="BV74" s="218"/>
      <c r="BW74" s="218"/>
      <c r="BX74" s="218"/>
      <c r="BY74" s="218"/>
      <c r="BZ74" s="218"/>
      <c r="CA74" s="218"/>
      <c r="CB74" s="218"/>
      <c r="CC74" s="218"/>
      <c r="CD74" s="218"/>
      <c r="CE74" s="218"/>
      <c r="CF74" s="218"/>
      <c r="CG74" s="218"/>
      <c r="CH74" s="218"/>
      <c r="CI74" s="218"/>
      <c r="CJ74" s="218"/>
      <c r="CK74" s="218"/>
      <c r="CL74" s="218"/>
      <c r="CM74" s="218"/>
      <c r="CN74" s="218"/>
      <c r="CO74" s="218"/>
      <c r="CP74" s="218"/>
      <c r="CQ74" s="218"/>
      <c r="CR74" s="218"/>
      <c r="CS74" s="218"/>
      <c r="CT74" s="218"/>
      <c r="CU74" s="218"/>
      <c r="CV74" s="218"/>
      <c r="CW74" s="218"/>
      <c r="CX74" s="218"/>
      <c r="CY74" s="218"/>
      <c r="CZ74" s="218"/>
      <c r="DA74" s="218"/>
      <c r="DB74" s="218"/>
      <c r="DC74" s="218"/>
      <c r="DD74" s="218"/>
      <c r="DE74" s="218"/>
      <c r="DF74" s="218"/>
      <c r="DG74" s="218"/>
      <c r="DH74" s="218"/>
      <c r="DI74" s="218"/>
      <c r="DJ74" s="218"/>
      <c r="DK74" s="218"/>
      <c r="DL74" s="218"/>
      <c r="DM74" s="218"/>
      <c r="DN74" s="218"/>
      <c r="DO74" s="218"/>
      <c r="DP74" s="218"/>
      <c r="DQ74" s="218"/>
      <c r="DR74" s="218"/>
      <c r="DS74" s="218"/>
      <c r="DT74" s="218"/>
      <c r="DU74" s="218"/>
      <c r="DV74" s="218"/>
      <c r="DW74" s="218"/>
      <c r="DX74" s="218"/>
      <c r="DY74" s="218"/>
      <c r="DZ74" s="218"/>
      <c r="EA74" s="218"/>
      <c r="EB74" s="218"/>
      <c r="EC74" s="218"/>
      <c r="ED74" s="218"/>
      <c r="EE74" s="218"/>
      <c r="EF74" s="218"/>
      <c r="EG74" s="218"/>
      <c r="EH74" s="218"/>
      <c r="EI74" s="218"/>
      <c r="EJ74" s="218"/>
      <c r="EK74" s="218"/>
      <c r="EL74" s="218"/>
      <c r="EM74" s="218"/>
      <c r="EN74" s="218"/>
      <c r="EO74" s="218"/>
      <c r="EP74" s="218"/>
      <c r="EQ74" s="218"/>
      <c r="ER74" s="218"/>
      <c r="ES74" s="218"/>
      <c r="ET74" s="218"/>
      <c r="EU74" s="218"/>
      <c r="EV74" s="218"/>
      <c r="EW74" s="218"/>
      <c r="EX74" s="218"/>
      <c r="EY74" s="218"/>
      <c r="EZ74" s="218"/>
      <c r="FA74" s="218"/>
      <c r="FB74" s="218"/>
      <c r="FC74" s="218"/>
      <c r="FD74" s="218"/>
      <c r="FE74" s="218"/>
      <c r="FF74" s="218"/>
      <c r="FG74" s="218"/>
      <c r="FH74" s="218"/>
      <c r="FI74" s="218"/>
      <c r="FJ74" s="218"/>
      <c r="FK74" s="218"/>
      <c r="FL74" s="218"/>
      <c r="FM74" s="218"/>
      <c r="FN74" s="218"/>
      <c r="FO74" s="218"/>
      <c r="FP74" s="218"/>
      <c r="FQ74" s="218"/>
      <c r="FR74" s="218"/>
      <c r="FS74" s="218"/>
      <c r="FT74" s="218"/>
      <c r="FU74" s="218"/>
      <c r="FV74" s="218"/>
      <c r="FW74" s="218"/>
      <c r="FX74" s="218"/>
      <c r="FY74" s="218"/>
      <c r="FZ74" s="218"/>
      <c r="GA74" s="218"/>
      <c r="GB74" s="218"/>
      <c r="GC74" s="218"/>
      <c r="GD74" s="218"/>
      <c r="GE74" s="218"/>
      <c r="GF74" s="218"/>
      <c r="GG74" s="218"/>
      <c r="GH74" s="218"/>
      <c r="GI74" s="218"/>
      <c r="GJ74" s="218"/>
      <c r="GK74" s="218"/>
      <c r="GL74" s="218"/>
      <c r="GM74" s="218"/>
      <c r="GN74" s="218"/>
      <c r="GO74" s="218"/>
      <c r="GP74" s="218"/>
      <c r="GQ74" s="218"/>
      <c r="GR74" s="218"/>
      <c r="GS74" s="218"/>
      <c r="GT74" s="218"/>
      <c r="GU74" s="218"/>
      <c r="GV74" s="218"/>
      <c r="GW74" s="218"/>
      <c r="GX74" s="218"/>
      <c r="GY74" s="218"/>
      <c r="GZ74" s="218"/>
      <c r="HA74" s="218"/>
      <c r="HB74" s="218"/>
      <c r="HC74" s="218"/>
      <c r="HD74" s="218"/>
      <c r="HE74" s="218"/>
      <c r="HF74" s="218"/>
      <c r="HG74" s="218"/>
      <c r="HH74" s="218"/>
      <c r="HI74" s="218"/>
      <c r="HJ74" s="218"/>
      <c r="HK74" s="218"/>
      <c r="HL74" s="218"/>
      <c r="HM74" s="218"/>
      <c r="HN74" s="218"/>
      <c r="HO74" s="218"/>
      <c r="HP74" s="218"/>
      <c r="HQ74" s="218"/>
      <c r="HR74" s="218"/>
      <c r="HS74" s="218"/>
      <c r="HT74" s="218"/>
      <c r="HU74" s="218"/>
      <c r="HV74" s="218"/>
      <c r="HW74" s="218"/>
      <c r="HX74" s="218"/>
      <c r="HY74" s="218"/>
      <c r="HZ74" s="218"/>
      <c r="IA74" s="218"/>
      <c r="IB74" s="218"/>
      <c r="IC74" s="218"/>
      <c r="ID74" s="218"/>
      <c r="IE74" s="218"/>
      <c r="IF74" s="218"/>
      <c r="IG74" s="218"/>
      <c r="IH74" s="218"/>
      <c r="II74" s="218"/>
      <c r="IJ74" s="218"/>
      <c r="IK74" s="218"/>
      <c r="IL74" s="218"/>
      <c r="IM74" s="218"/>
      <c r="IN74" s="218"/>
      <c r="IO74" s="218"/>
      <c r="IP74" s="218"/>
      <c r="IQ74" s="218"/>
      <c r="IR74" s="218"/>
      <c r="IS74" s="218"/>
      <c r="IT74" s="218"/>
      <c r="IU74" s="218"/>
      <c r="IV74" s="218"/>
      <c r="IW74" s="218"/>
      <c r="IX74" s="218"/>
      <c r="IY74" s="218"/>
      <c r="IZ74" s="218"/>
      <c r="JA74" s="218"/>
      <c r="JB74" s="218"/>
      <c r="JC74" s="218"/>
      <c r="JD74" s="218"/>
      <c r="JE74" s="218"/>
      <c r="JF74" s="218"/>
      <c r="JG74" s="218"/>
      <c r="JH74" s="218"/>
      <c r="JI74" s="218"/>
      <c r="JJ74" s="218"/>
      <c r="JK74" s="218"/>
      <c r="JL74" s="218"/>
      <c r="JM74" s="218"/>
      <c r="JN74" s="218"/>
      <c r="JO74" s="218"/>
      <c r="JP74" s="218"/>
      <c r="JQ74" s="218"/>
      <c r="JR74" s="218"/>
      <c r="JS74" s="218"/>
      <c r="JT74" s="218"/>
      <c r="JU74" s="218"/>
      <c r="JV74" s="218"/>
      <c r="JW74" s="218"/>
      <c r="JX74" s="218"/>
      <c r="JY74" s="218"/>
      <c r="JZ74" s="218"/>
      <c r="KA74" s="218"/>
      <c r="KB74" s="218"/>
      <c r="KC74" s="218"/>
      <c r="KD74" s="218"/>
      <c r="KE74" s="218"/>
      <c r="KF74" s="218"/>
      <c r="KG74" s="218"/>
      <c r="KH74" s="218"/>
      <c r="KI74" s="218"/>
      <c r="KJ74" s="218"/>
      <c r="KK74" s="218"/>
      <c r="KL74" s="218"/>
      <c r="KM74" s="218"/>
      <c r="KN74" s="218"/>
      <c r="KO74" s="218"/>
      <c r="KP74" s="218"/>
      <c r="KQ74" s="218"/>
      <c r="KR74" s="218"/>
      <c r="KS74" s="218"/>
      <c r="KT74" s="218"/>
      <c r="KU74" s="218"/>
      <c r="KV74" s="218"/>
      <c r="KW74" s="218"/>
      <c r="KX74" s="218"/>
      <c r="KY74" s="218"/>
      <c r="KZ74" s="218"/>
      <c r="LA74" s="218"/>
      <c r="LB74" s="218"/>
      <c r="LC74" s="218"/>
      <c r="LD74" s="218"/>
      <c r="LE74" s="218"/>
      <c r="LF74" s="218"/>
      <c r="LG74" s="218"/>
      <c r="LH74" s="218"/>
      <c r="LI74" s="218"/>
      <c r="LJ74" s="218"/>
      <c r="LK74" s="218"/>
      <c r="LL74" s="218"/>
      <c r="LM74" s="218"/>
      <c r="LN74" s="218"/>
      <c r="LO74" s="218"/>
      <c r="LP74" s="218"/>
      <c r="LQ74" s="218"/>
      <c r="LR74" s="218"/>
      <c r="LS74" s="218"/>
      <c r="LT74" s="218"/>
      <c r="LU74" s="218"/>
      <c r="LV74" s="218"/>
      <c r="LW74" s="218"/>
      <c r="LX74" s="218"/>
      <c r="LY74" s="218"/>
      <c r="LZ74" s="218"/>
      <c r="MA74" s="218"/>
      <c r="MB74" s="218"/>
      <c r="MC74" s="218"/>
      <c r="MD74" s="218"/>
      <c r="ME74" s="218"/>
      <c r="MF74" s="218"/>
      <c r="MG74" s="218"/>
      <c r="MH74" s="218"/>
      <c r="MI74" s="218"/>
      <c r="MJ74" s="218"/>
      <c r="MK74" s="218"/>
      <c r="ML74" s="218"/>
      <c r="MM74" s="218"/>
      <c r="MN74" s="218"/>
      <c r="MO74" s="218"/>
      <c r="MP74" s="218"/>
      <c r="MQ74" s="218"/>
      <c r="MR74" s="218"/>
      <c r="MS74" s="218"/>
      <c r="MT74" s="218"/>
      <c r="MU74" s="218"/>
      <c r="MV74" s="218"/>
      <c r="MW74" s="218"/>
      <c r="MX74" s="218"/>
      <c r="MY74" s="218"/>
      <c r="MZ74" s="218"/>
      <c r="NA74" s="218"/>
      <c r="NB74" s="218"/>
      <c r="NC74" s="218"/>
      <c r="ND74" s="218"/>
      <c r="NE74" s="218"/>
      <c r="NF74" s="218"/>
      <c r="NG74" s="218"/>
      <c r="NH74" s="218"/>
      <c r="NI74" s="218"/>
      <c r="NJ74" s="218"/>
      <c r="NK74" s="218"/>
      <c r="NL74" s="218"/>
      <c r="NM74" s="218"/>
      <c r="NN74" s="218"/>
      <c r="NO74" s="218"/>
      <c r="NP74" s="218"/>
      <c r="NQ74" s="218"/>
      <c r="NR74" s="218"/>
      <c r="NS74" s="218"/>
      <c r="NT74" s="218"/>
      <c r="NU74" s="218"/>
      <c r="NV74" s="218"/>
      <c r="NW74" s="218"/>
      <c r="NX74" s="218"/>
      <c r="NY74" s="218"/>
      <c r="NZ74" s="218"/>
      <c r="OA74" s="218"/>
      <c r="OB74" s="218"/>
      <c r="OC74" s="218"/>
      <c r="OD74" s="218"/>
      <c r="OE74" s="218"/>
      <c r="OF74" s="218"/>
      <c r="OG74" s="218"/>
      <c r="OH74" s="218"/>
      <c r="OI74" s="218"/>
      <c r="OJ74" s="218"/>
      <c r="OK74" s="218"/>
      <c r="OL74" s="218"/>
      <c r="OM74" s="218"/>
      <c r="ON74" s="218"/>
      <c r="OO74" s="218"/>
      <c r="OP74" s="218"/>
      <c r="OQ74" s="218"/>
      <c r="OR74" s="218"/>
      <c r="OS74" s="218"/>
      <c r="OT74" s="218"/>
      <c r="OU74" s="218"/>
      <c r="OV74" s="218"/>
      <c r="OW74" s="218"/>
      <c r="OX74" s="218"/>
      <c r="OY74" s="218"/>
      <c r="OZ74" s="218"/>
      <c r="PA74" s="218"/>
      <c r="PB74" s="218"/>
      <c r="PC74" s="218"/>
      <c r="PD74" s="218"/>
      <c r="PE74" s="218"/>
      <c r="PF74" s="218"/>
      <c r="PG74" s="218"/>
      <c r="PH74" s="218"/>
      <c r="PI74" s="218"/>
      <c r="PJ74" s="218"/>
      <c r="PK74" s="218"/>
      <c r="PL74" s="218"/>
      <c r="PM74" s="218"/>
      <c r="PN74" s="218"/>
      <c r="PO74" s="218"/>
      <c r="PP74" s="218"/>
      <c r="PQ74" s="218"/>
      <c r="PR74" s="218"/>
      <c r="PS74" s="218"/>
      <c r="PT74" s="218"/>
      <c r="PU74" s="218"/>
      <c r="PV74" s="218"/>
      <c r="PW74" s="218"/>
      <c r="PX74" s="218"/>
      <c r="PY74" s="218"/>
      <c r="PZ74" s="218"/>
      <c r="QA74" s="218"/>
      <c r="QB74" s="218"/>
      <c r="QC74" s="218"/>
      <c r="QD74" s="218"/>
      <c r="QE74" s="218"/>
      <c r="QF74" s="218"/>
      <c r="QG74" s="218"/>
      <c r="QH74" s="218"/>
      <c r="QI74" s="218"/>
      <c r="QJ74" s="218"/>
      <c r="QK74" s="218"/>
      <c r="QL74" s="218"/>
      <c r="QM74" s="218"/>
      <c r="QN74" s="218"/>
      <c r="QO74" s="218"/>
      <c r="QP74" s="218"/>
      <c r="QQ74" s="218"/>
      <c r="QR74" s="218"/>
      <c r="QS74" s="218"/>
      <c r="QT74" s="218"/>
      <c r="QU74" s="218"/>
      <c r="QV74" s="218"/>
      <c r="QW74" s="218"/>
      <c r="QX74" s="218"/>
      <c r="QY74" s="218"/>
      <c r="QZ74" s="218"/>
      <c r="RA74" s="218"/>
      <c r="RB74" s="218"/>
      <c r="RC74" s="218"/>
      <c r="RD74" s="218"/>
      <c r="RE74" s="218"/>
      <c r="RF74" s="218"/>
      <c r="RG74" s="218"/>
      <c r="RH74" s="218"/>
      <c r="RI74" s="218"/>
      <c r="RJ74" s="218"/>
      <c r="RK74" s="218"/>
      <c r="RL74" s="218"/>
      <c r="RM74" s="218"/>
      <c r="RN74" s="218"/>
      <c r="RO74" s="218"/>
      <c r="RP74" s="218"/>
      <c r="RQ74" s="218"/>
      <c r="RR74" s="218"/>
      <c r="RS74" s="218"/>
      <c r="RT74" s="218"/>
      <c r="RU74" s="218"/>
      <c r="RV74" s="218"/>
      <c r="RW74" s="218"/>
      <c r="RX74" s="218"/>
      <c r="RY74" s="218"/>
      <c r="RZ74" s="218"/>
      <c r="SA74" s="218"/>
      <c r="SB74" s="218"/>
      <c r="SC74" s="218"/>
      <c r="SD74" s="218"/>
      <c r="SE74" s="218"/>
      <c r="SF74" s="218"/>
      <c r="SG74" s="218"/>
      <c r="SH74" s="218"/>
      <c r="SI74" s="218"/>
      <c r="SJ74" s="218"/>
      <c r="SK74" s="218"/>
      <c r="SL74" s="218"/>
      <c r="SM74" s="218"/>
      <c r="SN74" s="218"/>
      <c r="SO74" s="218"/>
      <c r="SP74" s="218"/>
      <c r="SQ74" s="218"/>
      <c r="SR74" s="218"/>
      <c r="SS74" s="218"/>
      <c r="ST74" s="218"/>
      <c r="SU74" s="218"/>
      <c r="SV74" s="218"/>
      <c r="SW74" s="218"/>
      <c r="SX74" s="218"/>
      <c r="SY74" s="218"/>
      <c r="SZ74" s="218"/>
      <c r="TA74" s="218"/>
      <c r="TB74" s="218"/>
      <c r="TC74" s="218"/>
      <c r="TD74" s="218"/>
      <c r="TE74" s="218"/>
      <c r="TF74" s="218"/>
      <c r="TG74" s="218"/>
      <c r="TH74" s="218"/>
      <c r="TI74" s="218"/>
      <c r="TJ74" s="218"/>
      <c r="TK74" s="218"/>
      <c r="TL74" s="218"/>
      <c r="TM74" s="218"/>
      <c r="TN74" s="218"/>
      <c r="TO74" s="218"/>
      <c r="TP74" s="218"/>
      <c r="TQ74" s="218"/>
      <c r="TR74" s="218"/>
      <c r="TS74" s="218"/>
      <c r="TT74" s="218"/>
      <c r="TU74" s="218"/>
      <c r="TV74" s="218"/>
      <c r="TW74" s="218"/>
      <c r="TX74" s="218"/>
      <c r="TY74" s="218"/>
      <c r="TZ74" s="218"/>
      <c r="UA74" s="218"/>
      <c r="UB74" s="218"/>
      <c r="UC74" s="218"/>
      <c r="UD74" s="218"/>
      <c r="UE74" s="218"/>
      <c r="UF74" s="218"/>
      <c r="UG74" s="218"/>
      <c r="UH74" s="218"/>
      <c r="UI74" s="218"/>
      <c r="UJ74" s="218"/>
      <c r="UK74" s="218"/>
      <c r="UL74" s="218"/>
      <c r="UM74" s="218"/>
      <c r="UN74" s="218"/>
      <c r="UO74" s="218"/>
      <c r="UP74" s="218"/>
      <c r="UQ74" s="218"/>
      <c r="UR74" s="218"/>
      <c r="US74" s="218"/>
      <c r="UT74" s="218"/>
      <c r="UU74" s="218"/>
      <c r="UV74" s="218"/>
      <c r="UW74" s="218"/>
      <c r="UX74" s="218"/>
      <c r="UY74" s="218"/>
      <c r="UZ74" s="218"/>
      <c r="VA74" s="218"/>
      <c r="VB74" s="218"/>
      <c r="VC74" s="218"/>
      <c r="VD74" s="218"/>
      <c r="VE74" s="218"/>
      <c r="VF74" s="218"/>
      <c r="VG74" s="218"/>
      <c r="VH74" s="218"/>
      <c r="VI74" s="218"/>
      <c r="VJ74" s="218"/>
      <c r="VK74" s="218"/>
      <c r="VL74" s="218"/>
      <c r="VM74" s="218"/>
      <c r="VN74" s="218"/>
      <c r="VO74" s="218"/>
      <c r="VP74" s="218"/>
      <c r="VQ74" s="218"/>
      <c r="VR74" s="218"/>
      <c r="VS74" s="218"/>
      <c r="VT74" s="218"/>
      <c r="VU74" s="218"/>
      <c r="VV74" s="218"/>
      <c r="VW74" s="218"/>
      <c r="VX74" s="218"/>
      <c r="VY74" s="218"/>
      <c r="VZ74" s="218"/>
      <c r="WA74" s="218"/>
      <c r="WB74" s="218"/>
      <c r="WC74" s="218"/>
      <c r="WD74" s="218"/>
      <c r="WE74" s="218"/>
      <c r="WF74" s="218"/>
      <c r="WG74" s="218"/>
      <c r="WH74" s="218"/>
      <c r="WI74" s="218"/>
      <c r="WJ74" s="218"/>
      <c r="WK74" s="218"/>
      <c r="WL74" s="218"/>
      <c r="WM74" s="218"/>
      <c r="WN74" s="218"/>
      <c r="WO74" s="218"/>
      <c r="WP74" s="218"/>
      <c r="WQ74" s="218"/>
      <c r="WR74" s="218"/>
      <c r="WS74" s="218"/>
      <c r="WT74" s="218"/>
      <c r="WU74" s="218"/>
      <c r="WV74" s="218"/>
      <c r="WW74" s="218"/>
      <c r="WX74" s="218"/>
      <c r="WY74" s="218"/>
      <c r="WZ74" s="218"/>
      <c r="XA74" s="218"/>
      <c r="XB74" s="218"/>
      <c r="XC74" s="218"/>
      <c r="XD74" s="218"/>
      <c r="XE74" s="218"/>
      <c r="XF74" s="218"/>
      <c r="XG74" s="218"/>
      <c r="XH74" s="218"/>
      <c r="XI74" s="218"/>
      <c r="XJ74" s="218"/>
      <c r="XK74" s="218"/>
      <c r="XL74" s="218"/>
      <c r="XM74" s="218"/>
      <c r="XN74" s="218"/>
      <c r="XO74" s="218"/>
      <c r="XP74" s="218"/>
      <c r="XQ74" s="218"/>
      <c r="XR74" s="218"/>
      <c r="XS74" s="218"/>
      <c r="XT74" s="218"/>
      <c r="XU74" s="218"/>
      <c r="XV74" s="218"/>
      <c r="XW74" s="218"/>
      <c r="XX74" s="218"/>
      <c r="XY74" s="218"/>
      <c r="XZ74" s="218"/>
      <c r="YA74" s="218"/>
      <c r="YB74" s="218"/>
      <c r="YC74" s="218"/>
      <c r="YD74" s="218"/>
      <c r="YE74" s="218"/>
      <c r="YF74" s="218"/>
      <c r="YG74" s="218"/>
      <c r="YH74" s="218"/>
      <c r="YI74" s="218"/>
      <c r="YJ74" s="218"/>
      <c r="YK74" s="218"/>
      <c r="YL74" s="218"/>
      <c r="YM74" s="218"/>
      <c r="YN74" s="218"/>
      <c r="YO74" s="218"/>
      <c r="YP74" s="218"/>
      <c r="YQ74" s="218"/>
      <c r="YR74" s="218"/>
      <c r="YS74" s="218"/>
      <c r="YT74" s="218"/>
      <c r="YU74" s="218"/>
      <c r="YV74" s="218"/>
      <c r="YW74" s="218"/>
      <c r="YX74" s="218"/>
      <c r="YY74" s="218"/>
      <c r="YZ74" s="218"/>
      <c r="ZA74" s="218"/>
      <c r="ZB74" s="218"/>
      <c r="ZC74" s="218"/>
      <c r="ZD74" s="218"/>
      <c r="ZE74" s="218"/>
      <c r="ZF74" s="218"/>
      <c r="ZG74" s="218"/>
      <c r="ZH74" s="218"/>
      <c r="ZI74" s="218"/>
      <c r="ZJ74" s="218"/>
      <c r="ZK74" s="218"/>
      <c r="ZL74" s="218"/>
      <c r="ZM74" s="218"/>
      <c r="ZN74" s="218"/>
      <c r="ZO74" s="218"/>
      <c r="ZP74" s="218"/>
      <c r="ZQ74" s="218"/>
      <c r="ZR74" s="218"/>
      <c r="ZS74" s="218"/>
      <c r="ZT74" s="218"/>
      <c r="ZU74" s="218"/>
      <c r="ZV74" s="218"/>
      <c r="ZW74" s="218"/>
      <c r="ZX74" s="218"/>
      <c r="ZY74" s="218"/>
      <c r="ZZ74" s="218"/>
      <c r="AAA74" s="218"/>
      <c r="AAB74" s="218"/>
      <c r="AAC74" s="218"/>
      <c r="AAD74" s="218"/>
      <c r="AAE74" s="218"/>
      <c r="AAF74" s="218"/>
      <c r="AAG74" s="218"/>
      <c r="AAH74" s="218"/>
      <c r="AAI74" s="218"/>
      <c r="AAJ74" s="218"/>
      <c r="AAK74" s="218"/>
      <c r="AAL74" s="218"/>
      <c r="AAM74" s="218"/>
      <c r="AAN74" s="218"/>
      <c r="AAO74" s="218"/>
      <c r="AAP74" s="218"/>
      <c r="AAQ74" s="218"/>
      <c r="AAR74" s="218"/>
      <c r="AAS74" s="218"/>
      <c r="AAT74" s="218"/>
      <c r="AAU74" s="218"/>
      <c r="AAV74" s="218"/>
      <c r="AAW74" s="218"/>
      <c r="AAX74" s="218"/>
      <c r="AAY74" s="218"/>
      <c r="AAZ74" s="218"/>
      <c r="ABA74" s="218"/>
      <c r="ABB74" s="218"/>
      <c r="ABC74" s="218"/>
      <c r="ABD74" s="218"/>
      <c r="ABE74" s="218"/>
      <c r="ABF74" s="218"/>
      <c r="ABG74" s="218"/>
      <c r="ABH74" s="218"/>
      <c r="ABI74" s="218"/>
      <c r="ABJ74" s="218"/>
      <c r="ABK74" s="218"/>
      <c r="ABL74" s="218"/>
      <c r="ABM74" s="218"/>
      <c r="ABN74" s="218"/>
      <c r="ABO74" s="218"/>
      <c r="ABP74" s="218"/>
      <c r="ABQ74" s="218"/>
      <c r="ABR74" s="218"/>
      <c r="ABS74" s="218"/>
      <c r="ABT74" s="218"/>
      <c r="ABU74" s="218"/>
      <c r="ABV74" s="218"/>
      <c r="ABW74" s="218"/>
      <c r="ABX74" s="218"/>
      <c r="ABY74" s="218"/>
      <c r="ABZ74" s="218"/>
      <c r="ACA74" s="218"/>
      <c r="ACB74" s="218"/>
      <c r="ACC74" s="218"/>
      <c r="ACD74" s="218"/>
      <c r="ACE74" s="218"/>
      <c r="ACF74" s="218"/>
      <c r="ACG74" s="218"/>
      <c r="ACH74" s="218"/>
      <c r="ACI74" s="218"/>
      <c r="ACJ74" s="218"/>
      <c r="ACK74" s="218"/>
      <c r="ACL74" s="218"/>
      <c r="ACM74" s="218"/>
      <c r="ACN74" s="218"/>
      <c r="ACO74" s="218"/>
      <c r="ACP74" s="218"/>
      <c r="ACQ74" s="218"/>
      <c r="ACR74" s="218"/>
      <c r="ACS74" s="218"/>
      <c r="ACT74" s="218"/>
      <c r="ACU74" s="218"/>
      <c r="ACV74" s="218"/>
      <c r="ACW74" s="218"/>
      <c r="ACX74" s="218"/>
      <c r="ACY74" s="218"/>
      <c r="ACZ74" s="218"/>
      <c r="ADA74" s="218"/>
      <c r="ADB74" s="218"/>
      <c r="ADC74" s="218"/>
      <c r="ADD74" s="218"/>
      <c r="ADE74" s="218"/>
      <c r="ADF74" s="218"/>
      <c r="ADG74" s="218"/>
      <c r="ADH74" s="218"/>
      <c r="ADI74" s="218"/>
      <c r="ADJ74" s="218"/>
      <c r="ADK74" s="218"/>
      <c r="ADL74" s="218"/>
      <c r="ADM74" s="218"/>
      <c r="ADN74" s="218"/>
      <c r="ADO74" s="218"/>
      <c r="ADP74" s="218"/>
      <c r="ADQ74" s="218"/>
      <c r="ADR74" s="218"/>
      <c r="ADS74" s="218"/>
      <c r="ADT74" s="218"/>
      <c r="ADU74" s="218"/>
      <c r="ADV74" s="218"/>
      <c r="ADW74" s="218"/>
      <c r="ADX74" s="218"/>
      <c r="ADY74" s="218"/>
      <c r="ADZ74" s="218"/>
      <c r="AEA74" s="218"/>
      <c r="AEB74" s="218"/>
      <c r="AEC74" s="218"/>
      <c r="AED74" s="218"/>
      <c r="AEE74" s="218"/>
      <c r="AEF74" s="218"/>
      <c r="AEG74" s="218"/>
      <c r="AEH74" s="218"/>
      <c r="AEI74" s="218"/>
      <c r="AEJ74" s="218"/>
      <c r="AEK74" s="218"/>
      <c r="AEL74" s="218"/>
      <c r="AEM74" s="218"/>
      <c r="AEN74" s="218"/>
      <c r="AEO74" s="218"/>
      <c r="AEP74" s="218"/>
      <c r="AEQ74" s="218"/>
      <c r="AER74" s="218"/>
      <c r="AES74" s="218"/>
      <c r="AET74" s="218"/>
      <c r="AEU74" s="218"/>
      <c r="AEV74" s="218"/>
      <c r="AEW74" s="218"/>
      <c r="AEX74" s="218"/>
      <c r="AEY74" s="218"/>
      <c r="AEZ74" s="218"/>
      <c r="AFA74" s="218"/>
      <c r="AFB74" s="218"/>
      <c r="AFC74" s="218"/>
      <c r="AFD74" s="218"/>
      <c r="AFE74" s="218"/>
      <c r="AFF74" s="218"/>
      <c r="AFG74" s="218"/>
      <c r="AFH74" s="218"/>
      <c r="AFI74" s="218"/>
      <c r="AFJ74" s="218"/>
      <c r="AFK74" s="218"/>
      <c r="AFL74" s="218"/>
      <c r="AFM74" s="218"/>
      <c r="AFN74" s="218"/>
      <c r="AFO74" s="218"/>
      <c r="AFP74" s="218"/>
      <c r="AFQ74" s="218"/>
      <c r="AFR74" s="218"/>
      <c r="AFS74" s="218"/>
      <c r="AFT74" s="218"/>
      <c r="AFU74" s="218"/>
      <c r="AFV74" s="218"/>
      <c r="AFW74" s="218"/>
      <c r="AFX74" s="218"/>
      <c r="AFY74" s="218"/>
      <c r="AFZ74" s="218"/>
      <c r="AGA74" s="218"/>
      <c r="AGB74" s="218"/>
      <c r="AGC74" s="218"/>
      <c r="AGD74" s="218"/>
      <c r="AGE74" s="218"/>
      <c r="AGF74" s="218"/>
      <c r="AGG74" s="218"/>
      <c r="AGH74" s="218"/>
      <c r="AGI74" s="218"/>
      <c r="AGJ74" s="218"/>
      <c r="AGK74" s="218"/>
      <c r="AGL74" s="218"/>
      <c r="AGM74" s="218"/>
      <c r="AGN74" s="218"/>
      <c r="AGO74" s="218"/>
      <c r="AGP74" s="218"/>
      <c r="AGQ74" s="218"/>
      <c r="AGR74" s="218"/>
      <c r="AGS74" s="218"/>
      <c r="AGT74" s="218"/>
      <c r="AGU74" s="218"/>
      <c r="AGV74" s="218"/>
      <c r="AGW74" s="218"/>
      <c r="AGX74" s="218"/>
      <c r="AGY74" s="218"/>
      <c r="AGZ74" s="218"/>
      <c r="AHA74" s="218"/>
      <c r="AHB74" s="218"/>
      <c r="AHC74" s="218"/>
      <c r="AHD74" s="218"/>
      <c r="AHE74" s="218"/>
      <c r="AHF74" s="218"/>
      <c r="AHG74" s="218"/>
      <c r="AHH74" s="218"/>
      <c r="AHI74" s="218"/>
      <c r="AHJ74" s="218"/>
      <c r="AHK74" s="218"/>
      <c r="AHL74" s="218"/>
      <c r="AHM74" s="218"/>
      <c r="AHN74" s="218"/>
      <c r="AHO74" s="218"/>
      <c r="AHP74" s="218"/>
      <c r="AHQ74" s="218"/>
      <c r="AHR74" s="218"/>
      <c r="AHS74" s="218"/>
      <c r="AHT74" s="218"/>
      <c r="AHU74" s="218"/>
      <c r="AHV74" s="218"/>
      <c r="AHW74" s="218"/>
      <c r="AHX74" s="218"/>
      <c r="AHY74" s="218"/>
      <c r="AHZ74" s="218"/>
      <c r="AIA74" s="218"/>
      <c r="AIB74" s="218"/>
      <c r="AIC74" s="218"/>
      <c r="AID74" s="218"/>
      <c r="AIE74" s="218"/>
      <c r="AIF74" s="218"/>
      <c r="AIG74" s="218"/>
      <c r="AIH74" s="218"/>
      <c r="AII74" s="218"/>
      <c r="AIJ74" s="218"/>
      <c r="AIK74" s="218"/>
      <c r="AIL74" s="218"/>
      <c r="AIM74" s="218"/>
      <c r="AIN74" s="218"/>
      <c r="AIO74" s="218"/>
      <c r="AIP74" s="218"/>
      <c r="AIQ74" s="218"/>
      <c r="AIR74" s="218"/>
      <c r="AIS74" s="218"/>
      <c r="AIT74" s="218"/>
      <c r="AIU74" s="218"/>
      <c r="AIV74" s="218"/>
      <c r="AIW74" s="218"/>
      <c r="AIX74" s="218"/>
      <c r="AIY74" s="218"/>
      <c r="AIZ74" s="218"/>
      <c r="AJA74" s="218"/>
      <c r="AJB74" s="218"/>
      <c r="AJC74" s="218"/>
      <c r="AJD74" s="218"/>
      <c r="AJE74" s="218"/>
      <c r="AJF74" s="218"/>
      <c r="AJG74" s="218"/>
      <c r="AJH74" s="218"/>
      <c r="AJI74" s="218"/>
      <c r="AJJ74" s="218"/>
      <c r="AJK74" s="218"/>
      <c r="AJL74" s="218"/>
      <c r="AJM74" s="218"/>
      <c r="AJN74" s="218"/>
      <c r="AJO74" s="218"/>
      <c r="AJP74" s="218"/>
      <c r="AJQ74" s="218"/>
      <c r="AJR74" s="218"/>
      <c r="AJS74" s="218"/>
      <c r="AJT74" s="218"/>
      <c r="AJU74" s="218"/>
      <c r="AJV74" s="218"/>
      <c r="AJW74" s="218"/>
      <c r="AJX74" s="218"/>
      <c r="AJY74" s="218"/>
      <c r="AJZ74" s="218"/>
      <c r="AKA74" s="218"/>
      <c r="AKB74" s="218"/>
      <c r="AKC74" s="218"/>
      <c r="AKD74" s="218"/>
      <c r="AKE74" s="218"/>
      <c r="AKF74" s="218"/>
      <c r="AKG74" s="218"/>
      <c r="AKH74" s="218"/>
      <c r="AKI74" s="218"/>
      <c r="AKJ74" s="218"/>
      <c r="AKK74" s="218"/>
      <c r="AKL74" s="218"/>
      <c r="AKM74" s="218"/>
      <c r="AKN74" s="218"/>
      <c r="AKO74" s="218"/>
      <c r="AKP74" s="218"/>
      <c r="AKQ74" s="218"/>
      <c r="AKR74" s="218"/>
      <c r="AKS74" s="218"/>
      <c r="AKT74" s="218"/>
      <c r="AKU74" s="218"/>
      <c r="AKV74" s="218"/>
      <c r="AKW74" s="218"/>
      <c r="AKX74" s="218"/>
      <c r="AKY74" s="218"/>
      <c r="AKZ74" s="218"/>
      <c r="ALA74" s="218"/>
      <c r="ALB74" s="218"/>
      <c r="ALC74" s="218"/>
      <c r="ALD74" s="218"/>
      <c r="ALE74" s="218"/>
      <c r="ALF74" s="218"/>
      <c r="ALG74" s="218"/>
      <c r="ALH74" s="218"/>
      <c r="ALI74" s="218"/>
      <c r="ALJ74" s="218"/>
      <c r="ALK74" s="218"/>
      <c r="ALL74" s="218"/>
      <c r="ALM74" s="218"/>
      <c r="ALN74" s="218"/>
      <c r="ALO74" s="218"/>
      <c r="ALP74" s="218"/>
      <c r="ALQ74" s="218"/>
      <c r="ALR74" s="218"/>
      <c r="ALS74" s="218"/>
      <c r="ALT74" s="218"/>
      <c r="ALU74" s="218"/>
      <c r="ALV74" s="218"/>
      <c r="ALW74" s="218"/>
      <c r="ALX74" s="218"/>
      <c r="ALY74" s="218"/>
      <c r="ALZ74" s="218"/>
      <c r="AMA74" s="218"/>
      <c r="AMB74" s="218"/>
      <c r="AMC74" s="218"/>
      <c r="AMD74" s="218"/>
      <c r="AME74" s="218"/>
      <c r="AMF74" s="218"/>
      <c r="AMG74" s="218"/>
      <c r="AMH74" s="218"/>
      <c r="AMI74" s="218"/>
      <c r="AMJ74" s="218"/>
      <c r="AMK74" s="218"/>
      <c r="AML74" s="218"/>
      <c r="AMM74" s="218"/>
      <c r="AMN74" s="218"/>
      <c r="AMO74" s="218"/>
      <c r="AMP74" s="218"/>
      <c r="AMQ74" s="218"/>
      <c r="AMR74" s="218"/>
      <c r="AMS74" s="218"/>
      <c r="AMT74" s="218"/>
      <c r="AMU74" s="218"/>
      <c r="AMV74" s="218"/>
      <c r="AMW74" s="218"/>
      <c r="AMX74" s="218"/>
      <c r="AMY74" s="218"/>
      <c r="AMZ74" s="218"/>
      <c r="ANA74" s="218"/>
      <c r="ANB74" s="218"/>
      <c r="ANC74" s="218"/>
      <c r="AND74" s="218"/>
      <c r="ANE74" s="218"/>
      <c r="ANF74" s="218"/>
      <c r="ANG74" s="218"/>
      <c r="ANH74" s="218"/>
      <c r="ANI74" s="218"/>
      <c r="ANJ74" s="218"/>
      <c r="ANK74" s="218"/>
      <c r="ANL74" s="218"/>
      <c r="ANM74" s="218"/>
      <c r="ANN74" s="218"/>
      <c r="ANO74" s="218"/>
      <c r="ANP74" s="218"/>
      <c r="ANQ74" s="218"/>
      <c r="ANR74" s="218"/>
      <c r="ANS74" s="218"/>
      <c r="ANT74" s="218"/>
      <c r="ANU74" s="218"/>
      <c r="ANV74" s="218"/>
      <c r="ANW74" s="218"/>
      <c r="ANX74" s="218"/>
      <c r="ANY74" s="218"/>
      <c r="ANZ74" s="218"/>
      <c r="AOA74" s="218"/>
      <c r="AOB74" s="218"/>
      <c r="AOC74" s="218"/>
      <c r="AOD74" s="218"/>
      <c r="AOE74" s="218"/>
      <c r="AOF74" s="218"/>
      <c r="AOG74" s="218"/>
      <c r="AOH74" s="218"/>
      <c r="AOI74" s="218"/>
      <c r="AOJ74" s="218"/>
      <c r="AOK74" s="218"/>
      <c r="AOL74" s="218"/>
      <c r="AOM74" s="218"/>
      <c r="AON74" s="218"/>
      <c r="AOO74" s="218"/>
      <c r="AOP74" s="218"/>
      <c r="AOQ74" s="218"/>
      <c r="AOR74" s="218"/>
      <c r="AOS74" s="218"/>
      <c r="AOT74" s="218"/>
      <c r="AOU74" s="218"/>
      <c r="AOV74" s="218"/>
      <c r="AOW74" s="218"/>
      <c r="AOX74" s="218"/>
      <c r="AOY74" s="218"/>
      <c r="AOZ74" s="218"/>
      <c r="APA74" s="218"/>
      <c r="APB74" s="218"/>
      <c r="APC74" s="218"/>
      <c r="APD74" s="218"/>
      <c r="APE74" s="218"/>
      <c r="APF74" s="218"/>
      <c r="APG74" s="218"/>
      <c r="APH74" s="218"/>
      <c r="API74" s="218"/>
      <c r="APJ74" s="218"/>
      <c r="APK74" s="218"/>
      <c r="APL74" s="218"/>
      <c r="APM74" s="218"/>
      <c r="APN74" s="218"/>
      <c r="APO74" s="218"/>
      <c r="APP74" s="218"/>
      <c r="APQ74" s="218"/>
      <c r="APR74" s="218"/>
      <c r="APS74" s="218"/>
      <c r="APT74" s="218"/>
      <c r="APU74" s="218"/>
      <c r="APV74" s="218"/>
      <c r="APW74" s="218"/>
      <c r="APX74" s="218"/>
      <c r="APY74" s="218"/>
      <c r="APZ74" s="218"/>
      <c r="AQA74" s="218"/>
      <c r="AQB74" s="218"/>
      <c r="AQC74" s="218"/>
      <c r="AQD74" s="218"/>
      <c r="AQE74" s="218"/>
      <c r="AQF74" s="218"/>
      <c r="AQG74" s="218"/>
      <c r="AQH74" s="218"/>
      <c r="AQI74" s="218"/>
      <c r="AQJ74" s="218"/>
      <c r="AQK74" s="218"/>
      <c r="AQL74" s="218"/>
      <c r="AQM74" s="218"/>
      <c r="AQN74" s="218"/>
      <c r="AQO74" s="218"/>
      <c r="AQP74" s="218"/>
      <c r="AQQ74" s="218"/>
      <c r="AQR74" s="218"/>
      <c r="AQS74" s="218"/>
      <c r="AQT74" s="218"/>
      <c r="AQU74" s="218"/>
      <c r="AQV74" s="218"/>
      <c r="AQW74" s="218"/>
      <c r="AQX74" s="218"/>
      <c r="AQY74" s="218"/>
      <c r="AQZ74" s="218"/>
      <c r="ARA74" s="218"/>
      <c r="ARB74" s="218"/>
      <c r="ARC74" s="218"/>
      <c r="ARD74" s="218"/>
      <c r="ARE74" s="218"/>
      <c r="ARF74" s="218"/>
      <c r="ARG74" s="218"/>
      <c r="ARH74" s="218"/>
      <c r="ARI74" s="218"/>
      <c r="ARJ74" s="218"/>
      <c r="ARK74" s="218"/>
      <c r="ARL74" s="218"/>
      <c r="ARM74" s="218"/>
      <c r="ARN74" s="218"/>
      <c r="ARO74" s="218"/>
      <c r="ARP74" s="218"/>
      <c r="ARQ74" s="218"/>
      <c r="ARR74" s="218"/>
      <c r="ARS74" s="218"/>
      <c r="ART74" s="218"/>
      <c r="ARU74" s="218"/>
      <c r="ARV74" s="218"/>
      <c r="ARW74" s="218"/>
      <c r="ARX74" s="218"/>
      <c r="ARY74" s="218"/>
      <c r="ARZ74" s="218"/>
      <c r="ASA74" s="218"/>
      <c r="ASB74" s="218"/>
      <c r="ASC74" s="218"/>
      <c r="ASD74" s="218"/>
      <c r="ASE74" s="218"/>
      <c r="ASF74" s="218"/>
      <c r="ASG74" s="218"/>
      <c r="ASH74" s="218"/>
      <c r="ASI74" s="218"/>
      <c r="ASJ74" s="218"/>
      <c r="ASK74" s="218"/>
      <c r="ASL74" s="218"/>
      <c r="ASM74" s="218"/>
      <c r="ASN74" s="218"/>
      <c r="ASO74" s="218"/>
      <c r="ASP74" s="218"/>
      <c r="ASQ74" s="218"/>
      <c r="ASR74" s="218"/>
      <c r="ASS74" s="218"/>
      <c r="AST74" s="218"/>
      <c r="ASU74" s="218"/>
      <c r="ASV74" s="218"/>
      <c r="ASW74" s="218"/>
      <c r="ASX74" s="218"/>
      <c r="ASY74" s="218"/>
      <c r="ASZ74" s="218"/>
      <c r="ATA74" s="218"/>
      <c r="ATB74" s="218"/>
      <c r="ATC74" s="218"/>
      <c r="ATD74" s="218"/>
      <c r="ATE74" s="218"/>
      <c r="ATF74" s="218"/>
      <c r="ATG74" s="218"/>
      <c r="ATH74" s="218"/>
      <c r="ATI74" s="218"/>
      <c r="ATJ74" s="218"/>
      <c r="ATK74" s="218"/>
      <c r="ATL74" s="218"/>
      <c r="ATM74" s="218"/>
      <c r="ATN74" s="218"/>
      <c r="ATO74" s="218"/>
      <c r="ATP74" s="218"/>
      <c r="ATQ74" s="218"/>
      <c r="ATR74" s="218"/>
      <c r="ATS74" s="218"/>
      <c r="ATT74" s="218"/>
      <c r="ATU74" s="218"/>
      <c r="ATV74" s="218"/>
      <c r="ATW74" s="218"/>
      <c r="ATX74" s="218"/>
      <c r="ATY74" s="218"/>
      <c r="ATZ74" s="218"/>
      <c r="AUA74" s="218"/>
      <c r="AUB74" s="218"/>
      <c r="AUC74" s="218"/>
      <c r="AUD74" s="218"/>
      <c r="AUE74" s="218"/>
      <c r="AUF74" s="218"/>
      <c r="AUG74" s="218"/>
      <c r="AUH74" s="218"/>
      <c r="AUI74" s="218"/>
      <c r="AUJ74" s="218"/>
      <c r="AUK74" s="218"/>
      <c r="AUL74" s="218"/>
      <c r="AUM74" s="218"/>
      <c r="AUN74" s="218"/>
      <c r="AUO74" s="218"/>
      <c r="AUP74" s="218"/>
      <c r="AUQ74" s="218"/>
      <c r="AUR74" s="218"/>
      <c r="AUS74" s="218"/>
      <c r="AUT74" s="218"/>
      <c r="AUU74" s="218"/>
      <c r="AUV74" s="218"/>
      <c r="AUW74" s="218"/>
      <c r="AUX74" s="218"/>
      <c r="AUY74" s="218"/>
      <c r="AUZ74" s="218"/>
      <c r="AVA74" s="218"/>
      <c r="AVB74" s="218"/>
      <c r="AVC74" s="218"/>
      <c r="AVD74" s="218"/>
      <c r="AVE74" s="218"/>
      <c r="AVF74" s="218"/>
      <c r="AVG74" s="218"/>
      <c r="AVH74" s="218"/>
      <c r="AVI74" s="218"/>
      <c r="AVJ74" s="218"/>
      <c r="AVK74" s="218"/>
      <c r="AVL74" s="218"/>
      <c r="AVM74" s="218"/>
      <c r="AVN74" s="218"/>
      <c r="AVO74" s="218"/>
      <c r="AVP74" s="218"/>
      <c r="AVQ74" s="218"/>
      <c r="AVR74" s="218"/>
      <c r="AVS74" s="218"/>
      <c r="AVT74" s="218"/>
      <c r="AVU74" s="218"/>
      <c r="AVV74" s="218"/>
      <c r="AVW74" s="218"/>
      <c r="AVX74" s="218"/>
      <c r="AVY74" s="218"/>
      <c r="AVZ74" s="218"/>
      <c r="AWA74" s="218"/>
      <c r="AWB74" s="218"/>
      <c r="AWC74" s="218"/>
      <c r="AWD74" s="218"/>
      <c r="AWE74" s="218"/>
      <c r="AWF74" s="218"/>
      <c r="AWG74" s="218"/>
      <c r="AWH74" s="218"/>
      <c r="AWI74" s="218"/>
      <c r="AWJ74" s="218"/>
      <c r="AWK74" s="218"/>
      <c r="AWL74" s="218"/>
      <c r="AWM74" s="218"/>
      <c r="AWN74" s="218"/>
      <c r="AWO74" s="218"/>
      <c r="AWP74" s="218"/>
      <c r="AWQ74" s="218"/>
      <c r="AWR74" s="218"/>
      <c r="AWS74" s="218"/>
      <c r="AWT74" s="218"/>
      <c r="AWU74" s="218"/>
      <c r="AWV74" s="218"/>
      <c r="AWW74" s="218"/>
      <c r="AWX74" s="218"/>
      <c r="AWY74" s="218"/>
      <c r="AWZ74" s="218"/>
      <c r="AXA74" s="218"/>
      <c r="AXB74" s="218"/>
      <c r="AXC74" s="218"/>
      <c r="AXD74" s="218"/>
      <c r="AXE74" s="218"/>
      <c r="AXF74" s="218"/>
      <c r="AXG74" s="218"/>
      <c r="AXH74" s="218"/>
      <c r="AXI74" s="218"/>
      <c r="AXJ74" s="218"/>
      <c r="AXK74" s="218"/>
      <c r="AXL74" s="218"/>
      <c r="AXM74" s="218"/>
      <c r="AXN74" s="218"/>
      <c r="AXO74" s="218"/>
      <c r="AXP74" s="218"/>
      <c r="AXQ74" s="218"/>
      <c r="AXR74" s="218"/>
      <c r="AXS74" s="218"/>
      <c r="AXT74" s="218"/>
      <c r="AXU74" s="218"/>
      <c r="AXV74" s="218"/>
      <c r="AXW74" s="218"/>
      <c r="AXX74" s="218"/>
      <c r="AXY74" s="218"/>
      <c r="AXZ74" s="218"/>
      <c r="AYA74" s="218"/>
      <c r="AYB74" s="218"/>
      <c r="AYC74" s="218"/>
      <c r="AYD74" s="218"/>
      <c r="AYE74" s="218"/>
      <c r="AYF74" s="218"/>
      <c r="AYG74" s="218"/>
      <c r="AYH74" s="218"/>
      <c r="AYI74" s="218"/>
      <c r="AYJ74" s="218"/>
      <c r="AYK74" s="218"/>
      <c r="AYL74" s="218"/>
      <c r="AYM74" s="218"/>
      <c r="AYN74" s="218"/>
      <c r="AYO74" s="218"/>
      <c r="AYP74" s="218"/>
      <c r="AYQ74" s="218"/>
      <c r="AYR74" s="218"/>
      <c r="AYS74" s="218"/>
      <c r="AYT74" s="218"/>
      <c r="AYU74" s="218"/>
      <c r="AYV74" s="218"/>
      <c r="AYW74" s="218"/>
      <c r="AYX74" s="218"/>
      <c r="AYY74" s="218"/>
      <c r="AYZ74" s="218"/>
      <c r="AZA74" s="218"/>
      <c r="AZB74" s="218"/>
      <c r="AZC74" s="218"/>
      <c r="AZD74" s="218"/>
      <c r="AZE74" s="218"/>
      <c r="AZF74" s="218"/>
      <c r="AZG74" s="218"/>
      <c r="AZH74" s="218"/>
      <c r="AZI74" s="218"/>
      <c r="AZJ74" s="218"/>
      <c r="AZK74" s="218"/>
      <c r="AZL74" s="218"/>
      <c r="AZM74" s="218"/>
      <c r="AZN74" s="218"/>
      <c r="AZO74" s="218"/>
      <c r="AZP74" s="218"/>
      <c r="AZQ74" s="218"/>
      <c r="AZR74" s="218"/>
      <c r="AZS74" s="218"/>
      <c r="AZT74" s="218"/>
      <c r="AZU74" s="218"/>
      <c r="AZV74" s="218"/>
      <c r="AZW74" s="218"/>
      <c r="AZX74" s="218"/>
      <c r="AZY74" s="218"/>
      <c r="AZZ74" s="218"/>
      <c r="BAA74" s="218"/>
      <c r="BAB74" s="218"/>
      <c r="BAC74" s="218"/>
      <c r="BAD74" s="218"/>
      <c r="BAE74" s="218"/>
      <c r="BAF74" s="218"/>
      <c r="BAG74" s="218"/>
      <c r="BAH74" s="218"/>
      <c r="BAI74" s="218"/>
      <c r="BAJ74" s="218"/>
      <c r="BAK74" s="218"/>
      <c r="BAL74" s="218"/>
      <c r="BAM74" s="218"/>
      <c r="BAN74" s="218"/>
      <c r="BAO74" s="218"/>
      <c r="BAP74" s="218"/>
      <c r="BAQ74" s="218"/>
      <c r="BAR74" s="218"/>
      <c r="BAS74" s="218"/>
      <c r="BAT74" s="218"/>
      <c r="BAU74" s="218"/>
      <c r="BAV74" s="218"/>
      <c r="BAW74" s="218"/>
      <c r="BAX74" s="218"/>
      <c r="BAY74" s="218"/>
      <c r="BAZ74" s="218"/>
      <c r="BBA74" s="218"/>
      <c r="BBB74" s="218"/>
      <c r="BBC74" s="218"/>
      <c r="BBD74" s="218"/>
      <c r="BBE74" s="218"/>
      <c r="BBF74" s="218"/>
      <c r="BBG74" s="218"/>
      <c r="BBH74" s="218"/>
      <c r="BBI74" s="218"/>
      <c r="BBJ74" s="218"/>
      <c r="BBK74" s="218"/>
      <c r="BBL74" s="218"/>
      <c r="BBM74" s="218"/>
      <c r="BBN74" s="218"/>
      <c r="BBO74" s="218"/>
      <c r="BBP74" s="218"/>
      <c r="BBQ74" s="218"/>
      <c r="BBR74" s="218"/>
      <c r="BBS74" s="218"/>
      <c r="BBT74" s="218"/>
      <c r="BBU74" s="218"/>
      <c r="BBV74" s="218"/>
      <c r="BBW74" s="218"/>
      <c r="BBX74" s="218"/>
      <c r="BBY74" s="218"/>
      <c r="BBZ74" s="218"/>
      <c r="BCA74" s="218"/>
      <c r="BCB74" s="218"/>
      <c r="BCC74" s="218"/>
      <c r="BCD74" s="218"/>
      <c r="BCE74" s="218"/>
      <c r="BCF74" s="218"/>
      <c r="BCG74" s="218"/>
      <c r="BCH74" s="218"/>
      <c r="BCI74" s="218"/>
      <c r="BCJ74" s="218"/>
      <c r="BCK74" s="218"/>
      <c r="BCL74" s="218"/>
      <c r="BCM74" s="218"/>
      <c r="BCN74" s="218"/>
      <c r="BCO74" s="218"/>
      <c r="BCP74" s="218"/>
      <c r="BCQ74" s="218"/>
      <c r="BCR74" s="218"/>
      <c r="BCS74" s="218"/>
      <c r="BCT74" s="218"/>
      <c r="BCU74" s="218"/>
      <c r="BCV74" s="218"/>
      <c r="BCW74" s="218"/>
      <c r="BCX74" s="218"/>
      <c r="BCY74" s="218"/>
      <c r="BCZ74" s="218"/>
      <c r="BDA74" s="218"/>
      <c r="BDB74" s="218"/>
      <c r="BDC74" s="218"/>
      <c r="BDD74" s="218"/>
      <c r="BDE74" s="218"/>
      <c r="BDF74" s="218"/>
      <c r="BDG74" s="218"/>
      <c r="BDH74" s="218"/>
      <c r="BDI74" s="218"/>
      <c r="BDJ74" s="218"/>
      <c r="BDK74" s="218"/>
      <c r="BDL74" s="218"/>
      <c r="BDM74" s="218"/>
      <c r="BDN74" s="218"/>
      <c r="BDO74" s="218"/>
      <c r="BDP74" s="218"/>
      <c r="BDQ74" s="218"/>
      <c r="BDR74" s="218"/>
      <c r="BDS74" s="218"/>
      <c r="BDT74" s="218"/>
      <c r="BDU74" s="218"/>
      <c r="BDV74" s="218"/>
      <c r="BDW74" s="218"/>
      <c r="BDX74" s="218"/>
      <c r="BDY74" s="218"/>
      <c r="BDZ74" s="218"/>
      <c r="BEA74" s="218"/>
      <c r="BEB74" s="218"/>
      <c r="BEC74" s="218"/>
      <c r="BED74" s="218"/>
      <c r="BEE74" s="218"/>
      <c r="BEF74" s="218"/>
      <c r="BEG74" s="218"/>
      <c r="BEH74" s="218"/>
      <c r="BEI74" s="218"/>
      <c r="BEJ74" s="218"/>
      <c r="BEK74" s="218"/>
      <c r="BEL74" s="218"/>
      <c r="BEM74" s="218"/>
      <c r="BEN74" s="218"/>
      <c r="BEO74" s="218"/>
      <c r="BEP74" s="218"/>
      <c r="BEQ74" s="218"/>
      <c r="BER74" s="218"/>
      <c r="BES74" s="218"/>
      <c r="BET74" s="218"/>
      <c r="BEU74" s="218"/>
      <c r="BEV74" s="218"/>
      <c r="BEW74" s="218"/>
      <c r="BEX74" s="218"/>
      <c r="BEY74" s="218"/>
      <c r="BEZ74" s="218"/>
      <c r="BFA74" s="218"/>
      <c r="BFB74" s="218"/>
      <c r="BFC74" s="218"/>
      <c r="BFD74" s="218"/>
      <c r="BFE74" s="218"/>
      <c r="BFF74" s="218"/>
      <c r="BFG74" s="218"/>
      <c r="BFH74" s="218"/>
      <c r="BFI74" s="218"/>
      <c r="BFJ74" s="218"/>
      <c r="BFK74" s="218"/>
      <c r="BFL74" s="218"/>
      <c r="BFM74" s="218"/>
      <c r="BFN74" s="218"/>
      <c r="BFO74" s="218"/>
      <c r="BFP74" s="218"/>
      <c r="BFQ74" s="218"/>
      <c r="BFR74" s="218"/>
      <c r="BFS74" s="218"/>
      <c r="BFT74" s="218"/>
      <c r="BFU74" s="218"/>
      <c r="BFV74" s="218"/>
      <c r="BFW74" s="218"/>
      <c r="BFX74" s="218"/>
      <c r="BFY74" s="218"/>
      <c r="BFZ74" s="218"/>
      <c r="BGA74" s="218"/>
      <c r="BGB74" s="218"/>
      <c r="BGC74" s="218"/>
      <c r="BGD74" s="218"/>
      <c r="BGE74" s="218"/>
      <c r="BGF74" s="218"/>
      <c r="BGG74" s="218"/>
      <c r="BGH74" s="218"/>
      <c r="BGI74" s="218"/>
      <c r="BGJ74" s="218"/>
      <c r="BGK74" s="218"/>
      <c r="BGL74" s="218"/>
      <c r="BGM74" s="218"/>
      <c r="BGN74" s="218"/>
      <c r="BGO74" s="218"/>
      <c r="BGP74" s="218"/>
      <c r="BGQ74" s="218"/>
      <c r="BGR74" s="218"/>
      <c r="BGS74" s="218"/>
      <c r="BGT74" s="218"/>
      <c r="BGU74" s="218"/>
      <c r="BGV74" s="218"/>
      <c r="BGW74" s="218"/>
      <c r="BGX74" s="218"/>
      <c r="BGY74" s="218"/>
      <c r="BGZ74" s="218"/>
      <c r="BHA74" s="218"/>
      <c r="BHB74" s="218"/>
      <c r="BHC74" s="218"/>
      <c r="BHD74" s="218"/>
      <c r="BHE74" s="218"/>
      <c r="BHF74" s="218"/>
      <c r="BHG74" s="218"/>
      <c r="BHH74" s="218"/>
      <c r="BHI74" s="218"/>
      <c r="BHJ74" s="218"/>
      <c r="BHK74" s="218"/>
      <c r="BHL74" s="218"/>
      <c r="BHM74" s="218"/>
      <c r="BHN74" s="218"/>
      <c r="BHO74" s="218"/>
      <c r="BHP74" s="218"/>
      <c r="BHQ74" s="218"/>
      <c r="BHR74" s="218"/>
      <c r="BHS74" s="218"/>
      <c r="BHT74" s="218"/>
      <c r="BHU74" s="218"/>
      <c r="BHV74" s="218"/>
      <c r="BHW74" s="218"/>
    </row>
    <row r="75" spans="1:1583" s="220" customFormat="1" ht="16.5">
      <c r="A75" s="110" t="s">
        <v>98</v>
      </c>
      <c r="B75" s="186" t="s">
        <v>383</v>
      </c>
      <c r="C75" s="416" t="s">
        <v>506</v>
      </c>
      <c r="D75" s="420" t="s">
        <v>561</v>
      </c>
      <c r="E75" s="68" t="s">
        <v>42</v>
      </c>
      <c r="F75" s="138">
        <v>60</v>
      </c>
      <c r="G75" s="60" t="s">
        <v>729</v>
      </c>
      <c r="H75" s="473">
        <f t="shared" si="21"/>
        <v>50.370704610957823</v>
      </c>
      <c r="I75" s="103">
        <f>VLOOKUP($B75,'DCS Data'!$E$2:$AJ$100,MATCH('Daily Report'!I$1,'DCS Data'!$E$2:$AJ$2,0),0)</f>
        <v>48.88530443786717</v>
      </c>
      <c r="J75" s="255"/>
      <c r="K75" s="103">
        <f>VLOOKUP($B75,'DCS Data'!$E$2:$AJ$100,MATCH('Daily Report'!K$1,'DCS Data'!$E$2:$AJ$2,0),0)</f>
        <v>49.0134275759197</v>
      </c>
      <c r="L75" s="103">
        <f>VLOOKUP($B75,'DCS Data'!$E$2:$AJ$100,MATCH('Daily Report'!L$1,'DCS Data'!$E$2:$AJ$2,0),0)</f>
        <v>49.45403356733982</v>
      </c>
      <c r="M75" s="103">
        <f>VLOOKUP($B75,'DCS Data'!$E$2:$AJ$100,MATCH('Daily Report'!M$1,'DCS Data'!$E$2:$AJ$2,0),0)</f>
        <v>48.773898947432492</v>
      </c>
      <c r="N75" s="103">
        <f>VLOOKUP($B75,'DCS Data'!$E$2:$AJ$100,MATCH('Daily Report'!N$1,'DCS Data'!$E$2:$AJ$2,0),0)</f>
        <v>49.281866919904928</v>
      </c>
      <c r="O75" s="103">
        <f>VLOOKUP($B75,'DCS Data'!$E$2:$AJ$100,MATCH('Daily Report'!O$1,'DCS Data'!$E$2:$AJ$2,0),0)</f>
        <v>50.232324320648033</v>
      </c>
      <c r="P75" s="103">
        <f>VLOOKUP($B75,'DCS Data'!$E$2:$AJ$100,MATCH('Daily Report'!P$1,'DCS Data'!$E$2:$AJ$2,0),0)</f>
        <v>50.188240222875123</v>
      </c>
      <c r="Q75" s="103">
        <f>VLOOKUP($B75,'DCS Data'!$E$2:$AJ$100,MATCH('Daily Report'!Q$1,'DCS Data'!$E$2:$AJ$2,0),0)</f>
        <v>50.398128186654304</v>
      </c>
      <c r="R75" s="103">
        <f>VLOOKUP($B75,'DCS Data'!$E$2:$AJ$100,MATCH('Daily Report'!R$1,'DCS Data'!$E$2:$AJ$2,0),0)</f>
        <v>49.452289917233884</v>
      </c>
      <c r="S75" s="103">
        <f>VLOOKUP($B75,'DCS Data'!$E$2:$AJ$100,MATCH('Daily Report'!S$1,'DCS Data'!$E$2:$AJ$2,0),0)</f>
        <v>49.135086994288031</v>
      </c>
      <c r="T75" s="103">
        <f>VLOOKUP($B75,'DCS Data'!$E$2:$AJ$100,MATCH('Daily Report'!T$1,'DCS Data'!$E$2:$AJ$2,0),0)</f>
        <v>48.344663086635492</v>
      </c>
      <c r="U75" s="103">
        <f>VLOOKUP($B75,'DCS Data'!$E$2:$AJ$100,MATCH('Daily Report'!U$1,'DCS Data'!$E$2:$AJ$2,0),0)</f>
        <v>48.203846314077396</v>
      </c>
      <c r="V75" s="103">
        <f>VLOOKUP($B75,'DCS Data'!$E$2:$AJ$100,MATCH('Daily Report'!V$1,'DCS Data'!$E$2:$AJ$2,0),0)</f>
        <v>47.146495764194285</v>
      </c>
      <c r="W75" s="103">
        <f>VLOOKUP($B75,'DCS Data'!$E$2:$AJ$100,MATCH('Daily Report'!W$1,'DCS Data'!$E$2:$AJ$2,0),0)</f>
        <v>47.495795877083658</v>
      </c>
      <c r="X75" s="103">
        <f>VLOOKUP($B75,'DCS Data'!$E$2:$AJ$100,MATCH('Daily Report'!X$1,'DCS Data'!$E$2:$AJ$2,0),0)</f>
        <v>47.038864804639246</v>
      </c>
      <c r="Y75" s="103">
        <f>VLOOKUP($B75,'DCS Data'!$E$2:$AJ$100,MATCH('Daily Report'!Y$1,'DCS Data'!$E$2:$AJ$2,0),0)</f>
        <v>49.01156859757684</v>
      </c>
      <c r="Z75" s="103">
        <f>VLOOKUP($B75,'DCS Data'!$E$2:$AJ$100,MATCH('Daily Report'!Z$1,'DCS Data'!$E$2:$AJ$2,0),0)</f>
        <v>54.465396064754145</v>
      </c>
      <c r="AA75" s="103">
        <f>VLOOKUP($B75,'DCS Data'!$E$2:$AJ$100,MATCH('Daily Report'!AA$1,'DCS Data'!$E$2:$AJ$2,0),0)</f>
        <v>55.04986558197826</v>
      </c>
      <c r="AB75" s="103">
        <f>VLOOKUP($B75,'DCS Data'!$E$2:$AJ$100,MATCH('Daily Report'!AB$1,'DCS Data'!$E$2:$AJ$2,0),0)</f>
        <v>57.256913756515701</v>
      </c>
      <c r="AC75" s="103">
        <f>VLOOKUP($B75,'DCS Data'!$E$2:$AJ$100,MATCH('Daily Report'!AC$1,'DCS Data'!$E$2:$AJ$2,0),0)</f>
        <v>54.852643286812395</v>
      </c>
      <c r="AD75" s="103">
        <f>VLOOKUP($B75,'DCS Data'!$E$2:$AJ$100,MATCH('Daily Report'!AD$1,'DCS Data'!$E$2:$AJ$2,0),0)</f>
        <v>52.303857386903061</v>
      </c>
      <c r="AE75" s="103">
        <f>VLOOKUP($B75,'DCS Data'!$E$2:$AJ$100,MATCH('Daily Report'!AE$1,'DCS Data'!$E$2:$AJ$2,0),0)</f>
        <v>52.597175358144739</v>
      </c>
      <c r="AF75" s="103">
        <f>VLOOKUP($B75,'DCS Data'!$E$2:$AJ$100,MATCH('Daily Report'!AF$1,'DCS Data'!$E$2:$AJ$2,0),0)</f>
        <v>52.690338772142972</v>
      </c>
      <c r="AG75" s="103">
        <f>VLOOKUP($B75,'DCS Data'!$E$2:$AJ$100,MATCH('Daily Report'!AG$1,'DCS Data'!$E$2:$AJ$2,0),0)</f>
        <v>52.654031357061854</v>
      </c>
      <c r="AH75" s="103">
        <f>VLOOKUP($B75,'DCS Data'!$E$2:$AJ$100,MATCH('Daily Report'!AH$1,'DCS Data'!$E$2:$AJ$2,0),0)</f>
        <v>52.72357595689143</v>
      </c>
      <c r="AI75" s="103">
        <f>VLOOKUP($B75,'DCS Data'!$E$2:$AJ$100,MATCH('Daily Report'!AI$1,'DCS Data'!$E$2:$AJ$2,0),0)</f>
        <v>50.458887613857677</v>
      </c>
      <c r="AJ75" s="103">
        <f>VLOOKUP($B75,'DCS Data'!$E$2:$AJ$100,MATCH('Daily Report'!AJ$1,'DCS Data'!$E$2:$AJ$2,0),0)</f>
        <v>48.829380120833349</v>
      </c>
      <c r="AK75" s="103">
        <f>VLOOKUP($B75,'DCS Data'!$E$2:$AJ$100,MATCH('Daily Report'!AK$1,'DCS Data'!$E$2:$AJ$2,0),0)</f>
        <v>49.109068723736812</v>
      </c>
      <c r="AL75" s="103">
        <f>VLOOKUP($B75,'DCS Data'!$E$2:$AJ$100,MATCH('Daily Report'!AL$1,'DCS Data'!$E$2:$AJ$2,0),0)</f>
        <v>49.304813938339045</v>
      </c>
      <c r="AM75" s="103">
        <f>VLOOKUP($B75,'DCS Data'!$E$2:$AJ$100,MATCH('Daily Report'!AM$1,'DCS Data'!$E$2:$AJ$2,0),0)</f>
        <v>48.196434791528901</v>
      </c>
      <c r="AN75" s="103">
        <f>VLOOKUP($B75,'DCS Data'!$E$2:$AJ$100,MATCH('Daily Report'!AN$1,'DCS Data'!$E$2:$AJ$2,0),0)</f>
        <v>48.943624695821846</v>
      </c>
      <c r="AO75" s="214"/>
      <c r="AP75" s="214"/>
      <c r="AQ75" s="214"/>
      <c r="AR75" s="214"/>
      <c r="AS75" s="214"/>
      <c r="AT75" s="214"/>
      <c r="AU75" s="214"/>
      <c r="AV75" s="214"/>
      <c r="AW75" s="214"/>
      <c r="AX75" s="214"/>
      <c r="AY75" s="214"/>
      <c r="AZ75" s="214"/>
      <c r="BA75" s="214"/>
      <c r="BB75" s="214"/>
      <c r="BC75" s="214"/>
      <c r="BD75" s="214"/>
      <c r="BE75" s="214"/>
      <c r="BF75" s="214"/>
      <c r="BG75" s="214"/>
      <c r="BH75" s="214"/>
      <c r="BI75" s="214"/>
      <c r="BJ75" s="214"/>
      <c r="BK75" s="214"/>
      <c r="BL75" s="214"/>
      <c r="BM75" s="214"/>
      <c r="BN75" s="214"/>
      <c r="BO75" s="214"/>
      <c r="BP75" s="214"/>
      <c r="BQ75" s="214"/>
      <c r="BR75" s="214"/>
      <c r="BS75" s="214"/>
      <c r="BT75" s="214"/>
      <c r="BU75" s="214"/>
      <c r="BV75" s="214"/>
      <c r="BW75" s="214"/>
      <c r="BX75" s="214"/>
      <c r="BY75" s="214"/>
      <c r="BZ75" s="214"/>
      <c r="CA75" s="214"/>
      <c r="CB75" s="214"/>
      <c r="CC75" s="214"/>
      <c r="CD75" s="214"/>
      <c r="CE75" s="214"/>
      <c r="CF75" s="214"/>
      <c r="CG75" s="214"/>
      <c r="CH75" s="214"/>
      <c r="CI75" s="214"/>
      <c r="CJ75" s="214"/>
      <c r="CK75" s="214"/>
      <c r="CL75" s="214"/>
      <c r="CM75" s="214"/>
      <c r="CN75" s="214"/>
      <c r="CO75" s="214"/>
      <c r="CP75" s="214"/>
      <c r="CQ75" s="214"/>
      <c r="CR75" s="214"/>
      <c r="CS75" s="214"/>
      <c r="CT75" s="214"/>
      <c r="CU75" s="214"/>
      <c r="CV75" s="214"/>
      <c r="CW75" s="214"/>
      <c r="CX75" s="214"/>
      <c r="CY75" s="214"/>
      <c r="CZ75" s="214"/>
      <c r="DA75" s="214"/>
      <c r="DB75" s="214"/>
      <c r="DC75" s="214"/>
      <c r="DD75" s="214"/>
      <c r="DE75" s="214"/>
      <c r="DF75" s="214"/>
      <c r="DG75" s="214"/>
      <c r="DH75" s="214"/>
      <c r="DI75" s="214"/>
      <c r="DJ75" s="214"/>
      <c r="DK75" s="214"/>
      <c r="DL75" s="214"/>
      <c r="DM75" s="214"/>
      <c r="DN75" s="214"/>
      <c r="DO75" s="214"/>
      <c r="DP75" s="214"/>
      <c r="DQ75" s="214"/>
      <c r="DR75" s="214"/>
      <c r="DS75" s="214"/>
      <c r="DT75" s="214"/>
      <c r="DU75" s="214"/>
      <c r="DV75" s="214"/>
      <c r="DW75" s="214"/>
      <c r="DX75" s="214"/>
      <c r="DY75" s="214"/>
      <c r="DZ75" s="214"/>
      <c r="EA75" s="214"/>
      <c r="EB75" s="214"/>
      <c r="EC75" s="214"/>
      <c r="ED75" s="214"/>
      <c r="EE75" s="214"/>
      <c r="EF75" s="214"/>
      <c r="EG75" s="214"/>
      <c r="EH75" s="214"/>
      <c r="EI75" s="214"/>
      <c r="EJ75" s="214"/>
      <c r="EK75" s="214"/>
      <c r="EL75" s="214"/>
      <c r="EM75" s="214"/>
      <c r="EN75" s="214"/>
      <c r="EO75" s="214"/>
      <c r="EP75" s="214"/>
      <c r="EQ75" s="214"/>
      <c r="ER75" s="214"/>
      <c r="ES75" s="214"/>
      <c r="ET75" s="214"/>
      <c r="EU75" s="214"/>
      <c r="EV75" s="214"/>
      <c r="EW75" s="214"/>
      <c r="EX75" s="214"/>
      <c r="EY75" s="214"/>
      <c r="EZ75" s="214"/>
      <c r="FA75" s="214"/>
      <c r="FB75" s="214"/>
      <c r="FC75" s="214"/>
      <c r="FD75" s="214"/>
      <c r="FE75" s="214"/>
      <c r="FF75" s="214"/>
      <c r="FG75" s="214"/>
      <c r="FH75" s="214"/>
      <c r="FI75" s="214"/>
      <c r="FJ75" s="214"/>
      <c r="FK75" s="214"/>
      <c r="FL75" s="214"/>
      <c r="FM75" s="214"/>
      <c r="FN75" s="214"/>
      <c r="FO75" s="214"/>
      <c r="FP75" s="214"/>
      <c r="FQ75" s="214"/>
      <c r="FR75" s="214"/>
      <c r="FS75" s="214"/>
      <c r="FT75" s="214"/>
      <c r="FU75" s="214"/>
      <c r="FV75" s="214"/>
      <c r="FW75" s="214"/>
      <c r="FX75" s="214"/>
      <c r="FY75" s="214"/>
      <c r="FZ75" s="214"/>
      <c r="GA75" s="214"/>
      <c r="GB75" s="214"/>
      <c r="GC75" s="214"/>
      <c r="GD75" s="214"/>
      <c r="GE75" s="214"/>
      <c r="GF75" s="214"/>
      <c r="GG75" s="214"/>
      <c r="GH75" s="214"/>
      <c r="GI75" s="214"/>
      <c r="GJ75" s="214"/>
      <c r="GK75" s="214"/>
      <c r="GL75" s="214"/>
      <c r="GM75" s="214"/>
      <c r="GN75" s="214"/>
      <c r="GO75" s="214"/>
      <c r="GP75" s="214"/>
      <c r="GQ75" s="214"/>
      <c r="GR75" s="214"/>
      <c r="GS75" s="214"/>
      <c r="GT75" s="214"/>
      <c r="GU75" s="214"/>
      <c r="GV75" s="214"/>
      <c r="GW75" s="214"/>
      <c r="GX75" s="214"/>
      <c r="GY75" s="214"/>
      <c r="GZ75" s="214"/>
      <c r="HA75" s="214"/>
      <c r="HB75" s="214"/>
      <c r="HC75" s="214"/>
      <c r="HD75" s="214"/>
      <c r="HE75" s="214"/>
      <c r="HF75" s="214"/>
      <c r="HG75" s="214"/>
      <c r="HH75" s="214"/>
      <c r="HI75" s="214"/>
      <c r="HJ75" s="214"/>
      <c r="HK75" s="214"/>
      <c r="HL75" s="214"/>
      <c r="HM75" s="214"/>
      <c r="HN75" s="214"/>
      <c r="HO75" s="214"/>
      <c r="HP75" s="214"/>
      <c r="HQ75" s="214"/>
      <c r="HR75" s="214"/>
      <c r="HS75" s="214"/>
      <c r="HT75" s="214"/>
      <c r="HU75" s="214"/>
      <c r="HV75" s="214"/>
      <c r="HW75" s="214"/>
      <c r="HX75" s="214"/>
      <c r="HY75" s="214"/>
      <c r="HZ75" s="214"/>
      <c r="IA75" s="214"/>
      <c r="IB75" s="214"/>
      <c r="IC75" s="214"/>
      <c r="ID75" s="214"/>
      <c r="IE75" s="214"/>
      <c r="IF75" s="214"/>
      <c r="IG75" s="214"/>
      <c r="IH75" s="214"/>
      <c r="II75" s="214"/>
      <c r="IJ75" s="214"/>
      <c r="IK75" s="214"/>
      <c r="IL75" s="214"/>
      <c r="IM75" s="214"/>
      <c r="IN75" s="214"/>
      <c r="IO75" s="214"/>
      <c r="IP75" s="214"/>
      <c r="IQ75" s="214"/>
      <c r="IR75" s="214"/>
      <c r="IS75" s="214"/>
      <c r="IT75" s="214"/>
      <c r="IU75" s="214"/>
      <c r="IV75" s="214"/>
      <c r="IW75" s="214"/>
      <c r="IX75" s="214"/>
      <c r="IY75" s="214"/>
      <c r="IZ75" s="214"/>
      <c r="JA75" s="214"/>
      <c r="JB75" s="214"/>
      <c r="JC75" s="214"/>
      <c r="JD75" s="214"/>
      <c r="JE75" s="214"/>
      <c r="JF75" s="214"/>
      <c r="JG75" s="214"/>
      <c r="JH75" s="214"/>
      <c r="JI75" s="214"/>
      <c r="JJ75" s="214"/>
      <c r="JK75" s="214"/>
      <c r="JL75" s="214"/>
      <c r="JM75" s="214"/>
      <c r="JN75" s="214"/>
      <c r="JO75" s="214"/>
      <c r="JP75" s="214"/>
      <c r="JQ75" s="214"/>
      <c r="JR75" s="214"/>
      <c r="JS75" s="214"/>
      <c r="JT75" s="214"/>
      <c r="JU75" s="214"/>
      <c r="JV75" s="214"/>
      <c r="JW75" s="214"/>
      <c r="JX75" s="214"/>
      <c r="JY75" s="214"/>
      <c r="JZ75" s="214"/>
      <c r="KA75" s="214"/>
      <c r="KB75" s="214"/>
      <c r="KC75" s="214"/>
      <c r="KD75" s="214"/>
      <c r="KE75" s="214"/>
      <c r="KF75" s="214"/>
      <c r="KG75" s="214"/>
      <c r="KH75" s="214"/>
      <c r="KI75" s="214"/>
      <c r="KJ75" s="214"/>
      <c r="KK75" s="214"/>
      <c r="KL75" s="214"/>
      <c r="KM75" s="214"/>
      <c r="KN75" s="214"/>
      <c r="KO75" s="214"/>
      <c r="KP75" s="214"/>
      <c r="KQ75" s="214"/>
      <c r="KR75" s="214"/>
      <c r="KS75" s="214"/>
      <c r="KT75" s="214"/>
      <c r="KU75" s="214"/>
      <c r="KV75" s="214"/>
      <c r="KW75" s="214"/>
      <c r="KX75" s="214"/>
      <c r="KY75" s="214"/>
      <c r="KZ75" s="214"/>
      <c r="LA75" s="214"/>
      <c r="LB75" s="214"/>
      <c r="LC75" s="214"/>
      <c r="LD75" s="214"/>
      <c r="LE75" s="214"/>
      <c r="LF75" s="214"/>
      <c r="LG75" s="214"/>
      <c r="LH75" s="214"/>
      <c r="LI75" s="214"/>
      <c r="LJ75" s="214"/>
      <c r="LK75" s="214"/>
      <c r="LL75" s="214"/>
      <c r="LM75" s="214"/>
      <c r="LN75" s="214"/>
      <c r="LO75" s="214"/>
      <c r="LP75" s="214"/>
      <c r="LQ75" s="214"/>
      <c r="LR75" s="214"/>
      <c r="LS75" s="214"/>
      <c r="LT75" s="214"/>
      <c r="LU75" s="214"/>
      <c r="LV75" s="214"/>
      <c r="LW75" s="214"/>
      <c r="LX75" s="214"/>
      <c r="LY75" s="214"/>
      <c r="LZ75" s="214"/>
      <c r="MA75" s="214"/>
      <c r="MB75" s="214"/>
      <c r="MC75" s="214"/>
      <c r="MD75" s="214"/>
      <c r="ME75" s="214"/>
      <c r="MF75" s="214"/>
      <c r="MG75" s="214"/>
      <c r="MH75" s="214"/>
      <c r="MI75" s="214"/>
      <c r="MJ75" s="214"/>
      <c r="MK75" s="214"/>
      <c r="ML75" s="214"/>
      <c r="MM75" s="214"/>
      <c r="MN75" s="214"/>
      <c r="MO75" s="214"/>
      <c r="MP75" s="214"/>
      <c r="MQ75" s="214"/>
      <c r="MR75" s="214"/>
      <c r="MS75" s="214"/>
      <c r="MT75" s="214"/>
      <c r="MU75" s="214"/>
      <c r="MV75" s="214"/>
      <c r="MW75" s="214"/>
      <c r="MX75" s="214"/>
      <c r="MY75" s="214"/>
      <c r="MZ75" s="214"/>
      <c r="NA75" s="214"/>
      <c r="NB75" s="214"/>
      <c r="NC75" s="214"/>
      <c r="ND75" s="214"/>
      <c r="NE75" s="214"/>
      <c r="NF75" s="214"/>
      <c r="NG75" s="214"/>
      <c r="NH75" s="214"/>
      <c r="NI75" s="214"/>
      <c r="NJ75" s="214"/>
      <c r="NK75" s="214"/>
      <c r="NL75" s="214"/>
      <c r="NM75" s="214"/>
      <c r="NN75" s="214"/>
      <c r="NO75" s="214"/>
      <c r="NP75" s="214"/>
      <c r="NQ75" s="214"/>
      <c r="NR75" s="214"/>
      <c r="NS75" s="214"/>
      <c r="NT75" s="214"/>
      <c r="NU75" s="214"/>
      <c r="NV75" s="214"/>
      <c r="NW75" s="214"/>
      <c r="NX75" s="214"/>
      <c r="NY75" s="214"/>
      <c r="NZ75" s="214"/>
      <c r="OA75" s="214"/>
      <c r="OB75" s="214"/>
      <c r="OC75" s="214"/>
      <c r="OD75" s="214"/>
      <c r="OE75" s="214"/>
      <c r="OF75" s="214"/>
      <c r="OG75" s="214"/>
      <c r="OH75" s="214"/>
      <c r="OI75" s="214"/>
      <c r="OJ75" s="214"/>
      <c r="OK75" s="214"/>
      <c r="OL75" s="214"/>
      <c r="OM75" s="214"/>
      <c r="ON75" s="214"/>
      <c r="OO75" s="214"/>
      <c r="OP75" s="214"/>
      <c r="OQ75" s="214"/>
      <c r="OR75" s="214"/>
      <c r="OS75" s="214"/>
      <c r="OT75" s="214"/>
      <c r="OU75" s="214"/>
      <c r="OV75" s="214"/>
      <c r="OW75" s="214"/>
      <c r="OX75" s="214"/>
      <c r="OY75" s="214"/>
      <c r="OZ75" s="214"/>
      <c r="PA75" s="214"/>
      <c r="PB75" s="214"/>
      <c r="PC75" s="214"/>
      <c r="PD75" s="214"/>
      <c r="PE75" s="214"/>
      <c r="PF75" s="214"/>
      <c r="PG75" s="214"/>
      <c r="PH75" s="214"/>
      <c r="PI75" s="214"/>
      <c r="PJ75" s="214"/>
      <c r="PK75" s="214"/>
      <c r="PL75" s="214"/>
      <c r="PM75" s="214"/>
      <c r="PN75" s="214"/>
      <c r="PO75" s="214"/>
      <c r="PP75" s="214"/>
      <c r="PQ75" s="214"/>
      <c r="PR75" s="214"/>
      <c r="PS75" s="214"/>
      <c r="PT75" s="214"/>
      <c r="PU75" s="214"/>
      <c r="PV75" s="214"/>
      <c r="PW75" s="214"/>
      <c r="PX75" s="214"/>
      <c r="PY75" s="214"/>
      <c r="PZ75" s="214"/>
      <c r="QA75" s="214"/>
      <c r="QB75" s="214"/>
      <c r="QC75" s="214"/>
      <c r="QD75" s="214"/>
      <c r="QE75" s="214"/>
      <c r="QF75" s="214"/>
      <c r="QG75" s="214"/>
      <c r="QH75" s="214"/>
      <c r="QI75" s="214"/>
      <c r="QJ75" s="214"/>
      <c r="QK75" s="214"/>
      <c r="QL75" s="214"/>
      <c r="QM75" s="214"/>
      <c r="QN75" s="214"/>
      <c r="QO75" s="214"/>
      <c r="QP75" s="214"/>
      <c r="QQ75" s="214"/>
      <c r="QR75" s="214"/>
      <c r="QS75" s="214"/>
      <c r="QT75" s="214"/>
      <c r="QU75" s="214"/>
      <c r="QV75" s="214"/>
      <c r="QW75" s="214"/>
      <c r="QX75" s="214"/>
      <c r="QY75" s="214"/>
      <c r="QZ75" s="214"/>
      <c r="RA75" s="214"/>
      <c r="RB75" s="214"/>
      <c r="RC75" s="214"/>
      <c r="RD75" s="214"/>
      <c r="RE75" s="214"/>
      <c r="RF75" s="214"/>
      <c r="RG75" s="214"/>
      <c r="RH75" s="214"/>
      <c r="RI75" s="214"/>
      <c r="RJ75" s="214"/>
      <c r="RK75" s="214"/>
      <c r="RL75" s="214"/>
      <c r="RM75" s="214"/>
      <c r="RN75" s="214"/>
      <c r="RO75" s="214"/>
      <c r="RP75" s="214"/>
      <c r="RQ75" s="214"/>
      <c r="RR75" s="214"/>
      <c r="RS75" s="214"/>
      <c r="RT75" s="214"/>
      <c r="RU75" s="214"/>
      <c r="RV75" s="214"/>
      <c r="RW75" s="214"/>
      <c r="RX75" s="214"/>
      <c r="RY75" s="214"/>
      <c r="RZ75" s="214"/>
      <c r="SA75" s="214"/>
      <c r="SB75" s="214"/>
      <c r="SC75" s="214"/>
      <c r="SD75" s="214"/>
      <c r="SE75" s="214"/>
      <c r="SF75" s="214"/>
      <c r="SG75" s="214"/>
      <c r="SH75" s="214"/>
      <c r="SI75" s="214"/>
      <c r="SJ75" s="214"/>
      <c r="SK75" s="214"/>
      <c r="SL75" s="214"/>
      <c r="SM75" s="214"/>
      <c r="SN75" s="214"/>
      <c r="SO75" s="214"/>
      <c r="SP75" s="214"/>
      <c r="SQ75" s="214"/>
      <c r="SR75" s="214"/>
      <c r="SS75" s="214"/>
      <c r="ST75" s="214"/>
      <c r="SU75" s="214"/>
      <c r="SV75" s="214"/>
      <c r="SW75" s="214"/>
      <c r="SX75" s="214"/>
      <c r="SY75" s="214"/>
      <c r="SZ75" s="214"/>
      <c r="TA75" s="214"/>
      <c r="TB75" s="214"/>
      <c r="TC75" s="214"/>
      <c r="TD75" s="214"/>
      <c r="TE75" s="214"/>
      <c r="TF75" s="214"/>
      <c r="TG75" s="214"/>
      <c r="TH75" s="214"/>
      <c r="TI75" s="214"/>
      <c r="TJ75" s="214"/>
      <c r="TK75" s="214"/>
      <c r="TL75" s="214"/>
      <c r="TM75" s="214"/>
      <c r="TN75" s="214"/>
      <c r="TO75" s="214"/>
      <c r="TP75" s="214"/>
      <c r="TQ75" s="214"/>
      <c r="TR75" s="214"/>
      <c r="TS75" s="214"/>
      <c r="TT75" s="214"/>
      <c r="TU75" s="214"/>
      <c r="TV75" s="214"/>
      <c r="TW75" s="214"/>
      <c r="TX75" s="214"/>
      <c r="TY75" s="214"/>
      <c r="TZ75" s="214"/>
      <c r="UA75" s="214"/>
      <c r="UB75" s="214"/>
      <c r="UC75" s="214"/>
      <c r="UD75" s="214"/>
      <c r="UE75" s="214"/>
      <c r="UF75" s="214"/>
      <c r="UG75" s="214"/>
      <c r="UH75" s="214"/>
      <c r="UI75" s="214"/>
      <c r="UJ75" s="214"/>
      <c r="UK75" s="214"/>
      <c r="UL75" s="214"/>
      <c r="UM75" s="214"/>
      <c r="UN75" s="214"/>
      <c r="UO75" s="214"/>
      <c r="UP75" s="214"/>
      <c r="UQ75" s="214"/>
      <c r="UR75" s="214"/>
      <c r="US75" s="214"/>
      <c r="UT75" s="214"/>
      <c r="UU75" s="214"/>
      <c r="UV75" s="214"/>
      <c r="UW75" s="214"/>
      <c r="UX75" s="214"/>
      <c r="UY75" s="214"/>
      <c r="UZ75" s="214"/>
      <c r="VA75" s="214"/>
      <c r="VB75" s="214"/>
      <c r="VC75" s="214"/>
      <c r="VD75" s="214"/>
      <c r="VE75" s="214"/>
      <c r="VF75" s="214"/>
      <c r="VG75" s="214"/>
      <c r="VH75" s="214"/>
      <c r="VI75" s="214"/>
      <c r="VJ75" s="214"/>
      <c r="VK75" s="214"/>
      <c r="VL75" s="214"/>
      <c r="VM75" s="214"/>
      <c r="VN75" s="214"/>
      <c r="VO75" s="214"/>
      <c r="VP75" s="214"/>
      <c r="VQ75" s="214"/>
      <c r="VR75" s="214"/>
      <c r="VS75" s="214"/>
      <c r="VT75" s="214"/>
      <c r="VU75" s="214"/>
      <c r="VV75" s="214"/>
      <c r="VW75" s="214"/>
      <c r="VX75" s="214"/>
      <c r="VY75" s="214"/>
      <c r="VZ75" s="214"/>
      <c r="WA75" s="214"/>
      <c r="WB75" s="214"/>
      <c r="WC75" s="214"/>
      <c r="WD75" s="214"/>
      <c r="WE75" s="214"/>
      <c r="WF75" s="214"/>
      <c r="WG75" s="214"/>
      <c r="WH75" s="214"/>
      <c r="WI75" s="214"/>
      <c r="WJ75" s="214"/>
      <c r="WK75" s="214"/>
      <c r="WL75" s="214"/>
      <c r="WM75" s="214"/>
      <c r="WN75" s="214"/>
      <c r="WO75" s="214"/>
      <c r="WP75" s="214"/>
      <c r="WQ75" s="214"/>
      <c r="WR75" s="214"/>
      <c r="WS75" s="214"/>
      <c r="WT75" s="214"/>
      <c r="WU75" s="214"/>
      <c r="WV75" s="214"/>
      <c r="WW75" s="214"/>
      <c r="WX75" s="214"/>
      <c r="WY75" s="214"/>
      <c r="WZ75" s="214"/>
      <c r="XA75" s="214"/>
      <c r="XB75" s="214"/>
      <c r="XC75" s="214"/>
      <c r="XD75" s="214"/>
      <c r="XE75" s="214"/>
      <c r="XF75" s="214"/>
      <c r="XG75" s="214"/>
      <c r="XH75" s="214"/>
      <c r="XI75" s="214"/>
      <c r="XJ75" s="214"/>
      <c r="XK75" s="214"/>
      <c r="XL75" s="214"/>
      <c r="XM75" s="214"/>
      <c r="XN75" s="214"/>
      <c r="XO75" s="214"/>
      <c r="XP75" s="214"/>
      <c r="XQ75" s="214"/>
      <c r="XR75" s="214"/>
      <c r="XS75" s="214"/>
      <c r="XT75" s="214"/>
      <c r="XU75" s="214"/>
      <c r="XV75" s="214"/>
      <c r="XW75" s="214"/>
      <c r="XX75" s="214"/>
      <c r="XY75" s="214"/>
      <c r="XZ75" s="214"/>
      <c r="YA75" s="214"/>
      <c r="YB75" s="214"/>
      <c r="YC75" s="214"/>
      <c r="YD75" s="214"/>
      <c r="YE75" s="214"/>
      <c r="YF75" s="214"/>
      <c r="YG75" s="214"/>
      <c r="YH75" s="214"/>
      <c r="YI75" s="214"/>
      <c r="YJ75" s="214"/>
      <c r="YK75" s="214"/>
      <c r="YL75" s="214"/>
      <c r="YM75" s="214"/>
      <c r="YN75" s="214"/>
      <c r="YO75" s="214"/>
      <c r="YP75" s="214"/>
      <c r="YQ75" s="214"/>
      <c r="YR75" s="214"/>
      <c r="YS75" s="214"/>
      <c r="YT75" s="214"/>
      <c r="YU75" s="214"/>
      <c r="YV75" s="214"/>
      <c r="YW75" s="214"/>
      <c r="YX75" s="214"/>
      <c r="YY75" s="214"/>
      <c r="YZ75" s="214"/>
      <c r="ZA75" s="214"/>
      <c r="ZB75" s="214"/>
      <c r="ZC75" s="214"/>
      <c r="ZD75" s="214"/>
      <c r="ZE75" s="214"/>
      <c r="ZF75" s="214"/>
      <c r="ZG75" s="214"/>
      <c r="ZH75" s="214"/>
      <c r="ZI75" s="214"/>
      <c r="ZJ75" s="214"/>
      <c r="ZK75" s="214"/>
      <c r="ZL75" s="214"/>
      <c r="ZM75" s="214"/>
      <c r="ZN75" s="214"/>
      <c r="ZO75" s="214"/>
      <c r="ZP75" s="214"/>
      <c r="ZQ75" s="214"/>
      <c r="ZR75" s="214"/>
      <c r="ZS75" s="214"/>
      <c r="ZT75" s="214"/>
      <c r="ZU75" s="214"/>
      <c r="ZV75" s="214"/>
      <c r="ZW75" s="214"/>
      <c r="ZX75" s="214"/>
      <c r="ZY75" s="214"/>
      <c r="ZZ75" s="214"/>
      <c r="AAA75" s="214"/>
      <c r="AAB75" s="214"/>
      <c r="AAC75" s="214"/>
      <c r="AAD75" s="214"/>
      <c r="AAE75" s="214"/>
      <c r="AAF75" s="214"/>
      <c r="AAG75" s="214"/>
      <c r="AAH75" s="214"/>
      <c r="AAI75" s="214"/>
      <c r="AAJ75" s="214"/>
      <c r="AAK75" s="214"/>
      <c r="AAL75" s="214"/>
      <c r="AAM75" s="214"/>
      <c r="AAN75" s="214"/>
      <c r="AAO75" s="214"/>
      <c r="AAP75" s="214"/>
      <c r="AAQ75" s="214"/>
      <c r="AAR75" s="214"/>
      <c r="AAS75" s="214"/>
      <c r="AAT75" s="214"/>
      <c r="AAU75" s="214"/>
      <c r="AAV75" s="214"/>
      <c r="AAW75" s="214"/>
      <c r="AAX75" s="214"/>
      <c r="AAY75" s="214"/>
      <c r="AAZ75" s="214"/>
      <c r="ABA75" s="214"/>
      <c r="ABB75" s="214"/>
      <c r="ABC75" s="214"/>
      <c r="ABD75" s="214"/>
      <c r="ABE75" s="214"/>
      <c r="ABF75" s="214"/>
      <c r="ABG75" s="214"/>
      <c r="ABH75" s="214"/>
      <c r="ABI75" s="214"/>
      <c r="ABJ75" s="214"/>
      <c r="ABK75" s="214"/>
      <c r="ABL75" s="214"/>
      <c r="ABM75" s="214"/>
      <c r="ABN75" s="214"/>
      <c r="ABO75" s="214"/>
      <c r="ABP75" s="214"/>
      <c r="ABQ75" s="214"/>
      <c r="ABR75" s="214"/>
      <c r="ABS75" s="214"/>
      <c r="ABT75" s="214"/>
      <c r="ABU75" s="214"/>
      <c r="ABV75" s="214"/>
      <c r="ABW75" s="214"/>
      <c r="ABX75" s="214"/>
      <c r="ABY75" s="214"/>
      <c r="ABZ75" s="214"/>
      <c r="ACA75" s="214"/>
      <c r="ACB75" s="214"/>
      <c r="ACC75" s="214"/>
      <c r="ACD75" s="214"/>
      <c r="ACE75" s="214"/>
      <c r="ACF75" s="214"/>
      <c r="ACG75" s="214"/>
      <c r="ACH75" s="214"/>
      <c r="ACI75" s="214"/>
      <c r="ACJ75" s="214"/>
      <c r="ACK75" s="214"/>
      <c r="ACL75" s="214"/>
      <c r="ACM75" s="214"/>
      <c r="ACN75" s="214"/>
      <c r="ACO75" s="214"/>
      <c r="ACP75" s="214"/>
      <c r="ACQ75" s="214"/>
      <c r="ACR75" s="214"/>
      <c r="ACS75" s="214"/>
      <c r="ACT75" s="214"/>
      <c r="ACU75" s="214"/>
      <c r="ACV75" s="214"/>
      <c r="ACW75" s="214"/>
      <c r="ACX75" s="214"/>
      <c r="ACY75" s="214"/>
      <c r="ACZ75" s="214"/>
      <c r="ADA75" s="214"/>
      <c r="ADB75" s="214"/>
      <c r="ADC75" s="214"/>
      <c r="ADD75" s="214"/>
      <c r="ADE75" s="214"/>
      <c r="ADF75" s="214"/>
      <c r="ADG75" s="214"/>
      <c r="ADH75" s="214"/>
      <c r="ADI75" s="214"/>
      <c r="ADJ75" s="214"/>
      <c r="ADK75" s="214"/>
      <c r="ADL75" s="214"/>
      <c r="ADM75" s="214"/>
      <c r="ADN75" s="214"/>
      <c r="ADO75" s="214"/>
      <c r="ADP75" s="214"/>
      <c r="ADQ75" s="214"/>
      <c r="ADR75" s="214"/>
      <c r="ADS75" s="214"/>
      <c r="ADT75" s="214"/>
      <c r="ADU75" s="214"/>
      <c r="ADV75" s="214"/>
      <c r="ADW75" s="214"/>
      <c r="ADX75" s="214"/>
      <c r="ADY75" s="214"/>
      <c r="ADZ75" s="214"/>
      <c r="AEA75" s="214"/>
      <c r="AEB75" s="214"/>
      <c r="AEC75" s="214"/>
      <c r="AED75" s="214"/>
      <c r="AEE75" s="214"/>
      <c r="AEF75" s="214"/>
      <c r="AEG75" s="214"/>
      <c r="AEH75" s="214"/>
      <c r="AEI75" s="214"/>
      <c r="AEJ75" s="214"/>
      <c r="AEK75" s="214"/>
      <c r="AEL75" s="214"/>
      <c r="AEM75" s="214"/>
      <c r="AEN75" s="214"/>
      <c r="AEO75" s="214"/>
      <c r="AEP75" s="214"/>
      <c r="AEQ75" s="214"/>
      <c r="AER75" s="214"/>
      <c r="AES75" s="214"/>
      <c r="AET75" s="214"/>
      <c r="AEU75" s="214"/>
      <c r="AEV75" s="214"/>
      <c r="AEW75" s="214"/>
      <c r="AEX75" s="214"/>
      <c r="AEY75" s="214"/>
      <c r="AEZ75" s="214"/>
      <c r="AFA75" s="214"/>
      <c r="AFB75" s="214"/>
      <c r="AFC75" s="214"/>
      <c r="AFD75" s="214"/>
      <c r="AFE75" s="214"/>
      <c r="AFF75" s="214"/>
      <c r="AFG75" s="214"/>
      <c r="AFH75" s="214"/>
      <c r="AFI75" s="214"/>
      <c r="AFJ75" s="214"/>
      <c r="AFK75" s="214"/>
      <c r="AFL75" s="214"/>
      <c r="AFM75" s="214"/>
      <c r="AFN75" s="214"/>
      <c r="AFO75" s="214"/>
      <c r="AFP75" s="214"/>
      <c r="AFQ75" s="214"/>
      <c r="AFR75" s="214"/>
      <c r="AFS75" s="214"/>
      <c r="AFT75" s="214"/>
      <c r="AFU75" s="214"/>
      <c r="AFV75" s="214"/>
      <c r="AFW75" s="214"/>
      <c r="AFX75" s="214"/>
      <c r="AFY75" s="214"/>
      <c r="AFZ75" s="214"/>
      <c r="AGA75" s="214"/>
      <c r="AGB75" s="214"/>
      <c r="AGC75" s="214"/>
      <c r="AGD75" s="214"/>
      <c r="AGE75" s="214"/>
      <c r="AGF75" s="214"/>
      <c r="AGG75" s="214"/>
      <c r="AGH75" s="214"/>
      <c r="AGI75" s="214"/>
      <c r="AGJ75" s="214"/>
      <c r="AGK75" s="214"/>
      <c r="AGL75" s="214"/>
      <c r="AGM75" s="214"/>
      <c r="AGN75" s="214"/>
      <c r="AGO75" s="214"/>
      <c r="AGP75" s="214"/>
      <c r="AGQ75" s="214"/>
      <c r="AGR75" s="214"/>
      <c r="AGS75" s="214"/>
      <c r="AGT75" s="214"/>
      <c r="AGU75" s="214"/>
      <c r="AGV75" s="214"/>
      <c r="AGW75" s="214"/>
      <c r="AGX75" s="214"/>
      <c r="AGY75" s="214"/>
      <c r="AGZ75" s="214"/>
      <c r="AHA75" s="214"/>
      <c r="AHB75" s="214"/>
      <c r="AHC75" s="214"/>
      <c r="AHD75" s="214"/>
      <c r="AHE75" s="214"/>
      <c r="AHF75" s="214"/>
      <c r="AHG75" s="214"/>
      <c r="AHH75" s="214"/>
      <c r="AHI75" s="214"/>
      <c r="AHJ75" s="214"/>
      <c r="AHK75" s="214"/>
      <c r="AHL75" s="214"/>
      <c r="AHM75" s="214"/>
      <c r="AHN75" s="214"/>
      <c r="AHO75" s="214"/>
      <c r="AHP75" s="214"/>
      <c r="AHQ75" s="214"/>
      <c r="AHR75" s="214"/>
      <c r="AHS75" s="214"/>
      <c r="AHT75" s="214"/>
      <c r="AHU75" s="214"/>
      <c r="AHV75" s="214"/>
      <c r="AHW75" s="214"/>
      <c r="AHX75" s="214"/>
      <c r="AHY75" s="214"/>
      <c r="AHZ75" s="214"/>
      <c r="AIA75" s="214"/>
      <c r="AIB75" s="214"/>
      <c r="AIC75" s="214"/>
      <c r="AID75" s="214"/>
      <c r="AIE75" s="214"/>
      <c r="AIF75" s="214"/>
      <c r="AIG75" s="214"/>
      <c r="AIH75" s="214"/>
      <c r="AII75" s="214"/>
      <c r="AIJ75" s="214"/>
      <c r="AIK75" s="214"/>
      <c r="AIL75" s="214"/>
      <c r="AIM75" s="214"/>
      <c r="AIN75" s="214"/>
      <c r="AIO75" s="214"/>
      <c r="AIP75" s="214"/>
      <c r="AIQ75" s="214"/>
      <c r="AIR75" s="214"/>
      <c r="AIS75" s="214"/>
      <c r="AIT75" s="214"/>
      <c r="AIU75" s="214"/>
      <c r="AIV75" s="214"/>
      <c r="AIW75" s="214"/>
      <c r="AIX75" s="214"/>
      <c r="AIY75" s="214"/>
      <c r="AIZ75" s="214"/>
      <c r="AJA75" s="214"/>
      <c r="AJB75" s="214"/>
      <c r="AJC75" s="214"/>
      <c r="AJD75" s="214"/>
      <c r="AJE75" s="214"/>
      <c r="AJF75" s="214"/>
      <c r="AJG75" s="214"/>
      <c r="AJH75" s="214"/>
      <c r="AJI75" s="214"/>
      <c r="AJJ75" s="214"/>
      <c r="AJK75" s="214"/>
      <c r="AJL75" s="214"/>
      <c r="AJM75" s="214"/>
      <c r="AJN75" s="214"/>
      <c r="AJO75" s="214"/>
      <c r="AJP75" s="214"/>
      <c r="AJQ75" s="214"/>
      <c r="AJR75" s="214"/>
      <c r="AJS75" s="214"/>
      <c r="AJT75" s="214"/>
      <c r="AJU75" s="214"/>
      <c r="AJV75" s="214"/>
      <c r="AJW75" s="214"/>
      <c r="AJX75" s="214"/>
      <c r="AJY75" s="214"/>
      <c r="AJZ75" s="214"/>
      <c r="AKA75" s="214"/>
      <c r="AKB75" s="214"/>
      <c r="AKC75" s="214"/>
      <c r="AKD75" s="214"/>
      <c r="AKE75" s="214"/>
      <c r="AKF75" s="214"/>
      <c r="AKG75" s="214"/>
      <c r="AKH75" s="214"/>
      <c r="AKI75" s="214"/>
      <c r="AKJ75" s="214"/>
      <c r="AKK75" s="214"/>
      <c r="AKL75" s="214"/>
      <c r="AKM75" s="214"/>
      <c r="AKN75" s="214"/>
      <c r="AKO75" s="214"/>
      <c r="AKP75" s="214"/>
      <c r="AKQ75" s="214"/>
      <c r="AKR75" s="214"/>
      <c r="AKS75" s="214"/>
      <c r="AKT75" s="214"/>
      <c r="AKU75" s="214"/>
      <c r="AKV75" s="214"/>
      <c r="AKW75" s="214"/>
      <c r="AKX75" s="214"/>
      <c r="AKY75" s="214"/>
      <c r="AKZ75" s="214"/>
      <c r="ALA75" s="214"/>
      <c r="ALB75" s="214"/>
      <c r="ALC75" s="214"/>
      <c r="ALD75" s="214"/>
      <c r="ALE75" s="214"/>
      <c r="ALF75" s="214"/>
      <c r="ALG75" s="214"/>
      <c r="ALH75" s="214"/>
      <c r="ALI75" s="214"/>
      <c r="ALJ75" s="214"/>
      <c r="ALK75" s="214"/>
      <c r="ALL75" s="214"/>
      <c r="ALM75" s="214"/>
      <c r="ALN75" s="214"/>
      <c r="ALO75" s="214"/>
      <c r="ALP75" s="214"/>
      <c r="ALQ75" s="214"/>
      <c r="ALR75" s="214"/>
      <c r="ALS75" s="214"/>
      <c r="ALT75" s="214"/>
      <c r="ALU75" s="214"/>
      <c r="ALV75" s="214"/>
      <c r="ALW75" s="214"/>
      <c r="ALX75" s="214"/>
      <c r="ALY75" s="214"/>
      <c r="ALZ75" s="214"/>
      <c r="AMA75" s="214"/>
      <c r="AMB75" s="214"/>
      <c r="AMC75" s="214"/>
      <c r="AMD75" s="214"/>
      <c r="AME75" s="214"/>
      <c r="AMF75" s="214"/>
      <c r="AMG75" s="214"/>
      <c r="AMH75" s="214"/>
      <c r="AMI75" s="214"/>
      <c r="AMJ75" s="214"/>
      <c r="AMK75" s="214"/>
      <c r="AML75" s="214"/>
      <c r="AMM75" s="214"/>
      <c r="AMN75" s="214"/>
      <c r="AMO75" s="214"/>
      <c r="AMP75" s="214"/>
      <c r="AMQ75" s="214"/>
      <c r="AMR75" s="214"/>
      <c r="AMS75" s="214"/>
      <c r="AMT75" s="214"/>
      <c r="AMU75" s="214"/>
      <c r="AMV75" s="214"/>
      <c r="AMW75" s="214"/>
      <c r="AMX75" s="214"/>
      <c r="AMY75" s="214"/>
      <c r="AMZ75" s="214"/>
      <c r="ANA75" s="214"/>
      <c r="ANB75" s="214"/>
      <c r="ANC75" s="214"/>
      <c r="AND75" s="214"/>
      <c r="ANE75" s="214"/>
      <c r="ANF75" s="214"/>
      <c r="ANG75" s="214"/>
      <c r="ANH75" s="214"/>
      <c r="ANI75" s="214"/>
      <c r="ANJ75" s="214"/>
      <c r="ANK75" s="214"/>
      <c r="ANL75" s="214"/>
      <c r="ANM75" s="214"/>
      <c r="ANN75" s="214"/>
      <c r="ANO75" s="214"/>
      <c r="ANP75" s="214"/>
      <c r="ANQ75" s="214"/>
      <c r="ANR75" s="214"/>
      <c r="ANS75" s="214"/>
      <c r="ANT75" s="214"/>
      <c r="ANU75" s="214"/>
      <c r="ANV75" s="214"/>
      <c r="ANW75" s="214"/>
      <c r="ANX75" s="214"/>
      <c r="ANY75" s="214"/>
      <c r="ANZ75" s="214"/>
      <c r="AOA75" s="214"/>
      <c r="AOB75" s="214"/>
      <c r="AOC75" s="214"/>
      <c r="AOD75" s="214"/>
      <c r="AOE75" s="214"/>
      <c r="AOF75" s="214"/>
      <c r="AOG75" s="214"/>
      <c r="AOH75" s="214"/>
      <c r="AOI75" s="214"/>
      <c r="AOJ75" s="214"/>
      <c r="AOK75" s="214"/>
      <c r="AOL75" s="214"/>
      <c r="AOM75" s="214"/>
      <c r="AON75" s="214"/>
      <c r="AOO75" s="214"/>
      <c r="AOP75" s="214"/>
      <c r="AOQ75" s="214"/>
      <c r="AOR75" s="214"/>
      <c r="AOS75" s="214"/>
      <c r="AOT75" s="214"/>
      <c r="AOU75" s="214"/>
      <c r="AOV75" s="214"/>
      <c r="AOW75" s="214"/>
      <c r="AOX75" s="214"/>
      <c r="AOY75" s="214"/>
      <c r="AOZ75" s="214"/>
      <c r="APA75" s="214"/>
      <c r="APB75" s="214"/>
      <c r="APC75" s="214"/>
      <c r="APD75" s="214"/>
      <c r="APE75" s="214"/>
      <c r="APF75" s="214"/>
      <c r="APG75" s="214"/>
      <c r="APH75" s="214"/>
      <c r="API75" s="214"/>
      <c r="APJ75" s="214"/>
      <c r="APK75" s="214"/>
      <c r="APL75" s="214"/>
      <c r="APM75" s="214"/>
      <c r="APN75" s="214"/>
      <c r="APO75" s="214"/>
      <c r="APP75" s="214"/>
      <c r="APQ75" s="214"/>
      <c r="APR75" s="214"/>
      <c r="APS75" s="214"/>
      <c r="APT75" s="214"/>
      <c r="APU75" s="214"/>
      <c r="APV75" s="214"/>
      <c r="APW75" s="214"/>
      <c r="APX75" s="214"/>
      <c r="APY75" s="214"/>
      <c r="APZ75" s="214"/>
      <c r="AQA75" s="214"/>
      <c r="AQB75" s="214"/>
      <c r="AQC75" s="214"/>
      <c r="AQD75" s="214"/>
      <c r="AQE75" s="214"/>
      <c r="AQF75" s="214"/>
      <c r="AQG75" s="214"/>
      <c r="AQH75" s="214"/>
      <c r="AQI75" s="214"/>
      <c r="AQJ75" s="214"/>
      <c r="AQK75" s="214"/>
      <c r="AQL75" s="214"/>
      <c r="AQM75" s="214"/>
      <c r="AQN75" s="214"/>
      <c r="AQO75" s="214"/>
      <c r="AQP75" s="214"/>
      <c r="AQQ75" s="214"/>
      <c r="AQR75" s="214"/>
      <c r="AQS75" s="214"/>
      <c r="AQT75" s="214"/>
      <c r="AQU75" s="214"/>
      <c r="AQV75" s="214"/>
      <c r="AQW75" s="214"/>
      <c r="AQX75" s="214"/>
      <c r="AQY75" s="214"/>
      <c r="AQZ75" s="214"/>
      <c r="ARA75" s="214"/>
      <c r="ARB75" s="214"/>
      <c r="ARC75" s="214"/>
      <c r="ARD75" s="214"/>
      <c r="ARE75" s="214"/>
      <c r="ARF75" s="214"/>
      <c r="ARG75" s="214"/>
      <c r="ARH75" s="214"/>
      <c r="ARI75" s="214"/>
      <c r="ARJ75" s="214"/>
      <c r="ARK75" s="214"/>
      <c r="ARL75" s="214"/>
      <c r="ARM75" s="214"/>
      <c r="ARN75" s="214"/>
      <c r="ARO75" s="214"/>
      <c r="ARP75" s="214"/>
      <c r="ARQ75" s="214"/>
      <c r="ARR75" s="214"/>
      <c r="ARS75" s="214"/>
      <c r="ART75" s="214"/>
      <c r="ARU75" s="214"/>
      <c r="ARV75" s="214"/>
      <c r="ARW75" s="214"/>
      <c r="ARX75" s="214"/>
      <c r="ARY75" s="214"/>
      <c r="ARZ75" s="214"/>
      <c r="ASA75" s="214"/>
      <c r="ASB75" s="214"/>
      <c r="ASC75" s="214"/>
      <c r="ASD75" s="214"/>
      <c r="ASE75" s="214"/>
      <c r="ASF75" s="214"/>
      <c r="ASG75" s="214"/>
      <c r="ASH75" s="214"/>
      <c r="ASI75" s="214"/>
      <c r="ASJ75" s="214"/>
      <c r="ASK75" s="214"/>
      <c r="ASL75" s="214"/>
      <c r="ASM75" s="214"/>
      <c r="ASN75" s="214"/>
      <c r="ASO75" s="214"/>
      <c r="ASP75" s="214"/>
      <c r="ASQ75" s="214"/>
      <c r="ASR75" s="214"/>
      <c r="ASS75" s="214"/>
      <c r="AST75" s="214"/>
      <c r="ASU75" s="214"/>
      <c r="ASV75" s="214"/>
      <c r="ASW75" s="214"/>
      <c r="ASX75" s="214"/>
      <c r="ASY75" s="214"/>
      <c r="ASZ75" s="214"/>
      <c r="ATA75" s="214"/>
      <c r="ATB75" s="214"/>
      <c r="ATC75" s="214"/>
      <c r="ATD75" s="214"/>
      <c r="ATE75" s="214"/>
      <c r="ATF75" s="214"/>
      <c r="ATG75" s="214"/>
      <c r="ATH75" s="214"/>
      <c r="ATI75" s="214"/>
      <c r="ATJ75" s="214"/>
      <c r="ATK75" s="214"/>
      <c r="ATL75" s="214"/>
      <c r="ATM75" s="214"/>
      <c r="ATN75" s="214"/>
      <c r="ATO75" s="214"/>
      <c r="ATP75" s="214"/>
      <c r="ATQ75" s="214"/>
      <c r="ATR75" s="214"/>
      <c r="ATS75" s="214"/>
      <c r="ATT75" s="214"/>
      <c r="ATU75" s="214"/>
      <c r="ATV75" s="214"/>
      <c r="ATW75" s="214"/>
      <c r="ATX75" s="214"/>
      <c r="ATY75" s="214"/>
      <c r="ATZ75" s="214"/>
      <c r="AUA75" s="214"/>
      <c r="AUB75" s="214"/>
      <c r="AUC75" s="214"/>
      <c r="AUD75" s="214"/>
      <c r="AUE75" s="214"/>
      <c r="AUF75" s="214"/>
      <c r="AUG75" s="214"/>
      <c r="AUH75" s="214"/>
      <c r="AUI75" s="214"/>
      <c r="AUJ75" s="214"/>
      <c r="AUK75" s="214"/>
      <c r="AUL75" s="214"/>
      <c r="AUM75" s="214"/>
      <c r="AUN75" s="214"/>
      <c r="AUO75" s="214"/>
      <c r="AUP75" s="214"/>
      <c r="AUQ75" s="214"/>
      <c r="AUR75" s="214"/>
      <c r="AUS75" s="214"/>
      <c r="AUT75" s="214"/>
      <c r="AUU75" s="214"/>
      <c r="AUV75" s="214"/>
      <c r="AUW75" s="214"/>
      <c r="AUX75" s="214"/>
      <c r="AUY75" s="214"/>
      <c r="AUZ75" s="214"/>
      <c r="AVA75" s="214"/>
      <c r="AVB75" s="214"/>
      <c r="AVC75" s="214"/>
      <c r="AVD75" s="214"/>
      <c r="AVE75" s="214"/>
      <c r="AVF75" s="214"/>
      <c r="AVG75" s="214"/>
      <c r="AVH75" s="214"/>
      <c r="AVI75" s="214"/>
      <c r="AVJ75" s="214"/>
      <c r="AVK75" s="214"/>
      <c r="AVL75" s="214"/>
      <c r="AVM75" s="214"/>
      <c r="AVN75" s="214"/>
      <c r="AVO75" s="214"/>
      <c r="AVP75" s="214"/>
      <c r="AVQ75" s="214"/>
      <c r="AVR75" s="214"/>
      <c r="AVS75" s="214"/>
      <c r="AVT75" s="214"/>
      <c r="AVU75" s="214"/>
      <c r="AVV75" s="214"/>
      <c r="AVW75" s="214"/>
      <c r="AVX75" s="214"/>
      <c r="AVY75" s="214"/>
      <c r="AVZ75" s="214"/>
      <c r="AWA75" s="214"/>
      <c r="AWB75" s="214"/>
      <c r="AWC75" s="214"/>
      <c r="AWD75" s="214"/>
      <c r="AWE75" s="214"/>
      <c r="AWF75" s="214"/>
      <c r="AWG75" s="214"/>
      <c r="AWH75" s="214"/>
      <c r="AWI75" s="214"/>
      <c r="AWJ75" s="214"/>
      <c r="AWK75" s="214"/>
      <c r="AWL75" s="214"/>
      <c r="AWM75" s="214"/>
      <c r="AWN75" s="214"/>
      <c r="AWO75" s="214"/>
      <c r="AWP75" s="214"/>
      <c r="AWQ75" s="214"/>
      <c r="AWR75" s="214"/>
      <c r="AWS75" s="214"/>
      <c r="AWT75" s="214"/>
      <c r="AWU75" s="214"/>
      <c r="AWV75" s="214"/>
      <c r="AWW75" s="214"/>
      <c r="AWX75" s="214"/>
      <c r="AWY75" s="214"/>
      <c r="AWZ75" s="214"/>
      <c r="AXA75" s="214"/>
      <c r="AXB75" s="214"/>
      <c r="AXC75" s="214"/>
      <c r="AXD75" s="214"/>
      <c r="AXE75" s="214"/>
      <c r="AXF75" s="214"/>
      <c r="AXG75" s="214"/>
      <c r="AXH75" s="214"/>
      <c r="AXI75" s="214"/>
      <c r="AXJ75" s="214"/>
      <c r="AXK75" s="214"/>
      <c r="AXL75" s="214"/>
      <c r="AXM75" s="214"/>
      <c r="AXN75" s="214"/>
      <c r="AXO75" s="214"/>
      <c r="AXP75" s="214"/>
      <c r="AXQ75" s="214"/>
      <c r="AXR75" s="214"/>
      <c r="AXS75" s="214"/>
      <c r="AXT75" s="214"/>
      <c r="AXU75" s="214"/>
      <c r="AXV75" s="214"/>
      <c r="AXW75" s="214"/>
      <c r="AXX75" s="214"/>
      <c r="AXY75" s="214"/>
      <c r="AXZ75" s="214"/>
      <c r="AYA75" s="214"/>
      <c r="AYB75" s="214"/>
      <c r="AYC75" s="214"/>
      <c r="AYD75" s="214"/>
      <c r="AYE75" s="214"/>
      <c r="AYF75" s="214"/>
      <c r="AYG75" s="214"/>
      <c r="AYH75" s="214"/>
      <c r="AYI75" s="214"/>
      <c r="AYJ75" s="214"/>
      <c r="AYK75" s="214"/>
      <c r="AYL75" s="214"/>
      <c r="AYM75" s="214"/>
      <c r="AYN75" s="214"/>
      <c r="AYO75" s="214"/>
      <c r="AYP75" s="214"/>
      <c r="AYQ75" s="214"/>
      <c r="AYR75" s="214"/>
      <c r="AYS75" s="214"/>
      <c r="AYT75" s="214"/>
      <c r="AYU75" s="214"/>
      <c r="AYV75" s="214"/>
      <c r="AYW75" s="214"/>
      <c r="AYX75" s="214"/>
      <c r="AYY75" s="214"/>
      <c r="AYZ75" s="214"/>
      <c r="AZA75" s="214"/>
      <c r="AZB75" s="214"/>
      <c r="AZC75" s="214"/>
      <c r="AZD75" s="214"/>
      <c r="AZE75" s="214"/>
      <c r="AZF75" s="214"/>
      <c r="AZG75" s="214"/>
      <c r="AZH75" s="214"/>
      <c r="AZI75" s="214"/>
      <c r="AZJ75" s="214"/>
      <c r="AZK75" s="214"/>
      <c r="AZL75" s="214"/>
      <c r="AZM75" s="214"/>
      <c r="AZN75" s="214"/>
      <c r="AZO75" s="214"/>
      <c r="AZP75" s="214"/>
      <c r="AZQ75" s="214"/>
      <c r="AZR75" s="214"/>
      <c r="AZS75" s="214"/>
      <c r="AZT75" s="214"/>
      <c r="AZU75" s="214"/>
      <c r="AZV75" s="214"/>
      <c r="AZW75" s="214"/>
      <c r="AZX75" s="214"/>
      <c r="AZY75" s="214"/>
      <c r="AZZ75" s="214"/>
      <c r="BAA75" s="214"/>
      <c r="BAB75" s="214"/>
      <c r="BAC75" s="214"/>
      <c r="BAD75" s="214"/>
      <c r="BAE75" s="214"/>
      <c r="BAF75" s="214"/>
      <c r="BAG75" s="214"/>
      <c r="BAH75" s="214"/>
      <c r="BAI75" s="214"/>
      <c r="BAJ75" s="214"/>
      <c r="BAK75" s="214"/>
      <c r="BAL75" s="214"/>
      <c r="BAM75" s="214"/>
      <c r="BAN75" s="214"/>
      <c r="BAO75" s="214"/>
      <c r="BAP75" s="214"/>
      <c r="BAQ75" s="214"/>
      <c r="BAR75" s="214"/>
      <c r="BAS75" s="214"/>
      <c r="BAT75" s="214"/>
      <c r="BAU75" s="214"/>
      <c r="BAV75" s="214"/>
      <c r="BAW75" s="214"/>
      <c r="BAX75" s="214"/>
      <c r="BAY75" s="214"/>
      <c r="BAZ75" s="214"/>
      <c r="BBA75" s="214"/>
      <c r="BBB75" s="214"/>
      <c r="BBC75" s="214"/>
      <c r="BBD75" s="214"/>
      <c r="BBE75" s="214"/>
      <c r="BBF75" s="214"/>
      <c r="BBG75" s="214"/>
      <c r="BBH75" s="214"/>
      <c r="BBI75" s="214"/>
      <c r="BBJ75" s="214"/>
      <c r="BBK75" s="214"/>
      <c r="BBL75" s="214"/>
      <c r="BBM75" s="214"/>
      <c r="BBN75" s="214"/>
      <c r="BBO75" s="214"/>
      <c r="BBP75" s="214"/>
      <c r="BBQ75" s="214"/>
      <c r="BBR75" s="214"/>
      <c r="BBS75" s="214"/>
      <c r="BBT75" s="214"/>
      <c r="BBU75" s="214"/>
      <c r="BBV75" s="214"/>
      <c r="BBW75" s="214"/>
      <c r="BBX75" s="214"/>
      <c r="BBY75" s="214"/>
      <c r="BBZ75" s="214"/>
      <c r="BCA75" s="214"/>
      <c r="BCB75" s="214"/>
      <c r="BCC75" s="214"/>
      <c r="BCD75" s="214"/>
      <c r="BCE75" s="214"/>
      <c r="BCF75" s="214"/>
      <c r="BCG75" s="214"/>
      <c r="BCH75" s="214"/>
      <c r="BCI75" s="214"/>
      <c r="BCJ75" s="214"/>
      <c r="BCK75" s="214"/>
      <c r="BCL75" s="214"/>
      <c r="BCM75" s="214"/>
      <c r="BCN75" s="214"/>
      <c r="BCO75" s="214"/>
      <c r="BCP75" s="214"/>
      <c r="BCQ75" s="214"/>
      <c r="BCR75" s="214"/>
      <c r="BCS75" s="214"/>
      <c r="BCT75" s="214"/>
      <c r="BCU75" s="214"/>
      <c r="BCV75" s="214"/>
      <c r="BCW75" s="214"/>
      <c r="BCX75" s="214"/>
      <c r="BCY75" s="214"/>
      <c r="BCZ75" s="214"/>
      <c r="BDA75" s="214"/>
      <c r="BDB75" s="214"/>
      <c r="BDC75" s="214"/>
      <c r="BDD75" s="214"/>
      <c r="BDE75" s="214"/>
      <c r="BDF75" s="214"/>
      <c r="BDG75" s="214"/>
      <c r="BDH75" s="214"/>
      <c r="BDI75" s="214"/>
      <c r="BDJ75" s="214"/>
      <c r="BDK75" s="214"/>
      <c r="BDL75" s="214"/>
      <c r="BDM75" s="214"/>
      <c r="BDN75" s="214"/>
      <c r="BDO75" s="214"/>
      <c r="BDP75" s="214"/>
      <c r="BDQ75" s="214"/>
      <c r="BDR75" s="214"/>
      <c r="BDS75" s="214"/>
      <c r="BDT75" s="214"/>
      <c r="BDU75" s="214"/>
      <c r="BDV75" s="214"/>
      <c r="BDW75" s="214"/>
      <c r="BDX75" s="214"/>
      <c r="BDY75" s="214"/>
      <c r="BDZ75" s="214"/>
      <c r="BEA75" s="214"/>
      <c r="BEB75" s="214"/>
      <c r="BEC75" s="214"/>
      <c r="BED75" s="214"/>
      <c r="BEE75" s="214"/>
      <c r="BEF75" s="214"/>
      <c r="BEG75" s="214"/>
      <c r="BEH75" s="214"/>
      <c r="BEI75" s="214"/>
      <c r="BEJ75" s="214"/>
      <c r="BEK75" s="214"/>
      <c r="BEL75" s="214"/>
      <c r="BEM75" s="214"/>
      <c r="BEN75" s="214"/>
      <c r="BEO75" s="214"/>
      <c r="BEP75" s="214"/>
      <c r="BEQ75" s="214"/>
      <c r="BER75" s="214"/>
      <c r="BES75" s="214"/>
      <c r="BET75" s="214"/>
      <c r="BEU75" s="214"/>
      <c r="BEV75" s="214"/>
      <c r="BEW75" s="214"/>
      <c r="BEX75" s="214"/>
      <c r="BEY75" s="214"/>
      <c r="BEZ75" s="214"/>
      <c r="BFA75" s="214"/>
      <c r="BFB75" s="214"/>
      <c r="BFC75" s="214"/>
      <c r="BFD75" s="214"/>
      <c r="BFE75" s="214"/>
      <c r="BFF75" s="214"/>
      <c r="BFG75" s="214"/>
      <c r="BFH75" s="214"/>
      <c r="BFI75" s="214"/>
      <c r="BFJ75" s="214"/>
      <c r="BFK75" s="214"/>
      <c r="BFL75" s="214"/>
      <c r="BFM75" s="214"/>
      <c r="BFN75" s="214"/>
      <c r="BFO75" s="214"/>
      <c r="BFP75" s="214"/>
      <c r="BFQ75" s="214"/>
      <c r="BFR75" s="214"/>
      <c r="BFS75" s="214"/>
      <c r="BFT75" s="214"/>
      <c r="BFU75" s="214"/>
      <c r="BFV75" s="214"/>
      <c r="BFW75" s="214"/>
      <c r="BFX75" s="214"/>
      <c r="BFY75" s="214"/>
      <c r="BFZ75" s="214"/>
      <c r="BGA75" s="214"/>
      <c r="BGB75" s="214"/>
      <c r="BGC75" s="214"/>
      <c r="BGD75" s="214"/>
      <c r="BGE75" s="214"/>
      <c r="BGF75" s="214"/>
      <c r="BGG75" s="214"/>
      <c r="BGH75" s="214"/>
      <c r="BGI75" s="214"/>
      <c r="BGJ75" s="214"/>
      <c r="BGK75" s="214"/>
      <c r="BGL75" s="214"/>
      <c r="BGM75" s="214"/>
      <c r="BGN75" s="214"/>
      <c r="BGO75" s="214"/>
      <c r="BGP75" s="214"/>
      <c r="BGQ75" s="214"/>
      <c r="BGR75" s="214"/>
      <c r="BGS75" s="214"/>
      <c r="BGT75" s="214"/>
      <c r="BGU75" s="214"/>
      <c r="BGV75" s="214"/>
      <c r="BGW75" s="214"/>
      <c r="BGX75" s="214"/>
      <c r="BGY75" s="214"/>
      <c r="BGZ75" s="214"/>
      <c r="BHA75" s="214"/>
      <c r="BHB75" s="214"/>
      <c r="BHC75" s="214"/>
      <c r="BHD75" s="214"/>
      <c r="BHE75" s="214"/>
      <c r="BHF75" s="214"/>
      <c r="BHG75" s="214"/>
      <c r="BHH75" s="214"/>
      <c r="BHI75" s="214"/>
      <c r="BHJ75" s="214"/>
      <c r="BHK75" s="214"/>
      <c r="BHL75" s="214"/>
      <c r="BHM75" s="214"/>
      <c r="BHN75" s="214"/>
      <c r="BHO75" s="214"/>
      <c r="BHP75" s="214"/>
      <c r="BHQ75" s="214"/>
      <c r="BHR75" s="214"/>
      <c r="BHS75" s="214"/>
      <c r="BHT75" s="214"/>
      <c r="BHU75" s="214"/>
      <c r="BHV75" s="214"/>
      <c r="BHW75" s="214"/>
    </row>
    <row r="76" spans="1:1583" s="221" customFormat="1" ht="15.75" thickBot="1">
      <c r="A76" s="75" t="s">
        <v>99</v>
      </c>
      <c r="B76" s="189" t="s">
        <v>384</v>
      </c>
      <c r="C76" s="416" t="s">
        <v>507</v>
      </c>
      <c r="D76" s="421" t="s">
        <v>562</v>
      </c>
      <c r="E76" s="264" t="s">
        <v>46</v>
      </c>
      <c r="F76" s="136">
        <v>14</v>
      </c>
      <c r="G76" s="60" t="s">
        <v>730</v>
      </c>
      <c r="H76" s="473">
        <f t="shared" si="21"/>
        <v>14.795689818272354</v>
      </c>
      <c r="I76" s="149">
        <f>VLOOKUP($B76,'DCS Data'!$E$2:$AJ$100,MATCH('Daily Report'!I$1,'DCS Data'!$E$2:$AJ$2,0),0)</f>
        <v>14.808551009227045</v>
      </c>
      <c r="J76" s="255"/>
      <c r="K76" s="149">
        <f>VLOOKUP($B76,'DCS Data'!$E$2:$AJ$100,MATCH('Daily Report'!K$1,'DCS Data'!$E$2:$AJ$2,0),0)</f>
        <v>14.783094908269431</v>
      </c>
      <c r="L76" s="149">
        <f>VLOOKUP($B76,'DCS Data'!$E$2:$AJ$100,MATCH('Daily Report'!L$1,'DCS Data'!$E$2:$AJ$2,0),0)</f>
        <v>14.781759116617625</v>
      </c>
      <c r="M76" s="149">
        <f>VLOOKUP($B76,'DCS Data'!$E$2:$AJ$100,MATCH('Daily Report'!M$1,'DCS Data'!$E$2:$AJ$2,0),0)</f>
        <v>14.785733654704654</v>
      </c>
      <c r="N76" s="149">
        <f>VLOOKUP($B76,'DCS Data'!$E$2:$AJ$100,MATCH('Daily Report'!N$1,'DCS Data'!$E$2:$AJ$2,0),0)</f>
        <v>14.787166397883544</v>
      </c>
      <c r="O76" s="149">
        <f>VLOOKUP($B76,'DCS Data'!$E$2:$AJ$100,MATCH('Daily Report'!O$1,'DCS Data'!$E$2:$AJ$2,0),0)</f>
        <v>14.791020123636191</v>
      </c>
      <c r="P76" s="149">
        <f>VLOOKUP($B76,'DCS Data'!$E$2:$AJ$100,MATCH('Daily Report'!P$1,'DCS Data'!$E$2:$AJ$2,0),0)</f>
        <v>14.79163395190114</v>
      </c>
      <c r="Q76" s="149">
        <f>VLOOKUP($B76,'DCS Data'!$E$2:$AJ$100,MATCH('Daily Report'!Q$1,'DCS Data'!$E$2:$AJ$2,0),0)</f>
        <v>14.793964278308145</v>
      </c>
      <c r="R76" s="149">
        <f>VLOOKUP($B76,'DCS Data'!$E$2:$AJ$100,MATCH('Daily Report'!R$1,'DCS Data'!$E$2:$AJ$2,0),0)</f>
        <v>14.7964923010411</v>
      </c>
      <c r="S76" s="149">
        <f>VLOOKUP($B76,'DCS Data'!$E$2:$AJ$100,MATCH('Daily Report'!S$1,'DCS Data'!$E$2:$AJ$2,0),0)</f>
        <v>14.798580761649342</v>
      </c>
      <c r="T76" s="149">
        <f>VLOOKUP($B76,'DCS Data'!$E$2:$AJ$100,MATCH('Daily Report'!T$1,'DCS Data'!$E$2:$AJ$2,0),0)</f>
        <v>14.797709970922162</v>
      </c>
      <c r="U76" s="149">
        <f>VLOOKUP($B76,'DCS Data'!$E$2:$AJ$100,MATCH('Daily Report'!U$1,'DCS Data'!$E$2:$AJ$2,0),0)</f>
        <v>14.797096085726572</v>
      </c>
      <c r="V76" s="149">
        <f>VLOOKUP($B76,'DCS Data'!$E$2:$AJ$100,MATCH('Daily Report'!V$1,'DCS Data'!$E$2:$AJ$2,0),0)</f>
        <v>14.801177958595934</v>
      </c>
      <c r="W76" s="149">
        <f>VLOOKUP($B76,'DCS Data'!$E$2:$AJ$100,MATCH('Daily Report'!W$1,'DCS Data'!$E$2:$AJ$2,0),0)</f>
        <v>14.801341958867933</v>
      </c>
      <c r="X76" s="149">
        <f>VLOOKUP($B76,'DCS Data'!$E$2:$AJ$100,MATCH('Daily Report'!X$1,'DCS Data'!$E$2:$AJ$2,0),0)</f>
        <v>14.797797670766059</v>
      </c>
      <c r="Y76" s="149">
        <f>VLOOKUP($B76,'DCS Data'!$E$2:$AJ$100,MATCH('Daily Report'!Y$1,'DCS Data'!$E$2:$AJ$2,0),0)</f>
        <v>14.79339589653603</v>
      </c>
      <c r="Z76" s="149">
        <f>VLOOKUP($B76,'DCS Data'!$E$2:$AJ$100,MATCH('Daily Report'!Z$1,'DCS Data'!$E$2:$AJ$2,0),0)</f>
        <v>14.819633843438494</v>
      </c>
      <c r="AA76" s="149">
        <f>VLOOKUP($B76,'DCS Data'!$E$2:$AJ$100,MATCH('Daily Report'!AA$1,'DCS Data'!$E$2:$AJ$2,0),0)</f>
        <v>14.831736233617557</v>
      </c>
      <c r="AB76" s="149">
        <f>VLOOKUP($B76,'DCS Data'!$E$2:$AJ$100,MATCH('Daily Report'!AB$1,'DCS Data'!$E$2:$AJ$2,0),0)</f>
        <v>14.8139658288259</v>
      </c>
      <c r="AC76" s="149">
        <f>VLOOKUP($B76,'DCS Data'!$E$2:$AJ$100,MATCH('Daily Report'!AC$1,'DCS Data'!$E$2:$AJ$2,0),0)</f>
        <v>14.799616942670189</v>
      </c>
      <c r="AD76" s="149">
        <f>VLOOKUP($B76,'DCS Data'!$E$2:$AJ$100,MATCH('Daily Report'!AD$1,'DCS Data'!$E$2:$AJ$2,0),0)</f>
        <v>14.794679001740569</v>
      </c>
      <c r="AE76" s="149">
        <f>VLOOKUP($B76,'DCS Data'!$E$2:$AJ$100,MATCH('Daily Report'!AE$1,'DCS Data'!$E$2:$AJ$2,0),0)</f>
        <v>14.789240442007086</v>
      </c>
      <c r="AF76" s="149">
        <f>VLOOKUP($B76,'DCS Data'!$E$2:$AJ$100,MATCH('Daily Report'!AF$1,'DCS Data'!$E$2:$AJ$2,0),0)</f>
        <v>14.784802163957551</v>
      </c>
      <c r="AG76" s="149">
        <f>VLOOKUP($B76,'DCS Data'!$E$2:$AJ$100,MATCH('Daily Report'!AG$1,'DCS Data'!$E$2:$AJ$2,0),0)</f>
        <v>14.783788497171837</v>
      </c>
      <c r="AH76" s="149">
        <f>VLOOKUP($B76,'DCS Data'!$E$2:$AJ$100,MATCH('Daily Report'!AH$1,'DCS Data'!$E$2:$AJ$2,0),0)</f>
        <v>14.798337239453947</v>
      </c>
      <c r="AI76" s="149">
        <f>VLOOKUP($B76,'DCS Data'!$E$2:$AJ$100,MATCH('Daily Report'!AI$1,'DCS Data'!$E$2:$AJ$2,0),0)</f>
        <v>14.791152123733299</v>
      </c>
      <c r="AJ76" s="149">
        <f>VLOOKUP($B76,'DCS Data'!$E$2:$AJ$100,MATCH('Daily Report'!AJ$1,'DCS Data'!$E$2:$AJ$2,0),0)</f>
        <v>14.812321607435477</v>
      </c>
      <c r="AK76" s="149">
        <f>VLOOKUP($B76,'DCS Data'!$E$2:$AJ$100,MATCH('Daily Report'!AK$1,'DCS Data'!$E$2:$AJ$2,0),0)</f>
        <v>14.773569754481542</v>
      </c>
      <c r="AL76" s="149">
        <f>VLOOKUP($B76,'DCS Data'!$E$2:$AJ$100,MATCH('Daily Report'!AL$1,'DCS Data'!$E$2:$AJ$2,0),0)</f>
        <v>14.785765475962307</v>
      </c>
      <c r="AM76" s="149">
        <f>VLOOKUP($B76,'DCS Data'!$E$2:$AJ$100,MATCH('Daily Report'!AM$1,'DCS Data'!$E$2:$AJ$2,0),0)</f>
        <v>14.789537772288714</v>
      </c>
      <c r="AN76" s="149">
        <f>VLOOKUP($B76,'DCS Data'!$E$2:$AJ$100,MATCH('Daily Report'!AN$1,'DCS Data'!$E$2:$AJ$2,0),0)</f>
        <v>14.791721395005625</v>
      </c>
      <c r="AO76" s="214"/>
      <c r="AP76" s="214"/>
      <c r="AQ76" s="214"/>
      <c r="AR76" s="214"/>
      <c r="AS76" s="214"/>
      <c r="AT76" s="214"/>
      <c r="AU76" s="214"/>
      <c r="AV76" s="214"/>
      <c r="AW76" s="214"/>
      <c r="AX76" s="214"/>
      <c r="AY76" s="214"/>
      <c r="AZ76" s="214"/>
      <c r="BA76" s="214"/>
      <c r="BB76" s="214"/>
      <c r="BC76" s="214"/>
      <c r="BD76" s="214"/>
      <c r="BE76" s="214"/>
      <c r="BF76" s="214"/>
      <c r="BG76" s="214"/>
      <c r="BH76" s="214"/>
      <c r="BI76" s="214"/>
      <c r="BJ76" s="214"/>
      <c r="BK76" s="214"/>
      <c r="BL76" s="214"/>
      <c r="BM76" s="214"/>
      <c r="BN76" s="214"/>
      <c r="BO76" s="214"/>
      <c r="BP76" s="214"/>
      <c r="BQ76" s="214"/>
      <c r="BR76" s="214"/>
      <c r="BS76" s="214"/>
      <c r="BT76" s="214"/>
      <c r="BU76" s="214"/>
      <c r="BV76" s="214"/>
      <c r="BW76" s="214"/>
      <c r="BX76" s="214"/>
      <c r="BY76" s="214"/>
      <c r="BZ76" s="214"/>
      <c r="CA76" s="214"/>
      <c r="CB76" s="214"/>
      <c r="CC76" s="214"/>
      <c r="CD76" s="214"/>
      <c r="CE76" s="214"/>
      <c r="CF76" s="214"/>
      <c r="CG76" s="214"/>
      <c r="CH76" s="214"/>
      <c r="CI76" s="214"/>
      <c r="CJ76" s="214"/>
      <c r="CK76" s="214"/>
      <c r="CL76" s="214"/>
      <c r="CM76" s="214"/>
      <c r="CN76" s="214"/>
      <c r="CO76" s="214"/>
      <c r="CP76" s="214"/>
      <c r="CQ76" s="214"/>
      <c r="CR76" s="214"/>
      <c r="CS76" s="214"/>
      <c r="CT76" s="214"/>
      <c r="CU76" s="214"/>
      <c r="CV76" s="214"/>
      <c r="CW76" s="214"/>
      <c r="CX76" s="214"/>
      <c r="CY76" s="214"/>
      <c r="CZ76" s="214"/>
      <c r="DA76" s="214"/>
      <c r="DB76" s="214"/>
      <c r="DC76" s="214"/>
      <c r="DD76" s="214"/>
      <c r="DE76" s="214"/>
      <c r="DF76" s="214"/>
      <c r="DG76" s="214"/>
      <c r="DH76" s="214"/>
      <c r="DI76" s="214"/>
      <c r="DJ76" s="214"/>
      <c r="DK76" s="214"/>
      <c r="DL76" s="214"/>
      <c r="DM76" s="214"/>
      <c r="DN76" s="214"/>
      <c r="DO76" s="214"/>
      <c r="DP76" s="214"/>
      <c r="DQ76" s="214"/>
      <c r="DR76" s="214"/>
      <c r="DS76" s="214"/>
      <c r="DT76" s="214"/>
      <c r="DU76" s="214"/>
      <c r="DV76" s="214"/>
      <c r="DW76" s="214"/>
      <c r="DX76" s="214"/>
      <c r="DY76" s="214"/>
      <c r="DZ76" s="214"/>
      <c r="EA76" s="214"/>
      <c r="EB76" s="214"/>
      <c r="EC76" s="214"/>
      <c r="ED76" s="214"/>
      <c r="EE76" s="214"/>
      <c r="EF76" s="214"/>
      <c r="EG76" s="214"/>
      <c r="EH76" s="214"/>
      <c r="EI76" s="214"/>
      <c r="EJ76" s="214"/>
      <c r="EK76" s="214"/>
      <c r="EL76" s="214"/>
      <c r="EM76" s="214"/>
      <c r="EN76" s="214"/>
      <c r="EO76" s="214"/>
      <c r="EP76" s="214"/>
      <c r="EQ76" s="214"/>
      <c r="ER76" s="214"/>
      <c r="ES76" s="214"/>
      <c r="ET76" s="214"/>
      <c r="EU76" s="214"/>
      <c r="EV76" s="214"/>
      <c r="EW76" s="214"/>
      <c r="EX76" s="214"/>
      <c r="EY76" s="214"/>
      <c r="EZ76" s="214"/>
      <c r="FA76" s="214"/>
      <c r="FB76" s="214"/>
      <c r="FC76" s="214"/>
      <c r="FD76" s="214"/>
      <c r="FE76" s="214"/>
      <c r="FF76" s="214"/>
      <c r="FG76" s="214"/>
      <c r="FH76" s="214"/>
      <c r="FI76" s="214"/>
      <c r="FJ76" s="214"/>
      <c r="FK76" s="214"/>
      <c r="FL76" s="214"/>
      <c r="FM76" s="214"/>
      <c r="FN76" s="214"/>
      <c r="FO76" s="214"/>
      <c r="FP76" s="214"/>
      <c r="FQ76" s="214"/>
      <c r="FR76" s="214"/>
      <c r="FS76" s="214"/>
      <c r="FT76" s="214"/>
      <c r="FU76" s="214"/>
      <c r="FV76" s="214"/>
      <c r="FW76" s="214"/>
      <c r="FX76" s="214"/>
      <c r="FY76" s="214"/>
      <c r="FZ76" s="214"/>
      <c r="GA76" s="214"/>
      <c r="GB76" s="214"/>
      <c r="GC76" s="214"/>
      <c r="GD76" s="214"/>
      <c r="GE76" s="214"/>
      <c r="GF76" s="214"/>
      <c r="GG76" s="214"/>
      <c r="GH76" s="214"/>
      <c r="GI76" s="214"/>
      <c r="GJ76" s="214"/>
      <c r="GK76" s="214"/>
      <c r="GL76" s="214"/>
      <c r="GM76" s="214"/>
      <c r="GN76" s="214"/>
      <c r="GO76" s="214"/>
      <c r="GP76" s="214"/>
      <c r="GQ76" s="214"/>
      <c r="GR76" s="214"/>
      <c r="GS76" s="214"/>
      <c r="GT76" s="214"/>
      <c r="GU76" s="214"/>
      <c r="GV76" s="214"/>
      <c r="GW76" s="214"/>
      <c r="GX76" s="214"/>
      <c r="GY76" s="214"/>
      <c r="GZ76" s="214"/>
      <c r="HA76" s="214"/>
      <c r="HB76" s="214"/>
      <c r="HC76" s="214"/>
      <c r="HD76" s="214"/>
      <c r="HE76" s="214"/>
      <c r="HF76" s="214"/>
      <c r="HG76" s="214"/>
      <c r="HH76" s="214"/>
      <c r="HI76" s="214"/>
      <c r="HJ76" s="214"/>
      <c r="HK76" s="214"/>
      <c r="HL76" s="214"/>
      <c r="HM76" s="214"/>
      <c r="HN76" s="214"/>
      <c r="HO76" s="214"/>
      <c r="HP76" s="214"/>
      <c r="HQ76" s="214"/>
      <c r="HR76" s="214"/>
      <c r="HS76" s="214"/>
      <c r="HT76" s="214"/>
      <c r="HU76" s="214"/>
      <c r="HV76" s="214"/>
      <c r="HW76" s="214"/>
      <c r="HX76" s="214"/>
      <c r="HY76" s="214"/>
      <c r="HZ76" s="214"/>
      <c r="IA76" s="214"/>
      <c r="IB76" s="214"/>
      <c r="IC76" s="214"/>
      <c r="ID76" s="214"/>
      <c r="IE76" s="214"/>
      <c r="IF76" s="214"/>
      <c r="IG76" s="214"/>
      <c r="IH76" s="214"/>
      <c r="II76" s="214"/>
      <c r="IJ76" s="214"/>
      <c r="IK76" s="214"/>
      <c r="IL76" s="214"/>
      <c r="IM76" s="214"/>
      <c r="IN76" s="214"/>
      <c r="IO76" s="214"/>
      <c r="IP76" s="214"/>
      <c r="IQ76" s="214"/>
      <c r="IR76" s="214"/>
      <c r="IS76" s="214"/>
      <c r="IT76" s="214"/>
      <c r="IU76" s="214"/>
      <c r="IV76" s="214"/>
      <c r="IW76" s="214"/>
      <c r="IX76" s="214"/>
      <c r="IY76" s="214"/>
      <c r="IZ76" s="214"/>
      <c r="JA76" s="214"/>
      <c r="JB76" s="214"/>
      <c r="JC76" s="214"/>
      <c r="JD76" s="214"/>
      <c r="JE76" s="214"/>
      <c r="JF76" s="214"/>
      <c r="JG76" s="214"/>
      <c r="JH76" s="214"/>
      <c r="JI76" s="214"/>
      <c r="JJ76" s="214"/>
      <c r="JK76" s="214"/>
      <c r="JL76" s="214"/>
      <c r="JM76" s="214"/>
      <c r="JN76" s="214"/>
      <c r="JO76" s="214"/>
      <c r="JP76" s="214"/>
      <c r="JQ76" s="214"/>
      <c r="JR76" s="214"/>
      <c r="JS76" s="214"/>
      <c r="JT76" s="214"/>
      <c r="JU76" s="214"/>
      <c r="JV76" s="214"/>
      <c r="JW76" s="214"/>
      <c r="JX76" s="214"/>
      <c r="JY76" s="214"/>
      <c r="JZ76" s="214"/>
      <c r="KA76" s="214"/>
      <c r="KB76" s="214"/>
      <c r="KC76" s="214"/>
      <c r="KD76" s="214"/>
      <c r="KE76" s="214"/>
      <c r="KF76" s="214"/>
      <c r="KG76" s="214"/>
      <c r="KH76" s="214"/>
      <c r="KI76" s="214"/>
      <c r="KJ76" s="214"/>
      <c r="KK76" s="214"/>
      <c r="KL76" s="214"/>
      <c r="KM76" s="214"/>
      <c r="KN76" s="214"/>
      <c r="KO76" s="214"/>
      <c r="KP76" s="214"/>
      <c r="KQ76" s="214"/>
      <c r="KR76" s="214"/>
      <c r="KS76" s="214"/>
      <c r="KT76" s="214"/>
      <c r="KU76" s="214"/>
      <c r="KV76" s="214"/>
      <c r="KW76" s="214"/>
      <c r="KX76" s="214"/>
      <c r="KY76" s="214"/>
      <c r="KZ76" s="214"/>
      <c r="LA76" s="214"/>
      <c r="LB76" s="214"/>
      <c r="LC76" s="214"/>
      <c r="LD76" s="214"/>
      <c r="LE76" s="214"/>
      <c r="LF76" s="214"/>
      <c r="LG76" s="214"/>
      <c r="LH76" s="214"/>
      <c r="LI76" s="214"/>
      <c r="LJ76" s="214"/>
      <c r="LK76" s="214"/>
      <c r="LL76" s="214"/>
      <c r="LM76" s="214"/>
      <c r="LN76" s="214"/>
      <c r="LO76" s="214"/>
      <c r="LP76" s="214"/>
      <c r="LQ76" s="214"/>
      <c r="LR76" s="214"/>
      <c r="LS76" s="214"/>
      <c r="LT76" s="214"/>
      <c r="LU76" s="214"/>
      <c r="LV76" s="214"/>
      <c r="LW76" s="214"/>
      <c r="LX76" s="214"/>
      <c r="LY76" s="214"/>
      <c r="LZ76" s="214"/>
      <c r="MA76" s="214"/>
      <c r="MB76" s="214"/>
      <c r="MC76" s="214"/>
      <c r="MD76" s="214"/>
      <c r="ME76" s="214"/>
      <c r="MF76" s="214"/>
      <c r="MG76" s="214"/>
      <c r="MH76" s="214"/>
      <c r="MI76" s="214"/>
      <c r="MJ76" s="214"/>
      <c r="MK76" s="214"/>
      <c r="ML76" s="214"/>
      <c r="MM76" s="214"/>
      <c r="MN76" s="214"/>
      <c r="MO76" s="214"/>
      <c r="MP76" s="214"/>
      <c r="MQ76" s="214"/>
      <c r="MR76" s="214"/>
      <c r="MS76" s="214"/>
      <c r="MT76" s="214"/>
      <c r="MU76" s="214"/>
      <c r="MV76" s="214"/>
      <c r="MW76" s="214"/>
      <c r="MX76" s="214"/>
      <c r="MY76" s="214"/>
      <c r="MZ76" s="214"/>
      <c r="NA76" s="214"/>
      <c r="NB76" s="214"/>
      <c r="NC76" s="214"/>
      <c r="ND76" s="214"/>
      <c r="NE76" s="214"/>
      <c r="NF76" s="214"/>
      <c r="NG76" s="214"/>
      <c r="NH76" s="214"/>
      <c r="NI76" s="214"/>
      <c r="NJ76" s="214"/>
      <c r="NK76" s="214"/>
      <c r="NL76" s="214"/>
      <c r="NM76" s="214"/>
      <c r="NN76" s="214"/>
      <c r="NO76" s="214"/>
      <c r="NP76" s="214"/>
      <c r="NQ76" s="214"/>
      <c r="NR76" s="214"/>
      <c r="NS76" s="214"/>
      <c r="NT76" s="214"/>
      <c r="NU76" s="214"/>
      <c r="NV76" s="214"/>
      <c r="NW76" s="214"/>
      <c r="NX76" s="214"/>
      <c r="NY76" s="214"/>
      <c r="NZ76" s="214"/>
      <c r="OA76" s="214"/>
      <c r="OB76" s="214"/>
      <c r="OC76" s="214"/>
      <c r="OD76" s="214"/>
      <c r="OE76" s="214"/>
      <c r="OF76" s="214"/>
      <c r="OG76" s="214"/>
      <c r="OH76" s="214"/>
      <c r="OI76" s="214"/>
      <c r="OJ76" s="214"/>
      <c r="OK76" s="214"/>
      <c r="OL76" s="214"/>
      <c r="OM76" s="214"/>
      <c r="ON76" s="214"/>
      <c r="OO76" s="214"/>
      <c r="OP76" s="214"/>
      <c r="OQ76" s="214"/>
      <c r="OR76" s="214"/>
      <c r="OS76" s="214"/>
      <c r="OT76" s="214"/>
      <c r="OU76" s="214"/>
      <c r="OV76" s="214"/>
      <c r="OW76" s="214"/>
      <c r="OX76" s="214"/>
      <c r="OY76" s="214"/>
      <c r="OZ76" s="214"/>
      <c r="PA76" s="214"/>
      <c r="PB76" s="214"/>
      <c r="PC76" s="214"/>
      <c r="PD76" s="214"/>
      <c r="PE76" s="214"/>
      <c r="PF76" s="214"/>
      <c r="PG76" s="214"/>
      <c r="PH76" s="214"/>
      <c r="PI76" s="214"/>
      <c r="PJ76" s="214"/>
      <c r="PK76" s="214"/>
      <c r="PL76" s="214"/>
      <c r="PM76" s="214"/>
      <c r="PN76" s="214"/>
      <c r="PO76" s="214"/>
      <c r="PP76" s="214"/>
      <c r="PQ76" s="214"/>
      <c r="PR76" s="214"/>
      <c r="PS76" s="214"/>
      <c r="PT76" s="214"/>
      <c r="PU76" s="214"/>
      <c r="PV76" s="214"/>
      <c r="PW76" s="214"/>
      <c r="PX76" s="214"/>
      <c r="PY76" s="214"/>
      <c r="PZ76" s="214"/>
      <c r="QA76" s="214"/>
      <c r="QB76" s="214"/>
      <c r="QC76" s="214"/>
      <c r="QD76" s="214"/>
      <c r="QE76" s="214"/>
      <c r="QF76" s="214"/>
      <c r="QG76" s="214"/>
      <c r="QH76" s="214"/>
      <c r="QI76" s="214"/>
      <c r="QJ76" s="214"/>
      <c r="QK76" s="214"/>
      <c r="QL76" s="214"/>
      <c r="QM76" s="214"/>
      <c r="QN76" s="214"/>
      <c r="QO76" s="214"/>
      <c r="QP76" s="214"/>
      <c r="QQ76" s="214"/>
      <c r="QR76" s="214"/>
      <c r="QS76" s="214"/>
      <c r="QT76" s="214"/>
      <c r="QU76" s="214"/>
      <c r="QV76" s="214"/>
      <c r="QW76" s="214"/>
      <c r="QX76" s="214"/>
      <c r="QY76" s="214"/>
      <c r="QZ76" s="214"/>
      <c r="RA76" s="214"/>
      <c r="RB76" s="214"/>
      <c r="RC76" s="214"/>
      <c r="RD76" s="214"/>
      <c r="RE76" s="214"/>
      <c r="RF76" s="214"/>
      <c r="RG76" s="214"/>
      <c r="RH76" s="214"/>
      <c r="RI76" s="214"/>
      <c r="RJ76" s="214"/>
      <c r="RK76" s="214"/>
      <c r="RL76" s="214"/>
      <c r="RM76" s="214"/>
      <c r="RN76" s="214"/>
      <c r="RO76" s="214"/>
      <c r="RP76" s="214"/>
      <c r="RQ76" s="214"/>
      <c r="RR76" s="214"/>
      <c r="RS76" s="214"/>
      <c r="RT76" s="214"/>
      <c r="RU76" s="214"/>
      <c r="RV76" s="214"/>
      <c r="RW76" s="214"/>
      <c r="RX76" s="214"/>
      <c r="RY76" s="214"/>
      <c r="RZ76" s="214"/>
      <c r="SA76" s="214"/>
      <c r="SB76" s="214"/>
      <c r="SC76" s="214"/>
      <c r="SD76" s="214"/>
      <c r="SE76" s="214"/>
      <c r="SF76" s="214"/>
      <c r="SG76" s="214"/>
      <c r="SH76" s="214"/>
      <c r="SI76" s="214"/>
      <c r="SJ76" s="214"/>
      <c r="SK76" s="214"/>
      <c r="SL76" s="214"/>
      <c r="SM76" s="214"/>
      <c r="SN76" s="214"/>
      <c r="SO76" s="214"/>
      <c r="SP76" s="214"/>
      <c r="SQ76" s="214"/>
      <c r="SR76" s="214"/>
      <c r="SS76" s="214"/>
      <c r="ST76" s="214"/>
      <c r="SU76" s="214"/>
      <c r="SV76" s="214"/>
      <c r="SW76" s="214"/>
      <c r="SX76" s="214"/>
      <c r="SY76" s="214"/>
      <c r="SZ76" s="214"/>
      <c r="TA76" s="214"/>
      <c r="TB76" s="214"/>
      <c r="TC76" s="214"/>
      <c r="TD76" s="214"/>
      <c r="TE76" s="214"/>
      <c r="TF76" s="214"/>
      <c r="TG76" s="214"/>
      <c r="TH76" s="214"/>
      <c r="TI76" s="214"/>
      <c r="TJ76" s="214"/>
      <c r="TK76" s="214"/>
      <c r="TL76" s="214"/>
      <c r="TM76" s="214"/>
      <c r="TN76" s="214"/>
      <c r="TO76" s="214"/>
      <c r="TP76" s="214"/>
      <c r="TQ76" s="214"/>
      <c r="TR76" s="214"/>
      <c r="TS76" s="214"/>
      <c r="TT76" s="214"/>
      <c r="TU76" s="214"/>
      <c r="TV76" s="214"/>
      <c r="TW76" s="214"/>
      <c r="TX76" s="214"/>
      <c r="TY76" s="214"/>
      <c r="TZ76" s="214"/>
      <c r="UA76" s="214"/>
      <c r="UB76" s="214"/>
      <c r="UC76" s="214"/>
      <c r="UD76" s="214"/>
      <c r="UE76" s="214"/>
      <c r="UF76" s="214"/>
      <c r="UG76" s="214"/>
      <c r="UH76" s="214"/>
      <c r="UI76" s="214"/>
      <c r="UJ76" s="214"/>
      <c r="UK76" s="214"/>
      <c r="UL76" s="214"/>
      <c r="UM76" s="214"/>
      <c r="UN76" s="214"/>
      <c r="UO76" s="214"/>
      <c r="UP76" s="214"/>
      <c r="UQ76" s="214"/>
      <c r="UR76" s="214"/>
      <c r="US76" s="214"/>
      <c r="UT76" s="214"/>
      <c r="UU76" s="214"/>
      <c r="UV76" s="214"/>
      <c r="UW76" s="214"/>
      <c r="UX76" s="214"/>
      <c r="UY76" s="214"/>
      <c r="UZ76" s="214"/>
      <c r="VA76" s="214"/>
      <c r="VB76" s="214"/>
      <c r="VC76" s="214"/>
      <c r="VD76" s="214"/>
      <c r="VE76" s="214"/>
      <c r="VF76" s="214"/>
      <c r="VG76" s="214"/>
      <c r="VH76" s="214"/>
      <c r="VI76" s="214"/>
      <c r="VJ76" s="214"/>
      <c r="VK76" s="214"/>
      <c r="VL76" s="214"/>
      <c r="VM76" s="214"/>
      <c r="VN76" s="214"/>
      <c r="VO76" s="214"/>
      <c r="VP76" s="214"/>
      <c r="VQ76" s="214"/>
      <c r="VR76" s="214"/>
      <c r="VS76" s="214"/>
      <c r="VT76" s="214"/>
      <c r="VU76" s="214"/>
      <c r="VV76" s="214"/>
      <c r="VW76" s="214"/>
      <c r="VX76" s="214"/>
      <c r="VY76" s="214"/>
      <c r="VZ76" s="214"/>
      <c r="WA76" s="214"/>
      <c r="WB76" s="214"/>
      <c r="WC76" s="214"/>
      <c r="WD76" s="214"/>
      <c r="WE76" s="214"/>
      <c r="WF76" s="214"/>
      <c r="WG76" s="214"/>
      <c r="WH76" s="214"/>
      <c r="WI76" s="214"/>
      <c r="WJ76" s="214"/>
      <c r="WK76" s="214"/>
      <c r="WL76" s="214"/>
      <c r="WM76" s="214"/>
      <c r="WN76" s="214"/>
      <c r="WO76" s="214"/>
      <c r="WP76" s="214"/>
      <c r="WQ76" s="214"/>
      <c r="WR76" s="214"/>
      <c r="WS76" s="214"/>
      <c r="WT76" s="214"/>
      <c r="WU76" s="214"/>
      <c r="WV76" s="214"/>
      <c r="WW76" s="214"/>
      <c r="WX76" s="214"/>
      <c r="WY76" s="214"/>
      <c r="WZ76" s="214"/>
      <c r="XA76" s="214"/>
      <c r="XB76" s="214"/>
      <c r="XC76" s="214"/>
      <c r="XD76" s="214"/>
      <c r="XE76" s="214"/>
      <c r="XF76" s="214"/>
      <c r="XG76" s="214"/>
      <c r="XH76" s="214"/>
      <c r="XI76" s="214"/>
      <c r="XJ76" s="214"/>
      <c r="XK76" s="214"/>
      <c r="XL76" s="214"/>
      <c r="XM76" s="214"/>
      <c r="XN76" s="214"/>
      <c r="XO76" s="214"/>
      <c r="XP76" s="214"/>
      <c r="XQ76" s="214"/>
      <c r="XR76" s="214"/>
      <c r="XS76" s="214"/>
      <c r="XT76" s="214"/>
      <c r="XU76" s="214"/>
      <c r="XV76" s="214"/>
      <c r="XW76" s="214"/>
      <c r="XX76" s="214"/>
      <c r="XY76" s="214"/>
      <c r="XZ76" s="214"/>
      <c r="YA76" s="214"/>
      <c r="YB76" s="214"/>
      <c r="YC76" s="214"/>
      <c r="YD76" s="214"/>
      <c r="YE76" s="214"/>
      <c r="YF76" s="214"/>
      <c r="YG76" s="214"/>
      <c r="YH76" s="214"/>
      <c r="YI76" s="214"/>
      <c r="YJ76" s="214"/>
      <c r="YK76" s="214"/>
      <c r="YL76" s="214"/>
      <c r="YM76" s="214"/>
      <c r="YN76" s="214"/>
      <c r="YO76" s="214"/>
      <c r="YP76" s="214"/>
      <c r="YQ76" s="214"/>
      <c r="YR76" s="214"/>
      <c r="YS76" s="214"/>
      <c r="YT76" s="214"/>
      <c r="YU76" s="214"/>
      <c r="YV76" s="214"/>
      <c r="YW76" s="214"/>
      <c r="YX76" s="214"/>
      <c r="YY76" s="214"/>
      <c r="YZ76" s="214"/>
      <c r="ZA76" s="214"/>
      <c r="ZB76" s="214"/>
      <c r="ZC76" s="214"/>
      <c r="ZD76" s="214"/>
      <c r="ZE76" s="214"/>
      <c r="ZF76" s="214"/>
      <c r="ZG76" s="214"/>
      <c r="ZH76" s="214"/>
      <c r="ZI76" s="214"/>
      <c r="ZJ76" s="214"/>
      <c r="ZK76" s="214"/>
      <c r="ZL76" s="214"/>
      <c r="ZM76" s="214"/>
      <c r="ZN76" s="214"/>
      <c r="ZO76" s="214"/>
      <c r="ZP76" s="214"/>
      <c r="ZQ76" s="214"/>
      <c r="ZR76" s="214"/>
      <c r="ZS76" s="214"/>
      <c r="ZT76" s="214"/>
      <c r="ZU76" s="214"/>
      <c r="ZV76" s="214"/>
      <c r="ZW76" s="214"/>
      <c r="ZX76" s="214"/>
      <c r="ZY76" s="214"/>
      <c r="ZZ76" s="214"/>
      <c r="AAA76" s="214"/>
      <c r="AAB76" s="214"/>
      <c r="AAC76" s="214"/>
      <c r="AAD76" s="214"/>
      <c r="AAE76" s="214"/>
      <c r="AAF76" s="214"/>
      <c r="AAG76" s="214"/>
      <c r="AAH76" s="214"/>
      <c r="AAI76" s="214"/>
      <c r="AAJ76" s="214"/>
      <c r="AAK76" s="214"/>
      <c r="AAL76" s="214"/>
      <c r="AAM76" s="214"/>
      <c r="AAN76" s="214"/>
      <c r="AAO76" s="214"/>
      <c r="AAP76" s="214"/>
      <c r="AAQ76" s="214"/>
      <c r="AAR76" s="214"/>
      <c r="AAS76" s="214"/>
      <c r="AAT76" s="214"/>
      <c r="AAU76" s="214"/>
      <c r="AAV76" s="214"/>
      <c r="AAW76" s="214"/>
      <c r="AAX76" s="214"/>
      <c r="AAY76" s="214"/>
      <c r="AAZ76" s="214"/>
      <c r="ABA76" s="214"/>
      <c r="ABB76" s="214"/>
      <c r="ABC76" s="214"/>
      <c r="ABD76" s="214"/>
      <c r="ABE76" s="214"/>
      <c r="ABF76" s="214"/>
      <c r="ABG76" s="214"/>
      <c r="ABH76" s="214"/>
      <c r="ABI76" s="214"/>
      <c r="ABJ76" s="214"/>
      <c r="ABK76" s="214"/>
      <c r="ABL76" s="214"/>
      <c r="ABM76" s="214"/>
      <c r="ABN76" s="214"/>
      <c r="ABO76" s="214"/>
      <c r="ABP76" s="214"/>
      <c r="ABQ76" s="214"/>
      <c r="ABR76" s="214"/>
      <c r="ABS76" s="214"/>
      <c r="ABT76" s="214"/>
      <c r="ABU76" s="214"/>
      <c r="ABV76" s="214"/>
      <c r="ABW76" s="214"/>
      <c r="ABX76" s="214"/>
      <c r="ABY76" s="214"/>
      <c r="ABZ76" s="214"/>
      <c r="ACA76" s="214"/>
      <c r="ACB76" s="214"/>
      <c r="ACC76" s="214"/>
      <c r="ACD76" s="214"/>
      <c r="ACE76" s="214"/>
      <c r="ACF76" s="214"/>
      <c r="ACG76" s="214"/>
      <c r="ACH76" s="214"/>
      <c r="ACI76" s="214"/>
      <c r="ACJ76" s="214"/>
      <c r="ACK76" s="214"/>
      <c r="ACL76" s="214"/>
      <c r="ACM76" s="214"/>
      <c r="ACN76" s="214"/>
      <c r="ACO76" s="214"/>
      <c r="ACP76" s="214"/>
      <c r="ACQ76" s="214"/>
      <c r="ACR76" s="214"/>
      <c r="ACS76" s="214"/>
      <c r="ACT76" s="214"/>
      <c r="ACU76" s="214"/>
      <c r="ACV76" s="214"/>
      <c r="ACW76" s="214"/>
      <c r="ACX76" s="214"/>
      <c r="ACY76" s="214"/>
      <c r="ACZ76" s="214"/>
      <c r="ADA76" s="214"/>
      <c r="ADB76" s="214"/>
      <c r="ADC76" s="214"/>
      <c r="ADD76" s="214"/>
      <c r="ADE76" s="214"/>
      <c r="ADF76" s="214"/>
      <c r="ADG76" s="214"/>
      <c r="ADH76" s="214"/>
      <c r="ADI76" s="214"/>
      <c r="ADJ76" s="214"/>
      <c r="ADK76" s="214"/>
      <c r="ADL76" s="214"/>
      <c r="ADM76" s="214"/>
      <c r="ADN76" s="214"/>
      <c r="ADO76" s="214"/>
      <c r="ADP76" s="214"/>
      <c r="ADQ76" s="214"/>
      <c r="ADR76" s="214"/>
      <c r="ADS76" s="214"/>
      <c r="ADT76" s="214"/>
      <c r="ADU76" s="214"/>
      <c r="ADV76" s="214"/>
      <c r="ADW76" s="214"/>
      <c r="ADX76" s="214"/>
      <c r="ADY76" s="214"/>
      <c r="ADZ76" s="214"/>
      <c r="AEA76" s="214"/>
      <c r="AEB76" s="214"/>
      <c r="AEC76" s="214"/>
      <c r="AED76" s="214"/>
      <c r="AEE76" s="214"/>
      <c r="AEF76" s="214"/>
      <c r="AEG76" s="214"/>
      <c r="AEH76" s="214"/>
      <c r="AEI76" s="214"/>
      <c r="AEJ76" s="214"/>
      <c r="AEK76" s="214"/>
      <c r="AEL76" s="214"/>
      <c r="AEM76" s="214"/>
      <c r="AEN76" s="214"/>
      <c r="AEO76" s="214"/>
      <c r="AEP76" s="214"/>
      <c r="AEQ76" s="214"/>
      <c r="AER76" s="214"/>
      <c r="AES76" s="214"/>
      <c r="AET76" s="214"/>
      <c r="AEU76" s="214"/>
      <c r="AEV76" s="214"/>
      <c r="AEW76" s="214"/>
      <c r="AEX76" s="214"/>
      <c r="AEY76" s="214"/>
      <c r="AEZ76" s="214"/>
      <c r="AFA76" s="214"/>
      <c r="AFB76" s="214"/>
      <c r="AFC76" s="214"/>
      <c r="AFD76" s="214"/>
      <c r="AFE76" s="214"/>
      <c r="AFF76" s="214"/>
      <c r="AFG76" s="214"/>
      <c r="AFH76" s="214"/>
      <c r="AFI76" s="214"/>
      <c r="AFJ76" s="214"/>
      <c r="AFK76" s="214"/>
      <c r="AFL76" s="214"/>
      <c r="AFM76" s="214"/>
      <c r="AFN76" s="214"/>
      <c r="AFO76" s="214"/>
      <c r="AFP76" s="214"/>
      <c r="AFQ76" s="214"/>
      <c r="AFR76" s="214"/>
      <c r="AFS76" s="214"/>
      <c r="AFT76" s="214"/>
      <c r="AFU76" s="214"/>
      <c r="AFV76" s="214"/>
      <c r="AFW76" s="214"/>
      <c r="AFX76" s="214"/>
      <c r="AFY76" s="214"/>
      <c r="AFZ76" s="214"/>
      <c r="AGA76" s="214"/>
      <c r="AGB76" s="214"/>
      <c r="AGC76" s="214"/>
      <c r="AGD76" s="214"/>
      <c r="AGE76" s="214"/>
      <c r="AGF76" s="214"/>
      <c r="AGG76" s="214"/>
      <c r="AGH76" s="214"/>
      <c r="AGI76" s="214"/>
      <c r="AGJ76" s="214"/>
      <c r="AGK76" s="214"/>
      <c r="AGL76" s="214"/>
      <c r="AGM76" s="214"/>
      <c r="AGN76" s="214"/>
      <c r="AGO76" s="214"/>
      <c r="AGP76" s="214"/>
      <c r="AGQ76" s="214"/>
      <c r="AGR76" s="214"/>
      <c r="AGS76" s="214"/>
      <c r="AGT76" s="214"/>
      <c r="AGU76" s="214"/>
      <c r="AGV76" s="214"/>
      <c r="AGW76" s="214"/>
      <c r="AGX76" s="214"/>
      <c r="AGY76" s="214"/>
      <c r="AGZ76" s="214"/>
      <c r="AHA76" s="214"/>
      <c r="AHB76" s="214"/>
      <c r="AHC76" s="214"/>
      <c r="AHD76" s="214"/>
      <c r="AHE76" s="214"/>
      <c r="AHF76" s="214"/>
      <c r="AHG76" s="214"/>
      <c r="AHH76" s="214"/>
      <c r="AHI76" s="214"/>
      <c r="AHJ76" s="214"/>
      <c r="AHK76" s="214"/>
      <c r="AHL76" s="214"/>
      <c r="AHM76" s="214"/>
      <c r="AHN76" s="214"/>
      <c r="AHO76" s="214"/>
      <c r="AHP76" s="214"/>
      <c r="AHQ76" s="214"/>
      <c r="AHR76" s="214"/>
      <c r="AHS76" s="214"/>
      <c r="AHT76" s="214"/>
      <c r="AHU76" s="214"/>
      <c r="AHV76" s="214"/>
      <c r="AHW76" s="214"/>
      <c r="AHX76" s="214"/>
      <c r="AHY76" s="214"/>
      <c r="AHZ76" s="214"/>
      <c r="AIA76" s="214"/>
      <c r="AIB76" s="214"/>
      <c r="AIC76" s="214"/>
      <c r="AID76" s="214"/>
      <c r="AIE76" s="214"/>
      <c r="AIF76" s="214"/>
      <c r="AIG76" s="214"/>
      <c r="AIH76" s="214"/>
      <c r="AII76" s="214"/>
      <c r="AIJ76" s="214"/>
      <c r="AIK76" s="214"/>
      <c r="AIL76" s="214"/>
      <c r="AIM76" s="214"/>
      <c r="AIN76" s="214"/>
      <c r="AIO76" s="214"/>
      <c r="AIP76" s="214"/>
      <c r="AIQ76" s="214"/>
      <c r="AIR76" s="214"/>
      <c r="AIS76" s="214"/>
      <c r="AIT76" s="214"/>
      <c r="AIU76" s="214"/>
      <c r="AIV76" s="214"/>
      <c r="AIW76" s="214"/>
      <c r="AIX76" s="214"/>
      <c r="AIY76" s="214"/>
      <c r="AIZ76" s="214"/>
      <c r="AJA76" s="214"/>
      <c r="AJB76" s="214"/>
      <c r="AJC76" s="214"/>
      <c r="AJD76" s="214"/>
      <c r="AJE76" s="214"/>
      <c r="AJF76" s="214"/>
      <c r="AJG76" s="214"/>
      <c r="AJH76" s="214"/>
      <c r="AJI76" s="214"/>
      <c r="AJJ76" s="214"/>
      <c r="AJK76" s="214"/>
      <c r="AJL76" s="214"/>
      <c r="AJM76" s="214"/>
      <c r="AJN76" s="214"/>
      <c r="AJO76" s="214"/>
      <c r="AJP76" s="214"/>
      <c r="AJQ76" s="214"/>
      <c r="AJR76" s="214"/>
      <c r="AJS76" s="214"/>
      <c r="AJT76" s="214"/>
      <c r="AJU76" s="214"/>
      <c r="AJV76" s="214"/>
      <c r="AJW76" s="214"/>
      <c r="AJX76" s="214"/>
      <c r="AJY76" s="214"/>
      <c r="AJZ76" s="214"/>
      <c r="AKA76" s="214"/>
      <c r="AKB76" s="214"/>
      <c r="AKC76" s="214"/>
      <c r="AKD76" s="214"/>
      <c r="AKE76" s="214"/>
      <c r="AKF76" s="214"/>
      <c r="AKG76" s="214"/>
      <c r="AKH76" s="214"/>
      <c r="AKI76" s="214"/>
      <c r="AKJ76" s="214"/>
      <c r="AKK76" s="214"/>
      <c r="AKL76" s="214"/>
      <c r="AKM76" s="214"/>
      <c r="AKN76" s="214"/>
      <c r="AKO76" s="214"/>
      <c r="AKP76" s="214"/>
      <c r="AKQ76" s="214"/>
      <c r="AKR76" s="214"/>
      <c r="AKS76" s="214"/>
      <c r="AKT76" s="214"/>
      <c r="AKU76" s="214"/>
      <c r="AKV76" s="214"/>
      <c r="AKW76" s="214"/>
      <c r="AKX76" s="214"/>
      <c r="AKY76" s="214"/>
      <c r="AKZ76" s="214"/>
      <c r="ALA76" s="214"/>
      <c r="ALB76" s="214"/>
      <c r="ALC76" s="214"/>
      <c r="ALD76" s="214"/>
      <c r="ALE76" s="214"/>
      <c r="ALF76" s="214"/>
      <c r="ALG76" s="214"/>
      <c r="ALH76" s="214"/>
      <c r="ALI76" s="214"/>
      <c r="ALJ76" s="214"/>
      <c r="ALK76" s="214"/>
      <c r="ALL76" s="214"/>
      <c r="ALM76" s="214"/>
      <c r="ALN76" s="214"/>
      <c r="ALO76" s="214"/>
      <c r="ALP76" s="214"/>
      <c r="ALQ76" s="214"/>
      <c r="ALR76" s="214"/>
      <c r="ALS76" s="214"/>
      <c r="ALT76" s="214"/>
      <c r="ALU76" s="214"/>
      <c r="ALV76" s="214"/>
      <c r="ALW76" s="214"/>
      <c r="ALX76" s="214"/>
      <c r="ALY76" s="214"/>
      <c r="ALZ76" s="214"/>
      <c r="AMA76" s="214"/>
      <c r="AMB76" s="214"/>
      <c r="AMC76" s="214"/>
      <c r="AMD76" s="214"/>
      <c r="AME76" s="214"/>
      <c r="AMF76" s="214"/>
      <c r="AMG76" s="214"/>
      <c r="AMH76" s="214"/>
      <c r="AMI76" s="214"/>
      <c r="AMJ76" s="214"/>
      <c r="AMK76" s="214"/>
      <c r="AML76" s="214"/>
      <c r="AMM76" s="214"/>
      <c r="AMN76" s="214"/>
      <c r="AMO76" s="214"/>
      <c r="AMP76" s="214"/>
      <c r="AMQ76" s="214"/>
      <c r="AMR76" s="214"/>
      <c r="AMS76" s="214"/>
      <c r="AMT76" s="214"/>
      <c r="AMU76" s="214"/>
      <c r="AMV76" s="214"/>
      <c r="AMW76" s="214"/>
      <c r="AMX76" s="214"/>
      <c r="AMY76" s="214"/>
      <c r="AMZ76" s="214"/>
      <c r="ANA76" s="214"/>
      <c r="ANB76" s="214"/>
      <c r="ANC76" s="214"/>
      <c r="AND76" s="214"/>
      <c r="ANE76" s="214"/>
      <c r="ANF76" s="214"/>
      <c r="ANG76" s="214"/>
      <c r="ANH76" s="214"/>
      <c r="ANI76" s="214"/>
      <c r="ANJ76" s="214"/>
      <c r="ANK76" s="214"/>
      <c r="ANL76" s="214"/>
      <c r="ANM76" s="214"/>
      <c r="ANN76" s="214"/>
      <c r="ANO76" s="214"/>
      <c r="ANP76" s="214"/>
      <c r="ANQ76" s="214"/>
      <c r="ANR76" s="214"/>
      <c r="ANS76" s="214"/>
      <c r="ANT76" s="214"/>
      <c r="ANU76" s="214"/>
      <c r="ANV76" s="214"/>
      <c r="ANW76" s="214"/>
      <c r="ANX76" s="214"/>
      <c r="ANY76" s="214"/>
      <c r="ANZ76" s="214"/>
      <c r="AOA76" s="214"/>
      <c r="AOB76" s="214"/>
      <c r="AOC76" s="214"/>
      <c r="AOD76" s="214"/>
      <c r="AOE76" s="214"/>
      <c r="AOF76" s="214"/>
      <c r="AOG76" s="214"/>
      <c r="AOH76" s="214"/>
      <c r="AOI76" s="214"/>
      <c r="AOJ76" s="214"/>
      <c r="AOK76" s="214"/>
      <c r="AOL76" s="214"/>
      <c r="AOM76" s="214"/>
      <c r="AON76" s="214"/>
      <c r="AOO76" s="214"/>
      <c r="AOP76" s="214"/>
      <c r="AOQ76" s="214"/>
      <c r="AOR76" s="214"/>
      <c r="AOS76" s="214"/>
      <c r="AOT76" s="214"/>
      <c r="AOU76" s="214"/>
      <c r="AOV76" s="214"/>
      <c r="AOW76" s="214"/>
      <c r="AOX76" s="214"/>
      <c r="AOY76" s="214"/>
      <c r="AOZ76" s="214"/>
      <c r="APA76" s="214"/>
      <c r="APB76" s="214"/>
      <c r="APC76" s="214"/>
      <c r="APD76" s="214"/>
      <c r="APE76" s="214"/>
      <c r="APF76" s="214"/>
      <c r="APG76" s="214"/>
      <c r="APH76" s="214"/>
      <c r="API76" s="214"/>
      <c r="APJ76" s="214"/>
      <c r="APK76" s="214"/>
      <c r="APL76" s="214"/>
      <c r="APM76" s="214"/>
      <c r="APN76" s="214"/>
      <c r="APO76" s="214"/>
      <c r="APP76" s="214"/>
      <c r="APQ76" s="214"/>
      <c r="APR76" s="214"/>
      <c r="APS76" s="214"/>
      <c r="APT76" s="214"/>
      <c r="APU76" s="214"/>
      <c r="APV76" s="214"/>
      <c r="APW76" s="214"/>
      <c r="APX76" s="214"/>
      <c r="APY76" s="214"/>
      <c r="APZ76" s="214"/>
      <c r="AQA76" s="214"/>
      <c r="AQB76" s="214"/>
      <c r="AQC76" s="214"/>
      <c r="AQD76" s="214"/>
      <c r="AQE76" s="214"/>
      <c r="AQF76" s="214"/>
      <c r="AQG76" s="214"/>
      <c r="AQH76" s="214"/>
      <c r="AQI76" s="214"/>
      <c r="AQJ76" s="214"/>
      <c r="AQK76" s="214"/>
      <c r="AQL76" s="214"/>
      <c r="AQM76" s="214"/>
      <c r="AQN76" s="214"/>
      <c r="AQO76" s="214"/>
      <c r="AQP76" s="214"/>
      <c r="AQQ76" s="214"/>
      <c r="AQR76" s="214"/>
      <c r="AQS76" s="214"/>
      <c r="AQT76" s="214"/>
      <c r="AQU76" s="214"/>
      <c r="AQV76" s="214"/>
      <c r="AQW76" s="214"/>
      <c r="AQX76" s="214"/>
      <c r="AQY76" s="214"/>
      <c r="AQZ76" s="214"/>
      <c r="ARA76" s="214"/>
      <c r="ARB76" s="214"/>
      <c r="ARC76" s="214"/>
      <c r="ARD76" s="214"/>
      <c r="ARE76" s="214"/>
      <c r="ARF76" s="214"/>
      <c r="ARG76" s="214"/>
      <c r="ARH76" s="214"/>
      <c r="ARI76" s="214"/>
      <c r="ARJ76" s="214"/>
      <c r="ARK76" s="214"/>
      <c r="ARL76" s="214"/>
      <c r="ARM76" s="214"/>
      <c r="ARN76" s="214"/>
      <c r="ARO76" s="214"/>
      <c r="ARP76" s="214"/>
      <c r="ARQ76" s="214"/>
      <c r="ARR76" s="214"/>
      <c r="ARS76" s="214"/>
      <c r="ART76" s="214"/>
      <c r="ARU76" s="214"/>
      <c r="ARV76" s="214"/>
      <c r="ARW76" s="214"/>
      <c r="ARX76" s="214"/>
      <c r="ARY76" s="214"/>
      <c r="ARZ76" s="214"/>
      <c r="ASA76" s="214"/>
      <c r="ASB76" s="214"/>
      <c r="ASC76" s="214"/>
      <c r="ASD76" s="214"/>
      <c r="ASE76" s="214"/>
      <c r="ASF76" s="214"/>
      <c r="ASG76" s="214"/>
      <c r="ASH76" s="214"/>
      <c r="ASI76" s="214"/>
      <c r="ASJ76" s="214"/>
      <c r="ASK76" s="214"/>
      <c r="ASL76" s="214"/>
      <c r="ASM76" s="214"/>
      <c r="ASN76" s="214"/>
      <c r="ASO76" s="214"/>
      <c r="ASP76" s="214"/>
      <c r="ASQ76" s="214"/>
      <c r="ASR76" s="214"/>
      <c r="ASS76" s="214"/>
      <c r="AST76" s="214"/>
      <c r="ASU76" s="214"/>
      <c r="ASV76" s="214"/>
      <c r="ASW76" s="214"/>
      <c r="ASX76" s="214"/>
      <c r="ASY76" s="214"/>
      <c r="ASZ76" s="214"/>
      <c r="ATA76" s="214"/>
      <c r="ATB76" s="214"/>
      <c r="ATC76" s="214"/>
      <c r="ATD76" s="214"/>
      <c r="ATE76" s="214"/>
      <c r="ATF76" s="214"/>
      <c r="ATG76" s="214"/>
      <c r="ATH76" s="214"/>
      <c r="ATI76" s="214"/>
      <c r="ATJ76" s="214"/>
      <c r="ATK76" s="214"/>
      <c r="ATL76" s="214"/>
      <c r="ATM76" s="214"/>
      <c r="ATN76" s="214"/>
      <c r="ATO76" s="214"/>
      <c r="ATP76" s="214"/>
      <c r="ATQ76" s="214"/>
      <c r="ATR76" s="214"/>
      <c r="ATS76" s="214"/>
      <c r="ATT76" s="214"/>
      <c r="ATU76" s="214"/>
      <c r="ATV76" s="214"/>
      <c r="ATW76" s="214"/>
      <c r="ATX76" s="214"/>
      <c r="ATY76" s="214"/>
      <c r="ATZ76" s="214"/>
      <c r="AUA76" s="214"/>
      <c r="AUB76" s="214"/>
      <c r="AUC76" s="214"/>
      <c r="AUD76" s="214"/>
      <c r="AUE76" s="214"/>
      <c r="AUF76" s="214"/>
      <c r="AUG76" s="214"/>
      <c r="AUH76" s="214"/>
      <c r="AUI76" s="214"/>
      <c r="AUJ76" s="214"/>
      <c r="AUK76" s="214"/>
      <c r="AUL76" s="214"/>
      <c r="AUM76" s="214"/>
      <c r="AUN76" s="214"/>
      <c r="AUO76" s="214"/>
      <c r="AUP76" s="214"/>
      <c r="AUQ76" s="214"/>
      <c r="AUR76" s="214"/>
      <c r="AUS76" s="214"/>
      <c r="AUT76" s="214"/>
      <c r="AUU76" s="214"/>
      <c r="AUV76" s="214"/>
      <c r="AUW76" s="214"/>
      <c r="AUX76" s="214"/>
      <c r="AUY76" s="214"/>
      <c r="AUZ76" s="214"/>
      <c r="AVA76" s="214"/>
      <c r="AVB76" s="214"/>
      <c r="AVC76" s="214"/>
      <c r="AVD76" s="214"/>
      <c r="AVE76" s="214"/>
      <c r="AVF76" s="214"/>
      <c r="AVG76" s="214"/>
      <c r="AVH76" s="214"/>
      <c r="AVI76" s="214"/>
      <c r="AVJ76" s="214"/>
      <c r="AVK76" s="214"/>
      <c r="AVL76" s="214"/>
      <c r="AVM76" s="214"/>
      <c r="AVN76" s="214"/>
      <c r="AVO76" s="214"/>
      <c r="AVP76" s="214"/>
      <c r="AVQ76" s="214"/>
      <c r="AVR76" s="214"/>
      <c r="AVS76" s="214"/>
      <c r="AVT76" s="214"/>
      <c r="AVU76" s="214"/>
      <c r="AVV76" s="214"/>
      <c r="AVW76" s="214"/>
      <c r="AVX76" s="214"/>
      <c r="AVY76" s="214"/>
      <c r="AVZ76" s="214"/>
      <c r="AWA76" s="214"/>
      <c r="AWB76" s="214"/>
      <c r="AWC76" s="214"/>
      <c r="AWD76" s="214"/>
      <c r="AWE76" s="214"/>
      <c r="AWF76" s="214"/>
      <c r="AWG76" s="214"/>
      <c r="AWH76" s="214"/>
      <c r="AWI76" s="214"/>
      <c r="AWJ76" s="214"/>
      <c r="AWK76" s="214"/>
      <c r="AWL76" s="214"/>
      <c r="AWM76" s="214"/>
      <c r="AWN76" s="214"/>
      <c r="AWO76" s="214"/>
      <c r="AWP76" s="214"/>
      <c r="AWQ76" s="214"/>
      <c r="AWR76" s="214"/>
      <c r="AWS76" s="214"/>
      <c r="AWT76" s="214"/>
      <c r="AWU76" s="214"/>
      <c r="AWV76" s="214"/>
      <c r="AWW76" s="214"/>
      <c r="AWX76" s="214"/>
      <c r="AWY76" s="214"/>
      <c r="AWZ76" s="214"/>
      <c r="AXA76" s="214"/>
      <c r="AXB76" s="214"/>
      <c r="AXC76" s="214"/>
      <c r="AXD76" s="214"/>
      <c r="AXE76" s="214"/>
      <c r="AXF76" s="214"/>
      <c r="AXG76" s="214"/>
      <c r="AXH76" s="214"/>
      <c r="AXI76" s="214"/>
      <c r="AXJ76" s="214"/>
      <c r="AXK76" s="214"/>
      <c r="AXL76" s="214"/>
      <c r="AXM76" s="214"/>
      <c r="AXN76" s="214"/>
      <c r="AXO76" s="214"/>
      <c r="AXP76" s="214"/>
      <c r="AXQ76" s="214"/>
      <c r="AXR76" s="214"/>
      <c r="AXS76" s="214"/>
      <c r="AXT76" s="214"/>
      <c r="AXU76" s="214"/>
      <c r="AXV76" s="214"/>
      <c r="AXW76" s="214"/>
      <c r="AXX76" s="214"/>
      <c r="AXY76" s="214"/>
      <c r="AXZ76" s="214"/>
      <c r="AYA76" s="214"/>
      <c r="AYB76" s="214"/>
      <c r="AYC76" s="214"/>
      <c r="AYD76" s="214"/>
      <c r="AYE76" s="214"/>
      <c r="AYF76" s="214"/>
      <c r="AYG76" s="214"/>
      <c r="AYH76" s="214"/>
      <c r="AYI76" s="214"/>
      <c r="AYJ76" s="214"/>
      <c r="AYK76" s="214"/>
      <c r="AYL76" s="214"/>
      <c r="AYM76" s="214"/>
      <c r="AYN76" s="214"/>
      <c r="AYO76" s="214"/>
      <c r="AYP76" s="214"/>
      <c r="AYQ76" s="214"/>
      <c r="AYR76" s="214"/>
      <c r="AYS76" s="214"/>
      <c r="AYT76" s="214"/>
      <c r="AYU76" s="214"/>
      <c r="AYV76" s="214"/>
      <c r="AYW76" s="214"/>
      <c r="AYX76" s="214"/>
      <c r="AYY76" s="214"/>
      <c r="AYZ76" s="214"/>
      <c r="AZA76" s="214"/>
      <c r="AZB76" s="214"/>
      <c r="AZC76" s="214"/>
      <c r="AZD76" s="214"/>
      <c r="AZE76" s="214"/>
      <c r="AZF76" s="214"/>
      <c r="AZG76" s="214"/>
      <c r="AZH76" s="214"/>
      <c r="AZI76" s="214"/>
      <c r="AZJ76" s="214"/>
      <c r="AZK76" s="214"/>
      <c r="AZL76" s="214"/>
      <c r="AZM76" s="214"/>
      <c r="AZN76" s="214"/>
      <c r="AZO76" s="214"/>
      <c r="AZP76" s="214"/>
      <c r="AZQ76" s="214"/>
      <c r="AZR76" s="214"/>
      <c r="AZS76" s="214"/>
      <c r="AZT76" s="214"/>
      <c r="AZU76" s="214"/>
      <c r="AZV76" s="214"/>
      <c r="AZW76" s="214"/>
      <c r="AZX76" s="214"/>
      <c r="AZY76" s="214"/>
      <c r="AZZ76" s="214"/>
      <c r="BAA76" s="214"/>
      <c r="BAB76" s="214"/>
      <c r="BAC76" s="214"/>
      <c r="BAD76" s="214"/>
      <c r="BAE76" s="214"/>
      <c r="BAF76" s="214"/>
      <c r="BAG76" s="214"/>
      <c r="BAH76" s="214"/>
      <c r="BAI76" s="214"/>
      <c r="BAJ76" s="214"/>
      <c r="BAK76" s="214"/>
      <c r="BAL76" s="214"/>
      <c r="BAM76" s="214"/>
      <c r="BAN76" s="214"/>
      <c r="BAO76" s="214"/>
      <c r="BAP76" s="214"/>
      <c r="BAQ76" s="214"/>
      <c r="BAR76" s="214"/>
      <c r="BAS76" s="214"/>
      <c r="BAT76" s="214"/>
      <c r="BAU76" s="214"/>
      <c r="BAV76" s="214"/>
      <c r="BAW76" s="214"/>
      <c r="BAX76" s="214"/>
      <c r="BAY76" s="214"/>
      <c r="BAZ76" s="214"/>
      <c r="BBA76" s="214"/>
      <c r="BBB76" s="214"/>
      <c r="BBC76" s="214"/>
      <c r="BBD76" s="214"/>
      <c r="BBE76" s="214"/>
      <c r="BBF76" s="214"/>
      <c r="BBG76" s="214"/>
      <c r="BBH76" s="214"/>
      <c r="BBI76" s="214"/>
      <c r="BBJ76" s="214"/>
      <c r="BBK76" s="214"/>
      <c r="BBL76" s="214"/>
      <c r="BBM76" s="214"/>
      <c r="BBN76" s="214"/>
      <c r="BBO76" s="214"/>
      <c r="BBP76" s="214"/>
      <c r="BBQ76" s="214"/>
      <c r="BBR76" s="214"/>
      <c r="BBS76" s="214"/>
      <c r="BBT76" s="214"/>
      <c r="BBU76" s="214"/>
      <c r="BBV76" s="214"/>
      <c r="BBW76" s="214"/>
      <c r="BBX76" s="214"/>
      <c r="BBY76" s="214"/>
      <c r="BBZ76" s="214"/>
      <c r="BCA76" s="214"/>
      <c r="BCB76" s="214"/>
      <c r="BCC76" s="214"/>
      <c r="BCD76" s="214"/>
      <c r="BCE76" s="214"/>
      <c r="BCF76" s="214"/>
      <c r="BCG76" s="214"/>
      <c r="BCH76" s="214"/>
      <c r="BCI76" s="214"/>
      <c r="BCJ76" s="214"/>
      <c r="BCK76" s="214"/>
      <c r="BCL76" s="214"/>
      <c r="BCM76" s="214"/>
      <c r="BCN76" s="214"/>
      <c r="BCO76" s="214"/>
      <c r="BCP76" s="214"/>
      <c r="BCQ76" s="214"/>
      <c r="BCR76" s="214"/>
      <c r="BCS76" s="214"/>
      <c r="BCT76" s="214"/>
      <c r="BCU76" s="214"/>
      <c r="BCV76" s="214"/>
      <c r="BCW76" s="214"/>
      <c r="BCX76" s="214"/>
      <c r="BCY76" s="214"/>
      <c r="BCZ76" s="214"/>
      <c r="BDA76" s="214"/>
      <c r="BDB76" s="214"/>
      <c r="BDC76" s="214"/>
      <c r="BDD76" s="214"/>
      <c r="BDE76" s="214"/>
      <c r="BDF76" s="214"/>
      <c r="BDG76" s="214"/>
      <c r="BDH76" s="214"/>
      <c r="BDI76" s="214"/>
      <c r="BDJ76" s="214"/>
      <c r="BDK76" s="214"/>
      <c r="BDL76" s="214"/>
      <c r="BDM76" s="214"/>
      <c r="BDN76" s="214"/>
      <c r="BDO76" s="214"/>
      <c r="BDP76" s="214"/>
      <c r="BDQ76" s="214"/>
      <c r="BDR76" s="214"/>
      <c r="BDS76" s="214"/>
      <c r="BDT76" s="214"/>
      <c r="BDU76" s="214"/>
      <c r="BDV76" s="214"/>
      <c r="BDW76" s="214"/>
      <c r="BDX76" s="214"/>
      <c r="BDY76" s="214"/>
      <c r="BDZ76" s="214"/>
      <c r="BEA76" s="214"/>
      <c r="BEB76" s="214"/>
      <c r="BEC76" s="214"/>
      <c r="BED76" s="214"/>
      <c r="BEE76" s="214"/>
      <c r="BEF76" s="214"/>
      <c r="BEG76" s="214"/>
      <c r="BEH76" s="214"/>
      <c r="BEI76" s="214"/>
      <c r="BEJ76" s="214"/>
      <c r="BEK76" s="214"/>
      <c r="BEL76" s="214"/>
      <c r="BEM76" s="214"/>
      <c r="BEN76" s="214"/>
      <c r="BEO76" s="214"/>
      <c r="BEP76" s="214"/>
      <c r="BEQ76" s="214"/>
      <c r="BER76" s="214"/>
      <c r="BES76" s="214"/>
      <c r="BET76" s="214"/>
      <c r="BEU76" s="214"/>
      <c r="BEV76" s="214"/>
      <c r="BEW76" s="214"/>
      <c r="BEX76" s="214"/>
      <c r="BEY76" s="214"/>
      <c r="BEZ76" s="214"/>
      <c r="BFA76" s="214"/>
      <c r="BFB76" s="214"/>
      <c r="BFC76" s="214"/>
      <c r="BFD76" s="214"/>
      <c r="BFE76" s="214"/>
      <c r="BFF76" s="214"/>
      <c r="BFG76" s="214"/>
      <c r="BFH76" s="214"/>
      <c r="BFI76" s="214"/>
      <c r="BFJ76" s="214"/>
      <c r="BFK76" s="214"/>
      <c r="BFL76" s="214"/>
      <c r="BFM76" s="214"/>
      <c r="BFN76" s="214"/>
      <c r="BFO76" s="214"/>
      <c r="BFP76" s="214"/>
      <c r="BFQ76" s="214"/>
      <c r="BFR76" s="214"/>
      <c r="BFS76" s="214"/>
      <c r="BFT76" s="214"/>
      <c r="BFU76" s="214"/>
      <c r="BFV76" s="214"/>
      <c r="BFW76" s="214"/>
      <c r="BFX76" s="214"/>
      <c r="BFY76" s="214"/>
      <c r="BFZ76" s="214"/>
      <c r="BGA76" s="214"/>
      <c r="BGB76" s="214"/>
      <c r="BGC76" s="214"/>
      <c r="BGD76" s="214"/>
      <c r="BGE76" s="214"/>
      <c r="BGF76" s="214"/>
      <c r="BGG76" s="214"/>
      <c r="BGH76" s="214"/>
      <c r="BGI76" s="214"/>
      <c r="BGJ76" s="214"/>
      <c r="BGK76" s="214"/>
      <c r="BGL76" s="214"/>
      <c r="BGM76" s="214"/>
      <c r="BGN76" s="214"/>
      <c r="BGO76" s="214"/>
      <c r="BGP76" s="214"/>
      <c r="BGQ76" s="214"/>
      <c r="BGR76" s="214"/>
      <c r="BGS76" s="214"/>
      <c r="BGT76" s="214"/>
      <c r="BGU76" s="214"/>
      <c r="BGV76" s="214"/>
      <c r="BGW76" s="214"/>
      <c r="BGX76" s="214"/>
      <c r="BGY76" s="214"/>
      <c r="BGZ76" s="214"/>
      <c r="BHA76" s="214"/>
      <c r="BHB76" s="214"/>
      <c r="BHC76" s="214"/>
      <c r="BHD76" s="214"/>
      <c r="BHE76" s="214"/>
      <c r="BHF76" s="214"/>
      <c r="BHG76" s="214"/>
      <c r="BHH76" s="214"/>
      <c r="BHI76" s="214"/>
      <c r="BHJ76" s="214"/>
      <c r="BHK76" s="214"/>
      <c r="BHL76" s="214"/>
      <c r="BHM76" s="214"/>
      <c r="BHN76" s="214"/>
      <c r="BHO76" s="214"/>
      <c r="BHP76" s="214"/>
      <c r="BHQ76" s="214"/>
      <c r="BHR76" s="214"/>
      <c r="BHS76" s="214"/>
      <c r="BHT76" s="214"/>
      <c r="BHU76" s="214"/>
      <c r="BHV76" s="214"/>
      <c r="BHW76" s="214"/>
    </row>
    <row r="77" spans="1:1583" s="216" customFormat="1" ht="28.5">
      <c r="A77" s="156" t="s">
        <v>419</v>
      </c>
      <c r="B77" s="77"/>
      <c r="C77" s="77"/>
      <c r="D77" s="426" t="s">
        <v>605</v>
      </c>
      <c r="E77" s="63" t="s">
        <v>24</v>
      </c>
      <c r="F77" s="131"/>
      <c r="G77" s="60" t="s">
        <v>731</v>
      </c>
      <c r="H77" s="473">
        <f t="shared" si="21"/>
        <v>21450.21</v>
      </c>
      <c r="I77" s="147">
        <f>(Analysis!J91*0/100)+(Analysis!J94*35809.84/100)+(Analysis!J93*0/100)+(Analysis!J95*63159.33/100)+(Analysis!J96*90661.02/100)+(Analysis!J97*119622.3/100)+(Analysis!J98*151389.3/100)+(Analysis!J90*11470.75/100)+(11341.61*Analysis!J85/100)+(Analysis!J99*184326.3/100)</f>
        <v>21450.210000000003</v>
      </c>
      <c r="J77" s="437"/>
      <c r="K77" s="147">
        <f>(Analysis!L91*0/100)+(Analysis!L94*35809.84/100)+(Analysis!L93*0/100)+(Analysis!L95*63159.33/100)+(Analysis!L96*90661.02/100)+(Analysis!L97*119622.3/100)+(Analysis!L98*151389.3/100)+(Analysis!L90*11470.75/100)+(11341.61*Analysis!L85/100)+(Analysis!L99*184326.3/100)</f>
        <v>21450.210000000003</v>
      </c>
      <c r="L77" s="147">
        <f>(Analysis!M91*0/100)+(Analysis!M94*35809.84/100)+(Analysis!M93*0/100)+(Analysis!M95*63159.33/100)+(Analysis!M96*90661.02/100)+(Analysis!M97*119622.3/100)+(Analysis!M98*151389.3/100)+(Analysis!M90*11470.75/100)+(11341.61*Analysis!M85/100)+(Analysis!M99*184326.3/100)</f>
        <v>21450.210000000003</v>
      </c>
      <c r="M77" s="147">
        <f>(Analysis!N91*0/100)+(Analysis!N94*35809.84/100)+(Analysis!N93*0/100)+(Analysis!N95*63159.33/100)+(Analysis!N96*90661.02/100)+(Analysis!N97*119622.3/100)+(Analysis!N98*151389.3/100)+(Analysis!N90*11470.75/100)+(11341.61*Analysis!N85/100)+(Analysis!N99*184326.3/100)</f>
        <v>21450.210000000003</v>
      </c>
      <c r="N77" s="147">
        <f>(Analysis!O91*0/100)+(Analysis!O94*35809.84/100)+(Analysis!O93*0/100)+(Analysis!O95*63159.33/100)+(Analysis!O96*90661.02/100)+(Analysis!O97*119622.3/100)+(Analysis!O98*151389.3/100)+(Analysis!O90*11470.75/100)+(11341.61*Analysis!O85/100)+(Analysis!O99*184326.3/100)</f>
        <v>21450.210000000003</v>
      </c>
      <c r="O77" s="147">
        <f>(Analysis!P91*0/100)+(Analysis!P94*35809.84/100)+(Analysis!P93*0/100)+(Analysis!P95*63159.33/100)+(Analysis!P96*90661.02/100)+(Analysis!P97*119622.3/100)+(Analysis!P98*151389.3/100)+(Analysis!P90*11470.75/100)+(11341.61*Analysis!P85/100)+(Analysis!P99*184326.3/100)</f>
        <v>21450.210000000003</v>
      </c>
      <c r="P77" s="147">
        <f>(Analysis!Q91*0/100)+(Analysis!Q94*35809.84/100)+(Analysis!Q93*0/100)+(Analysis!Q95*63159.33/100)+(Analysis!Q96*90661.02/100)+(Analysis!Q97*119622.3/100)+(Analysis!Q98*151389.3/100)+(Analysis!Q90*11470.75/100)+(11341.61*Analysis!Q85/100)+(Analysis!Q99*184326.3/100)</f>
        <v>21450.210000000003</v>
      </c>
      <c r="Q77" s="147">
        <f>(Analysis!R91*0/100)+(Analysis!R94*35809.84/100)+(Analysis!R93*0/100)+(Analysis!R95*63159.33/100)+(Analysis!R96*90661.02/100)+(Analysis!R97*119622.3/100)+(Analysis!R98*151389.3/100)+(Analysis!R90*11470.75/100)+(11341.61*Analysis!R85/100)+(Analysis!R99*184326.3/100)</f>
        <v>21450.210000000003</v>
      </c>
      <c r="R77" s="147">
        <f>(Analysis!S91*0/100)+(Analysis!S94*35809.84/100)+(Analysis!S93*0/100)+(Analysis!S95*63159.33/100)+(Analysis!S96*90661.02/100)+(Analysis!S97*119622.3/100)+(Analysis!S98*151389.3/100)+(Analysis!S90*11470.75/100)+(11341.61*Analysis!S85/100)+(Analysis!S99*184326.3/100)</f>
        <v>21450.210000000003</v>
      </c>
      <c r="S77" s="147">
        <f>(Analysis!T91*0/100)+(Analysis!T94*35809.84/100)+(Analysis!T93*0/100)+(Analysis!T95*63159.33/100)+(Analysis!T96*90661.02/100)+(Analysis!T97*119622.3/100)+(Analysis!T98*151389.3/100)+(Analysis!T90*11470.75/100)+(11341.61*Analysis!T85/100)+(Analysis!T99*184326.3/100)</f>
        <v>21450.210000000003</v>
      </c>
      <c r="T77" s="147">
        <f>(Analysis!U91*0/100)+(Analysis!U94*35809.84/100)+(Analysis!U93*0/100)+(Analysis!U95*63159.33/100)+(Analysis!U96*90661.02/100)+(Analysis!U97*119622.3/100)+(Analysis!U98*151389.3/100)+(Analysis!U90*11470.75/100)+(11341.61*Analysis!U85/100)+(Analysis!U99*184326.3/100)</f>
        <v>21450.210000000003</v>
      </c>
      <c r="U77" s="147">
        <f>(Analysis!V91*0/100)+(Analysis!V94*35809.84/100)+(Analysis!V93*0/100)+(Analysis!V95*63159.33/100)+(Analysis!V96*90661.02/100)+(Analysis!V97*119622.3/100)+(Analysis!V98*151389.3/100)+(Analysis!V90*11470.75/100)+(11341.61*Analysis!V85/100)+(Analysis!V99*184326.3/100)</f>
        <v>21450.210000000003</v>
      </c>
      <c r="V77" s="147">
        <f>(Analysis!W91*0/100)+(Analysis!W94*35809.84/100)+(Analysis!W93*0/100)+(Analysis!W95*63159.33/100)+(Analysis!W96*90661.02/100)+(Analysis!W97*119622.3/100)+(Analysis!W98*151389.3/100)+(Analysis!W90*11470.75/100)+(11341.61*Analysis!W85/100)+(Analysis!W99*184326.3/100)</f>
        <v>21450.210000000003</v>
      </c>
      <c r="W77" s="147">
        <f>(Analysis!X91*0/100)+(Analysis!X94*35809.84/100)+(Analysis!X93*0/100)+(Analysis!X95*63159.33/100)+(Analysis!X96*90661.02/100)+(Analysis!X97*119622.3/100)+(Analysis!X98*151389.3/100)+(Analysis!X90*11470.75/100)+(11341.61*Analysis!X85/100)+(Analysis!X99*184326.3/100)</f>
        <v>21450.210000000003</v>
      </c>
      <c r="X77" s="147">
        <f>(Analysis!Y91*0/100)+(Analysis!Y94*35809.84/100)+(Analysis!Y93*0/100)+(Analysis!Y95*63159.33/100)+(Analysis!Y96*90661.02/100)+(Analysis!Y97*119622.3/100)+(Analysis!Y98*151389.3/100)+(Analysis!Y90*11470.75/100)+(11341.61*Analysis!Y85/100)+(Analysis!Y99*184326.3/100)</f>
        <v>21450.210000000003</v>
      </c>
      <c r="Y77" s="147">
        <f>(Analysis!Z91*0/100)+(Analysis!Z94*35809.84/100)+(Analysis!Z93*0/100)+(Analysis!Z95*63159.33/100)+(Analysis!Z96*90661.02/100)+(Analysis!Z97*119622.3/100)+(Analysis!Z98*151389.3/100)+(Analysis!Z90*11470.75/100)+(11341.61*Analysis!Z85/100)+(Analysis!Z99*184326.3/100)</f>
        <v>21450.210000000003</v>
      </c>
      <c r="Z77" s="147">
        <f>(Analysis!AA91*0/100)+(Analysis!AA94*35809.84/100)+(Analysis!AA93*0/100)+(Analysis!AA95*63159.33/100)+(Analysis!AA96*90661.02/100)+(Analysis!AA97*119622.3/100)+(Analysis!AA98*151389.3/100)+(Analysis!AA90*11470.75/100)+(11341.61*Analysis!AA85/100)+(Analysis!AA99*184326.3/100)</f>
        <v>21450.210000000003</v>
      </c>
      <c r="AA77" s="147">
        <f>(Analysis!AB91*0/100)+(Analysis!AB94*35809.84/100)+(Analysis!AB93*0/100)+(Analysis!AB95*63159.33/100)+(Analysis!AB96*90661.02/100)+(Analysis!AB97*119622.3/100)+(Analysis!AB98*151389.3/100)+(Analysis!AB90*11470.75/100)+(11341.61*Analysis!AB85/100)+(Analysis!AB99*184326.3/100)</f>
        <v>21450.210000000003</v>
      </c>
      <c r="AB77" s="147">
        <f>(Analysis!AC91*0/100)+(Analysis!AC94*35809.84/100)+(Analysis!AC93*0/100)+(Analysis!AC95*63159.33/100)+(Analysis!AC96*90661.02/100)+(Analysis!AC97*119622.3/100)+(Analysis!AC98*151389.3/100)+(Analysis!AC90*11470.75/100)+(11341.61*Analysis!AC85/100)+(Analysis!AC99*184326.3/100)</f>
        <v>21450.210000000003</v>
      </c>
      <c r="AC77" s="147">
        <f>(Analysis!AD91*0/100)+(Analysis!AD94*35809.84/100)+(Analysis!AD93*0/100)+(Analysis!AD95*63159.33/100)+(Analysis!AD96*90661.02/100)+(Analysis!AD97*119622.3/100)+(Analysis!AD98*151389.3/100)+(Analysis!AD90*11470.75/100)+(11341.61*Analysis!AD85/100)+(Analysis!AD99*184326.3/100)</f>
        <v>21450.210000000003</v>
      </c>
      <c r="AD77" s="147">
        <f>(Analysis!AE91*0/100)+(Analysis!AE94*35809.84/100)+(Analysis!AE93*0/100)+(Analysis!AE95*63159.33/100)+(Analysis!AE96*90661.02/100)+(Analysis!AE97*119622.3/100)+(Analysis!AE98*151389.3/100)+(Analysis!AE90*11470.75/100)+(11341.61*Analysis!AE85/100)+(Analysis!AE99*184326.3/100)</f>
        <v>21450.210000000003</v>
      </c>
      <c r="AE77" s="147">
        <f>(Analysis!AF91*0/100)+(Analysis!AF94*35809.84/100)+(Analysis!AF93*0/100)+(Analysis!AF95*63159.33/100)+(Analysis!AF96*90661.02/100)+(Analysis!AF97*119622.3/100)+(Analysis!AF98*151389.3/100)+(Analysis!AF90*11470.75/100)+(11341.61*Analysis!AF85/100)+(Analysis!AF99*184326.3/100)</f>
        <v>21450.210000000003</v>
      </c>
      <c r="AF77" s="147">
        <f>(Analysis!AG91*0/100)+(Analysis!AG94*35809.84/100)+(Analysis!AG93*0/100)+(Analysis!AG95*63159.33/100)+(Analysis!AG96*90661.02/100)+(Analysis!AG97*119622.3/100)+(Analysis!AG98*151389.3/100)+(Analysis!AG90*11470.75/100)+(11341.61*Analysis!AG85/100)+(Analysis!AG99*184326.3/100)</f>
        <v>21450.210000000003</v>
      </c>
      <c r="AG77" s="147">
        <f>(Analysis!AH91*0/100)+(Analysis!AH94*35809.84/100)+(Analysis!AH93*0/100)+(Analysis!AH95*63159.33/100)+(Analysis!AH96*90661.02/100)+(Analysis!AH97*119622.3/100)+(Analysis!AH98*151389.3/100)+(Analysis!AH90*11470.75/100)+(11341.61*Analysis!AH85/100)+(Analysis!AH99*184326.3/100)</f>
        <v>21450.210000000003</v>
      </c>
      <c r="AH77" s="147">
        <f>(Analysis!AI91*0/100)+(Analysis!AI94*35809.84/100)+(Analysis!AI93*0/100)+(Analysis!AI95*63159.33/100)+(Analysis!AI96*90661.02/100)+(Analysis!AI97*119622.3/100)+(Analysis!AI98*151389.3/100)+(Analysis!AI90*11470.75/100)+(11341.61*Analysis!AI85/100)+(Analysis!AI99*184326.3/100)</f>
        <v>21450.210000000003</v>
      </c>
      <c r="AI77" s="147">
        <f>(Analysis!AJ91*0/100)+(Analysis!AJ94*35809.84/100)+(Analysis!AJ93*0/100)+(Analysis!AJ95*63159.33/100)+(Analysis!AJ96*90661.02/100)+(Analysis!AJ97*119622.3/100)+(Analysis!AJ98*151389.3/100)+(Analysis!AJ90*11470.75/100)+(11341.61*Analysis!AJ85/100)+(Analysis!AJ99*184326.3/100)</f>
        <v>21450.210000000003</v>
      </c>
      <c r="AJ77" s="147">
        <f>(Analysis!AK91*0/100)+(Analysis!AK94*35809.84/100)+(Analysis!AK93*0/100)+(Analysis!AK95*63159.33/100)+(Analysis!AK96*90661.02/100)+(Analysis!AK97*119622.3/100)+(Analysis!AK98*151389.3/100)+(Analysis!AK90*11470.75/100)+(11341.61*Analysis!AK85/100)+(Analysis!AK99*184326.3/100)</f>
        <v>21450.210000000003</v>
      </c>
      <c r="AK77" s="147">
        <f>(Analysis!AL91*0/100)+(Analysis!AL94*35809.84/100)+(Analysis!AL93*0/100)+(Analysis!AL95*63159.33/100)+(Analysis!AL96*90661.02/100)+(Analysis!AL97*119622.3/100)+(Analysis!AL98*151389.3/100)+(Analysis!AL90*11470.75/100)+(11341.61*Analysis!AL85/100)+(Analysis!AL99*184326.3/100)</f>
        <v>21450.210000000003</v>
      </c>
      <c r="AL77" s="147">
        <f>(Analysis!AM91*0/100)+(Analysis!AM94*35809.84/100)+(Analysis!AM93*0/100)+(Analysis!AM95*63159.33/100)+(Analysis!AM96*90661.02/100)+(Analysis!AM97*119622.3/100)+(Analysis!AM98*151389.3/100)+(Analysis!AM90*11470.75/100)+(11341.61*Analysis!AM85/100)+(Analysis!AM99*184326.3/100)</f>
        <v>21450.210000000003</v>
      </c>
      <c r="AM77" s="147">
        <f>(Analysis!AN91*0/100)+(Analysis!AN94*35809.84/100)+(Analysis!AN93*0/100)+(Analysis!AN95*63159.33/100)+(Analysis!AN96*90661.02/100)+(Analysis!AN97*119622.3/100)+(Analysis!AN98*151389.3/100)+(Analysis!AN90*11470.75/100)+(11341.61*Analysis!AN85/100)+(Analysis!AN99*184326.3/100)</f>
        <v>21450.210000000003</v>
      </c>
      <c r="AN77" s="147">
        <f>(Analysis!AO91*0/100)+(Analysis!AO94*35809.84/100)+(Analysis!AO93*0/100)+(Analysis!AO95*63159.33/100)+(Analysis!AO96*90661.02/100)+(Analysis!AO97*119622.3/100)+(Analysis!AO98*151389.3/100)+(Analysis!AO90*11470.75/100)+(11341.61*Analysis!AO85/100)+(Analysis!AO99*184326.3/100)</f>
        <v>21450.210000000003</v>
      </c>
      <c r="AO77" s="215"/>
      <c r="AP77" s="215"/>
      <c r="AQ77" s="215"/>
      <c r="AR77" s="215"/>
      <c r="AS77" s="215"/>
      <c r="AT77" s="215"/>
      <c r="AU77" s="215"/>
      <c r="AV77" s="215"/>
      <c r="AW77" s="215"/>
      <c r="AX77" s="215"/>
      <c r="AY77" s="215"/>
      <c r="AZ77" s="215"/>
      <c r="BA77" s="215"/>
      <c r="BB77" s="215"/>
      <c r="BC77" s="215"/>
      <c r="BD77" s="215"/>
      <c r="BE77" s="215"/>
      <c r="BF77" s="215"/>
      <c r="BG77" s="215"/>
      <c r="BH77" s="215"/>
      <c r="BI77" s="215"/>
      <c r="BJ77" s="215"/>
      <c r="BK77" s="215"/>
      <c r="BL77" s="215"/>
      <c r="BM77" s="215"/>
      <c r="BN77" s="215"/>
      <c r="BO77" s="215"/>
      <c r="BP77" s="215"/>
      <c r="BQ77" s="215"/>
      <c r="BR77" s="215"/>
      <c r="BS77" s="215"/>
      <c r="BT77" s="215"/>
      <c r="BU77" s="215"/>
      <c r="BV77" s="215"/>
      <c r="BW77" s="215"/>
      <c r="BX77" s="215"/>
      <c r="BY77" s="215"/>
      <c r="BZ77" s="215"/>
      <c r="CA77" s="215"/>
      <c r="CB77" s="215"/>
      <c r="CC77" s="215"/>
      <c r="CD77" s="215"/>
      <c r="CE77" s="215"/>
      <c r="CF77" s="215"/>
      <c r="CG77" s="215"/>
      <c r="CH77" s="215"/>
      <c r="CI77" s="215"/>
      <c r="CJ77" s="215"/>
      <c r="CK77" s="215"/>
      <c r="CL77" s="215"/>
      <c r="CM77" s="215"/>
      <c r="CN77" s="215"/>
      <c r="CO77" s="215"/>
      <c r="CP77" s="215"/>
      <c r="CQ77" s="215"/>
      <c r="CR77" s="215"/>
      <c r="CS77" s="215"/>
      <c r="CT77" s="215"/>
      <c r="CU77" s="215"/>
      <c r="CV77" s="215"/>
      <c r="CW77" s="215"/>
      <c r="CX77" s="215"/>
      <c r="CY77" s="215"/>
      <c r="CZ77" s="215"/>
      <c r="DA77" s="215"/>
      <c r="DB77" s="215"/>
      <c r="DC77" s="215"/>
      <c r="DD77" s="215"/>
      <c r="DE77" s="215"/>
      <c r="DF77" s="215"/>
      <c r="DG77" s="215"/>
      <c r="DH77" s="215"/>
      <c r="DI77" s="215"/>
      <c r="DJ77" s="215"/>
      <c r="DK77" s="215"/>
      <c r="DL77" s="215"/>
      <c r="DM77" s="215"/>
      <c r="DN77" s="215"/>
      <c r="DO77" s="215"/>
      <c r="DP77" s="215"/>
      <c r="DQ77" s="215"/>
      <c r="DR77" s="215"/>
      <c r="DS77" s="215"/>
      <c r="DT77" s="215"/>
      <c r="DU77" s="215"/>
      <c r="DV77" s="215"/>
      <c r="DW77" s="215"/>
      <c r="DX77" s="215"/>
      <c r="DY77" s="215"/>
      <c r="DZ77" s="215"/>
      <c r="EA77" s="215"/>
      <c r="EB77" s="215"/>
      <c r="EC77" s="215"/>
      <c r="ED77" s="215"/>
      <c r="EE77" s="215"/>
      <c r="EF77" s="215"/>
      <c r="EG77" s="215"/>
      <c r="EH77" s="215"/>
      <c r="EI77" s="215"/>
      <c r="EJ77" s="215"/>
      <c r="EK77" s="215"/>
      <c r="EL77" s="215"/>
      <c r="EM77" s="215"/>
      <c r="EN77" s="215"/>
      <c r="EO77" s="215"/>
      <c r="EP77" s="215"/>
      <c r="EQ77" s="215"/>
      <c r="ER77" s="215"/>
      <c r="ES77" s="215"/>
      <c r="ET77" s="215"/>
      <c r="EU77" s="215"/>
      <c r="EV77" s="215"/>
      <c r="EW77" s="215"/>
      <c r="EX77" s="215"/>
      <c r="EY77" s="215"/>
      <c r="EZ77" s="215"/>
      <c r="FA77" s="215"/>
      <c r="FB77" s="215"/>
      <c r="FC77" s="215"/>
      <c r="FD77" s="215"/>
      <c r="FE77" s="215"/>
      <c r="FF77" s="215"/>
      <c r="FG77" s="215"/>
      <c r="FH77" s="215"/>
      <c r="FI77" s="215"/>
      <c r="FJ77" s="215"/>
      <c r="FK77" s="215"/>
      <c r="FL77" s="215"/>
      <c r="FM77" s="215"/>
      <c r="FN77" s="215"/>
      <c r="FO77" s="215"/>
      <c r="FP77" s="215"/>
      <c r="FQ77" s="215"/>
      <c r="FR77" s="215"/>
      <c r="FS77" s="215"/>
      <c r="FT77" s="215"/>
      <c r="FU77" s="215"/>
      <c r="FV77" s="215"/>
      <c r="FW77" s="215"/>
      <c r="FX77" s="215"/>
      <c r="FY77" s="215"/>
      <c r="FZ77" s="215"/>
      <c r="GA77" s="215"/>
      <c r="GB77" s="215"/>
      <c r="GC77" s="215"/>
      <c r="GD77" s="215"/>
      <c r="GE77" s="215"/>
      <c r="GF77" s="215"/>
      <c r="GG77" s="215"/>
      <c r="GH77" s="215"/>
      <c r="GI77" s="215"/>
      <c r="GJ77" s="215"/>
      <c r="GK77" s="215"/>
      <c r="GL77" s="215"/>
      <c r="GM77" s="215"/>
      <c r="GN77" s="215"/>
      <c r="GO77" s="215"/>
      <c r="GP77" s="215"/>
      <c r="GQ77" s="215"/>
      <c r="GR77" s="215"/>
      <c r="GS77" s="215"/>
      <c r="GT77" s="215"/>
      <c r="GU77" s="215"/>
      <c r="GV77" s="215"/>
      <c r="GW77" s="215"/>
      <c r="GX77" s="215"/>
      <c r="GY77" s="215"/>
      <c r="GZ77" s="215"/>
      <c r="HA77" s="215"/>
      <c r="HB77" s="215"/>
      <c r="HC77" s="215"/>
      <c r="HD77" s="215"/>
      <c r="HE77" s="215"/>
      <c r="HF77" s="215"/>
      <c r="HG77" s="215"/>
      <c r="HH77" s="215"/>
      <c r="HI77" s="215"/>
      <c r="HJ77" s="215"/>
      <c r="HK77" s="215"/>
      <c r="HL77" s="215"/>
      <c r="HM77" s="215"/>
      <c r="HN77" s="215"/>
      <c r="HO77" s="215"/>
      <c r="HP77" s="215"/>
      <c r="HQ77" s="215"/>
      <c r="HR77" s="215"/>
      <c r="HS77" s="215"/>
      <c r="HT77" s="215"/>
      <c r="HU77" s="215"/>
      <c r="HV77" s="215"/>
      <c r="HW77" s="215"/>
      <c r="HX77" s="215"/>
      <c r="HY77" s="215"/>
      <c r="HZ77" s="215"/>
      <c r="IA77" s="215"/>
      <c r="IB77" s="215"/>
      <c r="IC77" s="215"/>
      <c r="ID77" s="215"/>
      <c r="IE77" s="215"/>
      <c r="IF77" s="215"/>
      <c r="IG77" s="215"/>
      <c r="IH77" s="215"/>
      <c r="II77" s="215"/>
      <c r="IJ77" s="215"/>
      <c r="IK77" s="215"/>
      <c r="IL77" s="215"/>
      <c r="IM77" s="215"/>
      <c r="IN77" s="215"/>
      <c r="IO77" s="215"/>
      <c r="IP77" s="215"/>
      <c r="IQ77" s="215"/>
      <c r="IR77" s="215"/>
      <c r="IS77" s="215"/>
      <c r="IT77" s="215"/>
      <c r="IU77" s="215"/>
      <c r="IV77" s="215"/>
      <c r="IW77" s="215"/>
      <c r="IX77" s="215"/>
      <c r="IY77" s="215"/>
      <c r="IZ77" s="215"/>
      <c r="JA77" s="215"/>
      <c r="JB77" s="215"/>
      <c r="JC77" s="215"/>
      <c r="JD77" s="215"/>
      <c r="JE77" s="215"/>
      <c r="JF77" s="215"/>
      <c r="JG77" s="215"/>
      <c r="JH77" s="215"/>
      <c r="JI77" s="215"/>
      <c r="JJ77" s="215"/>
      <c r="JK77" s="215"/>
      <c r="JL77" s="215"/>
      <c r="JM77" s="215"/>
      <c r="JN77" s="215"/>
      <c r="JO77" s="215"/>
      <c r="JP77" s="215"/>
      <c r="JQ77" s="215"/>
      <c r="JR77" s="215"/>
      <c r="JS77" s="215"/>
      <c r="JT77" s="215"/>
      <c r="JU77" s="215"/>
      <c r="JV77" s="215"/>
      <c r="JW77" s="215"/>
      <c r="JX77" s="215"/>
      <c r="JY77" s="215"/>
      <c r="JZ77" s="215"/>
      <c r="KA77" s="215"/>
      <c r="KB77" s="215"/>
      <c r="KC77" s="215"/>
      <c r="KD77" s="215"/>
      <c r="KE77" s="215"/>
      <c r="KF77" s="215"/>
      <c r="KG77" s="215"/>
      <c r="KH77" s="215"/>
      <c r="KI77" s="215"/>
      <c r="KJ77" s="215"/>
      <c r="KK77" s="215"/>
      <c r="KL77" s="215"/>
      <c r="KM77" s="215"/>
      <c r="KN77" s="215"/>
      <c r="KO77" s="215"/>
      <c r="KP77" s="215"/>
      <c r="KQ77" s="215"/>
      <c r="KR77" s="215"/>
      <c r="KS77" s="215"/>
      <c r="KT77" s="215"/>
      <c r="KU77" s="215"/>
      <c r="KV77" s="215"/>
      <c r="KW77" s="215"/>
      <c r="KX77" s="215"/>
      <c r="KY77" s="215"/>
      <c r="KZ77" s="215"/>
      <c r="LA77" s="215"/>
      <c r="LB77" s="215"/>
      <c r="LC77" s="215"/>
      <c r="LD77" s="215"/>
      <c r="LE77" s="215"/>
      <c r="LF77" s="215"/>
      <c r="LG77" s="215"/>
      <c r="LH77" s="215"/>
      <c r="LI77" s="215"/>
      <c r="LJ77" s="215"/>
      <c r="LK77" s="215"/>
      <c r="LL77" s="215"/>
      <c r="LM77" s="215"/>
      <c r="LN77" s="215"/>
      <c r="LO77" s="215"/>
      <c r="LP77" s="215"/>
      <c r="LQ77" s="215"/>
      <c r="LR77" s="215"/>
      <c r="LS77" s="215"/>
      <c r="LT77" s="215"/>
      <c r="LU77" s="215"/>
      <c r="LV77" s="215"/>
      <c r="LW77" s="215"/>
      <c r="LX77" s="215"/>
      <c r="LY77" s="215"/>
      <c r="LZ77" s="215"/>
      <c r="MA77" s="215"/>
      <c r="MB77" s="215"/>
      <c r="MC77" s="215"/>
      <c r="MD77" s="215"/>
      <c r="ME77" s="215"/>
      <c r="MF77" s="215"/>
      <c r="MG77" s="215"/>
      <c r="MH77" s="215"/>
      <c r="MI77" s="215"/>
      <c r="MJ77" s="215"/>
      <c r="MK77" s="215"/>
      <c r="ML77" s="215"/>
      <c r="MM77" s="215"/>
      <c r="MN77" s="215"/>
      <c r="MO77" s="215"/>
      <c r="MP77" s="215"/>
      <c r="MQ77" s="215"/>
      <c r="MR77" s="215"/>
      <c r="MS77" s="215"/>
      <c r="MT77" s="215"/>
      <c r="MU77" s="215"/>
      <c r="MV77" s="215"/>
      <c r="MW77" s="215"/>
      <c r="MX77" s="215"/>
      <c r="MY77" s="215"/>
      <c r="MZ77" s="215"/>
      <c r="NA77" s="215"/>
      <c r="NB77" s="215"/>
      <c r="NC77" s="215"/>
      <c r="ND77" s="215"/>
      <c r="NE77" s="215"/>
      <c r="NF77" s="215"/>
      <c r="NG77" s="215"/>
      <c r="NH77" s="215"/>
      <c r="NI77" s="215"/>
      <c r="NJ77" s="215"/>
      <c r="NK77" s="215"/>
      <c r="NL77" s="215"/>
      <c r="NM77" s="215"/>
      <c r="NN77" s="215"/>
      <c r="NO77" s="215"/>
      <c r="NP77" s="215"/>
      <c r="NQ77" s="215"/>
      <c r="NR77" s="215"/>
      <c r="NS77" s="215"/>
      <c r="NT77" s="215"/>
      <c r="NU77" s="215"/>
      <c r="NV77" s="215"/>
      <c r="NW77" s="215"/>
      <c r="NX77" s="215"/>
      <c r="NY77" s="215"/>
      <c r="NZ77" s="215"/>
      <c r="OA77" s="215"/>
      <c r="OB77" s="215"/>
      <c r="OC77" s="215"/>
      <c r="OD77" s="215"/>
      <c r="OE77" s="215"/>
      <c r="OF77" s="215"/>
      <c r="OG77" s="215"/>
      <c r="OH77" s="215"/>
      <c r="OI77" s="215"/>
      <c r="OJ77" s="215"/>
      <c r="OK77" s="215"/>
      <c r="OL77" s="215"/>
      <c r="OM77" s="215"/>
      <c r="ON77" s="215"/>
      <c r="OO77" s="215"/>
      <c r="OP77" s="215"/>
      <c r="OQ77" s="215"/>
      <c r="OR77" s="215"/>
      <c r="OS77" s="215"/>
      <c r="OT77" s="215"/>
      <c r="OU77" s="215"/>
      <c r="OV77" s="215"/>
      <c r="OW77" s="215"/>
      <c r="OX77" s="215"/>
      <c r="OY77" s="215"/>
      <c r="OZ77" s="215"/>
      <c r="PA77" s="215"/>
      <c r="PB77" s="215"/>
      <c r="PC77" s="215"/>
      <c r="PD77" s="215"/>
      <c r="PE77" s="215"/>
      <c r="PF77" s="215"/>
      <c r="PG77" s="215"/>
      <c r="PH77" s="215"/>
      <c r="PI77" s="215"/>
      <c r="PJ77" s="215"/>
      <c r="PK77" s="215"/>
      <c r="PL77" s="215"/>
      <c r="PM77" s="215"/>
      <c r="PN77" s="215"/>
      <c r="PO77" s="215"/>
      <c r="PP77" s="215"/>
      <c r="PQ77" s="215"/>
      <c r="PR77" s="215"/>
      <c r="PS77" s="215"/>
      <c r="PT77" s="215"/>
      <c r="PU77" s="215"/>
      <c r="PV77" s="215"/>
      <c r="PW77" s="215"/>
      <c r="PX77" s="215"/>
      <c r="PY77" s="215"/>
      <c r="PZ77" s="215"/>
      <c r="QA77" s="215"/>
      <c r="QB77" s="215"/>
      <c r="QC77" s="215"/>
      <c r="QD77" s="215"/>
      <c r="QE77" s="215"/>
      <c r="QF77" s="215"/>
      <c r="QG77" s="215"/>
      <c r="QH77" s="215"/>
      <c r="QI77" s="215"/>
      <c r="QJ77" s="215"/>
      <c r="QK77" s="215"/>
      <c r="QL77" s="215"/>
      <c r="QM77" s="215"/>
      <c r="QN77" s="215"/>
      <c r="QO77" s="215"/>
      <c r="QP77" s="215"/>
      <c r="QQ77" s="215"/>
      <c r="QR77" s="215"/>
      <c r="QS77" s="215"/>
      <c r="QT77" s="215"/>
      <c r="QU77" s="215"/>
      <c r="QV77" s="215"/>
      <c r="QW77" s="215"/>
      <c r="QX77" s="215"/>
      <c r="QY77" s="215"/>
      <c r="QZ77" s="215"/>
      <c r="RA77" s="215"/>
      <c r="RB77" s="215"/>
      <c r="RC77" s="215"/>
      <c r="RD77" s="215"/>
      <c r="RE77" s="215"/>
      <c r="RF77" s="215"/>
      <c r="RG77" s="215"/>
      <c r="RH77" s="215"/>
      <c r="RI77" s="215"/>
      <c r="RJ77" s="215"/>
      <c r="RK77" s="215"/>
      <c r="RL77" s="215"/>
      <c r="RM77" s="215"/>
      <c r="RN77" s="215"/>
      <c r="RO77" s="215"/>
      <c r="RP77" s="215"/>
      <c r="RQ77" s="215"/>
      <c r="RR77" s="215"/>
      <c r="RS77" s="215"/>
      <c r="RT77" s="215"/>
      <c r="RU77" s="215"/>
      <c r="RV77" s="215"/>
      <c r="RW77" s="215"/>
      <c r="RX77" s="215"/>
      <c r="RY77" s="215"/>
      <c r="RZ77" s="215"/>
      <c r="SA77" s="215"/>
      <c r="SB77" s="215"/>
      <c r="SC77" s="215"/>
      <c r="SD77" s="215"/>
      <c r="SE77" s="215"/>
      <c r="SF77" s="215"/>
      <c r="SG77" s="215"/>
      <c r="SH77" s="215"/>
      <c r="SI77" s="215"/>
      <c r="SJ77" s="215"/>
      <c r="SK77" s="215"/>
      <c r="SL77" s="215"/>
      <c r="SM77" s="215"/>
      <c r="SN77" s="215"/>
      <c r="SO77" s="215"/>
      <c r="SP77" s="215"/>
      <c r="SQ77" s="215"/>
      <c r="SR77" s="215"/>
      <c r="SS77" s="215"/>
      <c r="ST77" s="215"/>
      <c r="SU77" s="215"/>
      <c r="SV77" s="215"/>
      <c r="SW77" s="215"/>
      <c r="SX77" s="215"/>
      <c r="SY77" s="215"/>
      <c r="SZ77" s="215"/>
      <c r="TA77" s="215"/>
      <c r="TB77" s="215"/>
      <c r="TC77" s="215"/>
      <c r="TD77" s="215"/>
      <c r="TE77" s="215"/>
      <c r="TF77" s="215"/>
      <c r="TG77" s="215"/>
      <c r="TH77" s="215"/>
      <c r="TI77" s="215"/>
      <c r="TJ77" s="215"/>
      <c r="TK77" s="215"/>
      <c r="TL77" s="215"/>
      <c r="TM77" s="215"/>
      <c r="TN77" s="215"/>
      <c r="TO77" s="215"/>
      <c r="TP77" s="215"/>
      <c r="TQ77" s="215"/>
      <c r="TR77" s="215"/>
      <c r="TS77" s="215"/>
      <c r="TT77" s="215"/>
      <c r="TU77" s="215"/>
      <c r="TV77" s="215"/>
      <c r="TW77" s="215"/>
      <c r="TX77" s="215"/>
      <c r="TY77" s="215"/>
      <c r="TZ77" s="215"/>
      <c r="UA77" s="215"/>
      <c r="UB77" s="215"/>
      <c r="UC77" s="215"/>
      <c r="UD77" s="215"/>
      <c r="UE77" s="215"/>
      <c r="UF77" s="215"/>
      <c r="UG77" s="215"/>
      <c r="UH77" s="215"/>
      <c r="UI77" s="215"/>
      <c r="UJ77" s="215"/>
      <c r="UK77" s="215"/>
      <c r="UL77" s="215"/>
      <c r="UM77" s="215"/>
      <c r="UN77" s="215"/>
      <c r="UO77" s="215"/>
      <c r="UP77" s="215"/>
      <c r="UQ77" s="215"/>
      <c r="UR77" s="215"/>
      <c r="US77" s="215"/>
      <c r="UT77" s="215"/>
      <c r="UU77" s="215"/>
      <c r="UV77" s="215"/>
      <c r="UW77" s="215"/>
      <c r="UX77" s="215"/>
      <c r="UY77" s="215"/>
      <c r="UZ77" s="215"/>
      <c r="VA77" s="215"/>
      <c r="VB77" s="215"/>
      <c r="VC77" s="215"/>
      <c r="VD77" s="215"/>
      <c r="VE77" s="215"/>
      <c r="VF77" s="215"/>
      <c r="VG77" s="215"/>
      <c r="VH77" s="215"/>
      <c r="VI77" s="215"/>
      <c r="VJ77" s="215"/>
      <c r="VK77" s="215"/>
      <c r="VL77" s="215"/>
      <c r="VM77" s="215"/>
      <c r="VN77" s="215"/>
      <c r="VO77" s="215"/>
      <c r="VP77" s="215"/>
      <c r="VQ77" s="215"/>
      <c r="VR77" s="215"/>
      <c r="VS77" s="215"/>
      <c r="VT77" s="215"/>
      <c r="VU77" s="215"/>
      <c r="VV77" s="215"/>
      <c r="VW77" s="215"/>
      <c r="VX77" s="215"/>
      <c r="VY77" s="215"/>
      <c r="VZ77" s="215"/>
      <c r="WA77" s="215"/>
      <c r="WB77" s="215"/>
      <c r="WC77" s="215"/>
      <c r="WD77" s="215"/>
      <c r="WE77" s="215"/>
      <c r="WF77" s="215"/>
      <c r="WG77" s="215"/>
      <c r="WH77" s="215"/>
      <c r="WI77" s="215"/>
      <c r="WJ77" s="215"/>
      <c r="WK77" s="215"/>
      <c r="WL77" s="215"/>
      <c r="WM77" s="215"/>
      <c r="WN77" s="215"/>
      <c r="WO77" s="215"/>
      <c r="WP77" s="215"/>
      <c r="WQ77" s="215"/>
      <c r="WR77" s="215"/>
      <c r="WS77" s="215"/>
      <c r="WT77" s="215"/>
      <c r="WU77" s="215"/>
      <c r="WV77" s="215"/>
      <c r="WW77" s="215"/>
      <c r="WX77" s="215"/>
      <c r="WY77" s="215"/>
      <c r="WZ77" s="215"/>
      <c r="XA77" s="215"/>
      <c r="XB77" s="215"/>
      <c r="XC77" s="215"/>
      <c r="XD77" s="215"/>
      <c r="XE77" s="215"/>
      <c r="XF77" s="215"/>
      <c r="XG77" s="215"/>
      <c r="XH77" s="215"/>
      <c r="XI77" s="215"/>
      <c r="XJ77" s="215"/>
      <c r="XK77" s="215"/>
      <c r="XL77" s="215"/>
      <c r="XM77" s="215"/>
      <c r="XN77" s="215"/>
      <c r="XO77" s="215"/>
      <c r="XP77" s="215"/>
      <c r="XQ77" s="215"/>
      <c r="XR77" s="215"/>
      <c r="XS77" s="215"/>
      <c r="XT77" s="215"/>
      <c r="XU77" s="215"/>
      <c r="XV77" s="215"/>
      <c r="XW77" s="215"/>
      <c r="XX77" s="215"/>
      <c r="XY77" s="215"/>
      <c r="XZ77" s="215"/>
      <c r="YA77" s="215"/>
      <c r="YB77" s="215"/>
      <c r="YC77" s="215"/>
      <c r="YD77" s="215"/>
      <c r="YE77" s="215"/>
      <c r="YF77" s="215"/>
      <c r="YG77" s="215"/>
      <c r="YH77" s="215"/>
      <c r="YI77" s="215"/>
      <c r="YJ77" s="215"/>
      <c r="YK77" s="215"/>
      <c r="YL77" s="215"/>
      <c r="YM77" s="215"/>
      <c r="YN77" s="215"/>
      <c r="YO77" s="215"/>
      <c r="YP77" s="215"/>
      <c r="YQ77" s="215"/>
      <c r="YR77" s="215"/>
      <c r="YS77" s="215"/>
      <c r="YT77" s="215"/>
      <c r="YU77" s="215"/>
      <c r="YV77" s="215"/>
      <c r="YW77" s="215"/>
      <c r="YX77" s="215"/>
      <c r="YY77" s="215"/>
      <c r="YZ77" s="215"/>
      <c r="ZA77" s="215"/>
      <c r="ZB77" s="215"/>
      <c r="ZC77" s="215"/>
      <c r="ZD77" s="215"/>
      <c r="ZE77" s="215"/>
      <c r="ZF77" s="215"/>
      <c r="ZG77" s="215"/>
      <c r="ZH77" s="215"/>
      <c r="ZI77" s="215"/>
      <c r="ZJ77" s="215"/>
      <c r="ZK77" s="215"/>
      <c r="ZL77" s="215"/>
      <c r="ZM77" s="215"/>
      <c r="ZN77" s="215"/>
      <c r="ZO77" s="215"/>
      <c r="ZP77" s="215"/>
      <c r="ZQ77" s="215"/>
      <c r="ZR77" s="215"/>
      <c r="ZS77" s="215"/>
      <c r="ZT77" s="215"/>
      <c r="ZU77" s="215"/>
      <c r="ZV77" s="215"/>
      <c r="ZW77" s="215"/>
      <c r="ZX77" s="215"/>
      <c r="ZY77" s="215"/>
      <c r="ZZ77" s="215"/>
      <c r="AAA77" s="215"/>
      <c r="AAB77" s="215"/>
      <c r="AAC77" s="215"/>
      <c r="AAD77" s="215"/>
      <c r="AAE77" s="215"/>
      <c r="AAF77" s="215"/>
      <c r="AAG77" s="215"/>
      <c r="AAH77" s="215"/>
      <c r="AAI77" s="215"/>
      <c r="AAJ77" s="215"/>
      <c r="AAK77" s="215"/>
      <c r="AAL77" s="215"/>
      <c r="AAM77" s="215"/>
      <c r="AAN77" s="215"/>
      <c r="AAO77" s="215"/>
      <c r="AAP77" s="215"/>
      <c r="AAQ77" s="215"/>
      <c r="AAR77" s="215"/>
      <c r="AAS77" s="215"/>
      <c r="AAT77" s="215"/>
      <c r="AAU77" s="215"/>
      <c r="AAV77" s="215"/>
      <c r="AAW77" s="215"/>
      <c r="AAX77" s="215"/>
      <c r="AAY77" s="215"/>
      <c r="AAZ77" s="215"/>
      <c r="ABA77" s="215"/>
      <c r="ABB77" s="215"/>
      <c r="ABC77" s="215"/>
      <c r="ABD77" s="215"/>
      <c r="ABE77" s="215"/>
      <c r="ABF77" s="215"/>
      <c r="ABG77" s="215"/>
      <c r="ABH77" s="215"/>
      <c r="ABI77" s="215"/>
      <c r="ABJ77" s="215"/>
      <c r="ABK77" s="215"/>
      <c r="ABL77" s="215"/>
      <c r="ABM77" s="215"/>
      <c r="ABN77" s="215"/>
      <c r="ABO77" s="215"/>
      <c r="ABP77" s="215"/>
      <c r="ABQ77" s="215"/>
      <c r="ABR77" s="215"/>
      <c r="ABS77" s="215"/>
      <c r="ABT77" s="215"/>
      <c r="ABU77" s="215"/>
      <c r="ABV77" s="215"/>
      <c r="ABW77" s="215"/>
      <c r="ABX77" s="215"/>
      <c r="ABY77" s="215"/>
      <c r="ABZ77" s="215"/>
      <c r="ACA77" s="215"/>
      <c r="ACB77" s="215"/>
      <c r="ACC77" s="215"/>
      <c r="ACD77" s="215"/>
      <c r="ACE77" s="215"/>
      <c r="ACF77" s="215"/>
      <c r="ACG77" s="215"/>
      <c r="ACH77" s="215"/>
      <c r="ACI77" s="215"/>
      <c r="ACJ77" s="215"/>
      <c r="ACK77" s="215"/>
      <c r="ACL77" s="215"/>
      <c r="ACM77" s="215"/>
      <c r="ACN77" s="215"/>
      <c r="ACO77" s="215"/>
      <c r="ACP77" s="215"/>
      <c r="ACQ77" s="215"/>
      <c r="ACR77" s="215"/>
      <c r="ACS77" s="215"/>
      <c r="ACT77" s="215"/>
      <c r="ACU77" s="215"/>
      <c r="ACV77" s="215"/>
      <c r="ACW77" s="215"/>
      <c r="ACX77" s="215"/>
      <c r="ACY77" s="215"/>
      <c r="ACZ77" s="215"/>
      <c r="ADA77" s="215"/>
      <c r="ADB77" s="215"/>
      <c r="ADC77" s="215"/>
      <c r="ADD77" s="215"/>
      <c r="ADE77" s="215"/>
      <c r="ADF77" s="215"/>
      <c r="ADG77" s="215"/>
      <c r="ADH77" s="215"/>
      <c r="ADI77" s="215"/>
      <c r="ADJ77" s="215"/>
      <c r="ADK77" s="215"/>
      <c r="ADL77" s="215"/>
      <c r="ADM77" s="215"/>
      <c r="ADN77" s="215"/>
      <c r="ADO77" s="215"/>
      <c r="ADP77" s="215"/>
      <c r="ADQ77" s="215"/>
      <c r="ADR77" s="215"/>
      <c r="ADS77" s="215"/>
      <c r="ADT77" s="215"/>
      <c r="ADU77" s="215"/>
      <c r="ADV77" s="215"/>
      <c r="ADW77" s="215"/>
      <c r="ADX77" s="215"/>
      <c r="ADY77" s="215"/>
      <c r="ADZ77" s="215"/>
      <c r="AEA77" s="215"/>
      <c r="AEB77" s="215"/>
      <c r="AEC77" s="215"/>
      <c r="AED77" s="215"/>
      <c r="AEE77" s="215"/>
      <c r="AEF77" s="215"/>
      <c r="AEG77" s="215"/>
      <c r="AEH77" s="215"/>
      <c r="AEI77" s="215"/>
      <c r="AEJ77" s="215"/>
      <c r="AEK77" s="215"/>
      <c r="AEL77" s="215"/>
      <c r="AEM77" s="215"/>
      <c r="AEN77" s="215"/>
      <c r="AEO77" s="215"/>
      <c r="AEP77" s="215"/>
      <c r="AEQ77" s="215"/>
      <c r="AER77" s="215"/>
      <c r="AES77" s="215"/>
      <c r="AET77" s="215"/>
      <c r="AEU77" s="215"/>
      <c r="AEV77" s="215"/>
      <c r="AEW77" s="215"/>
      <c r="AEX77" s="215"/>
      <c r="AEY77" s="215"/>
      <c r="AEZ77" s="215"/>
      <c r="AFA77" s="215"/>
      <c r="AFB77" s="215"/>
      <c r="AFC77" s="215"/>
      <c r="AFD77" s="215"/>
      <c r="AFE77" s="215"/>
      <c r="AFF77" s="215"/>
      <c r="AFG77" s="215"/>
      <c r="AFH77" s="215"/>
      <c r="AFI77" s="215"/>
      <c r="AFJ77" s="215"/>
      <c r="AFK77" s="215"/>
      <c r="AFL77" s="215"/>
      <c r="AFM77" s="215"/>
      <c r="AFN77" s="215"/>
      <c r="AFO77" s="215"/>
      <c r="AFP77" s="215"/>
      <c r="AFQ77" s="215"/>
      <c r="AFR77" s="215"/>
      <c r="AFS77" s="215"/>
      <c r="AFT77" s="215"/>
      <c r="AFU77" s="215"/>
      <c r="AFV77" s="215"/>
      <c r="AFW77" s="215"/>
      <c r="AFX77" s="215"/>
      <c r="AFY77" s="215"/>
      <c r="AFZ77" s="215"/>
      <c r="AGA77" s="215"/>
      <c r="AGB77" s="215"/>
      <c r="AGC77" s="215"/>
      <c r="AGD77" s="215"/>
      <c r="AGE77" s="215"/>
      <c r="AGF77" s="215"/>
      <c r="AGG77" s="215"/>
      <c r="AGH77" s="215"/>
      <c r="AGI77" s="215"/>
      <c r="AGJ77" s="215"/>
      <c r="AGK77" s="215"/>
      <c r="AGL77" s="215"/>
      <c r="AGM77" s="215"/>
      <c r="AGN77" s="215"/>
      <c r="AGO77" s="215"/>
      <c r="AGP77" s="215"/>
      <c r="AGQ77" s="215"/>
      <c r="AGR77" s="215"/>
      <c r="AGS77" s="215"/>
      <c r="AGT77" s="215"/>
      <c r="AGU77" s="215"/>
      <c r="AGV77" s="215"/>
      <c r="AGW77" s="215"/>
      <c r="AGX77" s="215"/>
      <c r="AGY77" s="215"/>
      <c r="AGZ77" s="215"/>
      <c r="AHA77" s="215"/>
      <c r="AHB77" s="215"/>
      <c r="AHC77" s="215"/>
      <c r="AHD77" s="215"/>
      <c r="AHE77" s="215"/>
      <c r="AHF77" s="215"/>
      <c r="AHG77" s="215"/>
      <c r="AHH77" s="215"/>
      <c r="AHI77" s="215"/>
      <c r="AHJ77" s="215"/>
      <c r="AHK77" s="215"/>
      <c r="AHL77" s="215"/>
      <c r="AHM77" s="215"/>
      <c r="AHN77" s="215"/>
      <c r="AHO77" s="215"/>
      <c r="AHP77" s="215"/>
      <c r="AHQ77" s="215"/>
      <c r="AHR77" s="215"/>
      <c r="AHS77" s="215"/>
      <c r="AHT77" s="215"/>
      <c r="AHU77" s="215"/>
      <c r="AHV77" s="215"/>
      <c r="AHW77" s="215"/>
      <c r="AHX77" s="215"/>
      <c r="AHY77" s="215"/>
      <c r="AHZ77" s="215"/>
      <c r="AIA77" s="215"/>
      <c r="AIB77" s="215"/>
      <c r="AIC77" s="215"/>
      <c r="AID77" s="215"/>
      <c r="AIE77" s="215"/>
      <c r="AIF77" s="215"/>
      <c r="AIG77" s="215"/>
      <c r="AIH77" s="215"/>
      <c r="AII77" s="215"/>
      <c r="AIJ77" s="215"/>
      <c r="AIK77" s="215"/>
      <c r="AIL77" s="215"/>
      <c r="AIM77" s="215"/>
      <c r="AIN77" s="215"/>
      <c r="AIO77" s="215"/>
      <c r="AIP77" s="215"/>
      <c r="AIQ77" s="215"/>
      <c r="AIR77" s="215"/>
      <c r="AIS77" s="215"/>
      <c r="AIT77" s="215"/>
      <c r="AIU77" s="215"/>
      <c r="AIV77" s="215"/>
      <c r="AIW77" s="215"/>
      <c r="AIX77" s="215"/>
      <c r="AIY77" s="215"/>
      <c r="AIZ77" s="215"/>
      <c r="AJA77" s="215"/>
      <c r="AJB77" s="215"/>
      <c r="AJC77" s="215"/>
      <c r="AJD77" s="215"/>
      <c r="AJE77" s="215"/>
      <c r="AJF77" s="215"/>
      <c r="AJG77" s="215"/>
      <c r="AJH77" s="215"/>
      <c r="AJI77" s="215"/>
      <c r="AJJ77" s="215"/>
      <c r="AJK77" s="215"/>
      <c r="AJL77" s="215"/>
      <c r="AJM77" s="215"/>
      <c r="AJN77" s="215"/>
      <c r="AJO77" s="215"/>
      <c r="AJP77" s="215"/>
      <c r="AJQ77" s="215"/>
      <c r="AJR77" s="215"/>
      <c r="AJS77" s="215"/>
      <c r="AJT77" s="215"/>
      <c r="AJU77" s="215"/>
      <c r="AJV77" s="215"/>
      <c r="AJW77" s="215"/>
      <c r="AJX77" s="215"/>
      <c r="AJY77" s="215"/>
      <c r="AJZ77" s="215"/>
      <c r="AKA77" s="215"/>
      <c r="AKB77" s="215"/>
      <c r="AKC77" s="215"/>
      <c r="AKD77" s="215"/>
      <c r="AKE77" s="215"/>
      <c r="AKF77" s="215"/>
      <c r="AKG77" s="215"/>
      <c r="AKH77" s="215"/>
      <c r="AKI77" s="215"/>
      <c r="AKJ77" s="215"/>
      <c r="AKK77" s="215"/>
      <c r="AKL77" s="215"/>
      <c r="AKM77" s="215"/>
      <c r="AKN77" s="215"/>
      <c r="AKO77" s="215"/>
      <c r="AKP77" s="215"/>
      <c r="AKQ77" s="215"/>
      <c r="AKR77" s="215"/>
      <c r="AKS77" s="215"/>
      <c r="AKT77" s="215"/>
      <c r="AKU77" s="215"/>
      <c r="AKV77" s="215"/>
      <c r="AKW77" s="215"/>
      <c r="AKX77" s="215"/>
      <c r="AKY77" s="215"/>
      <c r="AKZ77" s="215"/>
      <c r="ALA77" s="215"/>
      <c r="ALB77" s="215"/>
      <c r="ALC77" s="215"/>
      <c r="ALD77" s="215"/>
      <c r="ALE77" s="215"/>
      <c r="ALF77" s="215"/>
      <c r="ALG77" s="215"/>
      <c r="ALH77" s="215"/>
      <c r="ALI77" s="215"/>
      <c r="ALJ77" s="215"/>
      <c r="ALK77" s="215"/>
      <c r="ALL77" s="215"/>
      <c r="ALM77" s="215"/>
      <c r="ALN77" s="215"/>
      <c r="ALO77" s="215"/>
      <c r="ALP77" s="215"/>
      <c r="ALQ77" s="215"/>
      <c r="ALR77" s="215"/>
      <c r="ALS77" s="215"/>
      <c r="ALT77" s="215"/>
      <c r="ALU77" s="215"/>
      <c r="ALV77" s="215"/>
      <c r="ALW77" s="215"/>
      <c r="ALX77" s="215"/>
      <c r="ALY77" s="215"/>
      <c r="ALZ77" s="215"/>
      <c r="AMA77" s="215"/>
      <c r="AMB77" s="215"/>
      <c r="AMC77" s="215"/>
      <c r="AMD77" s="215"/>
      <c r="AME77" s="215"/>
      <c r="AMF77" s="215"/>
      <c r="AMG77" s="215"/>
      <c r="AMH77" s="215"/>
      <c r="AMI77" s="215"/>
      <c r="AMJ77" s="215"/>
      <c r="AMK77" s="215"/>
      <c r="AML77" s="215"/>
      <c r="AMM77" s="215"/>
      <c r="AMN77" s="215"/>
      <c r="AMO77" s="215"/>
      <c r="AMP77" s="215"/>
      <c r="AMQ77" s="215"/>
      <c r="AMR77" s="215"/>
      <c r="AMS77" s="215"/>
      <c r="AMT77" s="215"/>
      <c r="AMU77" s="215"/>
      <c r="AMV77" s="215"/>
      <c r="AMW77" s="215"/>
      <c r="AMX77" s="215"/>
      <c r="AMY77" s="215"/>
      <c r="AMZ77" s="215"/>
      <c r="ANA77" s="215"/>
      <c r="ANB77" s="215"/>
      <c r="ANC77" s="215"/>
      <c r="AND77" s="215"/>
      <c r="ANE77" s="215"/>
      <c r="ANF77" s="215"/>
      <c r="ANG77" s="215"/>
      <c r="ANH77" s="215"/>
      <c r="ANI77" s="215"/>
      <c r="ANJ77" s="215"/>
      <c r="ANK77" s="215"/>
      <c r="ANL77" s="215"/>
      <c r="ANM77" s="215"/>
      <c r="ANN77" s="215"/>
      <c r="ANO77" s="215"/>
      <c r="ANP77" s="215"/>
      <c r="ANQ77" s="215"/>
      <c r="ANR77" s="215"/>
      <c r="ANS77" s="215"/>
      <c r="ANT77" s="215"/>
      <c r="ANU77" s="215"/>
      <c r="ANV77" s="215"/>
      <c r="ANW77" s="215"/>
      <c r="ANX77" s="215"/>
      <c r="ANY77" s="215"/>
      <c r="ANZ77" s="215"/>
      <c r="AOA77" s="215"/>
      <c r="AOB77" s="215"/>
      <c r="AOC77" s="215"/>
      <c r="AOD77" s="215"/>
      <c r="AOE77" s="215"/>
      <c r="AOF77" s="215"/>
      <c r="AOG77" s="215"/>
      <c r="AOH77" s="215"/>
      <c r="AOI77" s="215"/>
      <c r="AOJ77" s="215"/>
      <c r="AOK77" s="215"/>
      <c r="AOL77" s="215"/>
      <c r="AOM77" s="215"/>
      <c r="AON77" s="215"/>
      <c r="AOO77" s="215"/>
      <c r="AOP77" s="215"/>
      <c r="AOQ77" s="215"/>
      <c r="AOR77" s="215"/>
      <c r="AOS77" s="215"/>
      <c r="AOT77" s="215"/>
      <c r="AOU77" s="215"/>
      <c r="AOV77" s="215"/>
      <c r="AOW77" s="215"/>
      <c r="AOX77" s="215"/>
      <c r="AOY77" s="215"/>
      <c r="AOZ77" s="215"/>
      <c r="APA77" s="215"/>
      <c r="APB77" s="215"/>
      <c r="APC77" s="215"/>
      <c r="APD77" s="215"/>
      <c r="APE77" s="215"/>
      <c r="APF77" s="215"/>
      <c r="APG77" s="215"/>
      <c r="APH77" s="215"/>
      <c r="API77" s="215"/>
      <c r="APJ77" s="215"/>
      <c r="APK77" s="215"/>
      <c r="APL77" s="215"/>
      <c r="APM77" s="215"/>
      <c r="APN77" s="215"/>
      <c r="APO77" s="215"/>
      <c r="APP77" s="215"/>
      <c r="APQ77" s="215"/>
      <c r="APR77" s="215"/>
      <c r="APS77" s="215"/>
      <c r="APT77" s="215"/>
      <c r="APU77" s="215"/>
      <c r="APV77" s="215"/>
      <c r="APW77" s="215"/>
      <c r="APX77" s="215"/>
      <c r="APY77" s="215"/>
      <c r="APZ77" s="215"/>
      <c r="AQA77" s="215"/>
      <c r="AQB77" s="215"/>
      <c r="AQC77" s="215"/>
      <c r="AQD77" s="215"/>
      <c r="AQE77" s="215"/>
      <c r="AQF77" s="215"/>
      <c r="AQG77" s="215"/>
      <c r="AQH77" s="215"/>
      <c r="AQI77" s="215"/>
      <c r="AQJ77" s="215"/>
      <c r="AQK77" s="215"/>
      <c r="AQL77" s="215"/>
      <c r="AQM77" s="215"/>
      <c r="AQN77" s="215"/>
      <c r="AQO77" s="215"/>
      <c r="AQP77" s="215"/>
      <c r="AQQ77" s="215"/>
      <c r="AQR77" s="215"/>
      <c r="AQS77" s="215"/>
      <c r="AQT77" s="215"/>
      <c r="AQU77" s="215"/>
      <c r="AQV77" s="215"/>
      <c r="AQW77" s="215"/>
      <c r="AQX77" s="215"/>
      <c r="AQY77" s="215"/>
      <c r="AQZ77" s="215"/>
      <c r="ARA77" s="215"/>
      <c r="ARB77" s="215"/>
      <c r="ARC77" s="215"/>
      <c r="ARD77" s="215"/>
      <c r="ARE77" s="215"/>
      <c r="ARF77" s="215"/>
      <c r="ARG77" s="215"/>
      <c r="ARH77" s="215"/>
      <c r="ARI77" s="215"/>
      <c r="ARJ77" s="215"/>
      <c r="ARK77" s="215"/>
      <c r="ARL77" s="215"/>
      <c r="ARM77" s="215"/>
      <c r="ARN77" s="215"/>
      <c r="ARO77" s="215"/>
      <c r="ARP77" s="215"/>
      <c r="ARQ77" s="215"/>
      <c r="ARR77" s="215"/>
      <c r="ARS77" s="215"/>
      <c r="ART77" s="215"/>
      <c r="ARU77" s="215"/>
      <c r="ARV77" s="215"/>
      <c r="ARW77" s="215"/>
      <c r="ARX77" s="215"/>
      <c r="ARY77" s="215"/>
      <c r="ARZ77" s="215"/>
      <c r="ASA77" s="215"/>
      <c r="ASB77" s="215"/>
      <c r="ASC77" s="215"/>
      <c r="ASD77" s="215"/>
      <c r="ASE77" s="215"/>
      <c r="ASF77" s="215"/>
      <c r="ASG77" s="215"/>
      <c r="ASH77" s="215"/>
      <c r="ASI77" s="215"/>
      <c r="ASJ77" s="215"/>
      <c r="ASK77" s="215"/>
      <c r="ASL77" s="215"/>
      <c r="ASM77" s="215"/>
      <c r="ASN77" s="215"/>
      <c r="ASO77" s="215"/>
      <c r="ASP77" s="215"/>
      <c r="ASQ77" s="215"/>
      <c r="ASR77" s="215"/>
      <c r="ASS77" s="215"/>
      <c r="AST77" s="215"/>
      <c r="ASU77" s="215"/>
      <c r="ASV77" s="215"/>
      <c r="ASW77" s="215"/>
      <c r="ASX77" s="215"/>
      <c r="ASY77" s="215"/>
      <c r="ASZ77" s="215"/>
      <c r="ATA77" s="215"/>
      <c r="ATB77" s="215"/>
      <c r="ATC77" s="215"/>
      <c r="ATD77" s="215"/>
      <c r="ATE77" s="215"/>
      <c r="ATF77" s="215"/>
      <c r="ATG77" s="215"/>
      <c r="ATH77" s="215"/>
      <c r="ATI77" s="215"/>
      <c r="ATJ77" s="215"/>
      <c r="ATK77" s="215"/>
      <c r="ATL77" s="215"/>
      <c r="ATM77" s="215"/>
      <c r="ATN77" s="215"/>
      <c r="ATO77" s="215"/>
      <c r="ATP77" s="215"/>
      <c r="ATQ77" s="215"/>
      <c r="ATR77" s="215"/>
      <c r="ATS77" s="215"/>
      <c r="ATT77" s="215"/>
      <c r="ATU77" s="215"/>
      <c r="ATV77" s="215"/>
      <c r="ATW77" s="215"/>
      <c r="ATX77" s="215"/>
      <c r="ATY77" s="215"/>
      <c r="ATZ77" s="215"/>
      <c r="AUA77" s="215"/>
      <c r="AUB77" s="215"/>
      <c r="AUC77" s="215"/>
      <c r="AUD77" s="215"/>
      <c r="AUE77" s="215"/>
      <c r="AUF77" s="215"/>
      <c r="AUG77" s="215"/>
      <c r="AUH77" s="215"/>
      <c r="AUI77" s="215"/>
      <c r="AUJ77" s="215"/>
      <c r="AUK77" s="215"/>
      <c r="AUL77" s="215"/>
      <c r="AUM77" s="215"/>
      <c r="AUN77" s="215"/>
      <c r="AUO77" s="215"/>
      <c r="AUP77" s="215"/>
      <c r="AUQ77" s="215"/>
      <c r="AUR77" s="215"/>
      <c r="AUS77" s="215"/>
      <c r="AUT77" s="215"/>
      <c r="AUU77" s="215"/>
      <c r="AUV77" s="215"/>
      <c r="AUW77" s="215"/>
      <c r="AUX77" s="215"/>
      <c r="AUY77" s="215"/>
      <c r="AUZ77" s="215"/>
      <c r="AVA77" s="215"/>
      <c r="AVB77" s="215"/>
      <c r="AVC77" s="215"/>
      <c r="AVD77" s="215"/>
      <c r="AVE77" s="215"/>
      <c r="AVF77" s="215"/>
      <c r="AVG77" s="215"/>
      <c r="AVH77" s="215"/>
      <c r="AVI77" s="215"/>
      <c r="AVJ77" s="215"/>
      <c r="AVK77" s="215"/>
      <c r="AVL77" s="215"/>
      <c r="AVM77" s="215"/>
      <c r="AVN77" s="215"/>
      <c r="AVO77" s="215"/>
      <c r="AVP77" s="215"/>
      <c r="AVQ77" s="215"/>
      <c r="AVR77" s="215"/>
      <c r="AVS77" s="215"/>
      <c r="AVT77" s="215"/>
      <c r="AVU77" s="215"/>
      <c r="AVV77" s="215"/>
      <c r="AVW77" s="215"/>
      <c r="AVX77" s="215"/>
      <c r="AVY77" s="215"/>
      <c r="AVZ77" s="215"/>
      <c r="AWA77" s="215"/>
      <c r="AWB77" s="215"/>
      <c r="AWC77" s="215"/>
      <c r="AWD77" s="215"/>
      <c r="AWE77" s="215"/>
      <c r="AWF77" s="215"/>
      <c r="AWG77" s="215"/>
      <c r="AWH77" s="215"/>
      <c r="AWI77" s="215"/>
      <c r="AWJ77" s="215"/>
      <c r="AWK77" s="215"/>
      <c r="AWL77" s="215"/>
      <c r="AWM77" s="215"/>
      <c r="AWN77" s="215"/>
      <c r="AWO77" s="215"/>
      <c r="AWP77" s="215"/>
      <c r="AWQ77" s="215"/>
      <c r="AWR77" s="215"/>
      <c r="AWS77" s="215"/>
      <c r="AWT77" s="215"/>
      <c r="AWU77" s="215"/>
      <c r="AWV77" s="215"/>
      <c r="AWW77" s="215"/>
      <c r="AWX77" s="215"/>
      <c r="AWY77" s="215"/>
      <c r="AWZ77" s="215"/>
      <c r="AXA77" s="215"/>
      <c r="AXB77" s="215"/>
      <c r="AXC77" s="215"/>
      <c r="AXD77" s="215"/>
      <c r="AXE77" s="215"/>
      <c r="AXF77" s="215"/>
      <c r="AXG77" s="215"/>
      <c r="AXH77" s="215"/>
      <c r="AXI77" s="215"/>
      <c r="AXJ77" s="215"/>
      <c r="AXK77" s="215"/>
      <c r="AXL77" s="215"/>
      <c r="AXM77" s="215"/>
      <c r="AXN77" s="215"/>
      <c r="AXO77" s="215"/>
      <c r="AXP77" s="215"/>
      <c r="AXQ77" s="215"/>
      <c r="AXR77" s="215"/>
      <c r="AXS77" s="215"/>
      <c r="AXT77" s="215"/>
      <c r="AXU77" s="215"/>
      <c r="AXV77" s="215"/>
      <c r="AXW77" s="215"/>
      <c r="AXX77" s="215"/>
      <c r="AXY77" s="215"/>
      <c r="AXZ77" s="215"/>
      <c r="AYA77" s="215"/>
      <c r="AYB77" s="215"/>
      <c r="AYC77" s="215"/>
      <c r="AYD77" s="215"/>
      <c r="AYE77" s="215"/>
      <c r="AYF77" s="215"/>
      <c r="AYG77" s="215"/>
      <c r="AYH77" s="215"/>
      <c r="AYI77" s="215"/>
      <c r="AYJ77" s="215"/>
      <c r="AYK77" s="215"/>
      <c r="AYL77" s="215"/>
      <c r="AYM77" s="215"/>
      <c r="AYN77" s="215"/>
      <c r="AYO77" s="215"/>
      <c r="AYP77" s="215"/>
      <c r="AYQ77" s="215"/>
      <c r="AYR77" s="215"/>
      <c r="AYS77" s="215"/>
      <c r="AYT77" s="215"/>
      <c r="AYU77" s="215"/>
      <c r="AYV77" s="215"/>
      <c r="AYW77" s="215"/>
      <c r="AYX77" s="215"/>
      <c r="AYY77" s="215"/>
      <c r="AYZ77" s="215"/>
      <c r="AZA77" s="215"/>
      <c r="AZB77" s="215"/>
      <c r="AZC77" s="215"/>
      <c r="AZD77" s="215"/>
      <c r="AZE77" s="215"/>
      <c r="AZF77" s="215"/>
      <c r="AZG77" s="215"/>
      <c r="AZH77" s="215"/>
      <c r="AZI77" s="215"/>
      <c r="AZJ77" s="215"/>
      <c r="AZK77" s="215"/>
      <c r="AZL77" s="215"/>
      <c r="AZM77" s="215"/>
      <c r="AZN77" s="215"/>
      <c r="AZO77" s="215"/>
      <c r="AZP77" s="215"/>
      <c r="AZQ77" s="215"/>
      <c r="AZR77" s="215"/>
      <c r="AZS77" s="215"/>
      <c r="AZT77" s="215"/>
      <c r="AZU77" s="215"/>
      <c r="AZV77" s="215"/>
      <c r="AZW77" s="215"/>
      <c r="AZX77" s="215"/>
      <c r="AZY77" s="215"/>
      <c r="AZZ77" s="215"/>
      <c r="BAA77" s="215"/>
      <c r="BAB77" s="215"/>
      <c r="BAC77" s="215"/>
      <c r="BAD77" s="215"/>
      <c r="BAE77" s="215"/>
      <c r="BAF77" s="215"/>
      <c r="BAG77" s="215"/>
      <c r="BAH77" s="215"/>
      <c r="BAI77" s="215"/>
      <c r="BAJ77" s="215"/>
      <c r="BAK77" s="215"/>
      <c r="BAL77" s="215"/>
      <c r="BAM77" s="215"/>
      <c r="BAN77" s="215"/>
      <c r="BAO77" s="215"/>
      <c r="BAP77" s="215"/>
      <c r="BAQ77" s="215"/>
      <c r="BAR77" s="215"/>
      <c r="BAS77" s="215"/>
      <c r="BAT77" s="215"/>
      <c r="BAU77" s="215"/>
      <c r="BAV77" s="215"/>
      <c r="BAW77" s="215"/>
      <c r="BAX77" s="215"/>
      <c r="BAY77" s="215"/>
      <c r="BAZ77" s="215"/>
      <c r="BBA77" s="215"/>
      <c r="BBB77" s="215"/>
      <c r="BBC77" s="215"/>
      <c r="BBD77" s="215"/>
      <c r="BBE77" s="215"/>
      <c r="BBF77" s="215"/>
      <c r="BBG77" s="215"/>
      <c r="BBH77" s="215"/>
      <c r="BBI77" s="215"/>
      <c r="BBJ77" s="215"/>
      <c r="BBK77" s="215"/>
      <c r="BBL77" s="215"/>
      <c r="BBM77" s="215"/>
      <c r="BBN77" s="215"/>
      <c r="BBO77" s="215"/>
      <c r="BBP77" s="215"/>
      <c r="BBQ77" s="215"/>
      <c r="BBR77" s="215"/>
      <c r="BBS77" s="215"/>
      <c r="BBT77" s="215"/>
      <c r="BBU77" s="215"/>
      <c r="BBV77" s="215"/>
      <c r="BBW77" s="215"/>
      <c r="BBX77" s="215"/>
      <c r="BBY77" s="215"/>
      <c r="BBZ77" s="215"/>
      <c r="BCA77" s="215"/>
      <c r="BCB77" s="215"/>
      <c r="BCC77" s="215"/>
      <c r="BCD77" s="215"/>
      <c r="BCE77" s="215"/>
      <c r="BCF77" s="215"/>
      <c r="BCG77" s="215"/>
      <c r="BCH77" s="215"/>
      <c r="BCI77" s="215"/>
      <c r="BCJ77" s="215"/>
      <c r="BCK77" s="215"/>
      <c r="BCL77" s="215"/>
      <c r="BCM77" s="215"/>
      <c r="BCN77" s="215"/>
      <c r="BCO77" s="215"/>
      <c r="BCP77" s="215"/>
      <c r="BCQ77" s="215"/>
      <c r="BCR77" s="215"/>
      <c r="BCS77" s="215"/>
      <c r="BCT77" s="215"/>
      <c r="BCU77" s="215"/>
      <c r="BCV77" s="215"/>
      <c r="BCW77" s="215"/>
      <c r="BCX77" s="215"/>
      <c r="BCY77" s="215"/>
      <c r="BCZ77" s="215"/>
      <c r="BDA77" s="215"/>
      <c r="BDB77" s="215"/>
      <c r="BDC77" s="215"/>
      <c r="BDD77" s="215"/>
      <c r="BDE77" s="215"/>
      <c r="BDF77" s="215"/>
      <c r="BDG77" s="215"/>
      <c r="BDH77" s="215"/>
      <c r="BDI77" s="215"/>
      <c r="BDJ77" s="215"/>
      <c r="BDK77" s="215"/>
      <c r="BDL77" s="215"/>
      <c r="BDM77" s="215"/>
      <c r="BDN77" s="215"/>
      <c r="BDO77" s="215"/>
      <c r="BDP77" s="215"/>
      <c r="BDQ77" s="215"/>
      <c r="BDR77" s="215"/>
      <c r="BDS77" s="215"/>
      <c r="BDT77" s="215"/>
      <c r="BDU77" s="215"/>
      <c r="BDV77" s="215"/>
      <c r="BDW77" s="215"/>
      <c r="BDX77" s="215"/>
      <c r="BDY77" s="215"/>
      <c r="BDZ77" s="215"/>
      <c r="BEA77" s="215"/>
      <c r="BEB77" s="215"/>
      <c r="BEC77" s="215"/>
      <c r="BED77" s="215"/>
      <c r="BEE77" s="215"/>
      <c r="BEF77" s="215"/>
      <c r="BEG77" s="215"/>
      <c r="BEH77" s="215"/>
      <c r="BEI77" s="215"/>
      <c r="BEJ77" s="215"/>
      <c r="BEK77" s="215"/>
      <c r="BEL77" s="215"/>
      <c r="BEM77" s="215"/>
      <c r="BEN77" s="215"/>
      <c r="BEO77" s="215"/>
      <c r="BEP77" s="215"/>
      <c r="BEQ77" s="215"/>
      <c r="BER77" s="215"/>
      <c r="BES77" s="215"/>
      <c r="BET77" s="215"/>
      <c r="BEU77" s="215"/>
      <c r="BEV77" s="215"/>
      <c r="BEW77" s="215"/>
      <c r="BEX77" s="215"/>
      <c r="BEY77" s="215"/>
      <c r="BEZ77" s="215"/>
      <c r="BFA77" s="215"/>
      <c r="BFB77" s="215"/>
      <c r="BFC77" s="215"/>
      <c r="BFD77" s="215"/>
      <c r="BFE77" s="215"/>
      <c r="BFF77" s="215"/>
      <c r="BFG77" s="215"/>
      <c r="BFH77" s="215"/>
      <c r="BFI77" s="215"/>
      <c r="BFJ77" s="215"/>
      <c r="BFK77" s="215"/>
      <c r="BFL77" s="215"/>
      <c r="BFM77" s="215"/>
      <c r="BFN77" s="215"/>
      <c r="BFO77" s="215"/>
      <c r="BFP77" s="215"/>
      <c r="BFQ77" s="215"/>
      <c r="BFR77" s="215"/>
      <c r="BFS77" s="215"/>
      <c r="BFT77" s="215"/>
      <c r="BFU77" s="215"/>
      <c r="BFV77" s="215"/>
      <c r="BFW77" s="215"/>
      <c r="BFX77" s="215"/>
      <c r="BFY77" s="215"/>
      <c r="BFZ77" s="215"/>
      <c r="BGA77" s="215"/>
      <c r="BGB77" s="215"/>
      <c r="BGC77" s="215"/>
      <c r="BGD77" s="215"/>
      <c r="BGE77" s="215"/>
      <c r="BGF77" s="215"/>
      <c r="BGG77" s="215"/>
      <c r="BGH77" s="215"/>
      <c r="BGI77" s="215"/>
      <c r="BGJ77" s="215"/>
      <c r="BGK77" s="215"/>
      <c r="BGL77" s="215"/>
      <c r="BGM77" s="215"/>
      <c r="BGN77" s="215"/>
      <c r="BGO77" s="215"/>
      <c r="BGP77" s="215"/>
      <c r="BGQ77" s="215"/>
      <c r="BGR77" s="215"/>
      <c r="BGS77" s="215"/>
      <c r="BGT77" s="215"/>
      <c r="BGU77" s="215"/>
      <c r="BGV77" s="215"/>
      <c r="BGW77" s="215"/>
      <c r="BGX77" s="215"/>
      <c r="BGY77" s="215"/>
      <c r="BGZ77" s="215"/>
      <c r="BHA77" s="215"/>
      <c r="BHB77" s="215"/>
      <c r="BHC77" s="215"/>
      <c r="BHD77" s="215"/>
      <c r="BHE77" s="215"/>
      <c r="BHF77" s="215"/>
      <c r="BHG77" s="215"/>
      <c r="BHH77" s="215"/>
      <c r="BHI77" s="215"/>
      <c r="BHJ77" s="215"/>
      <c r="BHK77" s="215"/>
      <c r="BHL77" s="215"/>
      <c r="BHM77" s="215"/>
      <c r="BHN77" s="215"/>
      <c r="BHO77" s="215"/>
      <c r="BHP77" s="215"/>
      <c r="BHQ77" s="215"/>
      <c r="BHR77" s="215"/>
      <c r="BHS77" s="215"/>
      <c r="BHT77" s="215"/>
      <c r="BHU77" s="215"/>
      <c r="BHV77" s="215"/>
      <c r="BHW77" s="215"/>
    </row>
    <row r="78" spans="1:1583" s="217" customFormat="1">
      <c r="A78" s="252" t="s">
        <v>26</v>
      </c>
      <c r="B78" s="255"/>
      <c r="C78" s="255"/>
      <c r="D78" s="423" t="s">
        <v>623</v>
      </c>
      <c r="E78" s="59" t="s">
        <v>24</v>
      </c>
      <c r="F78" s="132"/>
      <c r="G78" s="60" t="s">
        <v>732</v>
      </c>
      <c r="H78" s="473">
        <f t="shared" si="21"/>
        <v>18886.2081</v>
      </c>
      <c r="I78" s="96">
        <f>(Analysis!J91*0/100)+(Analysis!J94*32240.97/100)+(Analysis!J93*0/100)+(Analysis!J95*57767.83/100)+(Analysis!J96*83403.49/100)+(Analysis!J97*110399.5/100)+(Analysis!J98*139978/100)+(Analysis!J90*9689.76/100)+(11341.61*Analysis!J92/100)</f>
        <v>18886.2081</v>
      </c>
      <c r="J78" s="437"/>
      <c r="K78" s="96">
        <f>(Analysis!L91*0/100)+(Analysis!L94*32240.97/100)+(Analysis!L93*0/100)+(Analysis!L95*57767.83/100)+(Analysis!L96*83403.49/100)+(Analysis!L97*110399.5/100)+(Analysis!L98*139978/100)+(Analysis!L90*9689.76/100)+(11341.61*Analysis!L92/100)</f>
        <v>18886.2081</v>
      </c>
      <c r="L78" s="96">
        <f>(Analysis!M91*0/100)+(Analysis!M94*32240.97/100)+(Analysis!M93*0/100)+(Analysis!M95*57767.83/100)+(Analysis!M96*83403.49/100)+(Analysis!M97*110399.5/100)+(Analysis!M98*139978/100)+(Analysis!M90*9689.76/100)+(11341.61*Analysis!M92/100)</f>
        <v>18886.2081</v>
      </c>
      <c r="M78" s="96">
        <f>(Analysis!N91*0/100)+(Analysis!N94*32240.97/100)+(Analysis!N93*0/100)+(Analysis!N95*57767.83/100)+(Analysis!N96*83403.49/100)+(Analysis!N97*110399.5/100)+(Analysis!N98*139978/100)+(Analysis!N90*9689.76/100)+(11341.61*Analysis!N92/100)</f>
        <v>18886.2081</v>
      </c>
      <c r="N78" s="96">
        <f>(Analysis!O91*0/100)+(Analysis!O94*32240.97/100)+(Analysis!O93*0/100)+(Analysis!O95*57767.83/100)+(Analysis!O96*83403.49/100)+(Analysis!O97*110399.5/100)+(Analysis!O98*139978/100)+(Analysis!O90*9689.76/100)+(11341.61*Analysis!O92/100)</f>
        <v>18886.2081</v>
      </c>
      <c r="O78" s="96">
        <f>(Analysis!P91*0/100)+(Analysis!P94*32240.97/100)+(Analysis!P93*0/100)+(Analysis!P95*57767.83/100)+(Analysis!P96*83403.49/100)+(Analysis!P97*110399.5/100)+(Analysis!P98*139978/100)+(Analysis!P90*9689.76/100)+(11341.61*Analysis!P92/100)</f>
        <v>18886.2081</v>
      </c>
      <c r="P78" s="96">
        <f>(Analysis!Q91*0/100)+(Analysis!Q94*32240.97/100)+(Analysis!Q93*0/100)+(Analysis!Q95*57767.83/100)+(Analysis!Q96*83403.49/100)+(Analysis!Q97*110399.5/100)+(Analysis!Q98*139978/100)+(Analysis!Q90*9689.76/100)+(11341.61*Analysis!Q92/100)</f>
        <v>18886.2081</v>
      </c>
      <c r="Q78" s="96">
        <f>(Analysis!R91*0/100)+(Analysis!R94*32240.97/100)+(Analysis!R93*0/100)+(Analysis!R95*57767.83/100)+(Analysis!R96*83403.49/100)+(Analysis!R97*110399.5/100)+(Analysis!R98*139978/100)+(Analysis!R90*9689.76/100)+(11341.61*Analysis!R92/100)</f>
        <v>18886.2081</v>
      </c>
      <c r="R78" s="96">
        <f>(Analysis!S91*0/100)+(Analysis!S94*32240.97/100)+(Analysis!S93*0/100)+(Analysis!S95*57767.83/100)+(Analysis!S96*83403.49/100)+(Analysis!S97*110399.5/100)+(Analysis!S98*139978/100)+(Analysis!S90*9689.76/100)+(11341.61*Analysis!S92/100)</f>
        <v>18886.2081</v>
      </c>
      <c r="S78" s="96">
        <f>(Analysis!T91*0/100)+(Analysis!T94*32240.97/100)+(Analysis!T93*0/100)+(Analysis!T95*57767.83/100)+(Analysis!T96*83403.49/100)+(Analysis!T97*110399.5/100)+(Analysis!T98*139978/100)+(Analysis!T90*9689.76/100)+(11341.61*Analysis!T92/100)</f>
        <v>18886.2081</v>
      </c>
      <c r="T78" s="96">
        <f>(Analysis!U91*0/100)+(Analysis!U94*32240.97/100)+(Analysis!U93*0/100)+(Analysis!U95*57767.83/100)+(Analysis!U96*83403.49/100)+(Analysis!U97*110399.5/100)+(Analysis!U98*139978/100)+(Analysis!U90*9689.76/100)+(11341.61*Analysis!U92/100)</f>
        <v>18886.2081</v>
      </c>
      <c r="U78" s="96">
        <f>(Analysis!V91*0/100)+(Analysis!V94*32240.97/100)+(Analysis!V93*0/100)+(Analysis!V95*57767.83/100)+(Analysis!V96*83403.49/100)+(Analysis!V97*110399.5/100)+(Analysis!V98*139978/100)+(Analysis!V90*9689.76/100)+(11341.61*Analysis!V92/100)</f>
        <v>18886.2081</v>
      </c>
      <c r="V78" s="96">
        <f>(Analysis!W91*0/100)+(Analysis!W94*32240.97/100)+(Analysis!W93*0/100)+(Analysis!W95*57767.83/100)+(Analysis!W96*83403.49/100)+(Analysis!W97*110399.5/100)+(Analysis!W98*139978/100)+(Analysis!W90*9689.76/100)+(11341.61*Analysis!W92/100)</f>
        <v>18886.2081</v>
      </c>
      <c r="W78" s="96">
        <f>(Analysis!X91*0/100)+(Analysis!X94*32240.97/100)+(Analysis!X93*0/100)+(Analysis!X95*57767.83/100)+(Analysis!X96*83403.49/100)+(Analysis!X97*110399.5/100)+(Analysis!X98*139978/100)+(Analysis!X90*9689.76/100)+(11341.61*Analysis!X92/100)</f>
        <v>18886.2081</v>
      </c>
      <c r="X78" s="96">
        <f>(Analysis!Y91*0/100)+(Analysis!Y94*32240.97/100)+(Analysis!Y93*0/100)+(Analysis!Y95*57767.83/100)+(Analysis!Y96*83403.49/100)+(Analysis!Y97*110399.5/100)+(Analysis!Y98*139978/100)+(Analysis!Y90*9689.76/100)+(11341.61*Analysis!Y92/100)</f>
        <v>18886.2081</v>
      </c>
      <c r="Y78" s="96">
        <f>(Analysis!Z91*0/100)+(Analysis!Z94*32240.97/100)+(Analysis!Z93*0/100)+(Analysis!Z95*57767.83/100)+(Analysis!Z96*83403.49/100)+(Analysis!Z97*110399.5/100)+(Analysis!Z98*139978/100)+(Analysis!Z90*9689.76/100)+(11341.61*Analysis!Z92/100)</f>
        <v>18886.2081</v>
      </c>
      <c r="Z78" s="96">
        <f>(Analysis!AA91*0/100)+(Analysis!AA94*32240.97/100)+(Analysis!AA93*0/100)+(Analysis!AA95*57767.83/100)+(Analysis!AA96*83403.49/100)+(Analysis!AA97*110399.5/100)+(Analysis!AA98*139978/100)+(Analysis!AA90*9689.76/100)+(11341.61*Analysis!AA92/100)</f>
        <v>18886.2081</v>
      </c>
      <c r="AA78" s="96">
        <f>(Analysis!AB91*0/100)+(Analysis!AB94*32240.97/100)+(Analysis!AB93*0/100)+(Analysis!AB95*57767.83/100)+(Analysis!AB96*83403.49/100)+(Analysis!AB97*110399.5/100)+(Analysis!AB98*139978/100)+(Analysis!AB90*9689.76/100)+(11341.61*Analysis!AB92/100)</f>
        <v>18886.2081</v>
      </c>
      <c r="AB78" s="96">
        <f>(Analysis!AC91*0/100)+(Analysis!AC94*32240.97/100)+(Analysis!AC93*0/100)+(Analysis!AC95*57767.83/100)+(Analysis!AC96*83403.49/100)+(Analysis!AC97*110399.5/100)+(Analysis!AC98*139978/100)+(Analysis!AC90*9689.76/100)+(11341.61*Analysis!AC92/100)</f>
        <v>18886.2081</v>
      </c>
      <c r="AC78" s="96">
        <f>(Analysis!AD91*0/100)+(Analysis!AD94*32240.97/100)+(Analysis!AD93*0/100)+(Analysis!AD95*57767.83/100)+(Analysis!AD96*83403.49/100)+(Analysis!AD97*110399.5/100)+(Analysis!AD98*139978/100)+(Analysis!AD90*9689.76/100)+(11341.61*Analysis!AD92/100)</f>
        <v>18886.2081</v>
      </c>
      <c r="AD78" s="96">
        <f>(Analysis!AE91*0/100)+(Analysis!AE94*32240.97/100)+(Analysis!AE93*0/100)+(Analysis!AE95*57767.83/100)+(Analysis!AE96*83403.49/100)+(Analysis!AE97*110399.5/100)+(Analysis!AE98*139978/100)+(Analysis!AE90*9689.76/100)+(11341.61*Analysis!AE92/100)</f>
        <v>18886.2081</v>
      </c>
      <c r="AE78" s="96">
        <f>(Analysis!AF91*0/100)+(Analysis!AF94*32240.97/100)+(Analysis!AF93*0/100)+(Analysis!AF95*57767.83/100)+(Analysis!AF96*83403.49/100)+(Analysis!AF97*110399.5/100)+(Analysis!AF98*139978/100)+(Analysis!AF90*9689.76/100)+(11341.61*Analysis!AF92/100)</f>
        <v>18886.2081</v>
      </c>
      <c r="AF78" s="96">
        <f>(Analysis!AG91*0/100)+(Analysis!AG94*32240.97/100)+(Analysis!AG93*0/100)+(Analysis!AG95*57767.83/100)+(Analysis!AG96*83403.49/100)+(Analysis!AG97*110399.5/100)+(Analysis!AG98*139978/100)+(Analysis!AG90*9689.76/100)+(11341.61*Analysis!AG92/100)</f>
        <v>18886.2081</v>
      </c>
      <c r="AG78" s="96">
        <f>(Analysis!AH91*0/100)+(Analysis!AH94*32240.97/100)+(Analysis!AH93*0/100)+(Analysis!AH95*57767.83/100)+(Analysis!AH96*83403.49/100)+(Analysis!AH97*110399.5/100)+(Analysis!AH98*139978/100)+(Analysis!AH90*9689.76/100)+(11341.61*Analysis!AH92/100)</f>
        <v>18886.2081</v>
      </c>
      <c r="AH78" s="96">
        <f>(Analysis!AI91*0/100)+(Analysis!AI94*32240.97/100)+(Analysis!AI93*0/100)+(Analysis!AI95*57767.83/100)+(Analysis!AI96*83403.49/100)+(Analysis!AI97*110399.5/100)+(Analysis!AI98*139978/100)+(Analysis!AI90*9689.76/100)+(11341.61*Analysis!AI92/100)</f>
        <v>18886.2081</v>
      </c>
      <c r="AI78" s="96">
        <f>(Analysis!AJ91*0/100)+(Analysis!AJ94*32240.97/100)+(Analysis!AJ93*0/100)+(Analysis!AJ95*57767.83/100)+(Analysis!AJ96*83403.49/100)+(Analysis!AJ97*110399.5/100)+(Analysis!AJ98*139978/100)+(Analysis!AJ90*9689.76/100)+(11341.61*Analysis!AJ92/100)</f>
        <v>18886.2081</v>
      </c>
      <c r="AJ78" s="96">
        <f>(Analysis!AK91*0/100)+(Analysis!AK94*32240.97/100)+(Analysis!AK93*0/100)+(Analysis!AK95*57767.83/100)+(Analysis!AK96*83403.49/100)+(Analysis!AK97*110399.5/100)+(Analysis!AK98*139978/100)+(Analysis!AK90*9689.76/100)+(11341.61*Analysis!AK92/100)</f>
        <v>18886.2081</v>
      </c>
      <c r="AK78" s="96">
        <f>(Analysis!AL91*0/100)+(Analysis!AL94*32240.97/100)+(Analysis!AL93*0/100)+(Analysis!AL95*57767.83/100)+(Analysis!AL96*83403.49/100)+(Analysis!AL97*110399.5/100)+(Analysis!AL98*139978/100)+(Analysis!AL90*9689.76/100)+(11341.61*Analysis!AL92/100)</f>
        <v>18886.2081</v>
      </c>
      <c r="AL78" s="96">
        <f>(Analysis!AM91*0/100)+(Analysis!AM94*32240.97/100)+(Analysis!AM93*0/100)+(Analysis!AM95*57767.83/100)+(Analysis!AM96*83403.49/100)+(Analysis!AM97*110399.5/100)+(Analysis!AM98*139978/100)+(Analysis!AM90*9689.76/100)+(11341.61*Analysis!AM92/100)</f>
        <v>18886.2081</v>
      </c>
      <c r="AM78" s="96">
        <f>(Analysis!AN91*0/100)+(Analysis!AN94*32240.97/100)+(Analysis!AN93*0/100)+(Analysis!AN95*57767.83/100)+(Analysis!AN96*83403.49/100)+(Analysis!AN97*110399.5/100)+(Analysis!AN98*139978/100)+(Analysis!AN90*9689.76/100)+(11341.61*Analysis!AN92/100)</f>
        <v>18886.2081</v>
      </c>
      <c r="AN78" s="96">
        <f>(Analysis!AO91*0/100)+(Analysis!AO94*32240.97/100)+(Analysis!AO93*0/100)+(Analysis!AO95*57767.83/100)+(Analysis!AO96*83403.49/100)+(Analysis!AO97*110399.5/100)+(Analysis!AO98*139978/100)+(Analysis!AO90*9689.76/100)+(11341.61*Analysis!AO92/100)</f>
        <v>18886.2081</v>
      </c>
      <c r="AO78" s="214"/>
      <c r="AP78" s="214"/>
      <c r="AQ78" s="214"/>
      <c r="AR78" s="214"/>
      <c r="AS78" s="214"/>
      <c r="AT78" s="214"/>
      <c r="AU78" s="214"/>
      <c r="AV78" s="214"/>
      <c r="AW78" s="214"/>
      <c r="AX78" s="214"/>
      <c r="AY78" s="214"/>
      <c r="AZ78" s="214"/>
      <c r="BA78" s="214"/>
      <c r="BB78" s="214"/>
      <c r="BC78" s="214"/>
      <c r="BD78" s="214"/>
      <c r="BE78" s="214"/>
      <c r="BF78" s="214"/>
      <c r="BG78" s="214"/>
      <c r="BH78" s="214"/>
      <c r="BI78" s="214"/>
      <c r="BJ78" s="214"/>
      <c r="BK78" s="214"/>
      <c r="BL78" s="214"/>
      <c r="BM78" s="214"/>
      <c r="BN78" s="214"/>
      <c r="BO78" s="214"/>
      <c r="BP78" s="214"/>
      <c r="BQ78" s="214"/>
      <c r="BR78" s="214"/>
      <c r="BS78" s="214"/>
      <c r="BT78" s="214"/>
      <c r="BU78" s="214"/>
      <c r="BV78" s="214"/>
      <c r="BW78" s="214"/>
      <c r="BX78" s="214"/>
      <c r="BY78" s="214"/>
      <c r="BZ78" s="214"/>
      <c r="CA78" s="214"/>
      <c r="CB78" s="214"/>
      <c r="CC78" s="214"/>
      <c r="CD78" s="214"/>
      <c r="CE78" s="214"/>
      <c r="CF78" s="214"/>
      <c r="CG78" s="214"/>
      <c r="CH78" s="214"/>
      <c r="CI78" s="214"/>
      <c r="CJ78" s="214"/>
      <c r="CK78" s="214"/>
      <c r="CL78" s="214"/>
      <c r="CM78" s="214"/>
      <c r="CN78" s="214"/>
      <c r="CO78" s="214"/>
      <c r="CP78" s="214"/>
      <c r="CQ78" s="214"/>
      <c r="CR78" s="214"/>
      <c r="CS78" s="214"/>
      <c r="CT78" s="214"/>
      <c r="CU78" s="214"/>
      <c r="CV78" s="214"/>
      <c r="CW78" s="214"/>
      <c r="CX78" s="214"/>
      <c r="CY78" s="214"/>
      <c r="CZ78" s="214"/>
      <c r="DA78" s="214"/>
      <c r="DB78" s="214"/>
      <c r="DC78" s="214"/>
      <c r="DD78" s="214"/>
      <c r="DE78" s="214"/>
      <c r="DF78" s="214"/>
      <c r="DG78" s="214"/>
      <c r="DH78" s="214"/>
      <c r="DI78" s="214"/>
      <c r="DJ78" s="214"/>
      <c r="DK78" s="214"/>
      <c r="DL78" s="214"/>
      <c r="DM78" s="214"/>
      <c r="DN78" s="214"/>
      <c r="DO78" s="214"/>
      <c r="DP78" s="214"/>
      <c r="DQ78" s="214"/>
      <c r="DR78" s="214"/>
      <c r="DS78" s="214"/>
      <c r="DT78" s="214"/>
      <c r="DU78" s="214"/>
      <c r="DV78" s="214"/>
      <c r="DW78" s="214"/>
      <c r="DX78" s="214"/>
      <c r="DY78" s="214"/>
      <c r="DZ78" s="214"/>
      <c r="EA78" s="214"/>
      <c r="EB78" s="214"/>
      <c r="EC78" s="214"/>
      <c r="ED78" s="214"/>
      <c r="EE78" s="214"/>
      <c r="EF78" s="214"/>
      <c r="EG78" s="214"/>
      <c r="EH78" s="214"/>
      <c r="EI78" s="214"/>
      <c r="EJ78" s="214"/>
      <c r="EK78" s="214"/>
      <c r="EL78" s="214"/>
      <c r="EM78" s="214"/>
      <c r="EN78" s="214"/>
      <c r="EO78" s="214"/>
      <c r="EP78" s="214"/>
      <c r="EQ78" s="214"/>
      <c r="ER78" s="214"/>
      <c r="ES78" s="214"/>
      <c r="ET78" s="214"/>
      <c r="EU78" s="214"/>
      <c r="EV78" s="214"/>
      <c r="EW78" s="214"/>
      <c r="EX78" s="214"/>
      <c r="EY78" s="214"/>
      <c r="EZ78" s="214"/>
      <c r="FA78" s="214"/>
      <c r="FB78" s="214"/>
      <c r="FC78" s="214"/>
      <c r="FD78" s="214"/>
      <c r="FE78" s="214"/>
      <c r="FF78" s="214"/>
      <c r="FG78" s="214"/>
      <c r="FH78" s="214"/>
      <c r="FI78" s="214"/>
      <c r="FJ78" s="214"/>
      <c r="FK78" s="214"/>
      <c r="FL78" s="214"/>
      <c r="FM78" s="214"/>
      <c r="FN78" s="214"/>
      <c r="FO78" s="214"/>
      <c r="FP78" s="214"/>
      <c r="FQ78" s="214"/>
      <c r="FR78" s="214"/>
      <c r="FS78" s="214"/>
      <c r="FT78" s="214"/>
      <c r="FU78" s="214"/>
      <c r="FV78" s="214"/>
      <c r="FW78" s="214"/>
      <c r="FX78" s="214"/>
      <c r="FY78" s="214"/>
      <c r="FZ78" s="214"/>
      <c r="GA78" s="214"/>
      <c r="GB78" s="214"/>
      <c r="GC78" s="214"/>
      <c r="GD78" s="214"/>
      <c r="GE78" s="214"/>
      <c r="GF78" s="214"/>
      <c r="GG78" s="214"/>
      <c r="GH78" s="214"/>
      <c r="GI78" s="214"/>
      <c r="GJ78" s="214"/>
      <c r="GK78" s="214"/>
      <c r="GL78" s="214"/>
      <c r="GM78" s="214"/>
      <c r="GN78" s="214"/>
      <c r="GO78" s="214"/>
      <c r="GP78" s="214"/>
      <c r="GQ78" s="214"/>
      <c r="GR78" s="214"/>
      <c r="GS78" s="214"/>
      <c r="GT78" s="214"/>
      <c r="GU78" s="214"/>
      <c r="GV78" s="214"/>
      <c r="GW78" s="214"/>
      <c r="GX78" s="214"/>
      <c r="GY78" s="214"/>
      <c r="GZ78" s="214"/>
      <c r="HA78" s="214"/>
      <c r="HB78" s="214"/>
      <c r="HC78" s="214"/>
      <c r="HD78" s="214"/>
      <c r="HE78" s="214"/>
      <c r="HF78" s="214"/>
      <c r="HG78" s="214"/>
      <c r="HH78" s="214"/>
      <c r="HI78" s="214"/>
      <c r="HJ78" s="214"/>
      <c r="HK78" s="214"/>
      <c r="HL78" s="214"/>
      <c r="HM78" s="214"/>
      <c r="HN78" s="214"/>
      <c r="HO78" s="214"/>
      <c r="HP78" s="214"/>
      <c r="HQ78" s="214"/>
      <c r="HR78" s="214"/>
      <c r="HS78" s="214"/>
      <c r="HT78" s="214"/>
      <c r="HU78" s="214"/>
      <c r="HV78" s="214"/>
      <c r="HW78" s="214"/>
      <c r="HX78" s="214"/>
      <c r="HY78" s="214"/>
      <c r="HZ78" s="214"/>
      <c r="IA78" s="214"/>
      <c r="IB78" s="214"/>
      <c r="IC78" s="214"/>
      <c r="ID78" s="214"/>
      <c r="IE78" s="214"/>
      <c r="IF78" s="214"/>
      <c r="IG78" s="214"/>
      <c r="IH78" s="214"/>
      <c r="II78" s="214"/>
      <c r="IJ78" s="214"/>
      <c r="IK78" s="214"/>
      <c r="IL78" s="214"/>
      <c r="IM78" s="214"/>
      <c r="IN78" s="214"/>
      <c r="IO78" s="214"/>
      <c r="IP78" s="214"/>
      <c r="IQ78" s="214"/>
      <c r="IR78" s="214"/>
      <c r="IS78" s="214"/>
      <c r="IT78" s="214"/>
      <c r="IU78" s="214"/>
      <c r="IV78" s="214"/>
      <c r="IW78" s="214"/>
      <c r="IX78" s="214"/>
      <c r="IY78" s="214"/>
      <c r="IZ78" s="214"/>
      <c r="JA78" s="214"/>
      <c r="JB78" s="214"/>
      <c r="JC78" s="214"/>
      <c r="JD78" s="214"/>
      <c r="JE78" s="214"/>
      <c r="JF78" s="214"/>
      <c r="JG78" s="214"/>
      <c r="JH78" s="214"/>
      <c r="JI78" s="214"/>
      <c r="JJ78" s="214"/>
      <c r="JK78" s="214"/>
      <c r="JL78" s="214"/>
      <c r="JM78" s="214"/>
      <c r="JN78" s="214"/>
      <c r="JO78" s="214"/>
      <c r="JP78" s="214"/>
      <c r="JQ78" s="214"/>
      <c r="JR78" s="214"/>
      <c r="JS78" s="214"/>
      <c r="JT78" s="214"/>
      <c r="JU78" s="214"/>
      <c r="JV78" s="214"/>
      <c r="JW78" s="214"/>
      <c r="JX78" s="214"/>
      <c r="JY78" s="214"/>
      <c r="JZ78" s="214"/>
      <c r="KA78" s="214"/>
      <c r="KB78" s="214"/>
      <c r="KC78" s="214"/>
      <c r="KD78" s="214"/>
      <c r="KE78" s="214"/>
      <c r="KF78" s="214"/>
      <c r="KG78" s="214"/>
      <c r="KH78" s="214"/>
      <c r="KI78" s="214"/>
      <c r="KJ78" s="214"/>
      <c r="KK78" s="214"/>
      <c r="KL78" s="214"/>
      <c r="KM78" s="214"/>
      <c r="KN78" s="214"/>
      <c r="KO78" s="214"/>
      <c r="KP78" s="214"/>
      <c r="KQ78" s="214"/>
      <c r="KR78" s="214"/>
      <c r="KS78" s="214"/>
      <c r="KT78" s="214"/>
      <c r="KU78" s="214"/>
      <c r="KV78" s="214"/>
      <c r="KW78" s="214"/>
      <c r="KX78" s="214"/>
      <c r="KY78" s="214"/>
      <c r="KZ78" s="214"/>
      <c r="LA78" s="214"/>
      <c r="LB78" s="214"/>
      <c r="LC78" s="214"/>
      <c r="LD78" s="214"/>
      <c r="LE78" s="214"/>
      <c r="LF78" s="214"/>
      <c r="LG78" s="214"/>
      <c r="LH78" s="214"/>
      <c r="LI78" s="214"/>
      <c r="LJ78" s="214"/>
      <c r="LK78" s="214"/>
      <c r="LL78" s="214"/>
      <c r="LM78" s="214"/>
      <c r="LN78" s="214"/>
      <c r="LO78" s="214"/>
      <c r="LP78" s="214"/>
      <c r="LQ78" s="214"/>
      <c r="LR78" s="214"/>
      <c r="LS78" s="214"/>
      <c r="LT78" s="214"/>
      <c r="LU78" s="214"/>
      <c r="LV78" s="214"/>
      <c r="LW78" s="214"/>
      <c r="LX78" s="214"/>
      <c r="LY78" s="214"/>
      <c r="LZ78" s="214"/>
      <c r="MA78" s="214"/>
      <c r="MB78" s="214"/>
      <c r="MC78" s="214"/>
      <c r="MD78" s="214"/>
      <c r="ME78" s="214"/>
      <c r="MF78" s="214"/>
      <c r="MG78" s="214"/>
      <c r="MH78" s="214"/>
      <c r="MI78" s="214"/>
      <c r="MJ78" s="214"/>
      <c r="MK78" s="214"/>
      <c r="ML78" s="214"/>
      <c r="MM78" s="214"/>
      <c r="MN78" s="214"/>
      <c r="MO78" s="214"/>
      <c r="MP78" s="214"/>
      <c r="MQ78" s="214"/>
      <c r="MR78" s="214"/>
      <c r="MS78" s="214"/>
      <c r="MT78" s="214"/>
      <c r="MU78" s="214"/>
      <c r="MV78" s="214"/>
      <c r="MW78" s="214"/>
      <c r="MX78" s="214"/>
      <c r="MY78" s="214"/>
      <c r="MZ78" s="214"/>
      <c r="NA78" s="214"/>
      <c r="NB78" s="214"/>
      <c r="NC78" s="214"/>
      <c r="ND78" s="214"/>
      <c r="NE78" s="214"/>
      <c r="NF78" s="214"/>
      <c r="NG78" s="214"/>
      <c r="NH78" s="214"/>
      <c r="NI78" s="214"/>
      <c r="NJ78" s="214"/>
      <c r="NK78" s="214"/>
      <c r="NL78" s="214"/>
      <c r="NM78" s="214"/>
      <c r="NN78" s="214"/>
      <c r="NO78" s="214"/>
      <c r="NP78" s="214"/>
      <c r="NQ78" s="214"/>
      <c r="NR78" s="214"/>
      <c r="NS78" s="214"/>
      <c r="NT78" s="214"/>
      <c r="NU78" s="214"/>
      <c r="NV78" s="214"/>
      <c r="NW78" s="214"/>
      <c r="NX78" s="214"/>
      <c r="NY78" s="214"/>
      <c r="NZ78" s="214"/>
      <c r="OA78" s="214"/>
      <c r="OB78" s="214"/>
      <c r="OC78" s="214"/>
      <c r="OD78" s="214"/>
      <c r="OE78" s="214"/>
      <c r="OF78" s="214"/>
      <c r="OG78" s="214"/>
      <c r="OH78" s="214"/>
      <c r="OI78" s="214"/>
      <c r="OJ78" s="214"/>
      <c r="OK78" s="214"/>
      <c r="OL78" s="214"/>
      <c r="OM78" s="214"/>
      <c r="ON78" s="214"/>
      <c r="OO78" s="214"/>
      <c r="OP78" s="214"/>
      <c r="OQ78" s="214"/>
      <c r="OR78" s="214"/>
      <c r="OS78" s="214"/>
      <c r="OT78" s="214"/>
      <c r="OU78" s="214"/>
      <c r="OV78" s="214"/>
      <c r="OW78" s="214"/>
      <c r="OX78" s="214"/>
      <c r="OY78" s="214"/>
      <c r="OZ78" s="214"/>
      <c r="PA78" s="214"/>
      <c r="PB78" s="214"/>
      <c r="PC78" s="214"/>
      <c r="PD78" s="214"/>
      <c r="PE78" s="214"/>
      <c r="PF78" s="214"/>
      <c r="PG78" s="214"/>
      <c r="PH78" s="214"/>
      <c r="PI78" s="214"/>
      <c r="PJ78" s="214"/>
      <c r="PK78" s="214"/>
      <c r="PL78" s="214"/>
      <c r="PM78" s="214"/>
      <c r="PN78" s="214"/>
      <c r="PO78" s="214"/>
      <c r="PP78" s="214"/>
      <c r="PQ78" s="214"/>
      <c r="PR78" s="214"/>
      <c r="PS78" s="214"/>
      <c r="PT78" s="214"/>
      <c r="PU78" s="214"/>
      <c r="PV78" s="214"/>
      <c r="PW78" s="214"/>
      <c r="PX78" s="214"/>
      <c r="PY78" s="214"/>
      <c r="PZ78" s="214"/>
      <c r="QA78" s="214"/>
      <c r="QB78" s="214"/>
      <c r="QC78" s="214"/>
      <c r="QD78" s="214"/>
      <c r="QE78" s="214"/>
      <c r="QF78" s="214"/>
      <c r="QG78" s="214"/>
      <c r="QH78" s="214"/>
      <c r="QI78" s="214"/>
      <c r="QJ78" s="214"/>
      <c r="QK78" s="214"/>
      <c r="QL78" s="214"/>
      <c r="QM78" s="214"/>
      <c r="QN78" s="214"/>
      <c r="QO78" s="214"/>
      <c r="QP78" s="214"/>
      <c r="QQ78" s="214"/>
      <c r="QR78" s="214"/>
      <c r="QS78" s="214"/>
      <c r="QT78" s="214"/>
      <c r="QU78" s="214"/>
      <c r="QV78" s="214"/>
      <c r="QW78" s="214"/>
      <c r="QX78" s="214"/>
      <c r="QY78" s="214"/>
      <c r="QZ78" s="214"/>
      <c r="RA78" s="214"/>
      <c r="RB78" s="214"/>
      <c r="RC78" s="214"/>
      <c r="RD78" s="214"/>
      <c r="RE78" s="214"/>
      <c r="RF78" s="214"/>
      <c r="RG78" s="214"/>
      <c r="RH78" s="214"/>
      <c r="RI78" s="214"/>
      <c r="RJ78" s="214"/>
      <c r="RK78" s="214"/>
      <c r="RL78" s="214"/>
      <c r="RM78" s="214"/>
      <c r="RN78" s="214"/>
      <c r="RO78" s="214"/>
      <c r="RP78" s="214"/>
      <c r="RQ78" s="214"/>
      <c r="RR78" s="214"/>
      <c r="RS78" s="214"/>
      <c r="RT78" s="214"/>
      <c r="RU78" s="214"/>
      <c r="RV78" s="214"/>
      <c r="RW78" s="214"/>
      <c r="RX78" s="214"/>
      <c r="RY78" s="214"/>
      <c r="RZ78" s="214"/>
      <c r="SA78" s="214"/>
      <c r="SB78" s="214"/>
      <c r="SC78" s="214"/>
      <c r="SD78" s="214"/>
      <c r="SE78" s="214"/>
      <c r="SF78" s="214"/>
      <c r="SG78" s="214"/>
      <c r="SH78" s="214"/>
      <c r="SI78" s="214"/>
      <c r="SJ78" s="214"/>
      <c r="SK78" s="214"/>
      <c r="SL78" s="214"/>
      <c r="SM78" s="214"/>
      <c r="SN78" s="214"/>
      <c r="SO78" s="214"/>
      <c r="SP78" s="214"/>
      <c r="SQ78" s="214"/>
      <c r="SR78" s="214"/>
      <c r="SS78" s="214"/>
      <c r="ST78" s="214"/>
      <c r="SU78" s="214"/>
      <c r="SV78" s="214"/>
      <c r="SW78" s="214"/>
      <c r="SX78" s="214"/>
      <c r="SY78" s="214"/>
      <c r="SZ78" s="214"/>
      <c r="TA78" s="214"/>
      <c r="TB78" s="214"/>
      <c r="TC78" s="214"/>
      <c r="TD78" s="214"/>
      <c r="TE78" s="214"/>
      <c r="TF78" s="214"/>
      <c r="TG78" s="214"/>
      <c r="TH78" s="214"/>
      <c r="TI78" s="214"/>
      <c r="TJ78" s="214"/>
      <c r="TK78" s="214"/>
      <c r="TL78" s="214"/>
      <c r="TM78" s="214"/>
      <c r="TN78" s="214"/>
      <c r="TO78" s="214"/>
      <c r="TP78" s="214"/>
      <c r="TQ78" s="214"/>
      <c r="TR78" s="214"/>
      <c r="TS78" s="214"/>
      <c r="TT78" s="214"/>
      <c r="TU78" s="214"/>
      <c r="TV78" s="214"/>
      <c r="TW78" s="214"/>
      <c r="TX78" s="214"/>
      <c r="TY78" s="214"/>
      <c r="TZ78" s="214"/>
      <c r="UA78" s="214"/>
      <c r="UB78" s="214"/>
      <c r="UC78" s="214"/>
      <c r="UD78" s="214"/>
      <c r="UE78" s="214"/>
      <c r="UF78" s="214"/>
      <c r="UG78" s="214"/>
      <c r="UH78" s="214"/>
      <c r="UI78" s="214"/>
      <c r="UJ78" s="214"/>
      <c r="UK78" s="214"/>
      <c r="UL78" s="214"/>
      <c r="UM78" s="214"/>
      <c r="UN78" s="214"/>
      <c r="UO78" s="214"/>
      <c r="UP78" s="214"/>
      <c r="UQ78" s="214"/>
      <c r="UR78" s="214"/>
      <c r="US78" s="214"/>
      <c r="UT78" s="214"/>
      <c r="UU78" s="214"/>
      <c r="UV78" s="214"/>
      <c r="UW78" s="214"/>
      <c r="UX78" s="214"/>
      <c r="UY78" s="214"/>
      <c r="UZ78" s="214"/>
      <c r="VA78" s="214"/>
      <c r="VB78" s="214"/>
      <c r="VC78" s="214"/>
      <c r="VD78" s="214"/>
      <c r="VE78" s="214"/>
      <c r="VF78" s="214"/>
      <c r="VG78" s="214"/>
      <c r="VH78" s="214"/>
      <c r="VI78" s="214"/>
      <c r="VJ78" s="214"/>
      <c r="VK78" s="214"/>
      <c r="VL78" s="214"/>
      <c r="VM78" s="214"/>
      <c r="VN78" s="214"/>
      <c r="VO78" s="214"/>
      <c r="VP78" s="214"/>
      <c r="VQ78" s="214"/>
      <c r="VR78" s="214"/>
      <c r="VS78" s="214"/>
      <c r="VT78" s="214"/>
      <c r="VU78" s="214"/>
      <c r="VV78" s="214"/>
      <c r="VW78" s="214"/>
      <c r="VX78" s="214"/>
      <c r="VY78" s="214"/>
      <c r="VZ78" s="214"/>
      <c r="WA78" s="214"/>
      <c r="WB78" s="214"/>
      <c r="WC78" s="214"/>
      <c r="WD78" s="214"/>
      <c r="WE78" s="214"/>
      <c r="WF78" s="214"/>
      <c r="WG78" s="214"/>
      <c r="WH78" s="214"/>
      <c r="WI78" s="214"/>
      <c r="WJ78" s="214"/>
      <c r="WK78" s="214"/>
      <c r="WL78" s="214"/>
      <c r="WM78" s="214"/>
      <c r="WN78" s="214"/>
      <c r="WO78" s="214"/>
      <c r="WP78" s="214"/>
      <c r="WQ78" s="214"/>
      <c r="WR78" s="214"/>
      <c r="WS78" s="214"/>
      <c r="WT78" s="214"/>
      <c r="WU78" s="214"/>
      <c r="WV78" s="214"/>
      <c r="WW78" s="214"/>
      <c r="WX78" s="214"/>
      <c r="WY78" s="214"/>
      <c r="WZ78" s="214"/>
      <c r="XA78" s="214"/>
      <c r="XB78" s="214"/>
      <c r="XC78" s="214"/>
      <c r="XD78" s="214"/>
      <c r="XE78" s="214"/>
      <c r="XF78" s="214"/>
      <c r="XG78" s="214"/>
      <c r="XH78" s="214"/>
      <c r="XI78" s="214"/>
      <c r="XJ78" s="214"/>
      <c r="XK78" s="214"/>
      <c r="XL78" s="214"/>
      <c r="XM78" s="214"/>
      <c r="XN78" s="214"/>
      <c r="XO78" s="214"/>
      <c r="XP78" s="214"/>
      <c r="XQ78" s="214"/>
      <c r="XR78" s="214"/>
      <c r="XS78" s="214"/>
      <c r="XT78" s="214"/>
      <c r="XU78" s="214"/>
      <c r="XV78" s="214"/>
      <c r="XW78" s="214"/>
      <c r="XX78" s="214"/>
      <c r="XY78" s="214"/>
      <c r="XZ78" s="214"/>
      <c r="YA78" s="214"/>
      <c r="YB78" s="214"/>
      <c r="YC78" s="214"/>
      <c r="YD78" s="214"/>
      <c r="YE78" s="214"/>
      <c r="YF78" s="214"/>
      <c r="YG78" s="214"/>
      <c r="YH78" s="214"/>
      <c r="YI78" s="214"/>
      <c r="YJ78" s="214"/>
      <c r="YK78" s="214"/>
      <c r="YL78" s="214"/>
      <c r="YM78" s="214"/>
      <c r="YN78" s="214"/>
      <c r="YO78" s="214"/>
      <c r="YP78" s="214"/>
      <c r="YQ78" s="214"/>
      <c r="YR78" s="214"/>
      <c r="YS78" s="214"/>
      <c r="YT78" s="214"/>
      <c r="YU78" s="214"/>
      <c r="YV78" s="214"/>
      <c r="YW78" s="214"/>
      <c r="YX78" s="214"/>
      <c r="YY78" s="214"/>
      <c r="YZ78" s="214"/>
      <c r="ZA78" s="214"/>
      <c r="ZB78" s="214"/>
      <c r="ZC78" s="214"/>
      <c r="ZD78" s="214"/>
      <c r="ZE78" s="214"/>
      <c r="ZF78" s="214"/>
      <c r="ZG78" s="214"/>
      <c r="ZH78" s="214"/>
      <c r="ZI78" s="214"/>
      <c r="ZJ78" s="214"/>
      <c r="ZK78" s="214"/>
      <c r="ZL78" s="214"/>
      <c r="ZM78" s="214"/>
      <c r="ZN78" s="214"/>
      <c r="ZO78" s="214"/>
      <c r="ZP78" s="214"/>
      <c r="ZQ78" s="214"/>
      <c r="ZR78" s="214"/>
      <c r="ZS78" s="214"/>
      <c r="ZT78" s="214"/>
      <c r="ZU78" s="214"/>
      <c r="ZV78" s="214"/>
      <c r="ZW78" s="214"/>
      <c r="ZX78" s="214"/>
      <c r="ZY78" s="214"/>
      <c r="ZZ78" s="214"/>
      <c r="AAA78" s="214"/>
      <c r="AAB78" s="214"/>
      <c r="AAC78" s="214"/>
      <c r="AAD78" s="214"/>
      <c r="AAE78" s="214"/>
      <c r="AAF78" s="214"/>
      <c r="AAG78" s="214"/>
      <c r="AAH78" s="214"/>
      <c r="AAI78" s="214"/>
      <c r="AAJ78" s="214"/>
      <c r="AAK78" s="214"/>
      <c r="AAL78" s="214"/>
      <c r="AAM78" s="214"/>
      <c r="AAN78" s="214"/>
      <c r="AAO78" s="214"/>
      <c r="AAP78" s="214"/>
      <c r="AAQ78" s="214"/>
      <c r="AAR78" s="214"/>
      <c r="AAS78" s="214"/>
      <c r="AAT78" s="214"/>
      <c r="AAU78" s="214"/>
      <c r="AAV78" s="214"/>
      <c r="AAW78" s="214"/>
      <c r="AAX78" s="214"/>
      <c r="AAY78" s="214"/>
      <c r="AAZ78" s="214"/>
      <c r="ABA78" s="214"/>
      <c r="ABB78" s="214"/>
      <c r="ABC78" s="214"/>
      <c r="ABD78" s="214"/>
      <c r="ABE78" s="214"/>
      <c r="ABF78" s="214"/>
      <c r="ABG78" s="214"/>
      <c r="ABH78" s="214"/>
      <c r="ABI78" s="214"/>
      <c r="ABJ78" s="214"/>
      <c r="ABK78" s="214"/>
      <c r="ABL78" s="214"/>
      <c r="ABM78" s="214"/>
      <c r="ABN78" s="214"/>
      <c r="ABO78" s="214"/>
      <c r="ABP78" s="214"/>
      <c r="ABQ78" s="214"/>
      <c r="ABR78" s="214"/>
      <c r="ABS78" s="214"/>
      <c r="ABT78" s="214"/>
      <c r="ABU78" s="214"/>
      <c r="ABV78" s="214"/>
      <c r="ABW78" s="214"/>
      <c r="ABX78" s="214"/>
      <c r="ABY78" s="214"/>
      <c r="ABZ78" s="214"/>
      <c r="ACA78" s="214"/>
      <c r="ACB78" s="214"/>
      <c r="ACC78" s="214"/>
      <c r="ACD78" s="214"/>
      <c r="ACE78" s="214"/>
      <c r="ACF78" s="214"/>
      <c r="ACG78" s="214"/>
      <c r="ACH78" s="214"/>
      <c r="ACI78" s="214"/>
      <c r="ACJ78" s="214"/>
      <c r="ACK78" s="214"/>
      <c r="ACL78" s="214"/>
      <c r="ACM78" s="214"/>
      <c r="ACN78" s="214"/>
      <c r="ACO78" s="214"/>
      <c r="ACP78" s="214"/>
      <c r="ACQ78" s="214"/>
      <c r="ACR78" s="214"/>
      <c r="ACS78" s="214"/>
      <c r="ACT78" s="214"/>
      <c r="ACU78" s="214"/>
      <c r="ACV78" s="214"/>
      <c r="ACW78" s="214"/>
      <c r="ACX78" s="214"/>
      <c r="ACY78" s="214"/>
      <c r="ACZ78" s="214"/>
      <c r="ADA78" s="214"/>
      <c r="ADB78" s="214"/>
      <c r="ADC78" s="214"/>
      <c r="ADD78" s="214"/>
      <c r="ADE78" s="214"/>
      <c r="ADF78" s="214"/>
      <c r="ADG78" s="214"/>
      <c r="ADH78" s="214"/>
      <c r="ADI78" s="214"/>
      <c r="ADJ78" s="214"/>
      <c r="ADK78" s="214"/>
      <c r="ADL78" s="214"/>
      <c r="ADM78" s="214"/>
      <c r="ADN78" s="214"/>
      <c r="ADO78" s="214"/>
      <c r="ADP78" s="214"/>
      <c r="ADQ78" s="214"/>
      <c r="ADR78" s="214"/>
      <c r="ADS78" s="214"/>
      <c r="ADT78" s="214"/>
      <c r="ADU78" s="214"/>
      <c r="ADV78" s="214"/>
      <c r="ADW78" s="214"/>
      <c r="ADX78" s="214"/>
      <c r="ADY78" s="214"/>
      <c r="ADZ78" s="214"/>
      <c r="AEA78" s="214"/>
      <c r="AEB78" s="214"/>
      <c r="AEC78" s="214"/>
      <c r="AED78" s="214"/>
      <c r="AEE78" s="214"/>
      <c r="AEF78" s="214"/>
      <c r="AEG78" s="214"/>
      <c r="AEH78" s="214"/>
      <c r="AEI78" s="214"/>
      <c r="AEJ78" s="214"/>
      <c r="AEK78" s="214"/>
      <c r="AEL78" s="214"/>
      <c r="AEM78" s="214"/>
      <c r="AEN78" s="214"/>
      <c r="AEO78" s="214"/>
      <c r="AEP78" s="214"/>
      <c r="AEQ78" s="214"/>
      <c r="AER78" s="214"/>
      <c r="AES78" s="214"/>
      <c r="AET78" s="214"/>
      <c r="AEU78" s="214"/>
      <c r="AEV78" s="214"/>
      <c r="AEW78" s="214"/>
      <c r="AEX78" s="214"/>
      <c r="AEY78" s="214"/>
      <c r="AEZ78" s="214"/>
      <c r="AFA78" s="214"/>
      <c r="AFB78" s="214"/>
      <c r="AFC78" s="214"/>
      <c r="AFD78" s="214"/>
      <c r="AFE78" s="214"/>
      <c r="AFF78" s="214"/>
      <c r="AFG78" s="214"/>
      <c r="AFH78" s="214"/>
      <c r="AFI78" s="214"/>
      <c r="AFJ78" s="214"/>
      <c r="AFK78" s="214"/>
      <c r="AFL78" s="214"/>
      <c r="AFM78" s="214"/>
      <c r="AFN78" s="214"/>
      <c r="AFO78" s="214"/>
      <c r="AFP78" s="214"/>
      <c r="AFQ78" s="214"/>
      <c r="AFR78" s="214"/>
      <c r="AFS78" s="214"/>
      <c r="AFT78" s="214"/>
      <c r="AFU78" s="214"/>
      <c r="AFV78" s="214"/>
      <c r="AFW78" s="214"/>
      <c r="AFX78" s="214"/>
      <c r="AFY78" s="214"/>
      <c r="AFZ78" s="214"/>
      <c r="AGA78" s="214"/>
      <c r="AGB78" s="214"/>
      <c r="AGC78" s="214"/>
      <c r="AGD78" s="214"/>
      <c r="AGE78" s="214"/>
      <c r="AGF78" s="214"/>
      <c r="AGG78" s="214"/>
      <c r="AGH78" s="214"/>
      <c r="AGI78" s="214"/>
      <c r="AGJ78" s="214"/>
      <c r="AGK78" s="214"/>
      <c r="AGL78" s="214"/>
      <c r="AGM78" s="214"/>
      <c r="AGN78" s="214"/>
      <c r="AGO78" s="214"/>
      <c r="AGP78" s="214"/>
      <c r="AGQ78" s="214"/>
      <c r="AGR78" s="214"/>
      <c r="AGS78" s="214"/>
      <c r="AGT78" s="214"/>
      <c r="AGU78" s="214"/>
      <c r="AGV78" s="214"/>
      <c r="AGW78" s="214"/>
      <c r="AGX78" s="214"/>
      <c r="AGY78" s="214"/>
      <c r="AGZ78" s="214"/>
      <c r="AHA78" s="214"/>
      <c r="AHB78" s="214"/>
      <c r="AHC78" s="214"/>
      <c r="AHD78" s="214"/>
      <c r="AHE78" s="214"/>
      <c r="AHF78" s="214"/>
      <c r="AHG78" s="214"/>
      <c r="AHH78" s="214"/>
      <c r="AHI78" s="214"/>
      <c r="AHJ78" s="214"/>
      <c r="AHK78" s="214"/>
      <c r="AHL78" s="214"/>
      <c r="AHM78" s="214"/>
      <c r="AHN78" s="214"/>
      <c r="AHO78" s="214"/>
      <c r="AHP78" s="214"/>
      <c r="AHQ78" s="214"/>
      <c r="AHR78" s="214"/>
      <c r="AHS78" s="214"/>
      <c r="AHT78" s="214"/>
      <c r="AHU78" s="214"/>
      <c r="AHV78" s="214"/>
      <c r="AHW78" s="214"/>
      <c r="AHX78" s="214"/>
      <c r="AHY78" s="214"/>
      <c r="AHZ78" s="214"/>
      <c r="AIA78" s="214"/>
      <c r="AIB78" s="214"/>
      <c r="AIC78" s="214"/>
      <c r="AID78" s="214"/>
      <c r="AIE78" s="214"/>
      <c r="AIF78" s="214"/>
      <c r="AIG78" s="214"/>
      <c r="AIH78" s="214"/>
      <c r="AII78" s="214"/>
      <c r="AIJ78" s="214"/>
      <c r="AIK78" s="214"/>
      <c r="AIL78" s="214"/>
      <c r="AIM78" s="214"/>
      <c r="AIN78" s="214"/>
      <c r="AIO78" s="214"/>
      <c r="AIP78" s="214"/>
      <c r="AIQ78" s="214"/>
      <c r="AIR78" s="214"/>
      <c r="AIS78" s="214"/>
      <c r="AIT78" s="214"/>
      <c r="AIU78" s="214"/>
      <c r="AIV78" s="214"/>
      <c r="AIW78" s="214"/>
      <c r="AIX78" s="214"/>
      <c r="AIY78" s="214"/>
      <c r="AIZ78" s="214"/>
      <c r="AJA78" s="214"/>
      <c r="AJB78" s="214"/>
      <c r="AJC78" s="214"/>
      <c r="AJD78" s="214"/>
      <c r="AJE78" s="214"/>
      <c r="AJF78" s="214"/>
      <c r="AJG78" s="214"/>
      <c r="AJH78" s="214"/>
      <c r="AJI78" s="214"/>
      <c r="AJJ78" s="214"/>
      <c r="AJK78" s="214"/>
      <c r="AJL78" s="214"/>
      <c r="AJM78" s="214"/>
      <c r="AJN78" s="214"/>
      <c r="AJO78" s="214"/>
      <c r="AJP78" s="214"/>
      <c r="AJQ78" s="214"/>
      <c r="AJR78" s="214"/>
      <c r="AJS78" s="214"/>
      <c r="AJT78" s="214"/>
      <c r="AJU78" s="214"/>
      <c r="AJV78" s="214"/>
      <c r="AJW78" s="214"/>
      <c r="AJX78" s="214"/>
      <c r="AJY78" s="214"/>
      <c r="AJZ78" s="214"/>
      <c r="AKA78" s="214"/>
      <c r="AKB78" s="214"/>
      <c r="AKC78" s="214"/>
      <c r="AKD78" s="214"/>
      <c r="AKE78" s="214"/>
      <c r="AKF78" s="214"/>
      <c r="AKG78" s="214"/>
      <c r="AKH78" s="214"/>
      <c r="AKI78" s="214"/>
      <c r="AKJ78" s="214"/>
      <c r="AKK78" s="214"/>
      <c r="AKL78" s="214"/>
      <c r="AKM78" s="214"/>
      <c r="AKN78" s="214"/>
      <c r="AKO78" s="214"/>
      <c r="AKP78" s="214"/>
      <c r="AKQ78" s="214"/>
      <c r="AKR78" s="214"/>
      <c r="AKS78" s="214"/>
      <c r="AKT78" s="214"/>
      <c r="AKU78" s="214"/>
      <c r="AKV78" s="214"/>
      <c r="AKW78" s="214"/>
      <c r="AKX78" s="214"/>
      <c r="AKY78" s="214"/>
      <c r="AKZ78" s="214"/>
      <c r="ALA78" s="214"/>
      <c r="ALB78" s="214"/>
      <c r="ALC78" s="214"/>
      <c r="ALD78" s="214"/>
      <c r="ALE78" s="214"/>
      <c r="ALF78" s="214"/>
      <c r="ALG78" s="214"/>
      <c r="ALH78" s="214"/>
      <c r="ALI78" s="214"/>
      <c r="ALJ78" s="214"/>
      <c r="ALK78" s="214"/>
      <c r="ALL78" s="214"/>
      <c r="ALM78" s="214"/>
      <c r="ALN78" s="214"/>
      <c r="ALO78" s="214"/>
      <c r="ALP78" s="214"/>
      <c r="ALQ78" s="214"/>
      <c r="ALR78" s="214"/>
      <c r="ALS78" s="214"/>
      <c r="ALT78" s="214"/>
      <c r="ALU78" s="214"/>
      <c r="ALV78" s="214"/>
      <c r="ALW78" s="214"/>
      <c r="ALX78" s="214"/>
      <c r="ALY78" s="214"/>
      <c r="ALZ78" s="214"/>
      <c r="AMA78" s="214"/>
      <c r="AMB78" s="214"/>
      <c r="AMC78" s="214"/>
      <c r="AMD78" s="214"/>
      <c r="AME78" s="214"/>
      <c r="AMF78" s="214"/>
      <c r="AMG78" s="214"/>
      <c r="AMH78" s="214"/>
      <c r="AMI78" s="214"/>
      <c r="AMJ78" s="214"/>
      <c r="AMK78" s="214"/>
      <c r="AML78" s="214"/>
      <c r="AMM78" s="214"/>
      <c r="AMN78" s="214"/>
      <c r="AMO78" s="214"/>
      <c r="AMP78" s="214"/>
      <c r="AMQ78" s="214"/>
      <c r="AMR78" s="214"/>
      <c r="AMS78" s="214"/>
      <c r="AMT78" s="214"/>
      <c r="AMU78" s="214"/>
      <c r="AMV78" s="214"/>
      <c r="AMW78" s="214"/>
      <c r="AMX78" s="214"/>
      <c r="AMY78" s="214"/>
      <c r="AMZ78" s="214"/>
      <c r="ANA78" s="214"/>
      <c r="ANB78" s="214"/>
      <c r="ANC78" s="214"/>
      <c r="AND78" s="214"/>
      <c r="ANE78" s="214"/>
      <c r="ANF78" s="214"/>
      <c r="ANG78" s="214"/>
      <c r="ANH78" s="214"/>
      <c r="ANI78" s="214"/>
      <c r="ANJ78" s="214"/>
      <c r="ANK78" s="214"/>
      <c r="ANL78" s="214"/>
      <c r="ANM78" s="214"/>
      <c r="ANN78" s="214"/>
      <c r="ANO78" s="214"/>
      <c r="ANP78" s="214"/>
      <c r="ANQ78" s="214"/>
      <c r="ANR78" s="214"/>
      <c r="ANS78" s="214"/>
      <c r="ANT78" s="214"/>
      <c r="ANU78" s="214"/>
      <c r="ANV78" s="214"/>
      <c r="ANW78" s="214"/>
      <c r="ANX78" s="214"/>
      <c r="ANY78" s="214"/>
      <c r="ANZ78" s="214"/>
      <c r="AOA78" s="214"/>
      <c r="AOB78" s="214"/>
      <c r="AOC78" s="214"/>
      <c r="AOD78" s="214"/>
      <c r="AOE78" s="214"/>
      <c r="AOF78" s="214"/>
      <c r="AOG78" s="214"/>
      <c r="AOH78" s="214"/>
      <c r="AOI78" s="214"/>
      <c r="AOJ78" s="214"/>
      <c r="AOK78" s="214"/>
      <c r="AOL78" s="214"/>
      <c r="AOM78" s="214"/>
      <c r="AON78" s="214"/>
      <c r="AOO78" s="214"/>
      <c r="AOP78" s="214"/>
      <c r="AOQ78" s="214"/>
      <c r="AOR78" s="214"/>
      <c r="AOS78" s="214"/>
      <c r="AOT78" s="214"/>
      <c r="AOU78" s="214"/>
      <c r="AOV78" s="214"/>
      <c r="AOW78" s="214"/>
      <c r="AOX78" s="214"/>
      <c r="AOY78" s="214"/>
      <c r="AOZ78" s="214"/>
      <c r="APA78" s="214"/>
      <c r="APB78" s="214"/>
      <c r="APC78" s="214"/>
      <c r="APD78" s="214"/>
      <c r="APE78" s="214"/>
      <c r="APF78" s="214"/>
      <c r="APG78" s="214"/>
      <c r="APH78" s="214"/>
      <c r="API78" s="214"/>
      <c r="APJ78" s="214"/>
      <c r="APK78" s="214"/>
      <c r="APL78" s="214"/>
      <c r="APM78" s="214"/>
      <c r="APN78" s="214"/>
      <c r="APO78" s="214"/>
      <c r="APP78" s="214"/>
      <c r="APQ78" s="214"/>
      <c r="APR78" s="214"/>
      <c r="APS78" s="214"/>
      <c r="APT78" s="214"/>
      <c r="APU78" s="214"/>
      <c r="APV78" s="214"/>
      <c r="APW78" s="214"/>
      <c r="APX78" s="214"/>
      <c r="APY78" s="214"/>
      <c r="APZ78" s="214"/>
      <c r="AQA78" s="214"/>
      <c r="AQB78" s="214"/>
      <c r="AQC78" s="214"/>
      <c r="AQD78" s="214"/>
      <c r="AQE78" s="214"/>
      <c r="AQF78" s="214"/>
      <c r="AQG78" s="214"/>
      <c r="AQH78" s="214"/>
      <c r="AQI78" s="214"/>
      <c r="AQJ78" s="214"/>
      <c r="AQK78" s="214"/>
      <c r="AQL78" s="214"/>
      <c r="AQM78" s="214"/>
      <c r="AQN78" s="214"/>
      <c r="AQO78" s="214"/>
      <c r="AQP78" s="214"/>
      <c r="AQQ78" s="214"/>
      <c r="AQR78" s="214"/>
      <c r="AQS78" s="214"/>
      <c r="AQT78" s="214"/>
      <c r="AQU78" s="214"/>
      <c r="AQV78" s="214"/>
      <c r="AQW78" s="214"/>
      <c r="AQX78" s="214"/>
      <c r="AQY78" s="214"/>
      <c r="AQZ78" s="214"/>
      <c r="ARA78" s="214"/>
      <c r="ARB78" s="214"/>
      <c r="ARC78" s="214"/>
      <c r="ARD78" s="214"/>
      <c r="ARE78" s="214"/>
      <c r="ARF78" s="214"/>
      <c r="ARG78" s="214"/>
      <c r="ARH78" s="214"/>
      <c r="ARI78" s="214"/>
      <c r="ARJ78" s="214"/>
      <c r="ARK78" s="214"/>
      <c r="ARL78" s="214"/>
      <c r="ARM78" s="214"/>
      <c r="ARN78" s="214"/>
      <c r="ARO78" s="214"/>
      <c r="ARP78" s="214"/>
      <c r="ARQ78" s="214"/>
      <c r="ARR78" s="214"/>
      <c r="ARS78" s="214"/>
      <c r="ART78" s="214"/>
      <c r="ARU78" s="214"/>
      <c r="ARV78" s="214"/>
      <c r="ARW78" s="214"/>
      <c r="ARX78" s="214"/>
      <c r="ARY78" s="214"/>
      <c r="ARZ78" s="214"/>
      <c r="ASA78" s="214"/>
      <c r="ASB78" s="214"/>
      <c r="ASC78" s="214"/>
      <c r="ASD78" s="214"/>
      <c r="ASE78" s="214"/>
      <c r="ASF78" s="214"/>
      <c r="ASG78" s="214"/>
      <c r="ASH78" s="214"/>
      <c r="ASI78" s="214"/>
      <c r="ASJ78" s="214"/>
      <c r="ASK78" s="214"/>
      <c r="ASL78" s="214"/>
      <c r="ASM78" s="214"/>
      <c r="ASN78" s="214"/>
      <c r="ASO78" s="214"/>
      <c r="ASP78" s="214"/>
      <c r="ASQ78" s="214"/>
      <c r="ASR78" s="214"/>
      <c r="ASS78" s="214"/>
      <c r="AST78" s="214"/>
      <c r="ASU78" s="214"/>
      <c r="ASV78" s="214"/>
      <c r="ASW78" s="214"/>
      <c r="ASX78" s="214"/>
      <c r="ASY78" s="214"/>
      <c r="ASZ78" s="214"/>
      <c r="ATA78" s="214"/>
      <c r="ATB78" s="214"/>
      <c r="ATC78" s="214"/>
      <c r="ATD78" s="214"/>
      <c r="ATE78" s="214"/>
      <c r="ATF78" s="214"/>
      <c r="ATG78" s="214"/>
      <c r="ATH78" s="214"/>
      <c r="ATI78" s="214"/>
      <c r="ATJ78" s="214"/>
      <c r="ATK78" s="214"/>
      <c r="ATL78" s="214"/>
      <c r="ATM78" s="214"/>
      <c r="ATN78" s="214"/>
      <c r="ATO78" s="214"/>
      <c r="ATP78" s="214"/>
      <c r="ATQ78" s="214"/>
      <c r="ATR78" s="214"/>
      <c r="ATS78" s="214"/>
      <c r="ATT78" s="214"/>
      <c r="ATU78" s="214"/>
      <c r="ATV78" s="214"/>
      <c r="ATW78" s="214"/>
      <c r="ATX78" s="214"/>
      <c r="ATY78" s="214"/>
      <c r="ATZ78" s="214"/>
      <c r="AUA78" s="214"/>
      <c r="AUB78" s="214"/>
      <c r="AUC78" s="214"/>
      <c r="AUD78" s="214"/>
      <c r="AUE78" s="214"/>
      <c r="AUF78" s="214"/>
      <c r="AUG78" s="214"/>
      <c r="AUH78" s="214"/>
      <c r="AUI78" s="214"/>
      <c r="AUJ78" s="214"/>
      <c r="AUK78" s="214"/>
      <c r="AUL78" s="214"/>
      <c r="AUM78" s="214"/>
      <c r="AUN78" s="214"/>
      <c r="AUO78" s="214"/>
      <c r="AUP78" s="214"/>
      <c r="AUQ78" s="214"/>
      <c r="AUR78" s="214"/>
      <c r="AUS78" s="214"/>
      <c r="AUT78" s="214"/>
      <c r="AUU78" s="214"/>
      <c r="AUV78" s="214"/>
      <c r="AUW78" s="214"/>
      <c r="AUX78" s="214"/>
      <c r="AUY78" s="214"/>
      <c r="AUZ78" s="214"/>
      <c r="AVA78" s="214"/>
      <c r="AVB78" s="214"/>
      <c r="AVC78" s="214"/>
      <c r="AVD78" s="214"/>
      <c r="AVE78" s="214"/>
      <c r="AVF78" s="214"/>
      <c r="AVG78" s="214"/>
      <c r="AVH78" s="214"/>
      <c r="AVI78" s="214"/>
      <c r="AVJ78" s="214"/>
      <c r="AVK78" s="214"/>
      <c r="AVL78" s="214"/>
      <c r="AVM78" s="214"/>
      <c r="AVN78" s="214"/>
      <c r="AVO78" s="214"/>
      <c r="AVP78" s="214"/>
      <c r="AVQ78" s="214"/>
      <c r="AVR78" s="214"/>
      <c r="AVS78" s="214"/>
      <c r="AVT78" s="214"/>
      <c r="AVU78" s="214"/>
      <c r="AVV78" s="214"/>
      <c r="AVW78" s="214"/>
      <c r="AVX78" s="214"/>
      <c r="AVY78" s="214"/>
      <c r="AVZ78" s="214"/>
      <c r="AWA78" s="214"/>
      <c r="AWB78" s="214"/>
      <c r="AWC78" s="214"/>
      <c r="AWD78" s="214"/>
      <c r="AWE78" s="214"/>
      <c r="AWF78" s="214"/>
      <c r="AWG78" s="214"/>
      <c r="AWH78" s="214"/>
      <c r="AWI78" s="214"/>
      <c r="AWJ78" s="214"/>
      <c r="AWK78" s="214"/>
      <c r="AWL78" s="214"/>
      <c r="AWM78" s="214"/>
      <c r="AWN78" s="214"/>
      <c r="AWO78" s="214"/>
      <c r="AWP78" s="214"/>
      <c r="AWQ78" s="214"/>
      <c r="AWR78" s="214"/>
      <c r="AWS78" s="214"/>
      <c r="AWT78" s="214"/>
      <c r="AWU78" s="214"/>
      <c r="AWV78" s="214"/>
      <c r="AWW78" s="214"/>
      <c r="AWX78" s="214"/>
      <c r="AWY78" s="214"/>
      <c r="AWZ78" s="214"/>
      <c r="AXA78" s="214"/>
      <c r="AXB78" s="214"/>
      <c r="AXC78" s="214"/>
      <c r="AXD78" s="214"/>
      <c r="AXE78" s="214"/>
      <c r="AXF78" s="214"/>
      <c r="AXG78" s="214"/>
      <c r="AXH78" s="214"/>
      <c r="AXI78" s="214"/>
      <c r="AXJ78" s="214"/>
      <c r="AXK78" s="214"/>
      <c r="AXL78" s="214"/>
      <c r="AXM78" s="214"/>
      <c r="AXN78" s="214"/>
      <c r="AXO78" s="214"/>
      <c r="AXP78" s="214"/>
      <c r="AXQ78" s="214"/>
      <c r="AXR78" s="214"/>
      <c r="AXS78" s="214"/>
      <c r="AXT78" s="214"/>
      <c r="AXU78" s="214"/>
      <c r="AXV78" s="214"/>
      <c r="AXW78" s="214"/>
      <c r="AXX78" s="214"/>
      <c r="AXY78" s="214"/>
      <c r="AXZ78" s="214"/>
      <c r="AYA78" s="214"/>
      <c r="AYB78" s="214"/>
      <c r="AYC78" s="214"/>
      <c r="AYD78" s="214"/>
      <c r="AYE78" s="214"/>
      <c r="AYF78" s="214"/>
      <c r="AYG78" s="214"/>
      <c r="AYH78" s="214"/>
      <c r="AYI78" s="214"/>
      <c r="AYJ78" s="214"/>
      <c r="AYK78" s="214"/>
      <c r="AYL78" s="214"/>
      <c r="AYM78" s="214"/>
      <c r="AYN78" s="214"/>
      <c r="AYO78" s="214"/>
      <c r="AYP78" s="214"/>
      <c r="AYQ78" s="214"/>
      <c r="AYR78" s="214"/>
      <c r="AYS78" s="214"/>
      <c r="AYT78" s="214"/>
      <c r="AYU78" s="214"/>
      <c r="AYV78" s="214"/>
      <c r="AYW78" s="214"/>
      <c r="AYX78" s="214"/>
      <c r="AYY78" s="214"/>
      <c r="AYZ78" s="214"/>
      <c r="AZA78" s="214"/>
      <c r="AZB78" s="214"/>
      <c r="AZC78" s="214"/>
      <c r="AZD78" s="214"/>
      <c r="AZE78" s="214"/>
      <c r="AZF78" s="214"/>
      <c r="AZG78" s="214"/>
      <c r="AZH78" s="214"/>
      <c r="AZI78" s="214"/>
      <c r="AZJ78" s="214"/>
      <c r="AZK78" s="214"/>
      <c r="AZL78" s="214"/>
      <c r="AZM78" s="214"/>
      <c r="AZN78" s="214"/>
      <c r="AZO78" s="214"/>
      <c r="AZP78" s="214"/>
      <c r="AZQ78" s="214"/>
      <c r="AZR78" s="214"/>
      <c r="AZS78" s="214"/>
      <c r="AZT78" s="214"/>
      <c r="AZU78" s="214"/>
      <c r="AZV78" s="214"/>
      <c r="AZW78" s="214"/>
      <c r="AZX78" s="214"/>
      <c r="AZY78" s="214"/>
      <c r="AZZ78" s="214"/>
      <c r="BAA78" s="214"/>
      <c r="BAB78" s="214"/>
      <c r="BAC78" s="214"/>
      <c r="BAD78" s="214"/>
      <c r="BAE78" s="214"/>
      <c r="BAF78" s="214"/>
      <c r="BAG78" s="214"/>
      <c r="BAH78" s="214"/>
      <c r="BAI78" s="214"/>
      <c r="BAJ78" s="214"/>
      <c r="BAK78" s="214"/>
      <c r="BAL78" s="214"/>
      <c r="BAM78" s="214"/>
      <c r="BAN78" s="214"/>
      <c r="BAO78" s="214"/>
      <c r="BAP78" s="214"/>
      <c r="BAQ78" s="214"/>
      <c r="BAR78" s="214"/>
      <c r="BAS78" s="214"/>
      <c r="BAT78" s="214"/>
      <c r="BAU78" s="214"/>
      <c r="BAV78" s="214"/>
      <c r="BAW78" s="214"/>
      <c r="BAX78" s="214"/>
      <c r="BAY78" s="214"/>
      <c r="BAZ78" s="214"/>
      <c r="BBA78" s="214"/>
      <c r="BBB78" s="214"/>
      <c r="BBC78" s="214"/>
      <c r="BBD78" s="214"/>
      <c r="BBE78" s="214"/>
      <c r="BBF78" s="214"/>
      <c r="BBG78" s="214"/>
      <c r="BBH78" s="214"/>
      <c r="BBI78" s="214"/>
      <c r="BBJ78" s="214"/>
      <c r="BBK78" s="214"/>
      <c r="BBL78" s="214"/>
      <c r="BBM78" s="214"/>
      <c r="BBN78" s="214"/>
      <c r="BBO78" s="214"/>
      <c r="BBP78" s="214"/>
      <c r="BBQ78" s="214"/>
      <c r="BBR78" s="214"/>
      <c r="BBS78" s="214"/>
      <c r="BBT78" s="214"/>
      <c r="BBU78" s="214"/>
      <c r="BBV78" s="214"/>
      <c r="BBW78" s="214"/>
      <c r="BBX78" s="214"/>
      <c r="BBY78" s="214"/>
      <c r="BBZ78" s="214"/>
      <c r="BCA78" s="214"/>
      <c r="BCB78" s="214"/>
      <c r="BCC78" s="214"/>
      <c r="BCD78" s="214"/>
      <c r="BCE78" s="214"/>
      <c r="BCF78" s="214"/>
      <c r="BCG78" s="214"/>
      <c r="BCH78" s="214"/>
      <c r="BCI78" s="214"/>
      <c r="BCJ78" s="214"/>
      <c r="BCK78" s="214"/>
      <c r="BCL78" s="214"/>
      <c r="BCM78" s="214"/>
      <c r="BCN78" s="214"/>
      <c r="BCO78" s="214"/>
      <c r="BCP78" s="214"/>
      <c r="BCQ78" s="214"/>
      <c r="BCR78" s="214"/>
      <c r="BCS78" s="214"/>
      <c r="BCT78" s="214"/>
      <c r="BCU78" s="214"/>
      <c r="BCV78" s="214"/>
      <c r="BCW78" s="214"/>
      <c r="BCX78" s="214"/>
      <c r="BCY78" s="214"/>
      <c r="BCZ78" s="214"/>
      <c r="BDA78" s="214"/>
      <c r="BDB78" s="214"/>
      <c r="BDC78" s="214"/>
      <c r="BDD78" s="214"/>
      <c r="BDE78" s="214"/>
      <c r="BDF78" s="214"/>
      <c r="BDG78" s="214"/>
      <c r="BDH78" s="214"/>
      <c r="BDI78" s="214"/>
      <c r="BDJ78" s="214"/>
      <c r="BDK78" s="214"/>
      <c r="BDL78" s="214"/>
      <c r="BDM78" s="214"/>
      <c r="BDN78" s="214"/>
      <c r="BDO78" s="214"/>
      <c r="BDP78" s="214"/>
      <c r="BDQ78" s="214"/>
      <c r="BDR78" s="214"/>
      <c r="BDS78" s="214"/>
      <c r="BDT78" s="214"/>
      <c r="BDU78" s="214"/>
      <c r="BDV78" s="214"/>
      <c r="BDW78" s="214"/>
      <c r="BDX78" s="214"/>
      <c r="BDY78" s="214"/>
      <c r="BDZ78" s="214"/>
      <c r="BEA78" s="214"/>
      <c r="BEB78" s="214"/>
      <c r="BEC78" s="214"/>
      <c r="BED78" s="214"/>
      <c r="BEE78" s="214"/>
      <c r="BEF78" s="214"/>
      <c r="BEG78" s="214"/>
      <c r="BEH78" s="214"/>
      <c r="BEI78" s="214"/>
      <c r="BEJ78" s="214"/>
      <c r="BEK78" s="214"/>
      <c r="BEL78" s="214"/>
      <c r="BEM78" s="214"/>
      <c r="BEN78" s="214"/>
      <c r="BEO78" s="214"/>
      <c r="BEP78" s="214"/>
      <c r="BEQ78" s="214"/>
      <c r="BER78" s="214"/>
      <c r="BES78" s="214"/>
      <c r="BET78" s="214"/>
      <c r="BEU78" s="214"/>
      <c r="BEV78" s="214"/>
      <c r="BEW78" s="214"/>
      <c r="BEX78" s="214"/>
      <c r="BEY78" s="214"/>
      <c r="BEZ78" s="214"/>
      <c r="BFA78" s="214"/>
      <c r="BFB78" s="214"/>
      <c r="BFC78" s="214"/>
      <c r="BFD78" s="214"/>
      <c r="BFE78" s="214"/>
      <c r="BFF78" s="214"/>
      <c r="BFG78" s="214"/>
      <c r="BFH78" s="214"/>
      <c r="BFI78" s="214"/>
      <c r="BFJ78" s="214"/>
      <c r="BFK78" s="214"/>
      <c r="BFL78" s="214"/>
      <c r="BFM78" s="214"/>
      <c r="BFN78" s="214"/>
      <c r="BFO78" s="214"/>
      <c r="BFP78" s="214"/>
      <c r="BFQ78" s="214"/>
      <c r="BFR78" s="214"/>
      <c r="BFS78" s="214"/>
      <c r="BFT78" s="214"/>
      <c r="BFU78" s="214"/>
      <c r="BFV78" s="214"/>
      <c r="BFW78" s="214"/>
      <c r="BFX78" s="214"/>
      <c r="BFY78" s="214"/>
      <c r="BFZ78" s="214"/>
      <c r="BGA78" s="214"/>
      <c r="BGB78" s="214"/>
      <c r="BGC78" s="214"/>
      <c r="BGD78" s="214"/>
      <c r="BGE78" s="214"/>
      <c r="BGF78" s="214"/>
      <c r="BGG78" s="214"/>
      <c r="BGH78" s="214"/>
      <c r="BGI78" s="214"/>
      <c r="BGJ78" s="214"/>
      <c r="BGK78" s="214"/>
      <c r="BGL78" s="214"/>
      <c r="BGM78" s="214"/>
      <c r="BGN78" s="214"/>
      <c r="BGO78" s="214"/>
      <c r="BGP78" s="214"/>
      <c r="BGQ78" s="214"/>
      <c r="BGR78" s="214"/>
      <c r="BGS78" s="214"/>
      <c r="BGT78" s="214"/>
      <c r="BGU78" s="214"/>
      <c r="BGV78" s="214"/>
      <c r="BGW78" s="214"/>
      <c r="BGX78" s="214"/>
      <c r="BGY78" s="214"/>
      <c r="BGZ78" s="214"/>
      <c r="BHA78" s="214"/>
      <c r="BHB78" s="214"/>
      <c r="BHC78" s="214"/>
      <c r="BHD78" s="214"/>
      <c r="BHE78" s="214"/>
      <c r="BHF78" s="214"/>
      <c r="BHG78" s="214"/>
      <c r="BHH78" s="214"/>
      <c r="BHI78" s="214"/>
      <c r="BHJ78" s="214"/>
      <c r="BHK78" s="214"/>
      <c r="BHL78" s="214"/>
      <c r="BHM78" s="214"/>
      <c r="BHN78" s="214"/>
      <c r="BHO78" s="214"/>
      <c r="BHP78" s="214"/>
      <c r="BHQ78" s="214"/>
      <c r="BHR78" s="214"/>
      <c r="BHS78" s="214"/>
      <c r="BHT78" s="214"/>
      <c r="BHU78" s="214"/>
      <c r="BHV78" s="214"/>
      <c r="BHW78" s="214"/>
    </row>
    <row r="79" spans="1:1583" s="219" customFormat="1" ht="29.25" thickBot="1">
      <c r="A79" s="253" t="s">
        <v>28</v>
      </c>
      <c r="B79" s="257"/>
      <c r="C79" s="257"/>
      <c r="D79" s="427" t="s">
        <v>605</v>
      </c>
      <c r="E79" s="265" t="s">
        <v>24</v>
      </c>
      <c r="F79" s="137"/>
      <c r="G79" s="60" t="s">
        <v>731</v>
      </c>
      <c r="H79" s="473">
        <f t="shared" si="21"/>
        <v>21450.21</v>
      </c>
      <c r="I79" s="148">
        <f>I77</f>
        <v>21450.210000000003</v>
      </c>
      <c r="J79" s="255"/>
      <c r="K79" s="148">
        <f t="shared" ref="K79:AN79" si="22">K77</f>
        <v>21450.210000000003</v>
      </c>
      <c r="L79" s="148">
        <f t="shared" si="22"/>
        <v>21450.210000000003</v>
      </c>
      <c r="M79" s="148">
        <f t="shared" si="22"/>
        <v>21450.210000000003</v>
      </c>
      <c r="N79" s="148">
        <f t="shared" si="22"/>
        <v>21450.210000000003</v>
      </c>
      <c r="O79" s="148">
        <f t="shared" si="22"/>
        <v>21450.210000000003</v>
      </c>
      <c r="P79" s="148">
        <f t="shared" si="22"/>
        <v>21450.210000000003</v>
      </c>
      <c r="Q79" s="148">
        <f t="shared" si="22"/>
        <v>21450.210000000003</v>
      </c>
      <c r="R79" s="148">
        <f t="shared" si="22"/>
        <v>21450.210000000003</v>
      </c>
      <c r="S79" s="148">
        <f t="shared" si="22"/>
        <v>21450.210000000003</v>
      </c>
      <c r="T79" s="148">
        <f t="shared" si="22"/>
        <v>21450.210000000003</v>
      </c>
      <c r="U79" s="148">
        <f t="shared" si="22"/>
        <v>21450.210000000003</v>
      </c>
      <c r="V79" s="148">
        <f t="shared" si="22"/>
        <v>21450.210000000003</v>
      </c>
      <c r="W79" s="148">
        <f t="shared" si="22"/>
        <v>21450.210000000003</v>
      </c>
      <c r="X79" s="148">
        <f t="shared" si="22"/>
        <v>21450.210000000003</v>
      </c>
      <c r="Y79" s="148">
        <f t="shared" si="22"/>
        <v>21450.210000000003</v>
      </c>
      <c r="Z79" s="148">
        <f t="shared" si="22"/>
        <v>21450.210000000003</v>
      </c>
      <c r="AA79" s="148">
        <f t="shared" si="22"/>
        <v>21450.210000000003</v>
      </c>
      <c r="AB79" s="148">
        <f t="shared" si="22"/>
        <v>21450.210000000003</v>
      </c>
      <c r="AC79" s="148">
        <f t="shared" si="22"/>
        <v>21450.210000000003</v>
      </c>
      <c r="AD79" s="148">
        <f t="shared" si="22"/>
        <v>21450.210000000003</v>
      </c>
      <c r="AE79" s="148">
        <f t="shared" si="22"/>
        <v>21450.210000000003</v>
      </c>
      <c r="AF79" s="148">
        <f t="shared" si="22"/>
        <v>21450.210000000003</v>
      </c>
      <c r="AG79" s="148">
        <f t="shared" si="22"/>
        <v>21450.210000000003</v>
      </c>
      <c r="AH79" s="148">
        <f t="shared" si="22"/>
        <v>21450.210000000003</v>
      </c>
      <c r="AI79" s="148">
        <f t="shared" si="22"/>
        <v>21450.210000000003</v>
      </c>
      <c r="AJ79" s="148">
        <f t="shared" si="22"/>
        <v>21450.210000000003</v>
      </c>
      <c r="AK79" s="148">
        <f t="shared" si="22"/>
        <v>21450.210000000003</v>
      </c>
      <c r="AL79" s="148">
        <f t="shared" si="22"/>
        <v>21450.210000000003</v>
      </c>
      <c r="AM79" s="148">
        <f t="shared" si="22"/>
        <v>21450.210000000003</v>
      </c>
      <c r="AN79" s="148">
        <f t="shared" si="22"/>
        <v>21450.210000000003</v>
      </c>
      <c r="AO79" s="218"/>
      <c r="AP79" s="218"/>
      <c r="AQ79" s="218"/>
      <c r="AR79" s="218"/>
      <c r="AS79" s="218"/>
      <c r="AT79" s="218"/>
      <c r="AU79" s="218"/>
      <c r="AV79" s="218"/>
      <c r="AW79" s="218"/>
      <c r="AX79" s="218"/>
      <c r="AY79" s="218"/>
      <c r="AZ79" s="218"/>
      <c r="BA79" s="218"/>
      <c r="BB79" s="218"/>
      <c r="BC79" s="218"/>
      <c r="BD79" s="218"/>
      <c r="BE79" s="218"/>
      <c r="BF79" s="218"/>
      <c r="BG79" s="218"/>
      <c r="BH79" s="218"/>
      <c r="BI79" s="218"/>
      <c r="BJ79" s="218"/>
      <c r="BK79" s="218"/>
      <c r="BL79" s="218"/>
      <c r="BM79" s="218"/>
      <c r="BN79" s="218"/>
      <c r="BO79" s="218"/>
      <c r="BP79" s="218"/>
      <c r="BQ79" s="218"/>
      <c r="BR79" s="218"/>
      <c r="BS79" s="218"/>
      <c r="BT79" s="218"/>
      <c r="BU79" s="218"/>
      <c r="BV79" s="218"/>
      <c r="BW79" s="218"/>
      <c r="BX79" s="218"/>
      <c r="BY79" s="218"/>
      <c r="BZ79" s="218"/>
      <c r="CA79" s="218"/>
      <c r="CB79" s="218"/>
      <c r="CC79" s="218"/>
      <c r="CD79" s="218"/>
      <c r="CE79" s="218"/>
      <c r="CF79" s="218"/>
      <c r="CG79" s="218"/>
      <c r="CH79" s="218"/>
      <c r="CI79" s="218"/>
      <c r="CJ79" s="218"/>
      <c r="CK79" s="218"/>
      <c r="CL79" s="218"/>
      <c r="CM79" s="218"/>
      <c r="CN79" s="218"/>
      <c r="CO79" s="218"/>
      <c r="CP79" s="218"/>
      <c r="CQ79" s="218"/>
      <c r="CR79" s="218"/>
      <c r="CS79" s="218"/>
      <c r="CT79" s="218"/>
      <c r="CU79" s="218"/>
      <c r="CV79" s="218"/>
      <c r="CW79" s="218"/>
      <c r="CX79" s="218"/>
      <c r="CY79" s="218"/>
      <c r="CZ79" s="218"/>
      <c r="DA79" s="218"/>
      <c r="DB79" s="218"/>
      <c r="DC79" s="218"/>
      <c r="DD79" s="218"/>
      <c r="DE79" s="218"/>
      <c r="DF79" s="218"/>
      <c r="DG79" s="218"/>
      <c r="DH79" s="218"/>
      <c r="DI79" s="218"/>
      <c r="DJ79" s="218"/>
      <c r="DK79" s="218"/>
      <c r="DL79" s="218"/>
      <c r="DM79" s="218"/>
      <c r="DN79" s="218"/>
      <c r="DO79" s="218"/>
      <c r="DP79" s="218"/>
      <c r="DQ79" s="218"/>
      <c r="DR79" s="218"/>
      <c r="DS79" s="218"/>
      <c r="DT79" s="218"/>
      <c r="DU79" s="218"/>
      <c r="DV79" s="218"/>
      <c r="DW79" s="218"/>
      <c r="DX79" s="218"/>
      <c r="DY79" s="218"/>
      <c r="DZ79" s="218"/>
      <c r="EA79" s="218"/>
      <c r="EB79" s="218"/>
      <c r="EC79" s="218"/>
      <c r="ED79" s="218"/>
      <c r="EE79" s="218"/>
      <c r="EF79" s="218"/>
      <c r="EG79" s="218"/>
      <c r="EH79" s="218"/>
      <c r="EI79" s="218"/>
      <c r="EJ79" s="218"/>
      <c r="EK79" s="218"/>
      <c r="EL79" s="218"/>
      <c r="EM79" s="218"/>
      <c r="EN79" s="218"/>
      <c r="EO79" s="218"/>
      <c r="EP79" s="218"/>
      <c r="EQ79" s="218"/>
      <c r="ER79" s="218"/>
      <c r="ES79" s="218"/>
      <c r="ET79" s="218"/>
      <c r="EU79" s="218"/>
      <c r="EV79" s="218"/>
      <c r="EW79" s="218"/>
      <c r="EX79" s="218"/>
      <c r="EY79" s="218"/>
      <c r="EZ79" s="218"/>
      <c r="FA79" s="218"/>
      <c r="FB79" s="218"/>
      <c r="FC79" s="218"/>
      <c r="FD79" s="218"/>
      <c r="FE79" s="218"/>
      <c r="FF79" s="218"/>
      <c r="FG79" s="218"/>
      <c r="FH79" s="218"/>
      <c r="FI79" s="218"/>
      <c r="FJ79" s="218"/>
      <c r="FK79" s="218"/>
      <c r="FL79" s="218"/>
      <c r="FM79" s="218"/>
      <c r="FN79" s="218"/>
      <c r="FO79" s="218"/>
      <c r="FP79" s="218"/>
      <c r="FQ79" s="218"/>
      <c r="FR79" s="218"/>
      <c r="FS79" s="218"/>
      <c r="FT79" s="218"/>
      <c r="FU79" s="218"/>
      <c r="FV79" s="218"/>
      <c r="FW79" s="218"/>
      <c r="FX79" s="218"/>
      <c r="FY79" s="218"/>
      <c r="FZ79" s="218"/>
      <c r="GA79" s="218"/>
      <c r="GB79" s="218"/>
      <c r="GC79" s="218"/>
      <c r="GD79" s="218"/>
      <c r="GE79" s="218"/>
      <c r="GF79" s="218"/>
      <c r="GG79" s="218"/>
      <c r="GH79" s="218"/>
      <c r="GI79" s="218"/>
      <c r="GJ79" s="218"/>
      <c r="GK79" s="218"/>
      <c r="GL79" s="218"/>
      <c r="GM79" s="218"/>
      <c r="GN79" s="218"/>
      <c r="GO79" s="218"/>
      <c r="GP79" s="218"/>
      <c r="GQ79" s="218"/>
      <c r="GR79" s="218"/>
      <c r="GS79" s="218"/>
      <c r="GT79" s="218"/>
      <c r="GU79" s="218"/>
      <c r="GV79" s="218"/>
      <c r="GW79" s="218"/>
      <c r="GX79" s="218"/>
      <c r="GY79" s="218"/>
      <c r="GZ79" s="218"/>
      <c r="HA79" s="218"/>
      <c r="HB79" s="218"/>
      <c r="HC79" s="218"/>
      <c r="HD79" s="218"/>
      <c r="HE79" s="218"/>
      <c r="HF79" s="218"/>
      <c r="HG79" s="218"/>
      <c r="HH79" s="218"/>
      <c r="HI79" s="218"/>
      <c r="HJ79" s="218"/>
      <c r="HK79" s="218"/>
      <c r="HL79" s="218"/>
      <c r="HM79" s="218"/>
      <c r="HN79" s="218"/>
      <c r="HO79" s="218"/>
      <c r="HP79" s="218"/>
      <c r="HQ79" s="218"/>
      <c r="HR79" s="218"/>
      <c r="HS79" s="218"/>
      <c r="HT79" s="218"/>
      <c r="HU79" s="218"/>
      <c r="HV79" s="218"/>
      <c r="HW79" s="218"/>
      <c r="HX79" s="218"/>
      <c r="HY79" s="218"/>
      <c r="HZ79" s="218"/>
      <c r="IA79" s="218"/>
      <c r="IB79" s="218"/>
      <c r="IC79" s="218"/>
      <c r="ID79" s="218"/>
      <c r="IE79" s="218"/>
      <c r="IF79" s="218"/>
      <c r="IG79" s="218"/>
      <c r="IH79" s="218"/>
      <c r="II79" s="218"/>
      <c r="IJ79" s="218"/>
      <c r="IK79" s="218"/>
      <c r="IL79" s="218"/>
      <c r="IM79" s="218"/>
      <c r="IN79" s="218"/>
      <c r="IO79" s="218"/>
      <c r="IP79" s="218"/>
      <c r="IQ79" s="218"/>
      <c r="IR79" s="218"/>
      <c r="IS79" s="218"/>
      <c r="IT79" s="218"/>
      <c r="IU79" s="218"/>
      <c r="IV79" s="218"/>
      <c r="IW79" s="218"/>
      <c r="IX79" s="218"/>
      <c r="IY79" s="218"/>
      <c r="IZ79" s="218"/>
      <c r="JA79" s="218"/>
      <c r="JB79" s="218"/>
      <c r="JC79" s="218"/>
      <c r="JD79" s="218"/>
      <c r="JE79" s="218"/>
      <c r="JF79" s="218"/>
      <c r="JG79" s="218"/>
      <c r="JH79" s="218"/>
      <c r="JI79" s="218"/>
      <c r="JJ79" s="218"/>
      <c r="JK79" s="218"/>
      <c r="JL79" s="218"/>
      <c r="JM79" s="218"/>
      <c r="JN79" s="218"/>
      <c r="JO79" s="218"/>
      <c r="JP79" s="218"/>
      <c r="JQ79" s="218"/>
      <c r="JR79" s="218"/>
      <c r="JS79" s="218"/>
      <c r="JT79" s="218"/>
      <c r="JU79" s="218"/>
      <c r="JV79" s="218"/>
      <c r="JW79" s="218"/>
      <c r="JX79" s="218"/>
      <c r="JY79" s="218"/>
      <c r="JZ79" s="218"/>
      <c r="KA79" s="218"/>
      <c r="KB79" s="218"/>
      <c r="KC79" s="218"/>
      <c r="KD79" s="218"/>
      <c r="KE79" s="218"/>
      <c r="KF79" s="218"/>
      <c r="KG79" s="218"/>
      <c r="KH79" s="218"/>
      <c r="KI79" s="218"/>
      <c r="KJ79" s="218"/>
      <c r="KK79" s="218"/>
      <c r="KL79" s="218"/>
      <c r="KM79" s="218"/>
      <c r="KN79" s="218"/>
      <c r="KO79" s="218"/>
      <c r="KP79" s="218"/>
      <c r="KQ79" s="218"/>
      <c r="KR79" s="218"/>
      <c r="KS79" s="218"/>
      <c r="KT79" s="218"/>
      <c r="KU79" s="218"/>
      <c r="KV79" s="218"/>
      <c r="KW79" s="218"/>
      <c r="KX79" s="218"/>
      <c r="KY79" s="218"/>
      <c r="KZ79" s="218"/>
      <c r="LA79" s="218"/>
      <c r="LB79" s="218"/>
      <c r="LC79" s="218"/>
      <c r="LD79" s="218"/>
      <c r="LE79" s="218"/>
      <c r="LF79" s="218"/>
      <c r="LG79" s="218"/>
      <c r="LH79" s="218"/>
      <c r="LI79" s="218"/>
      <c r="LJ79" s="218"/>
      <c r="LK79" s="218"/>
      <c r="LL79" s="218"/>
      <c r="LM79" s="218"/>
      <c r="LN79" s="218"/>
      <c r="LO79" s="218"/>
      <c r="LP79" s="218"/>
      <c r="LQ79" s="218"/>
      <c r="LR79" s="218"/>
      <c r="LS79" s="218"/>
      <c r="LT79" s="218"/>
      <c r="LU79" s="218"/>
      <c r="LV79" s="218"/>
      <c r="LW79" s="218"/>
      <c r="LX79" s="218"/>
      <c r="LY79" s="218"/>
      <c r="LZ79" s="218"/>
      <c r="MA79" s="218"/>
      <c r="MB79" s="218"/>
      <c r="MC79" s="218"/>
      <c r="MD79" s="218"/>
      <c r="ME79" s="218"/>
      <c r="MF79" s="218"/>
      <c r="MG79" s="218"/>
      <c r="MH79" s="218"/>
      <c r="MI79" s="218"/>
      <c r="MJ79" s="218"/>
      <c r="MK79" s="218"/>
      <c r="ML79" s="218"/>
      <c r="MM79" s="218"/>
      <c r="MN79" s="218"/>
      <c r="MO79" s="218"/>
      <c r="MP79" s="218"/>
      <c r="MQ79" s="218"/>
      <c r="MR79" s="218"/>
      <c r="MS79" s="218"/>
      <c r="MT79" s="218"/>
      <c r="MU79" s="218"/>
      <c r="MV79" s="218"/>
      <c r="MW79" s="218"/>
      <c r="MX79" s="218"/>
      <c r="MY79" s="218"/>
      <c r="MZ79" s="218"/>
      <c r="NA79" s="218"/>
      <c r="NB79" s="218"/>
      <c r="NC79" s="218"/>
      <c r="ND79" s="218"/>
      <c r="NE79" s="218"/>
      <c r="NF79" s="218"/>
      <c r="NG79" s="218"/>
      <c r="NH79" s="218"/>
      <c r="NI79" s="218"/>
      <c r="NJ79" s="218"/>
      <c r="NK79" s="218"/>
      <c r="NL79" s="218"/>
      <c r="NM79" s="218"/>
      <c r="NN79" s="218"/>
      <c r="NO79" s="218"/>
      <c r="NP79" s="218"/>
      <c r="NQ79" s="218"/>
      <c r="NR79" s="218"/>
      <c r="NS79" s="218"/>
      <c r="NT79" s="218"/>
      <c r="NU79" s="218"/>
      <c r="NV79" s="218"/>
      <c r="NW79" s="218"/>
      <c r="NX79" s="218"/>
      <c r="NY79" s="218"/>
      <c r="NZ79" s="218"/>
      <c r="OA79" s="218"/>
      <c r="OB79" s="218"/>
      <c r="OC79" s="218"/>
      <c r="OD79" s="218"/>
      <c r="OE79" s="218"/>
      <c r="OF79" s="218"/>
      <c r="OG79" s="218"/>
      <c r="OH79" s="218"/>
      <c r="OI79" s="218"/>
      <c r="OJ79" s="218"/>
      <c r="OK79" s="218"/>
      <c r="OL79" s="218"/>
      <c r="OM79" s="218"/>
      <c r="ON79" s="218"/>
      <c r="OO79" s="218"/>
      <c r="OP79" s="218"/>
      <c r="OQ79" s="218"/>
      <c r="OR79" s="218"/>
      <c r="OS79" s="218"/>
      <c r="OT79" s="218"/>
      <c r="OU79" s="218"/>
      <c r="OV79" s="218"/>
      <c r="OW79" s="218"/>
      <c r="OX79" s="218"/>
      <c r="OY79" s="218"/>
      <c r="OZ79" s="218"/>
      <c r="PA79" s="218"/>
      <c r="PB79" s="218"/>
      <c r="PC79" s="218"/>
      <c r="PD79" s="218"/>
      <c r="PE79" s="218"/>
      <c r="PF79" s="218"/>
      <c r="PG79" s="218"/>
      <c r="PH79" s="218"/>
      <c r="PI79" s="218"/>
      <c r="PJ79" s="218"/>
      <c r="PK79" s="218"/>
      <c r="PL79" s="218"/>
      <c r="PM79" s="218"/>
      <c r="PN79" s="218"/>
      <c r="PO79" s="218"/>
      <c r="PP79" s="218"/>
      <c r="PQ79" s="218"/>
      <c r="PR79" s="218"/>
      <c r="PS79" s="218"/>
      <c r="PT79" s="218"/>
      <c r="PU79" s="218"/>
      <c r="PV79" s="218"/>
      <c r="PW79" s="218"/>
      <c r="PX79" s="218"/>
      <c r="PY79" s="218"/>
      <c r="PZ79" s="218"/>
      <c r="QA79" s="218"/>
      <c r="QB79" s="218"/>
      <c r="QC79" s="218"/>
      <c r="QD79" s="218"/>
      <c r="QE79" s="218"/>
      <c r="QF79" s="218"/>
      <c r="QG79" s="218"/>
      <c r="QH79" s="218"/>
      <c r="QI79" s="218"/>
      <c r="QJ79" s="218"/>
      <c r="QK79" s="218"/>
      <c r="QL79" s="218"/>
      <c r="QM79" s="218"/>
      <c r="QN79" s="218"/>
      <c r="QO79" s="218"/>
      <c r="QP79" s="218"/>
      <c r="QQ79" s="218"/>
      <c r="QR79" s="218"/>
      <c r="QS79" s="218"/>
      <c r="QT79" s="218"/>
      <c r="QU79" s="218"/>
      <c r="QV79" s="218"/>
      <c r="QW79" s="218"/>
      <c r="QX79" s="218"/>
      <c r="QY79" s="218"/>
      <c r="QZ79" s="218"/>
      <c r="RA79" s="218"/>
      <c r="RB79" s="218"/>
      <c r="RC79" s="218"/>
      <c r="RD79" s="218"/>
      <c r="RE79" s="218"/>
      <c r="RF79" s="218"/>
      <c r="RG79" s="218"/>
      <c r="RH79" s="218"/>
      <c r="RI79" s="218"/>
      <c r="RJ79" s="218"/>
      <c r="RK79" s="218"/>
      <c r="RL79" s="218"/>
      <c r="RM79" s="218"/>
      <c r="RN79" s="218"/>
      <c r="RO79" s="218"/>
      <c r="RP79" s="218"/>
      <c r="RQ79" s="218"/>
      <c r="RR79" s="218"/>
      <c r="RS79" s="218"/>
      <c r="RT79" s="218"/>
      <c r="RU79" s="218"/>
      <c r="RV79" s="218"/>
      <c r="RW79" s="218"/>
      <c r="RX79" s="218"/>
      <c r="RY79" s="218"/>
      <c r="RZ79" s="218"/>
      <c r="SA79" s="218"/>
      <c r="SB79" s="218"/>
      <c r="SC79" s="218"/>
      <c r="SD79" s="218"/>
      <c r="SE79" s="218"/>
      <c r="SF79" s="218"/>
      <c r="SG79" s="218"/>
      <c r="SH79" s="218"/>
      <c r="SI79" s="218"/>
      <c r="SJ79" s="218"/>
      <c r="SK79" s="218"/>
      <c r="SL79" s="218"/>
      <c r="SM79" s="218"/>
      <c r="SN79" s="218"/>
      <c r="SO79" s="218"/>
      <c r="SP79" s="218"/>
      <c r="SQ79" s="218"/>
      <c r="SR79" s="218"/>
      <c r="SS79" s="218"/>
      <c r="ST79" s="218"/>
      <c r="SU79" s="218"/>
      <c r="SV79" s="218"/>
      <c r="SW79" s="218"/>
      <c r="SX79" s="218"/>
      <c r="SY79" s="218"/>
      <c r="SZ79" s="218"/>
      <c r="TA79" s="218"/>
      <c r="TB79" s="218"/>
      <c r="TC79" s="218"/>
      <c r="TD79" s="218"/>
      <c r="TE79" s="218"/>
      <c r="TF79" s="218"/>
      <c r="TG79" s="218"/>
      <c r="TH79" s="218"/>
      <c r="TI79" s="218"/>
      <c r="TJ79" s="218"/>
      <c r="TK79" s="218"/>
      <c r="TL79" s="218"/>
      <c r="TM79" s="218"/>
      <c r="TN79" s="218"/>
      <c r="TO79" s="218"/>
      <c r="TP79" s="218"/>
      <c r="TQ79" s="218"/>
      <c r="TR79" s="218"/>
      <c r="TS79" s="218"/>
      <c r="TT79" s="218"/>
      <c r="TU79" s="218"/>
      <c r="TV79" s="218"/>
      <c r="TW79" s="218"/>
      <c r="TX79" s="218"/>
      <c r="TY79" s="218"/>
      <c r="TZ79" s="218"/>
      <c r="UA79" s="218"/>
      <c r="UB79" s="218"/>
      <c r="UC79" s="218"/>
      <c r="UD79" s="218"/>
      <c r="UE79" s="218"/>
      <c r="UF79" s="218"/>
      <c r="UG79" s="218"/>
      <c r="UH79" s="218"/>
      <c r="UI79" s="218"/>
      <c r="UJ79" s="218"/>
      <c r="UK79" s="218"/>
      <c r="UL79" s="218"/>
      <c r="UM79" s="218"/>
      <c r="UN79" s="218"/>
      <c r="UO79" s="218"/>
      <c r="UP79" s="218"/>
      <c r="UQ79" s="218"/>
      <c r="UR79" s="218"/>
      <c r="US79" s="218"/>
      <c r="UT79" s="218"/>
      <c r="UU79" s="218"/>
      <c r="UV79" s="218"/>
      <c r="UW79" s="218"/>
      <c r="UX79" s="218"/>
      <c r="UY79" s="218"/>
      <c r="UZ79" s="218"/>
      <c r="VA79" s="218"/>
      <c r="VB79" s="218"/>
      <c r="VC79" s="218"/>
      <c r="VD79" s="218"/>
      <c r="VE79" s="218"/>
      <c r="VF79" s="218"/>
      <c r="VG79" s="218"/>
      <c r="VH79" s="218"/>
      <c r="VI79" s="218"/>
      <c r="VJ79" s="218"/>
      <c r="VK79" s="218"/>
      <c r="VL79" s="218"/>
      <c r="VM79" s="218"/>
      <c r="VN79" s="218"/>
      <c r="VO79" s="218"/>
      <c r="VP79" s="218"/>
      <c r="VQ79" s="218"/>
      <c r="VR79" s="218"/>
      <c r="VS79" s="218"/>
      <c r="VT79" s="218"/>
      <c r="VU79" s="218"/>
      <c r="VV79" s="218"/>
      <c r="VW79" s="218"/>
      <c r="VX79" s="218"/>
      <c r="VY79" s="218"/>
      <c r="VZ79" s="218"/>
      <c r="WA79" s="218"/>
      <c r="WB79" s="218"/>
      <c r="WC79" s="218"/>
      <c r="WD79" s="218"/>
      <c r="WE79" s="218"/>
      <c r="WF79" s="218"/>
      <c r="WG79" s="218"/>
      <c r="WH79" s="218"/>
      <c r="WI79" s="218"/>
      <c r="WJ79" s="218"/>
      <c r="WK79" s="218"/>
      <c r="WL79" s="218"/>
      <c r="WM79" s="218"/>
      <c r="WN79" s="218"/>
      <c r="WO79" s="218"/>
      <c r="WP79" s="218"/>
      <c r="WQ79" s="218"/>
      <c r="WR79" s="218"/>
      <c r="WS79" s="218"/>
      <c r="WT79" s="218"/>
      <c r="WU79" s="218"/>
      <c r="WV79" s="218"/>
      <c r="WW79" s="218"/>
      <c r="WX79" s="218"/>
      <c r="WY79" s="218"/>
      <c r="WZ79" s="218"/>
      <c r="XA79" s="218"/>
      <c r="XB79" s="218"/>
      <c r="XC79" s="218"/>
      <c r="XD79" s="218"/>
      <c r="XE79" s="218"/>
      <c r="XF79" s="218"/>
      <c r="XG79" s="218"/>
      <c r="XH79" s="218"/>
      <c r="XI79" s="218"/>
      <c r="XJ79" s="218"/>
      <c r="XK79" s="218"/>
      <c r="XL79" s="218"/>
      <c r="XM79" s="218"/>
      <c r="XN79" s="218"/>
      <c r="XO79" s="218"/>
      <c r="XP79" s="218"/>
      <c r="XQ79" s="218"/>
      <c r="XR79" s="218"/>
      <c r="XS79" s="218"/>
      <c r="XT79" s="218"/>
      <c r="XU79" s="218"/>
      <c r="XV79" s="218"/>
      <c r="XW79" s="218"/>
      <c r="XX79" s="218"/>
      <c r="XY79" s="218"/>
      <c r="XZ79" s="218"/>
      <c r="YA79" s="218"/>
      <c r="YB79" s="218"/>
      <c r="YC79" s="218"/>
      <c r="YD79" s="218"/>
      <c r="YE79" s="218"/>
      <c r="YF79" s="218"/>
      <c r="YG79" s="218"/>
      <c r="YH79" s="218"/>
      <c r="YI79" s="218"/>
      <c r="YJ79" s="218"/>
      <c r="YK79" s="218"/>
      <c r="YL79" s="218"/>
      <c r="YM79" s="218"/>
      <c r="YN79" s="218"/>
      <c r="YO79" s="218"/>
      <c r="YP79" s="218"/>
      <c r="YQ79" s="218"/>
      <c r="YR79" s="218"/>
      <c r="YS79" s="218"/>
      <c r="YT79" s="218"/>
      <c r="YU79" s="218"/>
      <c r="YV79" s="218"/>
      <c r="YW79" s="218"/>
      <c r="YX79" s="218"/>
      <c r="YY79" s="218"/>
      <c r="YZ79" s="218"/>
      <c r="ZA79" s="218"/>
      <c r="ZB79" s="218"/>
      <c r="ZC79" s="218"/>
      <c r="ZD79" s="218"/>
      <c r="ZE79" s="218"/>
      <c r="ZF79" s="218"/>
      <c r="ZG79" s="218"/>
      <c r="ZH79" s="218"/>
      <c r="ZI79" s="218"/>
      <c r="ZJ79" s="218"/>
      <c r="ZK79" s="218"/>
      <c r="ZL79" s="218"/>
      <c r="ZM79" s="218"/>
      <c r="ZN79" s="218"/>
      <c r="ZO79" s="218"/>
      <c r="ZP79" s="218"/>
      <c r="ZQ79" s="218"/>
      <c r="ZR79" s="218"/>
      <c r="ZS79" s="218"/>
      <c r="ZT79" s="218"/>
      <c r="ZU79" s="218"/>
      <c r="ZV79" s="218"/>
      <c r="ZW79" s="218"/>
      <c r="ZX79" s="218"/>
      <c r="ZY79" s="218"/>
      <c r="ZZ79" s="218"/>
      <c r="AAA79" s="218"/>
      <c r="AAB79" s="218"/>
      <c r="AAC79" s="218"/>
      <c r="AAD79" s="218"/>
      <c r="AAE79" s="218"/>
      <c r="AAF79" s="218"/>
      <c r="AAG79" s="218"/>
      <c r="AAH79" s="218"/>
      <c r="AAI79" s="218"/>
      <c r="AAJ79" s="218"/>
      <c r="AAK79" s="218"/>
      <c r="AAL79" s="218"/>
      <c r="AAM79" s="218"/>
      <c r="AAN79" s="218"/>
      <c r="AAO79" s="218"/>
      <c r="AAP79" s="218"/>
      <c r="AAQ79" s="218"/>
      <c r="AAR79" s="218"/>
      <c r="AAS79" s="218"/>
      <c r="AAT79" s="218"/>
      <c r="AAU79" s="218"/>
      <c r="AAV79" s="218"/>
      <c r="AAW79" s="218"/>
      <c r="AAX79" s="218"/>
      <c r="AAY79" s="218"/>
      <c r="AAZ79" s="218"/>
      <c r="ABA79" s="218"/>
      <c r="ABB79" s="218"/>
      <c r="ABC79" s="218"/>
      <c r="ABD79" s="218"/>
      <c r="ABE79" s="218"/>
      <c r="ABF79" s="218"/>
      <c r="ABG79" s="218"/>
      <c r="ABH79" s="218"/>
      <c r="ABI79" s="218"/>
      <c r="ABJ79" s="218"/>
      <c r="ABK79" s="218"/>
      <c r="ABL79" s="218"/>
      <c r="ABM79" s="218"/>
      <c r="ABN79" s="218"/>
      <c r="ABO79" s="218"/>
      <c r="ABP79" s="218"/>
      <c r="ABQ79" s="218"/>
      <c r="ABR79" s="218"/>
      <c r="ABS79" s="218"/>
      <c r="ABT79" s="218"/>
      <c r="ABU79" s="218"/>
      <c r="ABV79" s="218"/>
      <c r="ABW79" s="218"/>
      <c r="ABX79" s="218"/>
      <c r="ABY79" s="218"/>
      <c r="ABZ79" s="218"/>
      <c r="ACA79" s="218"/>
      <c r="ACB79" s="218"/>
      <c r="ACC79" s="218"/>
      <c r="ACD79" s="218"/>
      <c r="ACE79" s="218"/>
      <c r="ACF79" s="218"/>
      <c r="ACG79" s="218"/>
      <c r="ACH79" s="218"/>
      <c r="ACI79" s="218"/>
      <c r="ACJ79" s="218"/>
      <c r="ACK79" s="218"/>
      <c r="ACL79" s="218"/>
      <c r="ACM79" s="218"/>
      <c r="ACN79" s="218"/>
      <c r="ACO79" s="218"/>
      <c r="ACP79" s="218"/>
      <c r="ACQ79" s="218"/>
      <c r="ACR79" s="218"/>
      <c r="ACS79" s="218"/>
      <c r="ACT79" s="218"/>
      <c r="ACU79" s="218"/>
      <c r="ACV79" s="218"/>
      <c r="ACW79" s="218"/>
      <c r="ACX79" s="218"/>
      <c r="ACY79" s="218"/>
      <c r="ACZ79" s="218"/>
      <c r="ADA79" s="218"/>
      <c r="ADB79" s="218"/>
      <c r="ADC79" s="218"/>
      <c r="ADD79" s="218"/>
      <c r="ADE79" s="218"/>
      <c r="ADF79" s="218"/>
      <c r="ADG79" s="218"/>
      <c r="ADH79" s="218"/>
      <c r="ADI79" s="218"/>
      <c r="ADJ79" s="218"/>
      <c r="ADK79" s="218"/>
      <c r="ADL79" s="218"/>
      <c r="ADM79" s="218"/>
      <c r="ADN79" s="218"/>
      <c r="ADO79" s="218"/>
      <c r="ADP79" s="218"/>
      <c r="ADQ79" s="218"/>
      <c r="ADR79" s="218"/>
      <c r="ADS79" s="218"/>
      <c r="ADT79" s="218"/>
      <c r="ADU79" s="218"/>
      <c r="ADV79" s="218"/>
      <c r="ADW79" s="218"/>
      <c r="ADX79" s="218"/>
      <c r="ADY79" s="218"/>
      <c r="ADZ79" s="218"/>
      <c r="AEA79" s="218"/>
      <c r="AEB79" s="218"/>
      <c r="AEC79" s="218"/>
      <c r="AED79" s="218"/>
      <c r="AEE79" s="218"/>
      <c r="AEF79" s="218"/>
      <c r="AEG79" s="218"/>
      <c r="AEH79" s="218"/>
      <c r="AEI79" s="218"/>
      <c r="AEJ79" s="218"/>
      <c r="AEK79" s="218"/>
      <c r="AEL79" s="218"/>
      <c r="AEM79" s="218"/>
      <c r="AEN79" s="218"/>
      <c r="AEO79" s="218"/>
      <c r="AEP79" s="218"/>
      <c r="AEQ79" s="218"/>
      <c r="AER79" s="218"/>
      <c r="AES79" s="218"/>
      <c r="AET79" s="218"/>
      <c r="AEU79" s="218"/>
      <c r="AEV79" s="218"/>
      <c r="AEW79" s="218"/>
      <c r="AEX79" s="218"/>
      <c r="AEY79" s="218"/>
      <c r="AEZ79" s="218"/>
      <c r="AFA79" s="218"/>
      <c r="AFB79" s="218"/>
      <c r="AFC79" s="218"/>
      <c r="AFD79" s="218"/>
      <c r="AFE79" s="218"/>
      <c r="AFF79" s="218"/>
      <c r="AFG79" s="218"/>
      <c r="AFH79" s="218"/>
      <c r="AFI79" s="218"/>
      <c r="AFJ79" s="218"/>
      <c r="AFK79" s="218"/>
      <c r="AFL79" s="218"/>
      <c r="AFM79" s="218"/>
      <c r="AFN79" s="218"/>
      <c r="AFO79" s="218"/>
      <c r="AFP79" s="218"/>
      <c r="AFQ79" s="218"/>
      <c r="AFR79" s="218"/>
      <c r="AFS79" s="218"/>
      <c r="AFT79" s="218"/>
      <c r="AFU79" s="218"/>
      <c r="AFV79" s="218"/>
      <c r="AFW79" s="218"/>
      <c r="AFX79" s="218"/>
      <c r="AFY79" s="218"/>
      <c r="AFZ79" s="218"/>
      <c r="AGA79" s="218"/>
      <c r="AGB79" s="218"/>
      <c r="AGC79" s="218"/>
      <c r="AGD79" s="218"/>
      <c r="AGE79" s="218"/>
      <c r="AGF79" s="218"/>
      <c r="AGG79" s="218"/>
      <c r="AGH79" s="218"/>
      <c r="AGI79" s="218"/>
      <c r="AGJ79" s="218"/>
      <c r="AGK79" s="218"/>
      <c r="AGL79" s="218"/>
      <c r="AGM79" s="218"/>
      <c r="AGN79" s="218"/>
      <c r="AGO79" s="218"/>
      <c r="AGP79" s="218"/>
      <c r="AGQ79" s="218"/>
      <c r="AGR79" s="218"/>
      <c r="AGS79" s="218"/>
      <c r="AGT79" s="218"/>
      <c r="AGU79" s="218"/>
      <c r="AGV79" s="218"/>
      <c r="AGW79" s="218"/>
      <c r="AGX79" s="218"/>
      <c r="AGY79" s="218"/>
      <c r="AGZ79" s="218"/>
      <c r="AHA79" s="218"/>
      <c r="AHB79" s="218"/>
      <c r="AHC79" s="218"/>
      <c r="AHD79" s="218"/>
      <c r="AHE79" s="218"/>
      <c r="AHF79" s="218"/>
      <c r="AHG79" s="218"/>
      <c r="AHH79" s="218"/>
      <c r="AHI79" s="218"/>
      <c r="AHJ79" s="218"/>
      <c r="AHK79" s="218"/>
      <c r="AHL79" s="218"/>
      <c r="AHM79" s="218"/>
      <c r="AHN79" s="218"/>
      <c r="AHO79" s="218"/>
      <c r="AHP79" s="218"/>
      <c r="AHQ79" s="218"/>
      <c r="AHR79" s="218"/>
      <c r="AHS79" s="218"/>
      <c r="AHT79" s="218"/>
      <c r="AHU79" s="218"/>
      <c r="AHV79" s="218"/>
      <c r="AHW79" s="218"/>
      <c r="AHX79" s="218"/>
      <c r="AHY79" s="218"/>
      <c r="AHZ79" s="218"/>
      <c r="AIA79" s="218"/>
      <c r="AIB79" s="218"/>
      <c r="AIC79" s="218"/>
      <c r="AID79" s="218"/>
      <c r="AIE79" s="218"/>
      <c r="AIF79" s="218"/>
      <c r="AIG79" s="218"/>
      <c r="AIH79" s="218"/>
      <c r="AII79" s="218"/>
      <c r="AIJ79" s="218"/>
      <c r="AIK79" s="218"/>
      <c r="AIL79" s="218"/>
      <c r="AIM79" s="218"/>
      <c r="AIN79" s="218"/>
      <c r="AIO79" s="218"/>
      <c r="AIP79" s="218"/>
      <c r="AIQ79" s="218"/>
      <c r="AIR79" s="218"/>
      <c r="AIS79" s="218"/>
      <c r="AIT79" s="218"/>
      <c r="AIU79" s="218"/>
      <c r="AIV79" s="218"/>
      <c r="AIW79" s="218"/>
      <c r="AIX79" s="218"/>
      <c r="AIY79" s="218"/>
      <c r="AIZ79" s="218"/>
      <c r="AJA79" s="218"/>
      <c r="AJB79" s="218"/>
      <c r="AJC79" s="218"/>
      <c r="AJD79" s="218"/>
      <c r="AJE79" s="218"/>
      <c r="AJF79" s="218"/>
      <c r="AJG79" s="218"/>
      <c r="AJH79" s="218"/>
      <c r="AJI79" s="218"/>
      <c r="AJJ79" s="218"/>
      <c r="AJK79" s="218"/>
      <c r="AJL79" s="218"/>
      <c r="AJM79" s="218"/>
      <c r="AJN79" s="218"/>
      <c r="AJO79" s="218"/>
      <c r="AJP79" s="218"/>
      <c r="AJQ79" s="218"/>
      <c r="AJR79" s="218"/>
      <c r="AJS79" s="218"/>
      <c r="AJT79" s="218"/>
      <c r="AJU79" s="218"/>
      <c r="AJV79" s="218"/>
      <c r="AJW79" s="218"/>
      <c r="AJX79" s="218"/>
      <c r="AJY79" s="218"/>
      <c r="AJZ79" s="218"/>
      <c r="AKA79" s="218"/>
      <c r="AKB79" s="218"/>
      <c r="AKC79" s="218"/>
      <c r="AKD79" s="218"/>
      <c r="AKE79" s="218"/>
      <c r="AKF79" s="218"/>
      <c r="AKG79" s="218"/>
      <c r="AKH79" s="218"/>
      <c r="AKI79" s="218"/>
      <c r="AKJ79" s="218"/>
      <c r="AKK79" s="218"/>
      <c r="AKL79" s="218"/>
      <c r="AKM79" s="218"/>
      <c r="AKN79" s="218"/>
      <c r="AKO79" s="218"/>
      <c r="AKP79" s="218"/>
      <c r="AKQ79" s="218"/>
      <c r="AKR79" s="218"/>
      <c r="AKS79" s="218"/>
      <c r="AKT79" s="218"/>
      <c r="AKU79" s="218"/>
      <c r="AKV79" s="218"/>
      <c r="AKW79" s="218"/>
      <c r="AKX79" s="218"/>
      <c r="AKY79" s="218"/>
      <c r="AKZ79" s="218"/>
      <c r="ALA79" s="218"/>
      <c r="ALB79" s="218"/>
      <c r="ALC79" s="218"/>
      <c r="ALD79" s="218"/>
      <c r="ALE79" s="218"/>
      <c r="ALF79" s="218"/>
      <c r="ALG79" s="218"/>
      <c r="ALH79" s="218"/>
      <c r="ALI79" s="218"/>
      <c r="ALJ79" s="218"/>
      <c r="ALK79" s="218"/>
      <c r="ALL79" s="218"/>
      <c r="ALM79" s="218"/>
      <c r="ALN79" s="218"/>
      <c r="ALO79" s="218"/>
      <c r="ALP79" s="218"/>
      <c r="ALQ79" s="218"/>
      <c r="ALR79" s="218"/>
      <c r="ALS79" s="218"/>
      <c r="ALT79" s="218"/>
      <c r="ALU79" s="218"/>
      <c r="ALV79" s="218"/>
      <c r="ALW79" s="218"/>
      <c r="ALX79" s="218"/>
      <c r="ALY79" s="218"/>
      <c r="ALZ79" s="218"/>
      <c r="AMA79" s="218"/>
      <c r="AMB79" s="218"/>
      <c r="AMC79" s="218"/>
      <c r="AMD79" s="218"/>
      <c r="AME79" s="218"/>
      <c r="AMF79" s="218"/>
      <c r="AMG79" s="218"/>
      <c r="AMH79" s="218"/>
      <c r="AMI79" s="218"/>
      <c r="AMJ79" s="218"/>
      <c r="AMK79" s="218"/>
      <c r="AML79" s="218"/>
      <c r="AMM79" s="218"/>
      <c r="AMN79" s="218"/>
      <c r="AMO79" s="218"/>
      <c r="AMP79" s="218"/>
      <c r="AMQ79" s="218"/>
      <c r="AMR79" s="218"/>
      <c r="AMS79" s="218"/>
      <c r="AMT79" s="218"/>
      <c r="AMU79" s="218"/>
      <c r="AMV79" s="218"/>
      <c r="AMW79" s="218"/>
      <c r="AMX79" s="218"/>
      <c r="AMY79" s="218"/>
      <c r="AMZ79" s="218"/>
      <c r="ANA79" s="218"/>
      <c r="ANB79" s="218"/>
      <c r="ANC79" s="218"/>
      <c r="AND79" s="218"/>
      <c r="ANE79" s="218"/>
      <c r="ANF79" s="218"/>
      <c r="ANG79" s="218"/>
      <c r="ANH79" s="218"/>
      <c r="ANI79" s="218"/>
      <c r="ANJ79" s="218"/>
      <c r="ANK79" s="218"/>
      <c r="ANL79" s="218"/>
      <c r="ANM79" s="218"/>
      <c r="ANN79" s="218"/>
      <c r="ANO79" s="218"/>
      <c r="ANP79" s="218"/>
      <c r="ANQ79" s="218"/>
      <c r="ANR79" s="218"/>
      <c r="ANS79" s="218"/>
      <c r="ANT79" s="218"/>
      <c r="ANU79" s="218"/>
      <c r="ANV79" s="218"/>
      <c r="ANW79" s="218"/>
      <c r="ANX79" s="218"/>
      <c r="ANY79" s="218"/>
      <c r="ANZ79" s="218"/>
      <c r="AOA79" s="218"/>
      <c r="AOB79" s="218"/>
      <c r="AOC79" s="218"/>
      <c r="AOD79" s="218"/>
      <c r="AOE79" s="218"/>
      <c r="AOF79" s="218"/>
      <c r="AOG79" s="218"/>
      <c r="AOH79" s="218"/>
      <c r="AOI79" s="218"/>
      <c r="AOJ79" s="218"/>
      <c r="AOK79" s="218"/>
      <c r="AOL79" s="218"/>
      <c r="AOM79" s="218"/>
      <c r="AON79" s="218"/>
      <c r="AOO79" s="218"/>
      <c r="AOP79" s="218"/>
      <c r="AOQ79" s="218"/>
      <c r="AOR79" s="218"/>
      <c r="AOS79" s="218"/>
      <c r="AOT79" s="218"/>
      <c r="AOU79" s="218"/>
      <c r="AOV79" s="218"/>
      <c r="AOW79" s="218"/>
      <c r="AOX79" s="218"/>
      <c r="AOY79" s="218"/>
      <c r="AOZ79" s="218"/>
      <c r="APA79" s="218"/>
      <c r="APB79" s="218"/>
      <c r="APC79" s="218"/>
      <c r="APD79" s="218"/>
      <c r="APE79" s="218"/>
      <c r="APF79" s="218"/>
      <c r="APG79" s="218"/>
      <c r="APH79" s="218"/>
      <c r="API79" s="218"/>
      <c r="APJ79" s="218"/>
      <c r="APK79" s="218"/>
      <c r="APL79" s="218"/>
      <c r="APM79" s="218"/>
      <c r="APN79" s="218"/>
      <c r="APO79" s="218"/>
      <c r="APP79" s="218"/>
      <c r="APQ79" s="218"/>
      <c r="APR79" s="218"/>
      <c r="APS79" s="218"/>
      <c r="APT79" s="218"/>
      <c r="APU79" s="218"/>
      <c r="APV79" s="218"/>
      <c r="APW79" s="218"/>
      <c r="APX79" s="218"/>
      <c r="APY79" s="218"/>
      <c r="APZ79" s="218"/>
      <c r="AQA79" s="218"/>
      <c r="AQB79" s="218"/>
      <c r="AQC79" s="218"/>
      <c r="AQD79" s="218"/>
      <c r="AQE79" s="218"/>
      <c r="AQF79" s="218"/>
      <c r="AQG79" s="218"/>
      <c r="AQH79" s="218"/>
      <c r="AQI79" s="218"/>
      <c r="AQJ79" s="218"/>
      <c r="AQK79" s="218"/>
      <c r="AQL79" s="218"/>
      <c r="AQM79" s="218"/>
      <c r="AQN79" s="218"/>
      <c r="AQO79" s="218"/>
      <c r="AQP79" s="218"/>
      <c r="AQQ79" s="218"/>
      <c r="AQR79" s="218"/>
      <c r="AQS79" s="218"/>
      <c r="AQT79" s="218"/>
      <c r="AQU79" s="218"/>
      <c r="AQV79" s="218"/>
      <c r="AQW79" s="218"/>
      <c r="AQX79" s="218"/>
      <c r="AQY79" s="218"/>
      <c r="AQZ79" s="218"/>
      <c r="ARA79" s="218"/>
      <c r="ARB79" s="218"/>
      <c r="ARC79" s="218"/>
      <c r="ARD79" s="218"/>
      <c r="ARE79" s="218"/>
      <c r="ARF79" s="218"/>
      <c r="ARG79" s="218"/>
      <c r="ARH79" s="218"/>
      <c r="ARI79" s="218"/>
      <c r="ARJ79" s="218"/>
      <c r="ARK79" s="218"/>
      <c r="ARL79" s="218"/>
      <c r="ARM79" s="218"/>
      <c r="ARN79" s="218"/>
      <c r="ARO79" s="218"/>
      <c r="ARP79" s="218"/>
      <c r="ARQ79" s="218"/>
      <c r="ARR79" s="218"/>
      <c r="ARS79" s="218"/>
      <c r="ART79" s="218"/>
      <c r="ARU79" s="218"/>
      <c r="ARV79" s="218"/>
      <c r="ARW79" s="218"/>
      <c r="ARX79" s="218"/>
      <c r="ARY79" s="218"/>
      <c r="ARZ79" s="218"/>
      <c r="ASA79" s="218"/>
      <c r="ASB79" s="218"/>
      <c r="ASC79" s="218"/>
      <c r="ASD79" s="218"/>
      <c r="ASE79" s="218"/>
      <c r="ASF79" s="218"/>
      <c r="ASG79" s="218"/>
      <c r="ASH79" s="218"/>
      <c r="ASI79" s="218"/>
      <c r="ASJ79" s="218"/>
      <c r="ASK79" s="218"/>
      <c r="ASL79" s="218"/>
      <c r="ASM79" s="218"/>
      <c r="ASN79" s="218"/>
      <c r="ASO79" s="218"/>
      <c r="ASP79" s="218"/>
      <c r="ASQ79" s="218"/>
      <c r="ASR79" s="218"/>
      <c r="ASS79" s="218"/>
      <c r="AST79" s="218"/>
      <c r="ASU79" s="218"/>
      <c r="ASV79" s="218"/>
      <c r="ASW79" s="218"/>
      <c r="ASX79" s="218"/>
      <c r="ASY79" s="218"/>
      <c r="ASZ79" s="218"/>
      <c r="ATA79" s="218"/>
      <c r="ATB79" s="218"/>
      <c r="ATC79" s="218"/>
      <c r="ATD79" s="218"/>
      <c r="ATE79" s="218"/>
      <c r="ATF79" s="218"/>
      <c r="ATG79" s="218"/>
      <c r="ATH79" s="218"/>
      <c r="ATI79" s="218"/>
      <c r="ATJ79" s="218"/>
      <c r="ATK79" s="218"/>
      <c r="ATL79" s="218"/>
      <c r="ATM79" s="218"/>
      <c r="ATN79" s="218"/>
      <c r="ATO79" s="218"/>
      <c r="ATP79" s="218"/>
      <c r="ATQ79" s="218"/>
      <c r="ATR79" s="218"/>
      <c r="ATS79" s="218"/>
      <c r="ATT79" s="218"/>
      <c r="ATU79" s="218"/>
      <c r="ATV79" s="218"/>
      <c r="ATW79" s="218"/>
      <c r="ATX79" s="218"/>
      <c r="ATY79" s="218"/>
      <c r="ATZ79" s="218"/>
      <c r="AUA79" s="218"/>
      <c r="AUB79" s="218"/>
      <c r="AUC79" s="218"/>
      <c r="AUD79" s="218"/>
      <c r="AUE79" s="218"/>
      <c r="AUF79" s="218"/>
      <c r="AUG79" s="218"/>
      <c r="AUH79" s="218"/>
      <c r="AUI79" s="218"/>
      <c r="AUJ79" s="218"/>
      <c r="AUK79" s="218"/>
      <c r="AUL79" s="218"/>
      <c r="AUM79" s="218"/>
      <c r="AUN79" s="218"/>
      <c r="AUO79" s="218"/>
      <c r="AUP79" s="218"/>
      <c r="AUQ79" s="218"/>
      <c r="AUR79" s="218"/>
      <c r="AUS79" s="218"/>
      <c r="AUT79" s="218"/>
      <c r="AUU79" s="218"/>
      <c r="AUV79" s="218"/>
      <c r="AUW79" s="218"/>
      <c r="AUX79" s="218"/>
      <c r="AUY79" s="218"/>
      <c r="AUZ79" s="218"/>
      <c r="AVA79" s="218"/>
      <c r="AVB79" s="218"/>
      <c r="AVC79" s="218"/>
      <c r="AVD79" s="218"/>
      <c r="AVE79" s="218"/>
      <c r="AVF79" s="218"/>
      <c r="AVG79" s="218"/>
      <c r="AVH79" s="218"/>
      <c r="AVI79" s="218"/>
      <c r="AVJ79" s="218"/>
      <c r="AVK79" s="218"/>
      <c r="AVL79" s="218"/>
      <c r="AVM79" s="218"/>
      <c r="AVN79" s="218"/>
      <c r="AVO79" s="218"/>
      <c r="AVP79" s="218"/>
      <c r="AVQ79" s="218"/>
      <c r="AVR79" s="218"/>
      <c r="AVS79" s="218"/>
      <c r="AVT79" s="218"/>
      <c r="AVU79" s="218"/>
      <c r="AVV79" s="218"/>
      <c r="AVW79" s="218"/>
      <c r="AVX79" s="218"/>
      <c r="AVY79" s="218"/>
      <c r="AVZ79" s="218"/>
      <c r="AWA79" s="218"/>
      <c r="AWB79" s="218"/>
      <c r="AWC79" s="218"/>
      <c r="AWD79" s="218"/>
      <c r="AWE79" s="218"/>
      <c r="AWF79" s="218"/>
      <c r="AWG79" s="218"/>
      <c r="AWH79" s="218"/>
      <c r="AWI79" s="218"/>
      <c r="AWJ79" s="218"/>
      <c r="AWK79" s="218"/>
      <c r="AWL79" s="218"/>
      <c r="AWM79" s="218"/>
      <c r="AWN79" s="218"/>
      <c r="AWO79" s="218"/>
      <c r="AWP79" s="218"/>
      <c r="AWQ79" s="218"/>
      <c r="AWR79" s="218"/>
      <c r="AWS79" s="218"/>
      <c r="AWT79" s="218"/>
      <c r="AWU79" s="218"/>
      <c r="AWV79" s="218"/>
      <c r="AWW79" s="218"/>
      <c r="AWX79" s="218"/>
      <c r="AWY79" s="218"/>
      <c r="AWZ79" s="218"/>
      <c r="AXA79" s="218"/>
      <c r="AXB79" s="218"/>
      <c r="AXC79" s="218"/>
      <c r="AXD79" s="218"/>
      <c r="AXE79" s="218"/>
      <c r="AXF79" s="218"/>
      <c r="AXG79" s="218"/>
      <c r="AXH79" s="218"/>
      <c r="AXI79" s="218"/>
      <c r="AXJ79" s="218"/>
      <c r="AXK79" s="218"/>
      <c r="AXL79" s="218"/>
      <c r="AXM79" s="218"/>
      <c r="AXN79" s="218"/>
      <c r="AXO79" s="218"/>
      <c r="AXP79" s="218"/>
      <c r="AXQ79" s="218"/>
      <c r="AXR79" s="218"/>
      <c r="AXS79" s="218"/>
      <c r="AXT79" s="218"/>
      <c r="AXU79" s="218"/>
      <c r="AXV79" s="218"/>
      <c r="AXW79" s="218"/>
      <c r="AXX79" s="218"/>
      <c r="AXY79" s="218"/>
      <c r="AXZ79" s="218"/>
      <c r="AYA79" s="218"/>
      <c r="AYB79" s="218"/>
      <c r="AYC79" s="218"/>
      <c r="AYD79" s="218"/>
      <c r="AYE79" s="218"/>
      <c r="AYF79" s="218"/>
      <c r="AYG79" s="218"/>
      <c r="AYH79" s="218"/>
      <c r="AYI79" s="218"/>
      <c r="AYJ79" s="218"/>
      <c r="AYK79" s="218"/>
      <c r="AYL79" s="218"/>
      <c r="AYM79" s="218"/>
      <c r="AYN79" s="218"/>
      <c r="AYO79" s="218"/>
      <c r="AYP79" s="218"/>
      <c r="AYQ79" s="218"/>
      <c r="AYR79" s="218"/>
      <c r="AYS79" s="218"/>
      <c r="AYT79" s="218"/>
      <c r="AYU79" s="218"/>
      <c r="AYV79" s="218"/>
      <c r="AYW79" s="218"/>
      <c r="AYX79" s="218"/>
      <c r="AYY79" s="218"/>
      <c r="AYZ79" s="218"/>
      <c r="AZA79" s="218"/>
      <c r="AZB79" s="218"/>
      <c r="AZC79" s="218"/>
      <c r="AZD79" s="218"/>
      <c r="AZE79" s="218"/>
      <c r="AZF79" s="218"/>
      <c r="AZG79" s="218"/>
      <c r="AZH79" s="218"/>
      <c r="AZI79" s="218"/>
      <c r="AZJ79" s="218"/>
      <c r="AZK79" s="218"/>
      <c r="AZL79" s="218"/>
      <c r="AZM79" s="218"/>
      <c r="AZN79" s="218"/>
      <c r="AZO79" s="218"/>
      <c r="AZP79" s="218"/>
      <c r="AZQ79" s="218"/>
      <c r="AZR79" s="218"/>
      <c r="AZS79" s="218"/>
      <c r="AZT79" s="218"/>
      <c r="AZU79" s="218"/>
      <c r="AZV79" s="218"/>
      <c r="AZW79" s="218"/>
      <c r="AZX79" s="218"/>
      <c r="AZY79" s="218"/>
      <c r="AZZ79" s="218"/>
      <c r="BAA79" s="218"/>
      <c r="BAB79" s="218"/>
      <c r="BAC79" s="218"/>
      <c r="BAD79" s="218"/>
      <c r="BAE79" s="218"/>
      <c r="BAF79" s="218"/>
      <c r="BAG79" s="218"/>
      <c r="BAH79" s="218"/>
      <c r="BAI79" s="218"/>
      <c r="BAJ79" s="218"/>
      <c r="BAK79" s="218"/>
      <c r="BAL79" s="218"/>
      <c r="BAM79" s="218"/>
      <c r="BAN79" s="218"/>
      <c r="BAO79" s="218"/>
      <c r="BAP79" s="218"/>
      <c r="BAQ79" s="218"/>
      <c r="BAR79" s="218"/>
      <c r="BAS79" s="218"/>
      <c r="BAT79" s="218"/>
      <c r="BAU79" s="218"/>
      <c r="BAV79" s="218"/>
      <c r="BAW79" s="218"/>
      <c r="BAX79" s="218"/>
      <c r="BAY79" s="218"/>
      <c r="BAZ79" s="218"/>
      <c r="BBA79" s="218"/>
      <c r="BBB79" s="218"/>
      <c r="BBC79" s="218"/>
      <c r="BBD79" s="218"/>
      <c r="BBE79" s="218"/>
      <c r="BBF79" s="218"/>
      <c r="BBG79" s="218"/>
      <c r="BBH79" s="218"/>
      <c r="BBI79" s="218"/>
      <c r="BBJ79" s="218"/>
      <c r="BBK79" s="218"/>
      <c r="BBL79" s="218"/>
      <c r="BBM79" s="218"/>
      <c r="BBN79" s="218"/>
      <c r="BBO79" s="218"/>
      <c r="BBP79" s="218"/>
      <c r="BBQ79" s="218"/>
      <c r="BBR79" s="218"/>
      <c r="BBS79" s="218"/>
      <c r="BBT79" s="218"/>
      <c r="BBU79" s="218"/>
      <c r="BBV79" s="218"/>
      <c r="BBW79" s="218"/>
      <c r="BBX79" s="218"/>
      <c r="BBY79" s="218"/>
      <c r="BBZ79" s="218"/>
      <c r="BCA79" s="218"/>
      <c r="BCB79" s="218"/>
      <c r="BCC79" s="218"/>
      <c r="BCD79" s="218"/>
      <c r="BCE79" s="218"/>
      <c r="BCF79" s="218"/>
      <c r="BCG79" s="218"/>
      <c r="BCH79" s="218"/>
      <c r="BCI79" s="218"/>
      <c r="BCJ79" s="218"/>
      <c r="BCK79" s="218"/>
      <c r="BCL79" s="218"/>
      <c r="BCM79" s="218"/>
      <c r="BCN79" s="218"/>
      <c r="BCO79" s="218"/>
      <c r="BCP79" s="218"/>
      <c r="BCQ79" s="218"/>
      <c r="BCR79" s="218"/>
      <c r="BCS79" s="218"/>
      <c r="BCT79" s="218"/>
      <c r="BCU79" s="218"/>
      <c r="BCV79" s="218"/>
      <c r="BCW79" s="218"/>
      <c r="BCX79" s="218"/>
      <c r="BCY79" s="218"/>
      <c r="BCZ79" s="218"/>
      <c r="BDA79" s="218"/>
      <c r="BDB79" s="218"/>
      <c r="BDC79" s="218"/>
      <c r="BDD79" s="218"/>
      <c r="BDE79" s="218"/>
      <c r="BDF79" s="218"/>
      <c r="BDG79" s="218"/>
      <c r="BDH79" s="218"/>
      <c r="BDI79" s="218"/>
      <c r="BDJ79" s="218"/>
      <c r="BDK79" s="218"/>
      <c r="BDL79" s="218"/>
      <c r="BDM79" s="218"/>
      <c r="BDN79" s="218"/>
      <c r="BDO79" s="218"/>
      <c r="BDP79" s="218"/>
      <c r="BDQ79" s="218"/>
      <c r="BDR79" s="218"/>
      <c r="BDS79" s="218"/>
      <c r="BDT79" s="218"/>
      <c r="BDU79" s="218"/>
      <c r="BDV79" s="218"/>
      <c r="BDW79" s="218"/>
      <c r="BDX79" s="218"/>
      <c r="BDY79" s="218"/>
      <c r="BDZ79" s="218"/>
      <c r="BEA79" s="218"/>
      <c r="BEB79" s="218"/>
      <c r="BEC79" s="218"/>
      <c r="BED79" s="218"/>
      <c r="BEE79" s="218"/>
      <c r="BEF79" s="218"/>
      <c r="BEG79" s="218"/>
      <c r="BEH79" s="218"/>
      <c r="BEI79" s="218"/>
      <c r="BEJ79" s="218"/>
      <c r="BEK79" s="218"/>
      <c r="BEL79" s="218"/>
      <c r="BEM79" s="218"/>
      <c r="BEN79" s="218"/>
      <c r="BEO79" s="218"/>
      <c r="BEP79" s="218"/>
      <c r="BEQ79" s="218"/>
      <c r="BER79" s="218"/>
      <c r="BES79" s="218"/>
      <c r="BET79" s="218"/>
      <c r="BEU79" s="218"/>
      <c r="BEV79" s="218"/>
      <c r="BEW79" s="218"/>
      <c r="BEX79" s="218"/>
      <c r="BEY79" s="218"/>
      <c r="BEZ79" s="218"/>
      <c r="BFA79" s="218"/>
      <c r="BFB79" s="218"/>
      <c r="BFC79" s="218"/>
      <c r="BFD79" s="218"/>
      <c r="BFE79" s="218"/>
      <c r="BFF79" s="218"/>
      <c r="BFG79" s="218"/>
      <c r="BFH79" s="218"/>
      <c r="BFI79" s="218"/>
      <c r="BFJ79" s="218"/>
      <c r="BFK79" s="218"/>
      <c r="BFL79" s="218"/>
      <c r="BFM79" s="218"/>
      <c r="BFN79" s="218"/>
      <c r="BFO79" s="218"/>
      <c r="BFP79" s="218"/>
      <c r="BFQ79" s="218"/>
      <c r="BFR79" s="218"/>
      <c r="BFS79" s="218"/>
      <c r="BFT79" s="218"/>
      <c r="BFU79" s="218"/>
      <c r="BFV79" s="218"/>
      <c r="BFW79" s="218"/>
      <c r="BFX79" s="218"/>
      <c r="BFY79" s="218"/>
      <c r="BFZ79" s="218"/>
      <c r="BGA79" s="218"/>
      <c r="BGB79" s="218"/>
      <c r="BGC79" s="218"/>
      <c r="BGD79" s="218"/>
      <c r="BGE79" s="218"/>
      <c r="BGF79" s="218"/>
      <c r="BGG79" s="218"/>
      <c r="BGH79" s="218"/>
      <c r="BGI79" s="218"/>
      <c r="BGJ79" s="218"/>
      <c r="BGK79" s="218"/>
      <c r="BGL79" s="218"/>
      <c r="BGM79" s="218"/>
      <c r="BGN79" s="218"/>
      <c r="BGO79" s="218"/>
      <c r="BGP79" s="218"/>
      <c r="BGQ79" s="218"/>
      <c r="BGR79" s="218"/>
      <c r="BGS79" s="218"/>
      <c r="BGT79" s="218"/>
      <c r="BGU79" s="218"/>
      <c r="BGV79" s="218"/>
      <c r="BGW79" s="218"/>
      <c r="BGX79" s="218"/>
      <c r="BGY79" s="218"/>
      <c r="BGZ79" s="218"/>
      <c r="BHA79" s="218"/>
      <c r="BHB79" s="218"/>
      <c r="BHC79" s="218"/>
      <c r="BHD79" s="218"/>
      <c r="BHE79" s="218"/>
      <c r="BHF79" s="218"/>
      <c r="BHG79" s="218"/>
      <c r="BHH79" s="218"/>
      <c r="BHI79" s="218"/>
      <c r="BHJ79" s="218"/>
      <c r="BHK79" s="218"/>
      <c r="BHL79" s="218"/>
      <c r="BHM79" s="218"/>
      <c r="BHN79" s="218"/>
      <c r="BHO79" s="218"/>
      <c r="BHP79" s="218"/>
      <c r="BHQ79" s="218"/>
      <c r="BHR79" s="218"/>
      <c r="BHS79" s="218"/>
      <c r="BHT79" s="218"/>
      <c r="BHU79" s="218"/>
      <c r="BHV79" s="218"/>
      <c r="BHW79" s="218"/>
    </row>
    <row r="80" spans="1:1583" ht="16.5">
      <c r="A80" s="251" t="s">
        <v>101</v>
      </c>
      <c r="B80" s="184" t="s">
        <v>385</v>
      </c>
      <c r="C80" s="416" t="s">
        <v>508</v>
      </c>
      <c r="D80" s="419" t="s">
        <v>563</v>
      </c>
      <c r="E80" s="63" t="s">
        <v>42</v>
      </c>
      <c r="F80" s="131">
        <v>90</v>
      </c>
      <c r="G80" s="60" t="s">
        <v>733</v>
      </c>
      <c r="H80" s="473">
        <f t="shared" si="21"/>
        <v>93.54786850518984</v>
      </c>
      <c r="I80" s="103">
        <f>VLOOKUP($B80,'DCS Data'!$E$2:$AJ$100,MATCH('Daily Report'!I$1,'DCS Data'!$E$2:$AJ$2,0),0)</f>
        <v>95.089753291592132</v>
      </c>
      <c r="K80" s="103">
        <f>VLOOKUP($B80,'DCS Data'!$E$2:$AJ$100,MATCH('Daily Report'!K$1,'DCS Data'!$E$2:$AJ$2,0),0)</f>
        <v>92.951817177234801</v>
      </c>
      <c r="L80" s="103">
        <f>VLOOKUP($B80,'DCS Data'!$E$2:$AJ$100,MATCH('Daily Report'!L$1,'DCS Data'!$E$2:$AJ$2,0),0)</f>
        <v>92.05585628487259</v>
      </c>
      <c r="M80" s="103">
        <f>VLOOKUP($B80,'DCS Data'!$E$2:$AJ$100,MATCH('Daily Report'!M$1,'DCS Data'!$E$2:$AJ$2,0),0)</f>
        <v>92.222675427383408</v>
      </c>
      <c r="N80" s="103">
        <f>VLOOKUP($B80,'DCS Data'!$E$2:$AJ$100,MATCH('Daily Report'!N$1,'DCS Data'!$E$2:$AJ$2,0),0)</f>
        <v>92.661843297455889</v>
      </c>
      <c r="O80" s="103">
        <f>VLOOKUP($B80,'DCS Data'!$E$2:$AJ$100,MATCH('Daily Report'!O$1,'DCS Data'!$E$2:$AJ$2,0),0)</f>
        <v>93.524199695057959</v>
      </c>
      <c r="P80" s="103">
        <f>VLOOKUP($B80,'DCS Data'!$E$2:$AJ$100,MATCH('Daily Report'!P$1,'DCS Data'!$E$2:$AJ$2,0),0)</f>
        <v>93.483428558649464</v>
      </c>
      <c r="Q80" s="103">
        <f>VLOOKUP($B80,'DCS Data'!$E$2:$AJ$100,MATCH('Daily Report'!Q$1,'DCS Data'!$E$2:$AJ$2,0),0)</f>
        <v>93.814484848531464</v>
      </c>
      <c r="R80" s="103">
        <f>VLOOKUP($B80,'DCS Data'!$E$2:$AJ$100,MATCH('Daily Report'!R$1,'DCS Data'!$E$2:$AJ$2,0),0)</f>
        <v>94.025577999530256</v>
      </c>
      <c r="S80" s="103">
        <f>VLOOKUP($B80,'DCS Data'!$E$2:$AJ$100,MATCH('Daily Report'!S$1,'DCS Data'!$E$2:$AJ$2,0),0)</f>
        <v>93.940767818268654</v>
      </c>
      <c r="T80" s="103">
        <f>VLOOKUP($B80,'DCS Data'!$E$2:$AJ$100,MATCH('Daily Report'!T$1,'DCS Data'!$E$2:$AJ$2,0),0)</f>
        <v>93.746958498136067</v>
      </c>
      <c r="U80" s="103">
        <f>VLOOKUP($B80,'DCS Data'!$E$2:$AJ$100,MATCH('Daily Report'!U$1,'DCS Data'!$E$2:$AJ$2,0),0)</f>
        <v>94.112986888081068</v>
      </c>
      <c r="V80" s="103">
        <f>VLOOKUP($B80,'DCS Data'!$E$2:$AJ$100,MATCH('Daily Report'!V$1,'DCS Data'!$E$2:$AJ$2,0),0)</f>
        <v>94.534758637729851</v>
      </c>
      <c r="W80" s="103">
        <f>VLOOKUP($B80,'DCS Data'!$E$2:$AJ$100,MATCH('Daily Report'!W$1,'DCS Data'!$E$2:$AJ$2,0),0)</f>
        <v>94.159125621353155</v>
      </c>
      <c r="X80" s="103">
        <f>VLOOKUP($B80,'DCS Data'!$E$2:$AJ$100,MATCH('Daily Report'!X$1,'DCS Data'!$E$2:$AJ$2,0),0)</f>
        <v>94.201525604219455</v>
      </c>
      <c r="Y80" s="103">
        <f>VLOOKUP($B80,'DCS Data'!$E$2:$AJ$100,MATCH('Daily Report'!Y$1,'DCS Data'!$E$2:$AJ$2,0),0)</f>
        <v>93.558109296625275</v>
      </c>
      <c r="Z80" s="103">
        <f>VLOOKUP($B80,'DCS Data'!$E$2:$AJ$100,MATCH('Daily Report'!Z$1,'DCS Data'!$E$2:$AJ$2,0),0)</f>
        <v>90.865557627643256</v>
      </c>
      <c r="AA80" s="103">
        <f>VLOOKUP($B80,'DCS Data'!$E$2:$AJ$100,MATCH('Daily Report'!AA$1,'DCS Data'!$E$2:$AJ$2,0),0)</f>
        <v>92.31889934358189</v>
      </c>
      <c r="AB80" s="103">
        <f>VLOOKUP($B80,'DCS Data'!$E$2:$AJ$100,MATCH('Daily Report'!AB$1,'DCS Data'!$E$2:$AJ$2,0),0)</f>
        <v>93.25197487963429</v>
      </c>
      <c r="AC80" s="103">
        <f>VLOOKUP($B80,'DCS Data'!$E$2:$AJ$100,MATCH('Daily Report'!AC$1,'DCS Data'!$E$2:$AJ$2,0),0)</f>
        <v>93.702020255373569</v>
      </c>
      <c r="AD80" s="103">
        <f>VLOOKUP($B80,'DCS Data'!$E$2:$AJ$100,MATCH('Daily Report'!AD$1,'DCS Data'!$E$2:$AJ$2,0),0)</f>
        <v>93.801300343215814</v>
      </c>
      <c r="AE80" s="103">
        <f>VLOOKUP($B80,'DCS Data'!$E$2:$AJ$100,MATCH('Daily Report'!AE$1,'DCS Data'!$E$2:$AJ$2,0),0)</f>
        <v>93.694546840247227</v>
      </c>
      <c r="AF80" s="103">
        <f>VLOOKUP($B80,'DCS Data'!$E$2:$AJ$100,MATCH('Daily Report'!AF$1,'DCS Data'!$E$2:$AJ$2,0),0)</f>
        <v>93.66990502164704</v>
      </c>
      <c r="AG80" s="103">
        <f>VLOOKUP($B80,'DCS Data'!$E$2:$AJ$100,MATCH('Daily Report'!AG$1,'DCS Data'!$E$2:$AJ$2,0),0)</f>
        <v>93.769857845493874</v>
      </c>
      <c r="AH80" s="103">
        <f>VLOOKUP($B80,'DCS Data'!$E$2:$AJ$100,MATCH('Daily Report'!AH$1,'DCS Data'!$E$2:$AJ$2,0),0)</f>
        <v>93.799835749852789</v>
      </c>
      <c r="AI80" s="103">
        <f>VLOOKUP($B80,'DCS Data'!$E$2:$AJ$100,MATCH('Daily Report'!AI$1,'DCS Data'!$E$2:$AJ$2,0),0)</f>
        <v>93.483474999179947</v>
      </c>
      <c r="AJ80" s="103">
        <f>VLOOKUP($B80,'DCS Data'!$E$2:$AJ$100,MATCH('Daily Report'!AJ$1,'DCS Data'!$E$2:$AJ$2,0),0)</f>
        <v>93.612482357251352</v>
      </c>
      <c r="AK80" s="103">
        <f>VLOOKUP($B80,'DCS Data'!$E$2:$AJ$100,MATCH('Daily Report'!AK$1,'DCS Data'!$E$2:$AJ$2,0),0)</f>
        <v>93.848599399798672</v>
      </c>
      <c r="AL80" s="103">
        <f>VLOOKUP($B80,'DCS Data'!$E$2:$AJ$100,MATCH('Daily Report'!AL$1,'DCS Data'!$E$2:$AJ$2,0),0)</f>
        <v>93.993984413884093</v>
      </c>
      <c r="AM80" s="103">
        <f>VLOOKUP($B80,'DCS Data'!$E$2:$AJ$100,MATCH('Daily Report'!AM$1,'DCS Data'!$E$2:$AJ$2,0),0)</f>
        <v>93.859320813392273</v>
      </c>
      <c r="AN80" s="103">
        <f>VLOOKUP($B80,'DCS Data'!$E$2:$AJ$100,MATCH('Daily Report'!AN$1,'DCS Data'!$E$2:$AJ$2,0),0)</f>
        <v>94.228294825966955</v>
      </c>
    </row>
    <row r="81" spans="1:40">
      <c r="A81" s="252" t="s">
        <v>102</v>
      </c>
      <c r="B81" s="180" t="s">
        <v>386</v>
      </c>
      <c r="C81" s="416" t="s">
        <v>509</v>
      </c>
      <c r="D81" s="420" t="s">
        <v>552</v>
      </c>
      <c r="E81" s="59" t="s">
        <v>46</v>
      </c>
      <c r="F81" s="132">
        <v>36.1</v>
      </c>
      <c r="G81" s="60" t="s">
        <v>704</v>
      </c>
      <c r="H81" s="473">
        <f t="shared" si="21"/>
        <v>33.355708342530725</v>
      </c>
      <c r="I81" s="92">
        <f>VLOOKUP($B81,'DCS Data'!$E$2:$AJ$100,MATCH('Daily Report'!I$1,'DCS Data'!$E$2:$AJ$2,0),0)</f>
        <v>33.323299574564651</v>
      </c>
      <c r="K81" s="92">
        <f>VLOOKUP($B81,'DCS Data'!$E$2:$AJ$100,MATCH('Daily Report'!K$1,'DCS Data'!$E$2:$AJ$2,0),0)</f>
        <v>33.005268502946571</v>
      </c>
      <c r="L81" s="92">
        <f>VLOOKUP($B81,'DCS Data'!$E$2:$AJ$100,MATCH('Daily Report'!L$1,'DCS Data'!$E$2:$AJ$2,0),0)</f>
        <v>32.223687499830561</v>
      </c>
      <c r="M81" s="92">
        <f>VLOOKUP($B81,'DCS Data'!$E$2:$AJ$100,MATCH('Daily Report'!M$1,'DCS Data'!$E$2:$AJ$2,0),0)</f>
        <v>31.803533941225506</v>
      </c>
      <c r="N81" s="92">
        <f>VLOOKUP($B81,'DCS Data'!$E$2:$AJ$100,MATCH('Daily Report'!N$1,'DCS Data'!$E$2:$AJ$2,0),0)</f>
        <v>32.590695349275194</v>
      </c>
      <c r="O81" s="92">
        <f>VLOOKUP($B81,'DCS Data'!$E$2:$AJ$100,MATCH('Daily Report'!O$1,'DCS Data'!$E$2:$AJ$2,0),0)</f>
        <v>32.997478927889858</v>
      </c>
      <c r="P81" s="92">
        <f>VLOOKUP($B81,'DCS Data'!$E$2:$AJ$100,MATCH('Daily Report'!P$1,'DCS Data'!$E$2:$AJ$2,0),0)</f>
        <v>32.84406493668552</v>
      </c>
      <c r="Q81" s="92">
        <f>VLOOKUP($B81,'DCS Data'!$E$2:$AJ$100,MATCH('Daily Report'!Q$1,'DCS Data'!$E$2:$AJ$2,0),0)</f>
        <v>32.800409741463241</v>
      </c>
      <c r="R81" s="92">
        <f>VLOOKUP($B81,'DCS Data'!$E$2:$AJ$100,MATCH('Daily Report'!R$1,'DCS Data'!$E$2:$AJ$2,0),0)</f>
        <v>32.799379663379661</v>
      </c>
      <c r="S81" s="92">
        <f>VLOOKUP($B81,'DCS Data'!$E$2:$AJ$100,MATCH('Daily Report'!S$1,'DCS Data'!$E$2:$AJ$2,0),0)</f>
        <v>32.800033592706434</v>
      </c>
      <c r="T81" s="92">
        <f>VLOOKUP($B81,'DCS Data'!$E$2:$AJ$100,MATCH('Daily Report'!T$1,'DCS Data'!$E$2:$AJ$2,0),0)</f>
        <v>32.801072377893476</v>
      </c>
      <c r="U81" s="92">
        <f>VLOOKUP($B81,'DCS Data'!$E$2:$AJ$100,MATCH('Daily Report'!U$1,'DCS Data'!$E$2:$AJ$2,0),0)</f>
        <v>32.800017151312971</v>
      </c>
      <c r="V81" s="92">
        <f>VLOOKUP($B81,'DCS Data'!$E$2:$AJ$100,MATCH('Daily Report'!V$1,'DCS Data'!$E$2:$AJ$2,0),0)</f>
        <v>32.797422423617398</v>
      </c>
      <c r="W81" s="92">
        <f>VLOOKUP($B81,'DCS Data'!$E$2:$AJ$100,MATCH('Daily Report'!W$1,'DCS Data'!$E$2:$AJ$2,0),0)</f>
        <v>32.781327636063061</v>
      </c>
      <c r="X81" s="92">
        <f>VLOOKUP($B81,'DCS Data'!$E$2:$AJ$100,MATCH('Daily Report'!X$1,'DCS Data'!$E$2:$AJ$2,0),0)</f>
        <v>32.984242715700965</v>
      </c>
      <c r="Y81" s="92">
        <f>VLOOKUP($B81,'DCS Data'!$E$2:$AJ$100,MATCH('Daily Report'!Y$1,'DCS Data'!$E$2:$AJ$2,0),0)</f>
        <v>33.688842583074333</v>
      </c>
      <c r="Z81" s="92">
        <f>VLOOKUP($B81,'DCS Data'!$E$2:$AJ$100,MATCH('Daily Report'!Z$1,'DCS Data'!$E$2:$AJ$2,0),0)</f>
        <v>33.135231884238749</v>
      </c>
      <c r="AA81" s="92">
        <f>VLOOKUP($B81,'DCS Data'!$E$2:$AJ$100,MATCH('Daily Report'!AA$1,'DCS Data'!$E$2:$AJ$2,0),0)</f>
        <v>31.816058197003521</v>
      </c>
      <c r="AB81" s="92">
        <f>VLOOKUP($B81,'DCS Data'!$E$2:$AJ$100,MATCH('Daily Report'!AB$1,'DCS Data'!$E$2:$AJ$2,0),0)</f>
        <v>34.578822248983315</v>
      </c>
      <c r="AC81" s="92">
        <f>VLOOKUP($B81,'DCS Data'!$E$2:$AJ$100,MATCH('Daily Report'!AC$1,'DCS Data'!$E$2:$AJ$2,0),0)</f>
        <v>34.634714213834513</v>
      </c>
      <c r="AD81" s="92">
        <f>VLOOKUP($B81,'DCS Data'!$E$2:$AJ$100,MATCH('Daily Report'!AD$1,'DCS Data'!$E$2:$AJ$2,0),0)</f>
        <v>34.572498263689489</v>
      </c>
      <c r="AE81" s="92">
        <f>VLOOKUP($B81,'DCS Data'!$E$2:$AJ$100,MATCH('Daily Report'!AE$1,'DCS Data'!$E$2:$AJ$2,0),0)</f>
        <v>34.601958992166821</v>
      </c>
      <c r="AF81" s="92">
        <f>VLOOKUP($B81,'DCS Data'!$E$2:$AJ$100,MATCH('Daily Report'!AF$1,'DCS Data'!$E$2:$AJ$2,0),0)</f>
        <v>34.582872900640623</v>
      </c>
      <c r="AG81" s="92">
        <f>VLOOKUP($B81,'DCS Data'!$E$2:$AJ$100,MATCH('Daily Report'!AG$1,'DCS Data'!$E$2:$AJ$2,0),0)</f>
        <v>34.583110055421272</v>
      </c>
      <c r="AH81" s="92">
        <f>VLOOKUP($B81,'DCS Data'!$E$2:$AJ$100,MATCH('Daily Report'!AH$1,'DCS Data'!$E$2:$AJ$2,0),0)</f>
        <v>34.540795439716589</v>
      </c>
      <c r="AI81" s="92">
        <f>VLOOKUP($B81,'DCS Data'!$E$2:$AJ$100,MATCH('Daily Report'!AI$1,'DCS Data'!$E$2:$AJ$2,0),0)</f>
        <v>33.15436806383822</v>
      </c>
      <c r="AJ81" s="92">
        <f>VLOOKUP($B81,'DCS Data'!$E$2:$AJ$100,MATCH('Daily Report'!AJ$1,'DCS Data'!$E$2:$AJ$2,0),0)</f>
        <v>33.183895557145441</v>
      </c>
      <c r="AK81" s="92">
        <f>VLOOKUP($B81,'DCS Data'!$E$2:$AJ$100,MATCH('Daily Report'!AK$1,'DCS Data'!$E$2:$AJ$2,0),0)</f>
        <v>33.801996549401437</v>
      </c>
      <c r="AL81" s="92">
        <f>VLOOKUP($B81,'DCS Data'!$E$2:$AJ$100,MATCH('Daily Report'!AL$1,'DCS Data'!$E$2:$AJ$2,0),0)</f>
        <v>33.980261862632346</v>
      </c>
      <c r="AM81" s="92">
        <f>VLOOKUP($B81,'DCS Data'!$E$2:$AJ$100,MATCH('Daily Report'!AM$1,'DCS Data'!$E$2:$AJ$2,0),0)</f>
        <v>33.362663817090649</v>
      </c>
      <c r="AN81" s="92">
        <f>VLOOKUP($B81,'DCS Data'!$E$2:$AJ$100,MATCH('Daily Report'!AN$1,'DCS Data'!$E$2:$AJ$2,0),0)</f>
        <v>34.456933955020176</v>
      </c>
    </row>
    <row r="82" spans="1:40" ht="18.75">
      <c r="A82" s="252" t="s">
        <v>104</v>
      </c>
      <c r="B82" s="180" t="s">
        <v>387</v>
      </c>
      <c r="C82" s="416" t="s">
        <v>510</v>
      </c>
      <c r="D82" s="435" t="s">
        <v>510</v>
      </c>
      <c r="E82" s="59" t="s">
        <v>9</v>
      </c>
      <c r="F82" s="132">
        <v>1400</v>
      </c>
      <c r="G82" s="60" t="s">
        <v>734</v>
      </c>
      <c r="H82" s="473">
        <f>SUM(I82:AN82)</f>
        <v>30733.99972861377</v>
      </c>
      <c r="I82" s="92">
        <f>VLOOKUP($B82,'DCS Data'!$E$2:$AJ$100,MATCH('Daily Report'!I$1,'DCS Data'!$E$2:$AJ$2,0),0)</f>
        <v>845.24260998597742</v>
      </c>
      <c r="K82" s="92">
        <f>VLOOKUP($B82,'DCS Data'!$E$2:$AJ$100,MATCH('Daily Report'!K$1,'DCS Data'!$E$2:$AJ$2,0),0)</f>
        <v>999.00877429305785</v>
      </c>
      <c r="L82" s="92">
        <f>VLOOKUP($B82,'DCS Data'!$E$2:$AJ$100,MATCH('Daily Report'!L$1,'DCS Data'!$E$2:$AJ$2,0),0)</f>
        <v>1022.5361363739622</v>
      </c>
      <c r="M82" s="92">
        <f>VLOOKUP($B82,'DCS Data'!$E$2:$AJ$100,MATCH('Daily Report'!M$1,'DCS Data'!$E$2:$AJ$2,0),0)</f>
        <v>1066.0682948690669</v>
      </c>
      <c r="N82" s="92">
        <f>VLOOKUP($B82,'DCS Data'!$E$2:$AJ$100,MATCH('Daily Report'!N$1,'DCS Data'!$E$2:$AJ$2,0),0)</f>
        <v>1072.7744551279902</v>
      </c>
      <c r="O82" s="92">
        <f>VLOOKUP($B82,'DCS Data'!$E$2:$AJ$100,MATCH('Daily Report'!O$1,'DCS Data'!$E$2:$AJ$2,0),0)</f>
        <v>1057.1089396980824</v>
      </c>
      <c r="P82" s="92">
        <f>VLOOKUP($B82,'DCS Data'!$E$2:$AJ$100,MATCH('Daily Report'!P$1,'DCS Data'!$E$2:$AJ$2,0),0)</f>
        <v>1067.3641162633949</v>
      </c>
      <c r="Q82" s="92">
        <f>VLOOKUP($B82,'DCS Data'!$E$2:$AJ$100,MATCH('Daily Report'!Q$1,'DCS Data'!$E$2:$AJ$2,0),0)</f>
        <v>1052.5669511143481</v>
      </c>
      <c r="R82" s="92">
        <f>VLOOKUP($B82,'DCS Data'!$E$2:$AJ$100,MATCH('Daily Report'!R$1,'DCS Data'!$E$2:$AJ$2,0),0)</f>
        <v>1028.1598834378462</v>
      </c>
      <c r="S82" s="92">
        <f>VLOOKUP($B82,'DCS Data'!$E$2:$AJ$100,MATCH('Daily Report'!S$1,'DCS Data'!$E$2:$AJ$2,0),0)</f>
        <v>1055.2741439217057</v>
      </c>
      <c r="T82" s="92">
        <f>VLOOKUP($B82,'DCS Data'!$E$2:$AJ$100,MATCH('Daily Report'!T$1,'DCS Data'!$E$2:$AJ$2,0),0)</f>
        <v>999.85931166087039</v>
      </c>
      <c r="U82" s="92">
        <f>VLOOKUP($B82,'DCS Data'!$E$2:$AJ$100,MATCH('Daily Report'!U$1,'DCS Data'!$E$2:$AJ$2,0),0)</f>
        <v>972.76733748148285</v>
      </c>
      <c r="V82" s="92">
        <f>VLOOKUP($B82,'DCS Data'!$E$2:$AJ$100,MATCH('Daily Report'!V$1,'DCS Data'!$E$2:$AJ$2,0),0)</f>
        <v>1018.9479069317946</v>
      </c>
      <c r="W82" s="92">
        <f>VLOOKUP($B82,'DCS Data'!$E$2:$AJ$100,MATCH('Daily Report'!W$1,'DCS Data'!$E$2:$AJ$2,0),0)</f>
        <v>1032.2153098925614</v>
      </c>
      <c r="X82" s="92">
        <f>VLOOKUP($B82,'DCS Data'!$E$2:$AJ$100,MATCH('Daily Report'!X$1,'DCS Data'!$E$2:$AJ$2,0),0)</f>
        <v>989.55281679189466</v>
      </c>
      <c r="Y82" s="92">
        <f>VLOOKUP($B82,'DCS Data'!$E$2:$AJ$100,MATCH('Daily Report'!Y$1,'DCS Data'!$E$2:$AJ$2,0),0)</f>
        <v>945.63812409592572</v>
      </c>
      <c r="Z82" s="92">
        <f>VLOOKUP($B82,'DCS Data'!$E$2:$AJ$100,MATCH('Daily Report'!Z$1,'DCS Data'!$E$2:$AJ$2,0),0)</f>
        <v>911.95918245686437</v>
      </c>
      <c r="AA82" s="92">
        <f>VLOOKUP($B82,'DCS Data'!$E$2:$AJ$100,MATCH('Daily Report'!AA$1,'DCS Data'!$E$2:$AJ$2,0),0)</f>
        <v>893.85525291062015</v>
      </c>
      <c r="AB82" s="92">
        <f>VLOOKUP($B82,'DCS Data'!$E$2:$AJ$100,MATCH('Daily Report'!AB$1,'DCS Data'!$E$2:$AJ$2,0),0)</f>
        <v>924.75081623237998</v>
      </c>
      <c r="AC82" s="92">
        <f>VLOOKUP($B82,'DCS Data'!$E$2:$AJ$100,MATCH('Daily Report'!AC$1,'DCS Data'!$E$2:$AJ$2,0),0)</f>
        <v>986.65281805887093</v>
      </c>
      <c r="AD82" s="92">
        <f>VLOOKUP($B82,'DCS Data'!$E$2:$AJ$100,MATCH('Daily Report'!AD$1,'DCS Data'!$E$2:$AJ$2,0),0)</f>
        <v>993.2833727652104</v>
      </c>
      <c r="AE82" s="92">
        <f>VLOOKUP($B82,'DCS Data'!$E$2:$AJ$100,MATCH('Daily Report'!AE$1,'DCS Data'!$E$2:$AJ$2,0),0)</f>
        <v>979.42883433615702</v>
      </c>
      <c r="AF82" s="92">
        <f>VLOOKUP($B82,'DCS Data'!$E$2:$AJ$100,MATCH('Daily Report'!AF$1,'DCS Data'!$E$2:$AJ$2,0),0)</f>
        <v>1001.9543891900771</v>
      </c>
      <c r="AG82" s="92">
        <f>VLOOKUP($B82,'DCS Data'!$E$2:$AJ$100,MATCH('Daily Report'!AG$1,'DCS Data'!$E$2:$AJ$2,0),0)</f>
        <v>978.64112333735</v>
      </c>
      <c r="AH82" s="92">
        <f>VLOOKUP($B82,'DCS Data'!$E$2:$AJ$100,MATCH('Daily Report'!AH$1,'DCS Data'!$E$2:$AJ$2,0),0)</f>
        <v>964.37602186797483</v>
      </c>
      <c r="AI82" s="92">
        <f>VLOOKUP($B82,'DCS Data'!$E$2:$AJ$100,MATCH('Daily Report'!AI$1,'DCS Data'!$E$2:$AJ$2,0),0)</f>
        <v>988.13927727879832</v>
      </c>
      <c r="AJ82" s="92">
        <f>VLOOKUP($B82,'DCS Data'!$E$2:$AJ$100,MATCH('Daily Report'!AJ$1,'DCS Data'!$E$2:$AJ$2,0),0)</f>
        <v>989.01960591077943</v>
      </c>
      <c r="AK82" s="92">
        <f>VLOOKUP($B82,'DCS Data'!$E$2:$AJ$100,MATCH('Daily Report'!AK$1,'DCS Data'!$E$2:$AJ$2,0),0)</f>
        <v>977.42124404028891</v>
      </c>
      <c r="AL82" s="92">
        <f>VLOOKUP($B82,'DCS Data'!$E$2:$AJ$100,MATCH('Daily Report'!AL$1,'DCS Data'!$E$2:$AJ$2,0),0)</f>
        <v>986.69466865623701</v>
      </c>
      <c r="AM82" s="92">
        <f>VLOOKUP($B82,'DCS Data'!$E$2:$AJ$100,MATCH('Daily Report'!AM$1,'DCS Data'!$E$2:$AJ$2,0),0)</f>
        <v>966.50790498932656</v>
      </c>
      <c r="AN82" s="92">
        <f>VLOOKUP($B82,'DCS Data'!$E$2:$AJ$100,MATCH('Daily Report'!AN$1,'DCS Data'!$E$2:$AJ$2,0),0)</f>
        <v>966.23010464287347</v>
      </c>
    </row>
    <row r="83" spans="1:40">
      <c r="A83" s="261" t="s">
        <v>105</v>
      </c>
      <c r="B83" s="180" t="s">
        <v>388</v>
      </c>
      <c r="C83" s="416" t="s">
        <v>511</v>
      </c>
      <c r="D83" s="435" t="s">
        <v>511</v>
      </c>
      <c r="E83" s="59" t="s">
        <v>9</v>
      </c>
      <c r="F83" s="132">
        <v>1400</v>
      </c>
      <c r="G83" s="60" t="s">
        <v>735</v>
      </c>
      <c r="H83" s="473">
        <f>SUM(I83:AN83)</f>
        <v>20841.042753029615</v>
      </c>
      <c r="I83" s="92">
        <f>VLOOKUP($B83,'DCS Data'!$E$2:$AJ$100,MATCH('Daily Report'!I$1,'DCS Data'!$E$2:$AJ$2,0),0)</f>
        <v>356.58639573734359</v>
      </c>
      <c r="K83" s="92">
        <f>VLOOKUP($B83,'DCS Data'!$E$2:$AJ$100,MATCH('Daily Report'!K$1,'DCS Data'!$E$2:$AJ$2,0),0)</f>
        <v>378.83144456243286</v>
      </c>
      <c r="L83" s="92">
        <f>VLOOKUP($B83,'DCS Data'!$E$2:$AJ$100,MATCH('Daily Report'!L$1,'DCS Data'!$E$2:$AJ$2,0),0)</f>
        <v>379.54205370565211</v>
      </c>
      <c r="M83" s="92">
        <f>VLOOKUP($B83,'DCS Data'!$E$2:$AJ$100,MATCH('Daily Report'!M$1,'DCS Data'!$E$2:$AJ$2,0),0)</f>
        <v>379.59160063491652</v>
      </c>
      <c r="N83" s="92">
        <f>VLOOKUP($B83,'DCS Data'!$E$2:$AJ$100,MATCH('Daily Report'!N$1,'DCS Data'!$E$2:$AJ$2,0),0)</f>
        <v>379.71643594093803</v>
      </c>
      <c r="O83" s="92">
        <f>VLOOKUP($B83,'DCS Data'!$E$2:$AJ$100,MATCH('Daily Report'!O$1,'DCS Data'!$E$2:$AJ$2,0),0)</f>
        <v>379.82533093349701</v>
      </c>
      <c r="P83" s="92">
        <f>VLOOKUP($B83,'DCS Data'!$E$2:$AJ$100,MATCH('Daily Report'!P$1,'DCS Data'!$E$2:$AJ$2,0),0)</f>
        <v>380.37206927400814</v>
      </c>
      <c r="Q83" s="92">
        <f>VLOOKUP($B83,'DCS Data'!$E$2:$AJ$100,MATCH('Daily Report'!Q$1,'DCS Data'!$E$2:$AJ$2,0),0)</f>
        <v>381.03103486840052</v>
      </c>
      <c r="R83" s="92">
        <f>VLOOKUP($B83,'DCS Data'!$E$2:$AJ$100,MATCH('Daily Report'!R$1,'DCS Data'!$E$2:$AJ$2,0),0)</f>
        <v>380.68268135956623</v>
      </c>
      <c r="S83" s="92">
        <f>VLOOKUP($B83,'DCS Data'!$E$2:$AJ$100,MATCH('Daily Report'!S$1,'DCS Data'!$E$2:$AJ$2,0),0)</f>
        <v>389.42553857746157</v>
      </c>
      <c r="T83" s="92">
        <f>VLOOKUP($B83,'DCS Data'!$E$2:$AJ$100,MATCH('Daily Report'!T$1,'DCS Data'!$E$2:$AJ$2,0),0)</f>
        <v>513.36883556801365</v>
      </c>
      <c r="U83" s="92">
        <f>VLOOKUP($B83,'DCS Data'!$E$2:$AJ$100,MATCH('Daily Report'!U$1,'DCS Data'!$E$2:$AJ$2,0),0)</f>
        <v>790.20365220513213</v>
      </c>
      <c r="V83" s="92">
        <f>VLOOKUP($B83,'DCS Data'!$E$2:$AJ$100,MATCH('Daily Report'!V$1,'DCS Data'!$E$2:$AJ$2,0),0)</f>
        <v>805.17954843287316</v>
      </c>
      <c r="W83" s="92">
        <f>VLOOKUP($B83,'DCS Data'!$E$2:$AJ$100,MATCH('Daily Report'!W$1,'DCS Data'!$E$2:$AJ$2,0),0)</f>
        <v>814.09117711996544</v>
      </c>
      <c r="X83" s="92">
        <f>VLOOKUP($B83,'DCS Data'!$E$2:$AJ$100,MATCH('Daily Report'!X$1,'DCS Data'!$E$2:$AJ$2,0),0)</f>
        <v>857.63759818542235</v>
      </c>
      <c r="Y83" s="92">
        <f>VLOOKUP($B83,'DCS Data'!$E$2:$AJ$100,MATCH('Daily Report'!Y$1,'DCS Data'!$E$2:$AJ$2,0),0)</f>
        <v>874.03802219440104</v>
      </c>
      <c r="Z83" s="92">
        <f>VLOOKUP($B83,'DCS Data'!$E$2:$AJ$100,MATCH('Daily Report'!Z$1,'DCS Data'!$E$2:$AJ$2,0),0)</f>
        <v>835.8587122248432</v>
      </c>
      <c r="AA83" s="92">
        <f>VLOOKUP($B83,'DCS Data'!$E$2:$AJ$100,MATCH('Daily Report'!AA$1,'DCS Data'!$E$2:$AJ$2,0),0)</f>
        <v>825.2329174058674</v>
      </c>
      <c r="AB83" s="92">
        <f>VLOOKUP($B83,'DCS Data'!$E$2:$AJ$100,MATCH('Daily Report'!AB$1,'DCS Data'!$E$2:$AJ$2,0),0)</f>
        <v>822.06510842190949</v>
      </c>
      <c r="AC83" s="92">
        <f>VLOOKUP($B83,'DCS Data'!$E$2:$AJ$100,MATCH('Daily Report'!AC$1,'DCS Data'!$E$2:$AJ$2,0),0)</f>
        <v>797.90714344794969</v>
      </c>
      <c r="AD83" s="92">
        <f>VLOOKUP($B83,'DCS Data'!$E$2:$AJ$100,MATCH('Daily Report'!AD$1,'DCS Data'!$E$2:$AJ$2,0),0)</f>
        <v>787.64645862354826</v>
      </c>
      <c r="AE83" s="92">
        <f>VLOOKUP($B83,'DCS Data'!$E$2:$AJ$100,MATCH('Daily Report'!AE$1,'DCS Data'!$E$2:$AJ$2,0),0)</f>
        <v>787.46573302898366</v>
      </c>
      <c r="AF83" s="92">
        <f>VLOOKUP($B83,'DCS Data'!$E$2:$AJ$100,MATCH('Daily Report'!AF$1,'DCS Data'!$E$2:$AJ$2,0),0)</f>
        <v>788.55490195393611</v>
      </c>
      <c r="AG83" s="92">
        <f>VLOOKUP($B83,'DCS Data'!$E$2:$AJ$100,MATCH('Daily Report'!AG$1,'DCS Data'!$E$2:$AJ$2,0),0)</f>
        <v>788.76781313109814</v>
      </c>
      <c r="AH83" s="92">
        <f>VLOOKUP($B83,'DCS Data'!$E$2:$AJ$100,MATCH('Daily Report'!AH$1,'DCS Data'!$E$2:$AJ$2,0),0)</f>
        <v>798.65017073134231</v>
      </c>
      <c r="AI83" s="92">
        <f>VLOOKUP($B83,'DCS Data'!$E$2:$AJ$100,MATCH('Daily Report'!AI$1,'DCS Data'!$E$2:$AJ$2,0),0)</f>
        <v>866.46244160930507</v>
      </c>
      <c r="AJ83" s="92">
        <f>VLOOKUP($B83,'DCS Data'!$E$2:$AJ$100,MATCH('Daily Report'!AJ$1,'DCS Data'!$E$2:$AJ$2,0),0)</f>
        <v>867.30531067797006</v>
      </c>
      <c r="AK83" s="92">
        <f>VLOOKUP($B83,'DCS Data'!$E$2:$AJ$100,MATCH('Daily Report'!AK$1,'DCS Data'!$E$2:$AJ$2,0),0)</f>
        <v>868.42556731112427</v>
      </c>
      <c r="AL83" s="92">
        <f>VLOOKUP($B83,'DCS Data'!$E$2:$AJ$100,MATCH('Daily Report'!AL$1,'DCS Data'!$E$2:$AJ$2,0),0)</f>
        <v>859.55355225618587</v>
      </c>
      <c r="AM83" s="92">
        <f>VLOOKUP($B83,'DCS Data'!$E$2:$AJ$100,MATCH('Daily Report'!AM$1,'DCS Data'!$E$2:$AJ$2,0),0)</f>
        <v>860.95064918376511</v>
      </c>
      <c r="AN83" s="92">
        <f>VLOOKUP($B83,'DCS Data'!$E$2:$AJ$100,MATCH('Daily Report'!AN$1,'DCS Data'!$E$2:$AJ$2,0),0)</f>
        <v>846.07285372176239</v>
      </c>
    </row>
    <row r="84" spans="1:40">
      <c r="A84" s="261" t="s">
        <v>105</v>
      </c>
      <c r="B84" s="180" t="s">
        <v>389</v>
      </c>
      <c r="C84" s="416" t="s">
        <v>512</v>
      </c>
      <c r="D84" s="435" t="s">
        <v>512</v>
      </c>
      <c r="E84" s="59" t="s">
        <v>9</v>
      </c>
      <c r="F84" s="132">
        <v>1400</v>
      </c>
      <c r="G84" s="60" t="s">
        <v>736</v>
      </c>
      <c r="H84" s="473">
        <f>SUM(I84:AN84)</f>
        <v>20837.539102302133</v>
      </c>
      <c r="I84" s="92">
        <f>VLOOKUP($B84,'DCS Data'!$E$2:$AJ$100,MATCH('Daily Report'!I$1,'DCS Data'!$E$2:$AJ$2,0),0)</f>
        <v>357.32272684908168</v>
      </c>
      <c r="K84" s="92">
        <f>VLOOKUP($B84,'DCS Data'!$E$2:$AJ$100,MATCH('Daily Report'!K$1,'DCS Data'!$E$2:$AJ$2,0),0)</f>
        <v>379.10831975350226</v>
      </c>
      <c r="L84" s="92">
        <f>VLOOKUP($B84,'DCS Data'!$E$2:$AJ$100,MATCH('Daily Report'!L$1,'DCS Data'!$E$2:$AJ$2,0),0)</f>
        <v>379.73613525358928</v>
      </c>
      <c r="M84" s="92">
        <f>VLOOKUP($B84,'DCS Data'!$E$2:$AJ$100,MATCH('Daily Report'!M$1,'DCS Data'!$E$2:$AJ$2,0),0)</f>
        <v>379.79351058582097</v>
      </c>
      <c r="N84" s="92">
        <f>VLOOKUP($B84,'DCS Data'!$E$2:$AJ$100,MATCH('Daily Report'!N$1,'DCS Data'!$E$2:$AJ$2,0),0)</f>
        <v>379.96114447040321</v>
      </c>
      <c r="O84" s="92">
        <f>VLOOKUP($B84,'DCS Data'!$E$2:$AJ$100,MATCH('Daily Report'!O$1,'DCS Data'!$E$2:$AJ$2,0),0)</f>
        <v>380.01622039864463</v>
      </c>
      <c r="P84" s="92">
        <f>VLOOKUP($B84,'DCS Data'!$E$2:$AJ$100,MATCH('Daily Report'!P$1,'DCS Data'!$E$2:$AJ$2,0),0)</f>
        <v>380.60848297798805</v>
      </c>
      <c r="Q84" s="92">
        <f>VLOOKUP($B84,'DCS Data'!$E$2:$AJ$100,MATCH('Daily Report'!Q$1,'DCS Data'!$E$2:$AJ$2,0),0)</f>
        <v>381.36410484552493</v>
      </c>
      <c r="R84" s="92">
        <f>VLOOKUP($B84,'DCS Data'!$E$2:$AJ$100,MATCH('Daily Report'!R$1,'DCS Data'!$E$2:$AJ$2,0),0)</f>
        <v>381.04862183958124</v>
      </c>
      <c r="S84" s="92">
        <f>VLOOKUP($B84,'DCS Data'!$E$2:$AJ$100,MATCH('Daily Report'!S$1,'DCS Data'!$E$2:$AJ$2,0),0)</f>
        <v>389.76735269503712</v>
      </c>
      <c r="T84" s="92">
        <f>VLOOKUP($B84,'DCS Data'!$E$2:$AJ$100,MATCH('Daily Report'!T$1,'DCS Data'!$E$2:$AJ$2,0),0)</f>
        <v>513.44011331652825</v>
      </c>
      <c r="U84" s="92">
        <f>VLOOKUP($B84,'DCS Data'!$E$2:$AJ$100,MATCH('Daily Report'!U$1,'DCS Data'!$E$2:$AJ$2,0),0)</f>
        <v>789.89866412161609</v>
      </c>
      <c r="V84" s="92">
        <f>VLOOKUP($B84,'DCS Data'!$E$2:$AJ$100,MATCH('Daily Report'!V$1,'DCS Data'!$E$2:$AJ$2,0),0)</f>
        <v>804.81240516215075</v>
      </c>
      <c r="W84" s="92">
        <f>VLOOKUP($B84,'DCS Data'!$E$2:$AJ$100,MATCH('Daily Report'!W$1,'DCS Data'!$E$2:$AJ$2,0),0)</f>
        <v>813.75787455919021</v>
      </c>
      <c r="X84" s="92">
        <f>VLOOKUP($B84,'DCS Data'!$E$2:$AJ$100,MATCH('Daily Report'!X$1,'DCS Data'!$E$2:$AJ$2,0),0)</f>
        <v>857.2738733301087</v>
      </c>
      <c r="Y84" s="92">
        <f>VLOOKUP($B84,'DCS Data'!$E$2:$AJ$100,MATCH('Daily Report'!Y$1,'DCS Data'!$E$2:$AJ$2,0),0)</f>
        <v>873.65081439666142</v>
      </c>
      <c r="Z84" s="92">
        <f>VLOOKUP($B84,'DCS Data'!$E$2:$AJ$100,MATCH('Daily Report'!Z$1,'DCS Data'!$E$2:$AJ$2,0),0)</f>
        <v>835.59464529258025</v>
      </c>
      <c r="AA84" s="92">
        <f>VLOOKUP($B84,'DCS Data'!$E$2:$AJ$100,MATCH('Daily Report'!AA$1,'DCS Data'!$E$2:$AJ$2,0),0)</f>
        <v>824.94434981923951</v>
      </c>
      <c r="AB84" s="92">
        <f>VLOOKUP($B84,'DCS Data'!$E$2:$AJ$100,MATCH('Daily Report'!AB$1,'DCS Data'!$E$2:$AJ$2,0),0)</f>
        <v>821.75675586609827</v>
      </c>
      <c r="AC84" s="92">
        <f>VLOOKUP($B84,'DCS Data'!$E$2:$AJ$100,MATCH('Daily Report'!AC$1,'DCS Data'!$E$2:$AJ$2,0),0)</f>
        <v>797.77112293680148</v>
      </c>
      <c r="AD84" s="92">
        <f>VLOOKUP($B84,'DCS Data'!$E$2:$AJ$100,MATCH('Daily Report'!AD$1,'DCS Data'!$E$2:$AJ$2,0),0)</f>
        <v>787.32332092929369</v>
      </c>
      <c r="AE84" s="92">
        <f>VLOOKUP($B84,'DCS Data'!$E$2:$AJ$100,MATCH('Daily Report'!AE$1,'DCS Data'!$E$2:$AJ$2,0),0)</f>
        <v>787.12150330549798</v>
      </c>
      <c r="AF84" s="92">
        <f>VLOOKUP($B84,'DCS Data'!$E$2:$AJ$100,MATCH('Daily Report'!AF$1,'DCS Data'!$E$2:$AJ$2,0),0)</f>
        <v>788.20641288420904</v>
      </c>
      <c r="AG84" s="92">
        <f>VLOOKUP($B84,'DCS Data'!$E$2:$AJ$100,MATCH('Daily Report'!AG$1,'DCS Data'!$E$2:$AJ$2,0),0)</f>
        <v>788.50276877292265</v>
      </c>
      <c r="AH84" s="92">
        <f>VLOOKUP($B84,'DCS Data'!$E$2:$AJ$100,MATCH('Daily Report'!AH$1,'DCS Data'!$E$2:$AJ$2,0),0)</f>
        <v>798.42405631532233</v>
      </c>
      <c r="AI84" s="92">
        <f>VLOOKUP($B84,'DCS Data'!$E$2:$AJ$100,MATCH('Daily Report'!AI$1,'DCS Data'!$E$2:$AJ$2,0),0)</f>
        <v>866.1167592328128</v>
      </c>
      <c r="AJ84" s="92">
        <f>VLOOKUP($B84,'DCS Data'!$E$2:$AJ$100,MATCH('Daily Report'!AJ$1,'DCS Data'!$E$2:$AJ$2,0),0)</f>
        <v>866.86759589018072</v>
      </c>
      <c r="AK84" s="92">
        <f>VLOOKUP($B84,'DCS Data'!$E$2:$AJ$100,MATCH('Daily Report'!AK$1,'DCS Data'!$E$2:$AJ$2,0),0)</f>
        <v>867.9741143035933</v>
      </c>
      <c r="AL84" s="92">
        <f>VLOOKUP($B84,'DCS Data'!$E$2:$AJ$100,MATCH('Daily Report'!AL$1,'DCS Data'!$E$2:$AJ$2,0),0)</f>
        <v>859.10051498772918</v>
      </c>
      <c r="AM84" s="92">
        <f>VLOOKUP($B84,'DCS Data'!$E$2:$AJ$100,MATCH('Daily Report'!AM$1,'DCS Data'!$E$2:$AJ$2,0),0)</f>
        <v>860.56364907589102</v>
      </c>
      <c r="AN84" s="92">
        <f>VLOOKUP($B84,'DCS Data'!$E$2:$AJ$100,MATCH('Daily Report'!AN$1,'DCS Data'!$E$2:$AJ$2,0),0)</f>
        <v>845.71116813453</v>
      </c>
    </row>
    <row r="85" spans="1:40" ht="15.75" thickBot="1">
      <c r="A85" s="261" t="s">
        <v>106</v>
      </c>
      <c r="B85" s="180" t="s">
        <v>390</v>
      </c>
      <c r="C85" s="416" t="s">
        <v>513</v>
      </c>
      <c r="D85" s="420" t="s">
        <v>564</v>
      </c>
      <c r="E85" s="59" t="s">
        <v>107</v>
      </c>
      <c r="F85" s="132"/>
      <c r="G85" s="60" t="s">
        <v>737</v>
      </c>
      <c r="H85" s="473">
        <f>AVERAGE(I85:AN85)</f>
        <v>34.296949287667964</v>
      </c>
      <c r="I85" s="92">
        <f>VLOOKUP($B85,'DCS Data'!$E$2:$AJ$100,MATCH('Daily Report'!I$1,'DCS Data'!$E$2:$AJ$2,0),0)</f>
        <v>34.61657268534632</v>
      </c>
      <c r="K85" s="92">
        <f>VLOOKUP($B85,'DCS Data'!$E$2:$AJ$100,MATCH('Daily Report'!K$1,'DCS Data'!$E$2:$AJ$2,0),0)</f>
        <v>34.262488999248369</v>
      </c>
      <c r="L85" s="92">
        <f>VLOOKUP($B85,'DCS Data'!$E$2:$AJ$100,MATCH('Daily Report'!L$1,'DCS Data'!$E$2:$AJ$2,0),0)</f>
        <v>34.250180774902127</v>
      </c>
      <c r="M85" s="92">
        <f>VLOOKUP($B85,'DCS Data'!$E$2:$AJ$100,MATCH('Daily Report'!M$1,'DCS Data'!$E$2:$AJ$2,0),0)</f>
        <v>34.203417360048725</v>
      </c>
      <c r="N85" s="92">
        <f>VLOOKUP($B85,'DCS Data'!$E$2:$AJ$100,MATCH('Daily Report'!N$1,'DCS Data'!$E$2:$AJ$2,0),0)</f>
        <v>34.200162043681289</v>
      </c>
      <c r="O85" s="92">
        <f>VLOOKUP($B85,'DCS Data'!$E$2:$AJ$100,MATCH('Daily Report'!O$1,'DCS Data'!$E$2:$AJ$2,0),0)</f>
        <v>34.201060652418029</v>
      </c>
      <c r="P85" s="92">
        <f>VLOOKUP($B85,'DCS Data'!$E$2:$AJ$100,MATCH('Daily Report'!P$1,'DCS Data'!$E$2:$AJ$2,0),0)</f>
        <v>34.199540993202767</v>
      </c>
      <c r="Q85" s="92">
        <f>VLOOKUP($B85,'DCS Data'!$E$2:$AJ$100,MATCH('Daily Report'!Q$1,'DCS Data'!$E$2:$AJ$2,0),0)</f>
        <v>34.224757185531651</v>
      </c>
      <c r="R85" s="92">
        <f>VLOOKUP($B85,'DCS Data'!$E$2:$AJ$100,MATCH('Daily Report'!R$1,'DCS Data'!$E$2:$AJ$2,0),0)</f>
        <v>34.241636679741831</v>
      </c>
      <c r="S85" s="92">
        <f>VLOOKUP($B85,'DCS Data'!$E$2:$AJ$100,MATCH('Daily Report'!S$1,'DCS Data'!$E$2:$AJ$2,0),0)</f>
        <v>34.222150638688881</v>
      </c>
      <c r="T85" s="92">
        <f>VLOOKUP($B85,'DCS Data'!$E$2:$AJ$100,MATCH('Daily Report'!T$1,'DCS Data'!$E$2:$AJ$2,0),0)</f>
        <v>34.284350897808594</v>
      </c>
      <c r="U85" s="92">
        <f>VLOOKUP($B85,'DCS Data'!$E$2:$AJ$100,MATCH('Daily Report'!U$1,'DCS Data'!$E$2:$AJ$2,0),0)</f>
        <v>34.292915963721782</v>
      </c>
      <c r="V85" s="92">
        <f>VLOOKUP($B85,'DCS Data'!$E$2:$AJ$100,MATCH('Daily Report'!V$1,'DCS Data'!$E$2:$AJ$2,0),0)</f>
        <v>34.254257186568239</v>
      </c>
      <c r="W85" s="92">
        <f>VLOOKUP($B85,'DCS Data'!$E$2:$AJ$100,MATCH('Daily Report'!W$1,'DCS Data'!$E$2:$AJ$2,0),0)</f>
        <v>34.249530614384547</v>
      </c>
      <c r="X85" s="92">
        <f>VLOOKUP($B85,'DCS Data'!$E$2:$AJ$100,MATCH('Daily Report'!X$1,'DCS Data'!$E$2:$AJ$2,0),0)</f>
        <v>34.296446657932961</v>
      </c>
      <c r="Y85" s="92">
        <f>VLOOKUP($B85,'DCS Data'!$E$2:$AJ$100,MATCH('Daily Report'!Y$1,'DCS Data'!$E$2:$AJ$2,0),0)</f>
        <v>34.354783124127117</v>
      </c>
      <c r="Z85" s="92">
        <f>VLOOKUP($B85,'DCS Data'!$E$2:$AJ$100,MATCH('Daily Report'!Z$1,'DCS Data'!$E$2:$AJ$2,0),0)</f>
        <v>34.38715586015983</v>
      </c>
      <c r="AA85" s="92">
        <f>VLOOKUP($B85,'DCS Data'!$E$2:$AJ$100,MATCH('Daily Report'!AA$1,'DCS Data'!$E$2:$AJ$2,0),0)</f>
        <v>34.402444169899177</v>
      </c>
      <c r="AB85" s="92">
        <f>VLOOKUP($B85,'DCS Data'!$E$2:$AJ$100,MATCH('Daily Report'!AB$1,'DCS Data'!$E$2:$AJ$2,0),0)</f>
        <v>34.354209886135081</v>
      </c>
      <c r="AC85" s="92">
        <f>VLOOKUP($B85,'DCS Data'!$E$2:$AJ$100,MATCH('Daily Report'!AC$1,'DCS Data'!$E$2:$AJ$2,0),0)</f>
        <v>34.313426876234651</v>
      </c>
      <c r="AD85" s="92">
        <f>VLOOKUP($B85,'DCS Data'!$E$2:$AJ$100,MATCH('Daily Report'!AD$1,'DCS Data'!$E$2:$AJ$2,0),0)</f>
        <v>34.299654006714135</v>
      </c>
      <c r="AE85" s="92">
        <f>VLOOKUP($B85,'DCS Data'!$E$2:$AJ$100,MATCH('Daily Report'!AE$1,'DCS Data'!$E$2:$AJ$2,0),0)</f>
        <v>34.305989554332648</v>
      </c>
      <c r="AF85" s="92">
        <f>VLOOKUP($B85,'DCS Data'!$E$2:$AJ$100,MATCH('Daily Report'!AF$1,'DCS Data'!$E$2:$AJ$2,0),0)</f>
        <v>34.292000039950807</v>
      </c>
      <c r="AG85" s="92">
        <f>VLOOKUP($B85,'DCS Data'!$E$2:$AJ$100,MATCH('Daily Report'!AG$1,'DCS Data'!$E$2:$AJ$2,0),0)</f>
        <v>34.31887922561851</v>
      </c>
      <c r="AH85" s="92">
        <f>VLOOKUP($B85,'DCS Data'!$E$2:$AJ$100,MATCH('Daily Report'!AH$1,'DCS Data'!$E$2:$AJ$2,0),0)</f>
        <v>34.324191381337492</v>
      </c>
      <c r="AI85" s="92">
        <f>VLOOKUP($B85,'DCS Data'!$E$2:$AJ$100,MATCH('Daily Report'!AI$1,'DCS Data'!$E$2:$AJ$2,0),0)</f>
        <v>34.317666305832454</v>
      </c>
      <c r="AJ85" s="92">
        <f>VLOOKUP($B85,'DCS Data'!$E$2:$AJ$100,MATCH('Daily Report'!AJ$1,'DCS Data'!$E$2:$AJ$2,0),0)</f>
        <v>34.30053926534724</v>
      </c>
      <c r="AK85" s="92">
        <f>VLOOKUP($B85,'DCS Data'!$E$2:$AJ$100,MATCH('Daily Report'!AK$1,'DCS Data'!$E$2:$AJ$2,0),0)</f>
        <v>34.299883030502635</v>
      </c>
      <c r="AL85" s="92">
        <f>VLOOKUP($B85,'DCS Data'!$E$2:$AJ$100,MATCH('Daily Report'!AL$1,'DCS Data'!$E$2:$AJ$2,0),0)</f>
        <v>34.299358814405494</v>
      </c>
      <c r="AM85" s="92">
        <f>VLOOKUP($B85,'DCS Data'!$E$2:$AJ$100,MATCH('Daily Report'!AM$1,'DCS Data'!$E$2:$AJ$2,0),0)</f>
        <v>34.315366979619832</v>
      </c>
      <c r="AN85" s="92">
        <f>VLOOKUP($B85,'DCS Data'!$E$2:$AJ$100,MATCH('Daily Report'!AN$1,'DCS Data'!$E$2:$AJ$2,0),0)</f>
        <v>34.320410064263875</v>
      </c>
    </row>
    <row r="86" spans="1:40" s="215" customFormat="1">
      <c r="A86" s="157" t="s">
        <v>117</v>
      </c>
      <c r="B86" s="184" t="s">
        <v>391</v>
      </c>
      <c r="C86" s="416" t="s">
        <v>514</v>
      </c>
      <c r="D86" s="435" t="s">
        <v>514</v>
      </c>
      <c r="E86" s="63" t="s">
        <v>9</v>
      </c>
      <c r="F86" s="131">
        <v>725.5</v>
      </c>
      <c r="G86" s="60" t="s">
        <v>738</v>
      </c>
      <c r="H86" s="473">
        <f>SUM(I86:AN86)</f>
        <v>16833.493250177049</v>
      </c>
      <c r="I86" s="95">
        <f>VLOOKUP($B86,'DCS Data'!$E$2:$AJ$100,MATCH('Daily Report'!I$1,'DCS Data'!$E$2:$AJ$2,0),0)</f>
        <v>406.52981476137546</v>
      </c>
      <c r="J86" s="255"/>
      <c r="K86" s="95">
        <f>VLOOKUP($B86,'DCS Data'!$E$2:$AJ$100,MATCH('Daily Report'!K$1,'DCS Data'!$E$2:$AJ$2,0),0)</f>
        <v>472.59984255335485</v>
      </c>
      <c r="L86" s="95">
        <f>VLOOKUP($B86,'DCS Data'!$E$2:$AJ$100,MATCH('Daily Report'!L$1,'DCS Data'!$E$2:$AJ$2,0),0)</f>
        <v>480.93525457362938</v>
      </c>
      <c r="M86" s="95">
        <f>VLOOKUP($B86,'DCS Data'!$E$2:$AJ$100,MATCH('Daily Report'!M$1,'DCS Data'!$E$2:$AJ$2,0),0)</f>
        <v>476.09772085326557</v>
      </c>
      <c r="N86" s="95">
        <f>VLOOKUP($B86,'DCS Data'!$E$2:$AJ$100,MATCH('Daily Report'!N$1,'DCS Data'!$E$2:$AJ$2,0),0)</f>
        <v>496.58190913977023</v>
      </c>
      <c r="O86" s="95">
        <f>VLOOKUP($B86,'DCS Data'!$E$2:$AJ$100,MATCH('Daily Report'!O$1,'DCS Data'!$E$2:$AJ$2,0),0)</f>
        <v>555.58055854831036</v>
      </c>
      <c r="P86" s="95">
        <f>VLOOKUP($B86,'DCS Data'!$E$2:$AJ$100,MATCH('Daily Report'!P$1,'DCS Data'!$E$2:$AJ$2,0),0)</f>
        <v>549.59887341227818</v>
      </c>
      <c r="Q86" s="95">
        <f>VLOOKUP($B86,'DCS Data'!$E$2:$AJ$100,MATCH('Daily Report'!Q$1,'DCS Data'!$E$2:$AJ$2,0),0)</f>
        <v>531.78012144092793</v>
      </c>
      <c r="R86" s="95">
        <f>VLOOKUP($B86,'DCS Data'!$E$2:$AJ$100,MATCH('Daily Report'!R$1,'DCS Data'!$E$2:$AJ$2,0),0)</f>
        <v>539.15316979282909</v>
      </c>
      <c r="S86" s="95">
        <f>VLOOKUP($B86,'DCS Data'!$E$2:$AJ$100,MATCH('Daily Report'!S$1,'DCS Data'!$E$2:$AJ$2,0),0)</f>
        <v>531.01400848000844</v>
      </c>
      <c r="T86" s="95">
        <f>VLOOKUP($B86,'DCS Data'!$E$2:$AJ$100,MATCH('Daily Report'!T$1,'DCS Data'!$E$2:$AJ$2,0),0)</f>
        <v>521.23896494574569</v>
      </c>
      <c r="U86" s="95">
        <f>VLOOKUP($B86,'DCS Data'!$E$2:$AJ$100,MATCH('Daily Report'!U$1,'DCS Data'!$E$2:$AJ$2,0),0)</f>
        <v>524.98108122108943</v>
      </c>
      <c r="V86" s="95">
        <f>VLOOKUP($B86,'DCS Data'!$E$2:$AJ$100,MATCH('Daily Report'!V$1,'DCS Data'!$E$2:$AJ$2,0),0)</f>
        <v>529.55937928350795</v>
      </c>
      <c r="W86" s="95">
        <f>VLOOKUP($B86,'DCS Data'!$E$2:$AJ$100,MATCH('Daily Report'!W$1,'DCS Data'!$E$2:$AJ$2,0),0)</f>
        <v>526.40570782988118</v>
      </c>
      <c r="X86" s="95">
        <f>VLOOKUP($B86,'DCS Data'!$E$2:$AJ$100,MATCH('Daily Report'!X$1,'DCS Data'!$E$2:$AJ$2,0),0)</f>
        <v>522.77534269705916</v>
      </c>
      <c r="Y86" s="95">
        <f>VLOOKUP($B86,'DCS Data'!$E$2:$AJ$100,MATCH('Daily Report'!Y$1,'DCS Data'!$E$2:$AJ$2,0),0)</f>
        <v>571.87727709797571</v>
      </c>
      <c r="Z86" s="95">
        <f>VLOOKUP($B86,'DCS Data'!$E$2:$AJ$100,MATCH('Daily Report'!Z$1,'DCS Data'!$E$2:$AJ$2,0),0)</f>
        <v>602.30527920603186</v>
      </c>
      <c r="AA86" s="95">
        <f>VLOOKUP($B86,'DCS Data'!$E$2:$AJ$100,MATCH('Daily Report'!AA$1,'DCS Data'!$E$2:$AJ$2,0),0)</f>
        <v>615.77740401864037</v>
      </c>
      <c r="AB86" s="95">
        <f>VLOOKUP($B86,'DCS Data'!$E$2:$AJ$100,MATCH('Daily Report'!AB$1,'DCS Data'!$E$2:$AJ$2,0),0)</f>
        <v>604.94636557221986</v>
      </c>
      <c r="AC86" s="95">
        <f>VLOOKUP($B86,'DCS Data'!$E$2:$AJ$100,MATCH('Daily Report'!AC$1,'DCS Data'!$E$2:$AJ$2,0),0)</f>
        <v>598.79874993107353</v>
      </c>
      <c r="AD86" s="95">
        <f>VLOOKUP($B86,'DCS Data'!$E$2:$AJ$100,MATCH('Daily Report'!AD$1,'DCS Data'!$E$2:$AJ$2,0),0)</f>
        <v>580.59697532610085</v>
      </c>
      <c r="AE86" s="95">
        <f>VLOOKUP($B86,'DCS Data'!$E$2:$AJ$100,MATCH('Daily Report'!AE$1,'DCS Data'!$E$2:$AJ$2,0),0)</f>
        <v>588.66411391103929</v>
      </c>
      <c r="AF86" s="95">
        <f>VLOOKUP($B86,'DCS Data'!$E$2:$AJ$100,MATCH('Daily Report'!AF$1,'DCS Data'!$E$2:$AJ$2,0),0)</f>
        <v>563.55007812930933</v>
      </c>
      <c r="AG86" s="95">
        <f>VLOOKUP($B86,'DCS Data'!$E$2:$AJ$100,MATCH('Daily Report'!AG$1,'DCS Data'!$E$2:$AJ$2,0),0)</f>
        <v>557.41143284728344</v>
      </c>
      <c r="AH86" s="95">
        <f>VLOOKUP($B86,'DCS Data'!$E$2:$AJ$100,MATCH('Daily Report'!AH$1,'DCS Data'!$E$2:$AJ$2,0),0)</f>
        <v>552.26979133326768</v>
      </c>
      <c r="AI86" s="95">
        <f>VLOOKUP($B86,'DCS Data'!$E$2:$AJ$100,MATCH('Daily Report'!AI$1,'DCS Data'!$E$2:$AJ$2,0),0)</f>
        <v>543.30207362543683</v>
      </c>
      <c r="AJ86" s="95">
        <f>VLOOKUP($B86,'DCS Data'!$E$2:$AJ$100,MATCH('Daily Report'!AJ$1,'DCS Data'!$E$2:$AJ$2,0),0)</f>
        <v>553.93615610840425</v>
      </c>
      <c r="AK86" s="95">
        <f>VLOOKUP($B86,'DCS Data'!$E$2:$AJ$100,MATCH('Daily Report'!AK$1,'DCS Data'!$E$2:$AJ$2,0),0)</f>
        <v>550.77939643236959</v>
      </c>
      <c r="AL86" s="95">
        <f>VLOOKUP($B86,'DCS Data'!$E$2:$AJ$100,MATCH('Daily Report'!AL$1,'DCS Data'!$E$2:$AJ$2,0),0)</f>
        <v>547.41793952126898</v>
      </c>
      <c r="AM86" s="95">
        <f>VLOOKUP($B86,'DCS Data'!$E$2:$AJ$100,MATCH('Daily Report'!AM$1,'DCS Data'!$E$2:$AJ$2,0),0)</f>
        <v>562.35126870310114</v>
      </c>
      <c r="AN86" s="95">
        <f>VLOOKUP($B86,'DCS Data'!$E$2:$AJ$100,MATCH('Daily Report'!AN$1,'DCS Data'!$E$2:$AJ$2,0),0)</f>
        <v>574.67719888049055</v>
      </c>
    </row>
    <row r="87" spans="1:40">
      <c r="A87" s="158"/>
      <c r="B87" s="180" t="s">
        <v>392</v>
      </c>
      <c r="C87" s="416" t="s">
        <v>515</v>
      </c>
      <c r="D87" s="418" t="s">
        <v>797</v>
      </c>
      <c r="E87" s="59" t="s">
        <v>118</v>
      </c>
      <c r="F87" s="132">
        <v>40</v>
      </c>
      <c r="G87" s="60" t="s">
        <v>739</v>
      </c>
      <c r="H87" s="473">
        <f>AVERAGE(I87:AN87)</f>
        <v>46.000324353338918</v>
      </c>
      <c r="I87" s="92">
        <f>VLOOKUP($B87,'DCS Data'!$E$2:$AJ$100,MATCH('Daily Report'!I$1,'DCS Data'!$E$2:$AJ$2,0),0)</f>
        <v>46.007677499374175</v>
      </c>
      <c r="K87" s="92">
        <f>VLOOKUP($B87,'DCS Data'!$E$2:$AJ$100,MATCH('Daily Report'!K$1,'DCS Data'!$E$2:$AJ$2,0),0)</f>
        <v>46.000434368751456</v>
      </c>
      <c r="L87" s="92">
        <f>VLOOKUP($B87,'DCS Data'!$E$2:$AJ$100,MATCH('Daily Report'!L$1,'DCS Data'!$E$2:$AJ$2,0),0)</f>
        <v>45.999972069996183</v>
      </c>
      <c r="M87" s="92">
        <f>VLOOKUP($B87,'DCS Data'!$E$2:$AJ$100,MATCH('Daily Report'!M$1,'DCS Data'!$E$2:$AJ$2,0),0)</f>
        <v>45.99969413798312</v>
      </c>
      <c r="N87" s="92">
        <f>VLOOKUP($B87,'DCS Data'!$E$2:$AJ$100,MATCH('Daily Report'!N$1,'DCS Data'!$E$2:$AJ$2,0),0)</f>
        <v>46.002826199067485</v>
      </c>
      <c r="O87" s="92">
        <f>VLOOKUP($B87,'DCS Data'!$E$2:$AJ$100,MATCH('Daily Report'!O$1,'DCS Data'!$E$2:$AJ$2,0),0)</f>
        <v>45.999968696864947</v>
      </c>
      <c r="P87" s="92">
        <f>VLOOKUP($B87,'DCS Data'!$E$2:$AJ$100,MATCH('Daily Report'!P$1,'DCS Data'!$E$2:$AJ$2,0),0)</f>
        <v>45.99985881819881</v>
      </c>
      <c r="Q87" s="92">
        <f>VLOOKUP($B87,'DCS Data'!$E$2:$AJ$100,MATCH('Daily Report'!Q$1,'DCS Data'!$E$2:$AJ$2,0),0)</f>
        <v>45.998673223714789</v>
      </c>
      <c r="R87" s="92">
        <f>VLOOKUP($B87,'DCS Data'!$E$2:$AJ$100,MATCH('Daily Report'!R$1,'DCS Data'!$E$2:$AJ$2,0),0)</f>
        <v>46.000852095326714</v>
      </c>
      <c r="S87" s="92">
        <f>VLOOKUP($B87,'DCS Data'!$E$2:$AJ$100,MATCH('Daily Report'!S$1,'DCS Data'!$E$2:$AJ$2,0),0)</f>
        <v>45.999293802013312</v>
      </c>
      <c r="T87" s="92">
        <f>VLOOKUP($B87,'DCS Data'!$E$2:$AJ$100,MATCH('Daily Report'!T$1,'DCS Data'!$E$2:$AJ$2,0),0)</f>
        <v>46.000421602851553</v>
      </c>
      <c r="U87" s="92">
        <f>VLOOKUP($B87,'DCS Data'!$E$2:$AJ$100,MATCH('Daily Report'!U$1,'DCS Data'!$E$2:$AJ$2,0),0)</f>
        <v>46.000093950139991</v>
      </c>
      <c r="V87" s="92">
        <f>VLOOKUP($B87,'DCS Data'!$E$2:$AJ$100,MATCH('Daily Report'!V$1,'DCS Data'!$E$2:$AJ$2,0),0)</f>
        <v>45.999717902839656</v>
      </c>
      <c r="W87" s="92">
        <f>VLOOKUP($B87,'DCS Data'!$E$2:$AJ$100,MATCH('Daily Report'!W$1,'DCS Data'!$E$2:$AJ$2,0),0)</f>
        <v>45.999686675258182</v>
      </c>
      <c r="X87" s="92">
        <f>VLOOKUP($B87,'DCS Data'!$E$2:$AJ$100,MATCH('Daily Report'!X$1,'DCS Data'!$E$2:$AJ$2,0),0)</f>
        <v>46.001871006556129</v>
      </c>
      <c r="Y87" s="92">
        <f>VLOOKUP($B87,'DCS Data'!$E$2:$AJ$100,MATCH('Daily Report'!Y$1,'DCS Data'!$E$2:$AJ$2,0),0)</f>
        <v>45.999974234727915</v>
      </c>
      <c r="Z87" s="92">
        <f>VLOOKUP($B87,'DCS Data'!$E$2:$AJ$100,MATCH('Daily Report'!Z$1,'DCS Data'!$E$2:$AJ$2,0),0)</f>
        <v>46.001736656269543</v>
      </c>
      <c r="AA87" s="92">
        <f>VLOOKUP($B87,'DCS Data'!$E$2:$AJ$100,MATCH('Daily Report'!AA$1,'DCS Data'!$E$2:$AJ$2,0),0)</f>
        <v>45.99956856416236</v>
      </c>
      <c r="AB87" s="92">
        <f>VLOOKUP($B87,'DCS Data'!$E$2:$AJ$100,MATCH('Daily Report'!AB$1,'DCS Data'!$E$2:$AJ$2,0),0)</f>
        <v>45.99966185241847</v>
      </c>
      <c r="AC87" s="92">
        <f>VLOOKUP($B87,'DCS Data'!$E$2:$AJ$100,MATCH('Daily Report'!AC$1,'DCS Data'!$E$2:$AJ$2,0),0)</f>
        <v>45.999131375516512</v>
      </c>
      <c r="AD87" s="92">
        <f>VLOOKUP($B87,'DCS Data'!$E$2:$AJ$100,MATCH('Daily Report'!AD$1,'DCS Data'!$E$2:$AJ$2,0),0)</f>
        <v>46.000232062071134</v>
      </c>
      <c r="AE87" s="92">
        <f>VLOOKUP($B87,'DCS Data'!$E$2:$AJ$100,MATCH('Daily Report'!AE$1,'DCS Data'!$E$2:$AJ$2,0),0)</f>
        <v>45.999061801046267</v>
      </c>
      <c r="AF87" s="92">
        <f>VLOOKUP($B87,'DCS Data'!$E$2:$AJ$100,MATCH('Daily Report'!AF$1,'DCS Data'!$E$2:$AJ$2,0),0)</f>
        <v>45.999876051156946</v>
      </c>
      <c r="AG87" s="92">
        <f>VLOOKUP($B87,'DCS Data'!$E$2:$AJ$100,MATCH('Daily Report'!AG$1,'DCS Data'!$E$2:$AJ$2,0),0)</f>
        <v>45.999951974010095</v>
      </c>
      <c r="AH87" s="92">
        <f>VLOOKUP($B87,'DCS Data'!$E$2:$AJ$100,MATCH('Daily Report'!AH$1,'DCS Data'!$E$2:$AJ$2,0),0)</f>
        <v>45.999856760534477</v>
      </c>
      <c r="AI87" s="92">
        <f>VLOOKUP($B87,'DCS Data'!$E$2:$AJ$100,MATCH('Daily Report'!AI$1,'DCS Data'!$E$2:$AJ$2,0),0)</f>
        <v>46.000040445415429</v>
      </c>
      <c r="AJ87" s="92">
        <f>VLOOKUP($B87,'DCS Data'!$E$2:$AJ$100,MATCH('Daily Report'!AJ$1,'DCS Data'!$E$2:$AJ$2,0),0)</f>
        <v>45.999901650512257</v>
      </c>
      <c r="AK87" s="92">
        <f>VLOOKUP($B87,'DCS Data'!$E$2:$AJ$100,MATCH('Daily Report'!AK$1,'DCS Data'!$E$2:$AJ$2,0),0)</f>
        <v>45.999740795913638</v>
      </c>
      <c r="AL87" s="92">
        <f>VLOOKUP($B87,'DCS Data'!$E$2:$AJ$100,MATCH('Daily Report'!AL$1,'DCS Data'!$E$2:$AJ$2,0),0)</f>
        <v>45.999557896943678</v>
      </c>
      <c r="AM87" s="92">
        <f>VLOOKUP($B87,'DCS Data'!$E$2:$AJ$100,MATCH('Daily Report'!AM$1,'DCS Data'!$E$2:$AJ$2,0),0)</f>
        <v>46.000839986484394</v>
      </c>
      <c r="AN87" s="92">
        <f>VLOOKUP($B87,'DCS Data'!$E$2:$AJ$100,MATCH('Daily Report'!AN$1,'DCS Data'!$E$2:$AJ$2,0),0)</f>
        <v>45.999880797386936</v>
      </c>
    </row>
    <row r="88" spans="1:40" ht="16.5">
      <c r="A88" s="158"/>
      <c r="B88" s="180" t="s">
        <v>393</v>
      </c>
      <c r="C88" s="416" t="s">
        <v>516</v>
      </c>
      <c r="D88" s="418" t="s">
        <v>798</v>
      </c>
      <c r="E88" s="59" t="s">
        <v>42</v>
      </c>
      <c r="F88" s="132">
        <v>460</v>
      </c>
      <c r="G88" s="60" t="s">
        <v>740</v>
      </c>
      <c r="H88" s="473">
        <f>AVERAGE(I88:AN88)</f>
        <v>482.27476189615663</v>
      </c>
      <c r="I88" s="92">
        <f>VLOOKUP($B88,'DCS Data'!$E$2:$AJ$100,MATCH('Daily Report'!I$1,'DCS Data'!$E$2:$AJ$2,0),0)</f>
        <v>465.50742903347577</v>
      </c>
      <c r="K88" s="92">
        <f>VLOOKUP($B88,'DCS Data'!$E$2:$AJ$100,MATCH('Daily Report'!K$1,'DCS Data'!$E$2:$AJ$2,0),0)</f>
        <v>467.62355575239968</v>
      </c>
      <c r="L88" s="92">
        <f>VLOOKUP($B88,'DCS Data'!$E$2:$AJ$100,MATCH('Daily Report'!L$1,'DCS Data'!$E$2:$AJ$2,0),0)</f>
        <v>468.05502270413518</v>
      </c>
      <c r="M88" s="92">
        <f>VLOOKUP($B88,'DCS Data'!$E$2:$AJ$100,MATCH('Daily Report'!M$1,'DCS Data'!$E$2:$AJ$2,0),0)</f>
        <v>468.60998764885704</v>
      </c>
      <c r="N88" s="92">
        <f>VLOOKUP($B88,'DCS Data'!$E$2:$AJ$100,MATCH('Daily Report'!N$1,'DCS Data'!$E$2:$AJ$2,0),0)</f>
        <v>475.91079262226572</v>
      </c>
      <c r="O88" s="92">
        <f>VLOOKUP($B88,'DCS Data'!$E$2:$AJ$100,MATCH('Daily Report'!O$1,'DCS Data'!$E$2:$AJ$2,0),0)</f>
        <v>485.04945064575384</v>
      </c>
      <c r="P88" s="92">
        <f>VLOOKUP($B88,'DCS Data'!$E$2:$AJ$100,MATCH('Daily Report'!P$1,'DCS Data'!$E$2:$AJ$2,0),0)</f>
        <v>484.9599211422402</v>
      </c>
      <c r="Q88" s="92">
        <f>VLOOKUP($B88,'DCS Data'!$E$2:$AJ$100,MATCH('Daily Report'!Q$1,'DCS Data'!$E$2:$AJ$2,0),0)</f>
        <v>484.30948178449501</v>
      </c>
      <c r="R88" s="92">
        <f>VLOOKUP($B88,'DCS Data'!$E$2:$AJ$100,MATCH('Daily Report'!R$1,'DCS Data'!$E$2:$AJ$2,0),0)</f>
        <v>486.2648951526113</v>
      </c>
      <c r="S88" s="92">
        <f>VLOOKUP($B88,'DCS Data'!$E$2:$AJ$100,MATCH('Daily Report'!S$1,'DCS Data'!$E$2:$AJ$2,0),0)</f>
        <v>486.31451687709824</v>
      </c>
      <c r="T88" s="92">
        <f>VLOOKUP($B88,'DCS Data'!$E$2:$AJ$100,MATCH('Daily Report'!T$1,'DCS Data'!$E$2:$AJ$2,0),0)</f>
        <v>485.91595430324469</v>
      </c>
      <c r="U88" s="92">
        <f>VLOOKUP($B88,'DCS Data'!$E$2:$AJ$100,MATCH('Daily Report'!U$1,'DCS Data'!$E$2:$AJ$2,0),0)</f>
        <v>486.40168533162182</v>
      </c>
      <c r="V88" s="92">
        <f>VLOOKUP($B88,'DCS Data'!$E$2:$AJ$100,MATCH('Daily Report'!V$1,'DCS Data'!$E$2:$AJ$2,0),0)</f>
        <v>486.75192954710349</v>
      </c>
      <c r="W88" s="92">
        <f>VLOOKUP($B88,'DCS Data'!$E$2:$AJ$100,MATCH('Daily Report'!W$1,'DCS Data'!$E$2:$AJ$2,0),0)</f>
        <v>484.18272648075441</v>
      </c>
      <c r="X88" s="92">
        <f>VLOOKUP($B88,'DCS Data'!$E$2:$AJ$100,MATCH('Daily Report'!X$1,'DCS Data'!$E$2:$AJ$2,0),0)</f>
        <v>482.51682152051274</v>
      </c>
      <c r="Y88" s="92">
        <f>VLOOKUP($B88,'DCS Data'!$E$2:$AJ$100,MATCH('Daily Report'!Y$1,'DCS Data'!$E$2:$AJ$2,0),0)</f>
        <v>488.78148421511935</v>
      </c>
      <c r="Z88" s="92">
        <f>VLOOKUP($B88,'DCS Data'!$E$2:$AJ$100,MATCH('Daily Report'!Z$1,'DCS Data'!$E$2:$AJ$2,0),0)</f>
        <v>488.7776462982813</v>
      </c>
      <c r="AA88" s="92">
        <f>VLOOKUP($B88,'DCS Data'!$E$2:$AJ$100,MATCH('Daily Report'!AA$1,'DCS Data'!$E$2:$AJ$2,0),0)</f>
        <v>488.75956677625709</v>
      </c>
      <c r="AB88" s="92">
        <f>VLOOKUP($B88,'DCS Data'!$E$2:$AJ$100,MATCH('Daily Report'!AB$1,'DCS Data'!$E$2:$AJ$2,0),0)</f>
        <v>489.53992338502087</v>
      </c>
      <c r="AC88" s="92">
        <f>VLOOKUP($B88,'DCS Data'!$E$2:$AJ$100,MATCH('Daily Report'!AC$1,'DCS Data'!$E$2:$AJ$2,0),0)</f>
        <v>485.83216871678724</v>
      </c>
      <c r="AD88" s="92">
        <f>VLOOKUP($B88,'DCS Data'!$E$2:$AJ$100,MATCH('Daily Report'!AD$1,'DCS Data'!$E$2:$AJ$2,0),0)</f>
        <v>484.07675924973103</v>
      </c>
      <c r="AE88" s="92">
        <f>VLOOKUP($B88,'DCS Data'!$E$2:$AJ$100,MATCH('Daily Report'!AE$1,'DCS Data'!$E$2:$AJ$2,0),0)</f>
        <v>485.16686025699141</v>
      </c>
      <c r="AF88" s="92">
        <f>VLOOKUP($B88,'DCS Data'!$E$2:$AJ$100,MATCH('Daily Report'!AF$1,'DCS Data'!$E$2:$AJ$2,0),0)</f>
        <v>482.80691988128882</v>
      </c>
      <c r="AG88" s="92">
        <f>VLOOKUP($B88,'DCS Data'!$E$2:$AJ$100,MATCH('Daily Report'!AG$1,'DCS Data'!$E$2:$AJ$2,0),0)</f>
        <v>482.22278993318565</v>
      </c>
      <c r="AH88" s="92">
        <f>VLOOKUP($B88,'DCS Data'!$E$2:$AJ$100,MATCH('Daily Report'!AH$1,'DCS Data'!$E$2:$AJ$2,0),0)</f>
        <v>481.38126911047749</v>
      </c>
      <c r="AI88" s="92">
        <f>VLOOKUP($B88,'DCS Data'!$E$2:$AJ$100,MATCH('Daily Report'!AI$1,'DCS Data'!$E$2:$AJ$2,0),0)</f>
        <v>480.3960698583445</v>
      </c>
      <c r="AJ88" s="92">
        <f>VLOOKUP($B88,'DCS Data'!$E$2:$AJ$100,MATCH('Daily Report'!AJ$1,'DCS Data'!$E$2:$AJ$2,0),0)</f>
        <v>481.56749754297118</v>
      </c>
      <c r="AK88" s="92">
        <f>VLOOKUP($B88,'DCS Data'!$E$2:$AJ$100,MATCH('Daily Report'!AK$1,'DCS Data'!$E$2:$AJ$2,0),0)</f>
        <v>482.55154113742117</v>
      </c>
      <c r="AL88" s="92">
        <f>VLOOKUP($B88,'DCS Data'!$E$2:$AJ$100,MATCH('Daily Report'!AL$1,'DCS Data'!$E$2:$AJ$2,0),0)</f>
        <v>482.72196599791386</v>
      </c>
      <c r="AM88" s="92">
        <f>VLOOKUP($B88,'DCS Data'!$E$2:$AJ$100,MATCH('Daily Report'!AM$1,'DCS Data'!$E$2:$AJ$2,0),0)</f>
        <v>483.50603628545673</v>
      </c>
      <c r="AN88" s="92">
        <f>VLOOKUP($B88,'DCS Data'!$E$2:$AJ$100,MATCH('Daily Report'!AN$1,'DCS Data'!$E$2:$AJ$2,0),0)</f>
        <v>484.05494958903728</v>
      </c>
    </row>
    <row r="89" spans="1:40">
      <c r="A89" s="252" t="s">
        <v>121</v>
      </c>
      <c r="B89" s="180" t="s">
        <v>394</v>
      </c>
      <c r="C89" s="416" t="s">
        <v>517</v>
      </c>
      <c r="D89" s="435" t="s">
        <v>517</v>
      </c>
      <c r="E89" s="59" t="s">
        <v>9</v>
      </c>
      <c r="F89" s="132">
        <v>3736</v>
      </c>
      <c r="G89" s="60" t="s">
        <v>741</v>
      </c>
      <c r="H89" s="473">
        <f>SUM(I89:AN89)</f>
        <v>100755.21076916576</v>
      </c>
      <c r="I89" s="92">
        <f>VLOOKUP($B89,'DCS Data'!$E$2:$AJ$100,MATCH('Daily Report'!I$1,'DCS Data'!$E$2:$AJ$2,0),0)</f>
        <v>3089.7898044185686</v>
      </c>
      <c r="K89" s="92">
        <f>VLOOKUP($B89,'DCS Data'!$E$2:$AJ$100,MATCH('Daily Report'!K$1,'DCS Data'!$E$2:$AJ$2,0),0)</f>
        <v>3317.6693617201486</v>
      </c>
      <c r="L89" s="92">
        <f>VLOOKUP($B89,'DCS Data'!$E$2:$AJ$100,MATCH('Daily Report'!L$1,'DCS Data'!$E$2:$AJ$2,0),0)</f>
        <v>3329.2467716933161</v>
      </c>
      <c r="M89" s="92">
        <f>VLOOKUP($B89,'DCS Data'!$E$2:$AJ$100,MATCH('Daily Report'!M$1,'DCS Data'!$E$2:$AJ$2,0),0)</f>
        <v>3323.3720314482848</v>
      </c>
      <c r="N89" s="92">
        <f>VLOOKUP($B89,'DCS Data'!$E$2:$AJ$100,MATCH('Daily Report'!N$1,'DCS Data'!$E$2:$AJ$2,0),0)</f>
        <v>3330.2706120661928</v>
      </c>
      <c r="O89" s="92">
        <f>VLOOKUP($B89,'DCS Data'!$E$2:$AJ$100,MATCH('Daily Report'!O$1,'DCS Data'!$E$2:$AJ$2,0),0)</f>
        <v>3348.9432694808856</v>
      </c>
      <c r="P89" s="92">
        <f>VLOOKUP($B89,'DCS Data'!$E$2:$AJ$100,MATCH('Daily Report'!P$1,'DCS Data'!$E$2:$AJ$2,0),0)</f>
        <v>3346.9469182847811</v>
      </c>
      <c r="Q89" s="92">
        <f>VLOOKUP($B89,'DCS Data'!$E$2:$AJ$100,MATCH('Daily Report'!Q$1,'DCS Data'!$E$2:$AJ$2,0),0)</f>
        <v>3346.0756395337407</v>
      </c>
      <c r="R89" s="92">
        <f>VLOOKUP($B89,'DCS Data'!$E$2:$AJ$100,MATCH('Daily Report'!R$1,'DCS Data'!$E$2:$AJ$2,0),0)</f>
        <v>3291.5066530580239</v>
      </c>
      <c r="S89" s="92">
        <f>VLOOKUP($B89,'DCS Data'!$E$2:$AJ$100,MATCH('Daily Report'!S$1,'DCS Data'!$E$2:$AJ$2,0),0)</f>
        <v>3288.5977629135296</v>
      </c>
      <c r="T89" s="92">
        <f>VLOOKUP($B89,'DCS Data'!$E$2:$AJ$100,MATCH('Daily Report'!T$1,'DCS Data'!$E$2:$AJ$2,0),0)</f>
        <v>3289.4500419538758</v>
      </c>
      <c r="U89" s="92">
        <f>VLOOKUP($B89,'DCS Data'!$E$2:$AJ$100,MATCH('Daily Report'!U$1,'DCS Data'!$E$2:$AJ$2,0),0)</f>
        <v>3287.1880737984948</v>
      </c>
      <c r="V89" s="92">
        <f>VLOOKUP($B89,'DCS Data'!$E$2:$AJ$100,MATCH('Daily Report'!V$1,'DCS Data'!$E$2:$AJ$2,0),0)</f>
        <v>3285.140970629117</v>
      </c>
      <c r="W89" s="92">
        <f>VLOOKUP($B89,'DCS Data'!$E$2:$AJ$100,MATCH('Daily Report'!W$1,'DCS Data'!$E$2:$AJ$2,0),0)</f>
        <v>3314.4320635059808</v>
      </c>
      <c r="X89" s="92">
        <f>VLOOKUP($B89,'DCS Data'!$E$2:$AJ$100,MATCH('Daily Report'!X$1,'DCS Data'!$E$2:$AJ$2,0),0)</f>
        <v>3268.9400066702419</v>
      </c>
      <c r="Y89" s="92">
        <f>VLOOKUP($B89,'DCS Data'!$E$2:$AJ$100,MATCH('Daily Report'!Y$1,'DCS Data'!$E$2:$AJ$2,0),0)</f>
        <v>3051.7729507810714</v>
      </c>
      <c r="Z89" s="92">
        <f>VLOOKUP($B89,'DCS Data'!$E$2:$AJ$100,MATCH('Daily Report'!Z$1,'DCS Data'!$E$2:$AJ$2,0),0)</f>
        <v>2967.2779722570563</v>
      </c>
      <c r="AA89" s="92">
        <f>VLOOKUP($B89,'DCS Data'!$E$2:$AJ$100,MATCH('Daily Report'!AA$1,'DCS Data'!$E$2:$AJ$2,0),0)</f>
        <v>2969.5295048768794</v>
      </c>
      <c r="AB89" s="92">
        <f>VLOOKUP($B89,'DCS Data'!$E$2:$AJ$100,MATCH('Daily Report'!AB$1,'DCS Data'!$E$2:$AJ$2,0),0)</f>
        <v>3010.6955366694365</v>
      </c>
      <c r="AC89" s="92">
        <f>VLOOKUP($B89,'DCS Data'!$E$2:$AJ$100,MATCH('Daily Report'!AC$1,'DCS Data'!$E$2:$AJ$2,0),0)</f>
        <v>3087.8502010648458</v>
      </c>
      <c r="AD89" s="92">
        <f>VLOOKUP($B89,'DCS Data'!$E$2:$AJ$100,MATCH('Daily Report'!AD$1,'DCS Data'!$E$2:$AJ$2,0),0)</f>
        <v>3220.8470348319433</v>
      </c>
      <c r="AE89" s="92">
        <f>VLOOKUP($B89,'DCS Data'!$E$2:$AJ$100,MATCH('Daily Report'!AE$1,'DCS Data'!$E$2:$AJ$2,0),0)</f>
        <v>3236.9790454236627</v>
      </c>
      <c r="AF89" s="92">
        <f>VLOOKUP($B89,'DCS Data'!$E$2:$AJ$100,MATCH('Daily Report'!AF$1,'DCS Data'!$E$2:$AJ$2,0),0)</f>
        <v>3290.5369136534487</v>
      </c>
      <c r="AG89" s="92">
        <f>VLOOKUP($B89,'DCS Data'!$E$2:$AJ$100,MATCH('Daily Report'!AG$1,'DCS Data'!$E$2:$AJ$2,0),0)</f>
        <v>3296.5360499856547</v>
      </c>
      <c r="AH89" s="92">
        <f>VLOOKUP($B89,'DCS Data'!$E$2:$AJ$100,MATCH('Daily Report'!AH$1,'DCS Data'!$E$2:$AJ$2,0),0)</f>
        <v>3303.5042441687278</v>
      </c>
      <c r="AI89" s="92">
        <f>VLOOKUP($B89,'DCS Data'!$E$2:$AJ$100,MATCH('Daily Report'!AI$1,'DCS Data'!$E$2:$AJ$2,0),0)</f>
        <v>3329.9974893210629</v>
      </c>
      <c r="AJ89" s="92">
        <f>VLOOKUP($B89,'DCS Data'!$E$2:$AJ$100,MATCH('Daily Report'!AJ$1,'DCS Data'!$E$2:$AJ$2,0),0)</f>
        <v>3317.3215404651542</v>
      </c>
      <c r="AK89" s="92">
        <f>VLOOKUP($B89,'DCS Data'!$E$2:$AJ$100,MATCH('Daily Report'!AK$1,'DCS Data'!$E$2:$AJ$2,0),0)</f>
        <v>3318.2764927861895</v>
      </c>
      <c r="AL89" s="92">
        <f>VLOOKUP($B89,'DCS Data'!$E$2:$AJ$100,MATCH('Daily Report'!AL$1,'DCS Data'!$E$2:$AJ$2,0),0)</f>
        <v>3318.3252509502968</v>
      </c>
      <c r="AM89" s="92">
        <f>VLOOKUP($B89,'DCS Data'!$E$2:$AJ$100,MATCH('Daily Report'!AM$1,'DCS Data'!$E$2:$AJ$2,0),0)</f>
        <v>3291.976916101476</v>
      </c>
      <c r="AN89" s="92">
        <f>VLOOKUP($B89,'DCS Data'!$E$2:$AJ$100,MATCH('Daily Report'!AN$1,'DCS Data'!$E$2:$AJ$2,0),0)</f>
        <v>3286.2136446536738</v>
      </c>
    </row>
    <row r="90" spans="1:40" ht="15.75" thickBot="1">
      <c r="A90" s="75" t="s">
        <v>122</v>
      </c>
      <c r="B90" s="189" t="s">
        <v>395</v>
      </c>
      <c r="C90" s="416" t="s">
        <v>518</v>
      </c>
      <c r="D90" s="435" t="s">
        <v>518</v>
      </c>
      <c r="E90" s="264" t="s">
        <v>9</v>
      </c>
      <c r="F90" s="136">
        <v>4289</v>
      </c>
      <c r="G90" s="60" t="s">
        <v>742</v>
      </c>
      <c r="H90" s="473">
        <f>SUM(I90:AN90)</f>
        <v>115566.96192102483</v>
      </c>
      <c r="I90" s="149">
        <f>VLOOKUP($B90,'DCS Data'!$E$2:$AJ$100,MATCH('Daily Report'!I$1,'DCS Data'!$E$2:$AJ$2,0),0)</f>
        <v>3518.4908271161294</v>
      </c>
      <c r="K90" s="149">
        <f>VLOOKUP($B90,'DCS Data'!$E$2:$AJ$100,MATCH('Daily Report'!K$1,'DCS Data'!$E$2:$AJ$2,0),0)</f>
        <v>3779.5813155269429</v>
      </c>
      <c r="L90" s="149">
        <f>VLOOKUP($B90,'DCS Data'!$E$2:$AJ$100,MATCH('Daily Report'!L$1,'DCS Data'!$E$2:$AJ$2,0),0)</f>
        <v>3801.0139949515233</v>
      </c>
      <c r="M90" s="149">
        <f>VLOOKUP($B90,'DCS Data'!$E$2:$AJ$100,MATCH('Daily Report'!M$1,'DCS Data'!$E$2:$AJ$2,0),0)</f>
        <v>3789.5753047459857</v>
      </c>
      <c r="N90" s="149">
        <f>VLOOKUP($B90,'DCS Data'!$E$2:$AJ$100,MATCH('Daily Report'!N$1,'DCS Data'!$E$2:$AJ$2,0),0)</f>
        <v>3799.1280675705798</v>
      </c>
      <c r="O90" s="149">
        <f>VLOOKUP($B90,'DCS Data'!$E$2:$AJ$100,MATCH('Daily Report'!O$1,'DCS Data'!$E$2:$AJ$2,0),0)</f>
        <v>3838.82508558264</v>
      </c>
      <c r="P90" s="149">
        <f>VLOOKUP($B90,'DCS Data'!$E$2:$AJ$100,MATCH('Daily Report'!P$1,'DCS Data'!$E$2:$AJ$2,0),0)</f>
        <v>3832.9809948993852</v>
      </c>
      <c r="Q90" s="149">
        <f>VLOOKUP($B90,'DCS Data'!$E$2:$AJ$100,MATCH('Daily Report'!Q$1,'DCS Data'!$E$2:$AJ$2,0),0)</f>
        <v>3814.9448953722454</v>
      </c>
      <c r="R90" s="149">
        <f>VLOOKUP($B90,'DCS Data'!$E$2:$AJ$100,MATCH('Daily Report'!R$1,'DCS Data'!$E$2:$AJ$2,0),0)</f>
        <v>3765.5550481161226</v>
      </c>
      <c r="S90" s="149">
        <f>VLOOKUP($B90,'DCS Data'!$E$2:$AJ$100,MATCH('Daily Report'!S$1,'DCS Data'!$E$2:$AJ$2,0),0)</f>
        <v>3749.2656516442539</v>
      </c>
      <c r="T90" s="149">
        <f>VLOOKUP($B90,'DCS Data'!$E$2:$AJ$100,MATCH('Daily Report'!T$1,'DCS Data'!$E$2:$AJ$2,0),0)</f>
        <v>3738.6127708173053</v>
      </c>
      <c r="U90" s="149">
        <f>VLOOKUP($B90,'DCS Data'!$E$2:$AJ$100,MATCH('Daily Report'!U$1,'DCS Data'!$E$2:$AJ$2,0),0)</f>
        <v>3744.0154308280871</v>
      </c>
      <c r="V90" s="149">
        <f>VLOOKUP($B90,'DCS Data'!$E$2:$AJ$100,MATCH('Daily Report'!V$1,'DCS Data'!$E$2:$AJ$2,0),0)</f>
        <v>3748.1470944174289</v>
      </c>
      <c r="W90" s="149">
        <f>VLOOKUP($B90,'DCS Data'!$E$2:$AJ$100,MATCH('Daily Report'!W$1,'DCS Data'!$E$2:$AJ$2,0),0)</f>
        <v>3772.1733880450661</v>
      </c>
      <c r="X90" s="149">
        <f>VLOOKUP($B90,'DCS Data'!$E$2:$AJ$100,MATCH('Daily Report'!X$1,'DCS Data'!$E$2:$AJ$2,0),0)</f>
        <v>3721.7124069066931</v>
      </c>
      <c r="Y90" s="149">
        <f>VLOOKUP($B90,'DCS Data'!$E$2:$AJ$100,MATCH('Daily Report'!Y$1,'DCS Data'!$E$2:$AJ$2,0),0)</f>
        <v>3545.9879580552201</v>
      </c>
      <c r="Z90" s="149">
        <f>VLOOKUP($B90,'DCS Data'!$E$2:$AJ$100,MATCH('Daily Report'!Z$1,'DCS Data'!$E$2:$AJ$2,0),0)</f>
        <v>3484.5605515401053</v>
      </c>
      <c r="AA90" s="149">
        <f>VLOOKUP($B90,'DCS Data'!$E$2:$AJ$100,MATCH('Daily Report'!AA$1,'DCS Data'!$E$2:$AJ$2,0),0)</f>
        <v>3500.1978379027855</v>
      </c>
      <c r="AB90" s="149">
        <f>VLOOKUP($B90,'DCS Data'!$E$2:$AJ$100,MATCH('Daily Report'!AB$1,'DCS Data'!$E$2:$AJ$2,0),0)</f>
        <v>3533.3604863008331</v>
      </c>
      <c r="AC90" s="149">
        <f>VLOOKUP($B90,'DCS Data'!$E$2:$AJ$100,MATCH('Daily Report'!AC$1,'DCS Data'!$E$2:$AJ$2,0),0)</f>
        <v>3598.6301540073623</v>
      </c>
      <c r="AD90" s="149">
        <f>VLOOKUP($B90,'DCS Data'!$E$2:$AJ$100,MATCH('Daily Report'!AD$1,'DCS Data'!$E$2:$AJ$2,0),0)</f>
        <v>3716.3861760775771</v>
      </c>
      <c r="AE90" s="149">
        <f>VLOOKUP($B90,'DCS Data'!$E$2:$AJ$100,MATCH('Daily Report'!AE$1,'DCS Data'!$E$2:$AJ$2,0),0)</f>
        <v>3740.8278472887023</v>
      </c>
      <c r="AF90" s="149">
        <f>VLOOKUP($B90,'DCS Data'!$E$2:$AJ$100,MATCH('Daily Report'!AF$1,'DCS Data'!$E$2:$AJ$2,0),0)</f>
        <v>3771.6120314356176</v>
      </c>
      <c r="AG90" s="149">
        <f>VLOOKUP($B90,'DCS Data'!$E$2:$AJ$100,MATCH('Daily Report'!AG$1,'DCS Data'!$E$2:$AJ$2,0),0)</f>
        <v>3772.1578098407704</v>
      </c>
      <c r="AH90" s="149">
        <f>VLOOKUP($B90,'DCS Data'!$E$2:$AJ$100,MATCH('Daily Report'!AH$1,'DCS Data'!$E$2:$AJ$2,0),0)</f>
        <v>3776.247849454292</v>
      </c>
      <c r="AI90" s="149">
        <f>VLOOKUP($B90,'DCS Data'!$E$2:$AJ$100,MATCH('Daily Report'!AI$1,'DCS Data'!$E$2:$AJ$2,0),0)</f>
        <v>3794.2575026445215</v>
      </c>
      <c r="AJ90" s="149">
        <f>VLOOKUP($B90,'DCS Data'!$E$2:$AJ$100,MATCH('Daily Report'!AJ$1,'DCS Data'!$E$2:$AJ$2,0),0)</f>
        <v>3789.1383895018753</v>
      </c>
      <c r="AK90" s="149">
        <f>VLOOKUP($B90,'DCS Data'!$E$2:$AJ$100,MATCH('Daily Report'!AK$1,'DCS Data'!$E$2:$AJ$2,0),0)</f>
        <v>3786.9430753879892</v>
      </c>
      <c r="AL90" s="149">
        <f>VLOOKUP($B90,'DCS Data'!$E$2:$AJ$100,MATCH('Daily Report'!AL$1,'DCS Data'!$E$2:$AJ$2,0),0)</f>
        <v>3785.2940504702933</v>
      </c>
      <c r="AM90" s="149">
        <f>VLOOKUP($B90,'DCS Data'!$E$2:$AJ$100,MATCH('Daily Report'!AM$1,'DCS Data'!$E$2:$AJ$2,0),0)</f>
        <v>3776.3689141689915</v>
      </c>
      <c r="AN90" s="149">
        <f>VLOOKUP($B90,'DCS Data'!$E$2:$AJ$100,MATCH('Daily Report'!AN$1,'DCS Data'!$E$2:$AJ$2,0),0)</f>
        <v>3780.9690104074857</v>
      </c>
    </row>
    <row r="91" spans="1:40" s="216" customFormat="1" ht="28.5">
      <c r="A91" s="251" t="s">
        <v>439</v>
      </c>
      <c r="B91" s="184" t="s">
        <v>422</v>
      </c>
      <c r="C91" s="184" t="s">
        <v>422</v>
      </c>
      <c r="D91" s="430" t="s">
        <v>565</v>
      </c>
      <c r="E91" s="63" t="s">
        <v>5</v>
      </c>
      <c r="F91" s="131">
        <v>0</v>
      </c>
      <c r="G91" s="60" t="s">
        <v>743</v>
      </c>
      <c r="H91" s="473">
        <f>AVERAGE(I91:AN91)</f>
        <v>0</v>
      </c>
      <c r="I91" s="95">
        <f>VLOOKUP($B91,'DCS Data'!$E$2:$AJ$100,MATCH('Daily Report'!I$1,'DCS Data'!$E$2:$AJ$2,0),0)</f>
        <v>0</v>
      </c>
      <c r="J91" s="255"/>
      <c r="K91" s="112">
        <f>VLOOKUP($B91,'DCS Data'!$E$2:$AJ$100,MATCH('Daily Report'!K$1,'DCS Data'!$E$2:$AJ$2,0),0)</f>
        <v>0</v>
      </c>
      <c r="L91" s="112">
        <f>VLOOKUP($B91,'DCS Data'!$E$2:$AJ$100,MATCH('Daily Report'!L$1,'DCS Data'!$E$2:$AJ$2,0),0)</f>
        <v>0</v>
      </c>
      <c r="M91" s="112">
        <f>VLOOKUP($B91,'DCS Data'!$E$2:$AJ$100,MATCH('Daily Report'!M$1,'DCS Data'!$E$2:$AJ$2,0),0)</f>
        <v>0</v>
      </c>
      <c r="N91" s="112">
        <f>VLOOKUP($B91,'DCS Data'!$E$2:$AJ$100,MATCH('Daily Report'!N$1,'DCS Data'!$E$2:$AJ$2,0),0)</f>
        <v>0</v>
      </c>
      <c r="O91" s="112">
        <f>VLOOKUP($B91,'DCS Data'!$E$2:$AJ$100,MATCH('Daily Report'!O$1,'DCS Data'!$E$2:$AJ$2,0),0)</f>
        <v>0</v>
      </c>
      <c r="P91" s="112">
        <f>VLOOKUP($B91,'DCS Data'!$E$2:$AJ$100,MATCH('Daily Report'!P$1,'DCS Data'!$E$2:$AJ$2,0),0)</f>
        <v>0</v>
      </c>
      <c r="Q91" s="112">
        <f>VLOOKUP($B91,'DCS Data'!$E$2:$AJ$100,MATCH('Daily Report'!Q$1,'DCS Data'!$E$2:$AJ$2,0),0)</f>
        <v>0</v>
      </c>
      <c r="R91" s="112">
        <f>VLOOKUP($B91,'DCS Data'!$E$2:$AJ$100,MATCH('Daily Report'!R$1,'DCS Data'!$E$2:$AJ$2,0),0)</f>
        <v>0</v>
      </c>
      <c r="S91" s="112">
        <f>VLOOKUP($B91,'DCS Data'!$E$2:$AJ$100,MATCH('Daily Report'!S$1,'DCS Data'!$E$2:$AJ$2,0),0)</f>
        <v>0</v>
      </c>
      <c r="T91" s="112">
        <f>VLOOKUP($B91,'DCS Data'!$E$2:$AJ$100,MATCH('Daily Report'!T$1,'DCS Data'!$E$2:$AJ$2,0),0)</f>
        <v>0</v>
      </c>
      <c r="U91" s="112">
        <f>VLOOKUP($B91,'DCS Data'!$E$2:$AJ$100,MATCH('Daily Report'!U$1,'DCS Data'!$E$2:$AJ$2,0),0)</f>
        <v>0</v>
      </c>
      <c r="V91" s="112">
        <f>VLOOKUP($B91,'DCS Data'!$E$2:$AJ$100,MATCH('Daily Report'!V$1,'DCS Data'!$E$2:$AJ$2,0),0)</f>
        <v>0</v>
      </c>
      <c r="W91" s="112">
        <f>VLOOKUP($B91,'DCS Data'!$E$2:$AJ$100,MATCH('Daily Report'!W$1,'DCS Data'!$E$2:$AJ$2,0),0)</f>
        <v>0</v>
      </c>
      <c r="X91" s="112">
        <f>VLOOKUP($B91,'DCS Data'!$E$2:$AJ$100,MATCH('Daily Report'!X$1,'DCS Data'!$E$2:$AJ$2,0),0)</f>
        <v>0</v>
      </c>
      <c r="Y91" s="112">
        <f>VLOOKUP($B91,'DCS Data'!$E$2:$AJ$100,MATCH('Daily Report'!Y$1,'DCS Data'!$E$2:$AJ$2,0),0)</f>
        <v>0</v>
      </c>
      <c r="Z91" s="112">
        <f>VLOOKUP($B91,'DCS Data'!$E$2:$AJ$100,MATCH('Daily Report'!Z$1,'DCS Data'!$E$2:$AJ$2,0),0)</f>
        <v>0</v>
      </c>
      <c r="AA91" s="112">
        <f>VLOOKUP($B91,'DCS Data'!$E$2:$AJ$100,MATCH('Daily Report'!AA$1,'DCS Data'!$E$2:$AJ$2,0),0)</f>
        <v>0</v>
      </c>
      <c r="AB91" s="112">
        <f>VLOOKUP($B91,'DCS Data'!$E$2:$AJ$100,MATCH('Daily Report'!AB$1,'DCS Data'!$E$2:$AJ$2,0),0)</f>
        <v>0</v>
      </c>
      <c r="AC91" s="112">
        <f>VLOOKUP($B91,'DCS Data'!$E$2:$AJ$100,MATCH('Daily Report'!AC$1,'DCS Data'!$E$2:$AJ$2,0),0)</f>
        <v>0</v>
      </c>
      <c r="AD91" s="112">
        <f>VLOOKUP($B91,'DCS Data'!$E$2:$AJ$100,MATCH('Daily Report'!AD$1,'DCS Data'!$E$2:$AJ$2,0),0)</f>
        <v>0</v>
      </c>
      <c r="AE91" s="112">
        <f>VLOOKUP($B91,'DCS Data'!$E$2:$AJ$100,MATCH('Daily Report'!AE$1,'DCS Data'!$E$2:$AJ$2,0),0)</f>
        <v>0</v>
      </c>
      <c r="AF91" s="112">
        <f>VLOOKUP($B91,'DCS Data'!$E$2:$AJ$100,MATCH('Daily Report'!AF$1,'DCS Data'!$E$2:$AJ$2,0),0)</f>
        <v>0</v>
      </c>
      <c r="AG91" s="112">
        <f>VLOOKUP($B91,'DCS Data'!$E$2:$AJ$100,MATCH('Daily Report'!AG$1,'DCS Data'!$E$2:$AJ$2,0),0)</f>
        <v>0</v>
      </c>
      <c r="AH91" s="112">
        <f>VLOOKUP($B91,'DCS Data'!$E$2:$AJ$100,MATCH('Daily Report'!AH$1,'DCS Data'!$E$2:$AJ$2,0),0)</f>
        <v>0</v>
      </c>
      <c r="AI91" s="112">
        <f>VLOOKUP($B91,'DCS Data'!$E$2:$AJ$100,MATCH('Daily Report'!AI$1,'DCS Data'!$E$2:$AJ$2,0),0)</f>
        <v>0</v>
      </c>
      <c r="AJ91" s="112">
        <f>VLOOKUP($B91,'DCS Data'!$E$2:$AJ$100,MATCH('Daily Report'!AJ$1,'DCS Data'!$E$2:$AJ$2,0),0)</f>
        <v>0</v>
      </c>
      <c r="AK91" s="112">
        <f>VLOOKUP($B91,'DCS Data'!$E$2:$AJ$100,MATCH('Daily Report'!AK$1,'DCS Data'!$E$2:$AJ$2,0),0)</f>
        <v>0</v>
      </c>
      <c r="AL91" s="112">
        <f>VLOOKUP($B91,'DCS Data'!$E$2:$AJ$100,MATCH('Daily Report'!AL$1,'DCS Data'!$E$2:$AJ$2,0),0)</f>
        <v>0</v>
      </c>
      <c r="AM91" s="112">
        <f>VLOOKUP($B91,'DCS Data'!$E$2:$AJ$100,MATCH('Daily Report'!AM$1,'DCS Data'!$E$2:$AJ$2,0),0)</f>
        <v>0</v>
      </c>
      <c r="AN91" s="112">
        <f>VLOOKUP($B91,'DCS Data'!$E$2:$AJ$100,MATCH('Daily Report'!AN$1,'DCS Data'!$E$2:$AJ$2,0),0)</f>
        <v>0</v>
      </c>
    </row>
    <row r="92" spans="1:40" s="217" customFormat="1">
      <c r="A92" s="252" t="s">
        <v>440</v>
      </c>
      <c r="B92" s="180" t="s">
        <v>435</v>
      </c>
      <c r="C92" s="180" t="s">
        <v>435</v>
      </c>
      <c r="D92" s="420" t="s">
        <v>566</v>
      </c>
      <c r="E92" s="59" t="s">
        <v>5</v>
      </c>
      <c r="F92" s="132">
        <v>1</v>
      </c>
      <c r="G92" s="60" t="s">
        <v>744</v>
      </c>
      <c r="H92" s="473" t="e">
        <f>AVERAGE(I92:AN92)</f>
        <v>#N/A</v>
      </c>
      <c r="I92" s="92" t="e">
        <f>VLOOKUP($B92,'DCS Data'!$E$2:$AJ$100,MATCH('Daily Report'!I$1,'DCS Data'!$E$2:$AJ$2,0),0)</f>
        <v>#N/A</v>
      </c>
      <c r="J92" s="255"/>
      <c r="K92" s="111" t="e">
        <f>VLOOKUP($B92,'DCS Data'!$E$2:$AJ$100,MATCH('Daily Report'!K$1,'DCS Data'!$E$2:$AJ$2,0),0)</f>
        <v>#N/A</v>
      </c>
      <c r="L92" s="111" t="e">
        <f>VLOOKUP($B92,'DCS Data'!$E$2:$AJ$100,MATCH('Daily Report'!L$1,'DCS Data'!$E$2:$AJ$2,0),0)</f>
        <v>#N/A</v>
      </c>
      <c r="M92" s="111" t="e">
        <f>VLOOKUP($B92,'DCS Data'!$E$2:$AJ$100,MATCH('Daily Report'!M$1,'DCS Data'!$E$2:$AJ$2,0),0)</f>
        <v>#N/A</v>
      </c>
      <c r="N92" s="111" t="e">
        <f>VLOOKUP($B92,'DCS Data'!$E$2:$AJ$100,MATCH('Daily Report'!N$1,'DCS Data'!$E$2:$AJ$2,0),0)</f>
        <v>#N/A</v>
      </c>
      <c r="O92" s="111" t="e">
        <f>VLOOKUP($B92,'DCS Data'!$E$2:$AJ$100,MATCH('Daily Report'!O$1,'DCS Data'!$E$2:$AJ$2,0),0)</f>
        <v>#N/A</v>
      </c>
      <c r="P92" s="111" t="e">
        <f>VLOOKUP($B92,'DCS Data'!$E$2:$AJ$100,MATCH('Daily Report'!P$1,'DCS Data'!$E$2:$AJ$2,0),0)</f>
        <v>#N/A</v>
      </c>
      <c r="Q92" s="111" t="e">
        <f>VLOOKUP($B92,'DCS Data'!$E$2:$AJ$100,MATCH('Daily Report'!Q$1,'DCS Data'!$E$2:$AJ$2,0),0)</f>
        <v>#N/A</v>
      </c>
      <c r="R92" s="111" t="e">
        <f>VLOOKUP($B92,'DCS Data'!$E$2:$AJ$100,MATCH('Daily Report'!R$1,'DCS Data'!$E$2:$AJ$2,0),0)</f>
        <v>#N/A</v>
      </c>
      <c r="S92" s="111" t="e">
        <f>VLOOKUP($B92,'DCS Data'!$E$2:$AJ$100,MATCH('Daily Report'!S$1,'DCS Data'!$E$2:$AJ$2,0),0)</f>
        <v>#N/A</v>
      </c>
      <c r="T92" s="111" t="e">
        <f>VLOOKUP($B92,'DCS Data'!$E$2:$AJ$100,MATCH('Daily Report'!T$1,'DCS Data'!$E$2:$AJ$2,0),0)</f>
        <v>#N/A</v>
      </c>
      <c r="U92" s="111" t="e">
        <f>VLOOKUP($B92,'DCS Data'!$E$2:$AJ$100,MATCH('Daily Report'!U$1,'DCS Data'!$E$2:$AJ$2,0),0)</f>
        <v>#N/A</v>
      </c>
      <c r="V92" s="111" t="e">
        <f>VLOOKUP($B92,'DCS Data'!$E$2:$AJ$100,MATCH('Daily Report'!V$1,'DCS Data'!$E$2:$AJ$2,0),0)</f>
        <v>#N/A</v>
      </c>
      <c r="W92" s="111" t="e">
        <f>VLOOKUP($B92,'DCS Data'!$E$2:$AJ$100,MATCH('Daily Report'!W$1,'DCS Data'!$E$2:$AJ$2,0),0)</f>
        <v>#N/A</v>
      </c>
      <c r="X92" s="111" t="e">
        <f>VLOOKUP($B92,'DCS Data'!$E$2:$AJ$100,MATCH('Daily Report'!X$1,'DCS Data'!$E$2:$AJ$2,0),0)</f>
        <v>#N/A</v>
      </c>
      <c r="Y92" s="111" t="e">
        <f>VLOOKUP($B92,'DCS Data'!$E$2:$AJ$100,MATCH('Daily Report'!Y$1,'DCS Data'!$E$2:$AJ$2,0),0)</f>
        <v>#N/A</v>
      </c>
      <c r="Z92" s="111" t="e">
        <f>VLOOKUP($B92,'DCS Data'!$E$2:$AJ$100,MATCH('Daily Report'!Z$1,'DCS Data'!$E$2:$AJ$2,0),0)</f>
        <v>#N/A</v>
      </c>
      <c r="AA92" s="111" t="e">
        <f>VLOOKUP($B92,'DCS Data'!$E$2:$AJ$100,MATCH('Daily Report'!AA$1,'DCS Data'!$E$2:$AJ$2,0),0)</f>
        <v>#N/A</v>
      </c>
      <c r="AB92" s="111" t="e">
        <f>VLOOKUP($B92,'DCS Data'!$E$2:$AJ$100,MATCH('Daily Report'!AB$1,'DCS Data'!$E$2:$AJ$2,0),0)</f>
        <v>#N/A</v>
      </c>
      <c r="AC92" s="111" t="e">
        <f>VLOOKUP($B92,'DCS Data'!$E$2:$AJ$100,MATCH('Daily Report'!AC$1,'DCS Data'!$E$2:$AJ$2,0),0)</f>
        <v>#N/A</v>
      </c>
      <c r="AD92" s="111" t="e">
        <f>VLOOKUP($B92,'DCS Data'!$E$2:$AJ$100,MATCH('Daily Report'!AD$1,'DCS Data'!$E$2:$AJ$2,0),0)</f>
        <v>#N/A</v>
      </c>
      <c r="AE92" s="111" t="e">
        <f>VLOOKUP($B92,'DCS Data'!$E$2:$AJ$100,MATCH('Daily Report'!AE$1,'DCS Data'!$E$2:$AJ$2,0),0)</f>
        <v>#N/A</v>
      </c>
      <c r="AF92" s="111" t="e">
        <f>VLOOKUP($B92,'DCS Data'!$E$2:$AJ$100,MATCH('Daily Report'!AF$1,'DCS Data'!$E$2:$AJ$2,0),0)</f>
        <v>#N/A</v>
      </c>
      <c r="AG92" s="111" t="e">
        <f>VLOOKUP($B92,'DCS Data'!$E$2:$AJ$100,MATCH('Daily Report'!AG$1,'DCS Data'!$E$2:$AJ$2,0),0)</f>
        <v>#N/A</v>
      </c>
      <c r="AH92" s="111" t="e">
        <f>VLOOKUP($B92,'DCS Data'!$E$2:$AJ$100,MATCH('Daily Report'!AH$1,'DCS Data'!$E$2:$AJ$2,0),0)</f>
        <v>#N/A</v>
      </c>
      <c r="AI92" s="111" t="e">
        <f>VLOOKUP($B92,'DCS Data'!$E$2:$AJ$100,MATCH('Daily Report'!AI$1,'DCS Data'!$E$2:$AJ$2,0),0)</f>
        <v>#N/A</v>
      </c>
      <c r="AJ92" s="111" t="e">
        <f>VLOOKUP($B92,'DCS Data'!$E$2:$AJ$100,MATCH('Daily Report'!AJ$1,'DCS Data'!$E$2:$AJ$2,0),0)</f>
        <v>#N/A</v>
      </c>
      <c r="AK92" s="111" t="e">
        <f>VLOOKUP($B92,'DCS Data'!$E$2:$AJ$100,MATCH('Daily Report'!AK$1,'DCS Data'!$E$2:$AJ$2,0),0)</f>
        <v>#N/A</v>
      </c>
      <c r="AL92" s="111" t="e">
        <f>VLOOKUP($B92,'DCS Data'!$E$2:$AJ$100,MATCH('Daily Report'!AL$1,'DCS Data'!$E$2:$AJ$2,0),0)</f>
        <v>#N/A</v>
      </c>
      <c r="AM92" s="111" t="e">
        <f>VLOOKUP($B92,'DCS Data'!$E$2:$AJ$100,MATCH('Daily Report'!AM$1,'DCS Data'!$E$2:$AJ$2,0),0)</f>
        <v>#N/A</v>
      </c>
      <c r="AN92" s="111" t="e">
        <f>VLOOKUP($B92,'DCS Data'!$E$2:$AJ$100,MATCH('Daily Report'!AN$1,'DCS Data'!$E$2:$AJ$2,0),0)</f>
        <v>#N/A</v>
      </c>
    </row>
    <row r="93" spans="1:40" s="219" customFormat="1" ht="15.75" thickBot="1">
      <c r="A93" s="159" t="s">
        <v>283</v>
      </c>
      <c r="B93" s="65"/>
      <c r="C93" s="65"/>
      <c r="D93" s="427"/>
      <c r="E93" s="265" t="s">
        <v>9</v>
      </c>
      <c r="F93" s="137"/>
      <c r="G93" s="60" t="s">
        <v>659</v>
      </c>
      <c r="H93" s="473"/>
      <c r="I93" s="148"/>
      <c r="J93" s="439"/>
      <c r="K93" s="107"/>
      <c r="L93" s="107"/>
      <c r="M93" s="107"/>
      <c r="N93" s="107"/>
      <c r="O93" s="107"/>
      <c r="P93" s="107"/>
      <c r="Q93" s="107"/>
      <c r="R93" s="107"/>
      <c r="S93" s="107"/>
      <c r="T93" s="107"/>
      <c r="U93" s="107"/>
      <c r="V93" s="107"/>
      <c r="W93" s="107"/>
      <c r="X93" s="107"/>
      <c r="Y93" s="107"/>
      <c r="Z93" s="107"/>
      <c r="AA93" s="107"/>
      <c r="AB93" s="107"/>
      <c r="AC93" s="107"/>
      <c r="AD93" s="107"/>
      <c r="AE93" s="107"/>
      <c r="AF93" s="107"/>
      <c r="AG93" s="107"/>
      <c r="AH93" s="107"/>
      <c r="AI93" s="107"/>
      <c r="AJ93" s="107"/>
      <c r="AK93" s="107"/>
      <c r="AL93" s="107"/>
      <c r="AM93" s="107"/>
      <c r="AN93" s="107"/>
    </row>
    <row r="94" spans="1:40">
      <c r="A94" s="110" t="s">
        <v>125</v>
      </c>
      <c r="B94" s="186" t="s">
        <v>396</v>
      </c>
      <c r="C94" s="416" t="s">
        <v>519</v>
      </c>
      <c r="D94" s="418" t="s">
        <v>519</v>
      </c>
      <c r="E94" s="68" t="s">
        <v>9</v>
      </c>
      <c r="F94" s="138">
        <v>301.10000000000002</v>
      </c>
      <c r="G94" s="60" t="s">
        <v>745</v>
      </c>
      <c r="H94" s="473">
        <f t="shared" ref="H94:H101" si="23">SUM(I94:AN94)</f>
        <v>9384.9985287555282</v>
      </c>
      <c r="I94" s="103">
        <f>VLOOKUP($B94,'DCS Data'!$E$2:$AJ$100,MATCH('Daily Report'!I$1,'DCS Data'!$E$2:$AJ$2,0),0)</f>
        <v>324.16676648814445</v>
      </c>
      <c r="K94" s="103">
        <f>VLOOKUP($B94,'DCS Data'!$E$2:$AJ$100,MATCH('Daily Report'!K$1,'DCS Data'!$E$2:$AJ$2,0),0)</f>
        <v>332.89450423141625</v>
      </c>
      <c r="L94" s="103">
        <f>VLOOKUP($B94,'DCS Data'!$E$2:$AJ$100,MATCH('Daily Report'!L$1,'DCS Data'!$E$2:$AJ$2,0),0)</f>
        <v>332.44718730771098</v>
      </c>
      <c r="M94" s="103">
        <f>VLOOKUP($B94,'DCS Data'!$E$2:$AJ$100,MATCH('Daily Report'!M$1,'DCS Data'!$E$2:$AJ$2,0),0)</f>
        <v>330.8416797310399</v>
      </c>
      <c r="N94" s="103">
        <f>VLOOKUP($B94,'DCS Data'!$E$2:$AJ$100,MATCH('Daily Report'!N$1,'DCS Data'!$E$2:$AJ$2,0),0)</f>
        <v>298.80791710075175</v>
      </c>
      <c r="O94" s="103">
        <f>VLOOKUP($B94,'DCS Data'!$E$2:$AJ$100,MATCH('Daily Report'!O$1,'DCS Data'!$E$2:$AJ$2,0),0)</f>
        <v>298.77604986565763</v>
      </c>
      <c r="P94" s="103">
        <f>VLOOKUP($B94,'DCS Data'!$E$2:$AJ$100,MATCH('Daily Report'!P$1,'DCS Data'!$E$2:$AJ$2,0),0)</f>
        <v>298.82041565326176</v>
      </c>
      <c r="Q94" s="103">
        <f>VLOOKUP($B94,'DCS Data'!$E$2:$AJ$100,MATCH('Daily Report'!Q$1,'DCS Data'!$E$2:$AJ$2,0),0)</f>
        <v>298.74243598333817</v>
      </c>
      <c r="R94" s="103">
        <f>VLOOKUP($B94,'DCS Data'!$E$2:$AJ$100,MATCH('Daily Report'!R$1,'DCS Data'!$E$2:$AJ$2,0),0)</f>
        <v>298.66710757134712</v>
      </c>
      <c r="S94" s="103">
        <f>VLOOKUP($B94,'DCS Data'!$E$2:$AJ$100,MATCH('Daily Report'!S$1,'DCS Data'!$E$2:$AJ$2,0),0)</f>
        <v>298.8312114239597</v>
      </c>
      <c r="T94" s="103">
        <f>VLOOKUP($B94,'DCS Data'!$E$2:$AJ$100,MATCH('Daily Report'!T$1,'DCS Data'!$E$2:$AJ$2,0),0)</f>
        <v>298.7945522397082</v>
      </c>
      <c r="U94" s="103">
        <f>VLOOKUP($B94,'DCS Data'!$E$2:$AJ$100,MATCH('Daily Report'!U$1,'DCS Data'!$E$2:$AJ$2,0),0)</f>
        <v>298.78399133183819</v>
      </c>
      <c r="V94" s="103">
        <f>VLOOKUP($B94,'DCS Data'!$E$2:$AJ$100,MATCH('Daily Report'!V$1,'DCS Data'!$E$2:$AJ$2,0),0)</f>
        <v>298.74263300284497</v>
      </c>
      <c r="W94" s="103">
        <f>VLOOKUP($B94,'DCS Data'!$E$2:$AJ$100,MATCH('Daily Report'!W$1,'DCS Data'!$E$2:$AJ$2,0),0)</f>
        <v>298.75039665949947</v>
      </c>
      <c r="X94" s="103">
        <f>VLOOKUP($B94,'DCS Data'!$E$2:$AJ$100,MATCH('Daily Report'!X$1,'DCS Data'!$E$2:$AJ$2,0),0)</f>
        <v>298.76866628286712</v>
      </c>
      <c r="Y94" s="103">
        <f>VLOOKUP($B94,'DCS Data'!$E$2:$AJ$100,MATCH('Daily Report'!Y$1,'DCS Data'!$E$2:$AJ$2,0),0)</f>
        <v>298.76956566778045</v>
      </c>
      <c r="Z94" s="103">
        <f>VLOOKUP($B94,'DCS Data'!$E$2:$AJ$100,MATCH('Daily Report'!Z$1,'DCS Data'!$E$2:$AJ$2,0),0)</f>
        <v>298.37717061731792</v>
      </c>
      <c r="AA94" s="103">
        <f>VLOOKUP($B94,'DCS Data'!$E$2:$AJ$100,MATCH('Daily Report'!AA$1,'DCS Data'!$E$2:$AJ$2,0),0)</f>
        <v>296.9805211389052</v>
      </c>
      <c r="AB94" s="103">
        <f>VLOOKUP($B94,'DCS Data'!$E$2:$AJ$100,MATCH('Daily Report'!AB$1,'DCS Data'!$E$2:$AJ$2,0),0)</f>
        <v>298.53843872203299</v>
      </c>
      <c r="AC94" s="103">
        <f>VLOOKUP($B94,'DCS Data'!$E$2:$AJ$100,MATCH('Daily Report'!AC$1,'DCS Data'!$E$2:$AJ$2,0),0)</f>
        <v>298.66494516623874</v>
      </c>
      <c r="AD94" s="103">
        <f>VLOOKUP($B94,'DCS Data'!$E$2:$AJ$100,MATCH('Daily Report'!AD$1,'DCS Data'!$E$2:$AJ$2,0),0)</f>
        <v>298.79019201746644</v>
      </c>
      <c r="AE94" s="103">
        <f>VLOOKUP($B94,'DCS Data'!$E$2:$AJ$100,MATCH('Daily Report'!AE$1,'DCS Data'!$E$2:$AJ$2,0),0)</f>
        <v>298.72485562492409</v>
      </c>
      <c r="AF94" s="103">
        <f>VLOOKUP($B94,'DCS Data'!$E$2:$AJ$100,MATCH('Daily Report'!AF$1,'DCS Data'!$E$2:$AJ$2,0),0)</f>
        <v>298.76936832873383</v>
      </c>
      <c r="AG94" s="103">
        <f>VLOOKUP($B94,'DCS Data'!$E$2:$AJ$100,MATCH('Daily Report'!AG$1,'DCS Data'!$E$2:$AJ$2,0),0)</f>
        <v>298.78651131956093</v>
      </c>
      <c r="AH94" s="103">
        <f>VLOOKUP($B94,'DCS Data'!$E$2:$AJ$100,MATCH('Daily Report'!AH$1,'DCS Data'!$E$2:$AJ$2,0),0)</f>
        <v>298.77841662523548</v>
      </c>
      <c r="AI94" s="103">
        <f>VLOOKUP($B94,'DCS Data'!$E$2:$AJ$100,MATCH('Daily Report'!AI$1,'DCS Data'!$E$2:$AJ$2,0),0)</f>
        <v>298.8740102977294</v>
      </c>
      <c r="AJ94" s="103">
        <f>VLOOKUP($B94,'DCS Data'!$E$2:$AJ$100,MATCH('Daily Report'!AJ$1,'DCS Data'!$E$2:$AJ$2,0),0)</f>
        <v>298.77815740255056</v>
      </c>
      <c r="AK94" s="103">
        <f>VLOOKUP($B94,'DCS Data'!$E$2:$AJ$100,MATCH('Daily Report'!AK$1,'DCS Data'!$E$2:$AJ$2,0),0)</f>
        <v>298.84263999168689</v>
      </c>
      <c r="AL94" s="103">
        <f>VLOOKUP($B94,'DCS Data'!$E$2:$AJ$100,MATCH('Daily Report'!AL$1,'DCS Data'!$E$2:$AJ$2,0),0)</f>
        <v>298.83417681336766</v>
      </c>
      <c r="AM94" s="103">
        <f>VLOOKUP($B94,'DCS Data'!$E$2:$AJ$100,MATCH('Daily Report'!AM$1,'DCS Data'!$E$2:$AJ$2,0),0)</f>
        <v>298.80656569128558</v>
      </c>
      <c r="AN94" s="103">
        <f>VLOOKUP($B94,'DCS Data'!$E$2:$AJ$100,MATCH('Daily Report'!AN$1,'DCS Data'!$E$2:$AJ$2,0),0)</f>
        <v>298.84747845732812</v>
      </c>
    </row>
    <row r="95" spans="1:40">
      <c r="A95" s="252" t="s">
        <v>126</v>
      </c>
      <c r="B95" s="180" t="s">
        <v>397</v>
      </c>
      <c r="C95" s="416" t="s">
        <v>520</v>
      </c>
      <c r="D95" s="418" t="s">
        <v>520</v>
      </c>
      <c r="E95" s="59" t="s">
        <v>9</v>
      </c>
      <c r="F95" s="132">
        <v>15</v>
      </c>
      <c r="G95" s="60" t="s">
        <v>746</v>
      </c>
      <c r="H95" s="473">
        <f t="shared" si="23"/>
        <v>386.06753959593686</v>
      </c>
      <c r="I95" s="92">
        <f>VLOOKUP($B95,'DCS Data'!$E$2:$AJ$100,MATCH('Daily Report'!I$1,'DCS Data'!$E$2:$AJ$2,0),0)</f>
        <v>11.143605999568781</v>
      </c>
      <c r="K95" s="92">
        <f>VLOOKUP($B95,'DCS Data'!$E$2:$AJ$100,MATCH('Daily Report'!K$1,'DCS Data'!$E$2:$AJ$2,0),0)</f>
        <v>11.909298487615901</v>
      </c>
      <c r="L95" s="92">
        <f>VLOOKUP($B95,'DCS Data'!$E$2:$AJ$100,MATCH('Daily Report'!L$1,'DCS Data'!$E$2:$AJ$2,0),0)</f>
        <v>12.132769355764577</v>
      </c>
      <c r="M95" s="92">
        <f>VLOOKUP($B95,'DCS Data'!$E$2:$AJ$100,MATCH('Daily Report'!M$1,'DCS Data'!$E$2:$AJ$2,0),0)</f>
        <v>12.313770696437308</v>
      </c>
      <c r="N95" s="92">
        <f>VLOOKUP($B95,'DCS Data'!$E$2:$AJ$100,MATCH('Daily Report'!N$1,'DCS Data'!$E$2:$AJ$2,0),0)</f>
        <v>12.371218025710249</v>
      </c>
      <c r="O95" s="92">
        <f>VLOOKUP($B95,'DCS Data'!$E$2:$AJ$100,MATCH('Daily Report'!O$1,'DCS Data'!$E$2:$AJ$2,0),0)</f>
        <v>12.43644127983829</v>
      </c>
      <c r="P95" s="92">
        <f>VLOOKUP($B95,'DCS Data'!$E$2:$AJ$100,MATCH('Daily Report'!P$1,'DCS Data'!$E$2:$AJ$2,0),0)</f>
        <v>12.380814824381439</v>
      </c>
      <c r="Q95" s="92">
        <f>VLOOKUP($B95,'DCS Data'!$E$2:$AJ$100,MATCH('Daily Report'!Q$1,'DCS Data'!$E$2:$AJ$2,0),0)</f>
        <v>12.243364172953635</v>
      </c>
      <c r="R95" s="92">
        <f>VLOOKUP($B95,'DCS Data'!$E$2:$AJ$100,MATCH('Daily Report'!R$1,'DCS Data'!$E$2:$AJ$2,0),0)</f>
        <v>12.251209233993208</v>
      </c>
      <c r="S95" s="92">
        <f>VLOOKUP($B95,'DCS Data'!$E$2:$AJ$100,MATCH('Daily Report'!S$1,'DCS Data'!$E$2:$AJ$2,0),0)</f>
        <v>12.185226931060388</v>
      </c>
      <c r="T95" s="92">
        <f>VLOOKUP($B95,'DCS Data'!$E$2:$AJ$100,MATCH('Daily Report'!T$1,'DCS Data'!$E$2:$AJ$2,0),0)</f>
        <v>12.359482098406259</v>
      </c>
      <c r="U95" s="92">
        <f>VLOOKUP($B95,'DCS Data'!$E$2:$AJ$100,MATCH('Daily Report'!U$1,'DCS Data'!$E$2:$AJ$2,0),0)</f>
        <v>12.469431976284101</v>
      </c>
      <c r="V95" s="92">
        <f>VLOOKUP($B95,'DCS Data'!$E$2:$AJ$100,MATCH('Daily Report'!V$1,'DCS Data'!$E$2:$AJ$2,0),0)</f>
        <v>12.614340513002979</v>
      </c>
      <c r="W95" s="92">
        <f>VLOOKUP($B95,'DCS Data'!$E$2:$AJ$100,MATCH('Daily Report'!W$1,'DCS Data'!$E$2:$AJ$2,0),0)</f>
        <v>12.620499361982544</v>
      </c>
      <c r="X95" s="92">
        <f>VLOOKUP($B95,'DCS Data'!$E$2:$AJ$100,MATCH('Daily Report'!X$1,'DCS Data'!$E$2:$AJ$2,0),0)</f>
        <v>12.578840179196696</v>
      </c>
      <c r="Y95" s="92">
        <f>VLOOKUP($B95,'DCS Data'!$E$2:$AJ$100,MATCH('Daily Report'!Y$1,'DCS Data'!$E$2:$AJ$2,0),0)</f>
        <v>12.273008614161323</v>
      </c>
      <c r="Z95" s="92">
        <f>VLOOKUP($B95,'DCS Data'!$E$2:$AJ$100,MATCH('Daily Report'!Z$1,'DCS Data'!$E$2:$AJ$2,0),0)</f>
        <v>12.131237355816172</v>
      </c>
      <c r="AA95" s="92">
        <f>VLOOKUP($B95,'DCS Data'!$E$2:$AJ$100,MATCH('Daily Report'!AA$1,'DCS Data'!$E$2:$AJ$2,0),0)</f>
        <v>12.196933706592501</v>
      </c>
      <c r="AB95" s="92">
        <f>VLOOKUP($B95,'DCS Data'!$E$2:$AJ$100,MATCH('Daily Report'!AB$1,'DCS Data'!$E$2:$AJ$2,0),0)</f>
        <v>12.282644234073882</v>
      </c>
      <c r="AC95" s="92">
        <f>VLOOKUP($B95,'DCS Data'!$E$2:$AJ$100,MATCH('Daily Report'!AC$1,'DCS Data'!$E$2:$AJ$2,0),0)</f>
        <v>12.294593456262579</v>
      </c>
      <c r="AD95" s="92">
        <f>VLOOKUP($B95,'DCS Data'!$E$2:$AJ$100,MATCH('Daily Report'!AD$1,'DCS Data'!$E$2:$AJ$2,0),0)</f>
        <v>12.626519079941783</v>
      </c>
      <c r="AE95" s="92">
        <f>VLOOKUP($B95,'DCS Data'!$E$2:$AJ$100,MATCH('Daily Report'!AE$1,'DCS Data'!$E$2:$AJ$2,0),0)</f>
        <v>12.731062737141519</v>
      </c>
      <c r="AF95" s="92">
        <f>VLOOKUP($B95,'DCS Data'!$E$2:$AJ$100,MATCH('Daily Report'!AF$1,'DCS Data'!$E$2:$AJ$2,0),0)</f>
        <v>12.756675475614477</v>
      </c>
      <c r="AG95" s="92">
        <f>VLOOKUP($B95,'DCS Data'!$E$2:$AJ$100,MATCH('Daily Report'!AG$1,'DCS Data'!$E$2:$AJ$2,0),0)</f>
        <v>12.645451923413564</v>
      </c>
      <c r="AH95" s="92">
        <f>VLOOKUP($B95,'DCS Data'!$E$2:$AJ$100,MATCH('Daily Report'!AH$1,'DCS Data'!$E$2:$AJ$2,0),0)</f>
        <v>12.630325828891708</v>
      </c>
      <c r="AI95" s="92">
        <f>VLOOKUP($B95,'DCS Data'!$E$2:$AJ$100,MATCH('Daily Report'!AI$1,'DCS Data'!$E$2:$AJ$2,0),0)</f>
        <v>12.570786285992648</v>
      </c>
      <c r="AJ95" s="92">
        <f>VLOOKUP($B95,'DCS Data'!$E$2:$AJ$100,MATCH('Daily Report'!AJ$1,'DCS Data'!$E$2:$AJ$2,0),0)</f>
        <v>12.735336962499879</v>
      </c>
      <c r="AK95" s="92">
        <f>VLOOKUP($B95,'DCS Data'!$E$2:$AJ$100,MATCH('Daily Report'!AK$1,'DCS Data'!$E$2:$AJ$2,0),0)</f>
        <v>12.896821689104135</v>
      </c>
      <c r="AL95" s="92">
        <f>VLOOKUP($B95,'DCS Data'!$E$2:$AJ$100,MATCH('Daily Report'!AL$1,'DCS Data'!$E$2:$AJ$2,0),0)</f>
        <v>12.999093800024138</v>
      </c>
      <c r="AM95" s="92">
        <f>VLOOKUP($B95,'DCS Data'!$E$2:$AJ$100,MATCH('Daily Report'!AM$1,'DCS Data'!$E$2:$AJ$2,0),0)</f>
        <v>13.083563265734352</v>
      </c>
      <c r="AN95" s="92">
        <f>VLOOKUP($B95,'DCS Data'!$E$2:$AJ$100,MATCH('Daily Report'!AN$1,'DCS Data'!$E$2:$AJ$2,0),0)</f>
        <v>13.20317204447576</v>
      </c>
    </row>
    <row r="96" spans="1:40" s="218" customFormat="1" ht="15.75" thickBot="1">
      <c r="A96" s="76" t="s">
        <v>127</v>
      </c>
      <c r="B96" s="65"/>
      <c r="C96" s="65"/>
      <c r="D96" s="427" t="s">
        <v>606</v>
      </c>
      <c r="E96" s="265" t="s">
        <v>9</v>
      </c>
      <c r="F96" s="137">
        <f>F94+F95</f>
        <v>316.10000000000002</v>
      </c>
      <c r="G96" s="60" t="s">
        <v>747</v>
      </c>
      <c r="H96" s="473">
        <f t="shared" si="23"/>
        <v>9771.0660683514652</v>
      </c>
      <c r="I96" s="148">
        <f>I94+I95</f>
        <v>335.31037248771321</v>
      </c>
      <c r="J96" s="437"/>
      <c r="K96" s="148">
        <f t="shared" ref="K96:AN96" si="24">K94+K95</f>
        <v>344.80380271903215</v>
      </c>
      <c r="L96" s="148">
        <f t="shared" si="24"/>
        <v>344.57995666347557</v>
      </c>
      <c r="M96" s="148">
        <f t="shared" si="24"/>
        <v>343.15545042747721</v>
      </c>
      <c r="N96" s="148">
        <f t="shared" si="24"/>
        <v>311.17913512646203</v>
      </c>
      <c r="O96" s="148">
        <f t="shared" si="24"/>
        <v>311.2124911454959</v>
      </c>
      <c r="P96" s="148">
        <f t="shared" si="24"/>
        <v>311.20123047764321</v>
      </c>
      <c r="Q96" s="148">
        <f t="shared" si="24"/>
        <v>310.98580015629182</v>
      </c>
      <c r="R96" s="148">
        <f t="shared" si="24"/>
        <v>310.91831680534034</v>
      </c>
      <c r="S96" s="148">
        <f t="shared" si="24"/>
        <v>311.01643835502011</v>
      </c>
      <c r="T96" s="148">
        <f t="shared" si="24"/>
        <v>311.15403433811446</v>
      </c>
      <c r="U96" s="148">
        <f t="shared" si="24"/>
        <v>311.25342330812231</v>
      </c>
      <c r="V96" s="148">
        <f t="shared" si="24"/>
        <v>311.35697351584793</v>
      </c>
      <c r="W96" s="148">
        <f t="shared" si="24"/>
        <v>311.370896021482</v>
      </c>
      <c r="X96" s="148">
        <f t="shared" si="24"/>
        <v>311.34750646206379</v>
      </c>
      <c r="Y96" s="148">
        <f t="shared" si="24"/>
        <v>311.04257428194177</v>
      </c>
      <c r="Z96" s="148">
        <f t="shared" si="24"/>
        <v>310.50840797313407</v>
      </c>
      <c r="AA96" s="148">
        <f t="shared" si="24"/>
        <v>309.17745484549772</v>
      </c>
      <c r="AB96" s="148">
        <f t="shared" si="24"/>
        <v>310.82108295610686</v>
      </c>
      <c r="AC96" s="148">
        <f t="shared" si="24"/>
        <v>310.95953862250133</v>
      </c>
      <c r="AD96" s="148">
        <f t="shared" si="24"/>
        <v>311.41671109740821</v>
      </c>
      <c r="AE96" s="148">
        <f t="shared" si="24"/>
        <v>311.45591836206563</v>
      </c>
      <c r="AF96" s="148">
        <f t="shared" si="24"/>
        <v>311.52604380434832</v>
      </c>
      <c r="AG96" s="148">
        <f t="shared" si="24"/>
        <v>311.43196324297452</v>
      </c>
      <c r="AH96" s="148">
        <f t="shared" si="24"/>
        <v>311.40874245412721</v>
      </c>
      <c r="AI96" s="148">
        <f t="shared" si="24"/>
        <v>311.44479658372205</v>
      </c>
      <c r="AJ96" s="148">
        <f t="shared" si="24"/>
        <v>311.51349436505046</v>
      </c>
      <c r="AK96" s="148">
        <f t="shared" si="24"/>
        <v>311.73946168079101</v>
      </c>
      <c r="AL96" s="148">
        <f t="shared" si="24"/>
        <v>311.83327061339179</v>
      </c>
      <c r="AM96" s="148">
        <f t="shared" si="24"/>
        <v>311.89012895701995</v>
      </c>
      <c r="AN96" s="148">
        <f t="shared" si="24"/>
        <v>312.05065050180389</v>
      </c>
    </row>
    <row r="97" spans="1:40">
      <c r="A97" s="110" t="s">
        <v>128</v>
      </c>
      <c r="B97" s="186" t="s">
        <v>124</v>
      </c>
      <c r="C97" s="186" t="s">
        <v>124</v>
      </c>
      <c r="D97" s="419"/>
      <c r="E97" s="68" t="s">
        <v>9</v>
      </c>
      <c r="F97" s="138"/>
      <c r="G97" s="60" t="s">
        <v>659</v>
      </c>
      <c r="H97" s="473" t="e">
        <f t="shared" si="23"/>
        <v>#N/A</v>
      </c>
      <c r="I97" s="103" t="e">
        <f>VLOOKUP($B97,'DCS Data'!$E$2:$AJ$100,MATCH('Daily Report'!I$1,'DCS Data'!$E$2:$AJ$2,0),0)</f>
        <v>#N/A</v>
      </c>
      <c r="K97" s="103" t="e">
        <f>VLOOKUP($B97,'DCS Data'!$E$2:$AJ$100,MATCH('Daily Report'!K$1,'DCS Data'!$E$2:$AJ$2,0),0)</f>
        <v>#N/A</v>
      </c>
      <c r="L97" s="103" t="e">
        <f>VLOOKUP($B97,'DCS Data'!$E$2:$AJ$100,MATCH('Daily Report'!L$1,'DCS Data'!$E$2:$AJ$2,0),0)</f>
        <v>#N/A</v>
      </c>
      <c r="M97" s="103" t="e">
        <f>VLOOKUP($B97,'DCS Data'!$E$2:$AJ$100,MATCH('Daily Report'!M$1,'DCS Data'!$E$2:$AJ$2,0),0)</f>
        <v>#N/A</v>
      </c>
      <c r="N97" s="103" t="e">
        <f>VLOOKUP($B97,'DCS Data'!$E$2:$AJ$100,MATCH('Daily Report'!N$1,'DCS Data'!$E$2:$AJ$2,0),0)</f>
        <v>#N/A</v>
      </c>
      <c r="O97" s="103" t="e">
        <f>VLOOKUP($B97,'DCS Data'!$E$2:$AJ$100,MATCH('Daily Report'!O$1,'DCS Data'!$E$2:$AJ$2,0),0)</f>
        <v>#N/A</v>
      </c>
      <c r="P97" s="103" t="e">
        <f>VLOOKUP($B97,'DCS Data'!$E$2:$AJ$100,MATCH('Daily Report'!P$1,'DCS Data'!$E$2:$AJ$2,0),0)</f>
        <v>#N/A</v>
      </c>
      <c r="Q97" s="103" t="e">
        <f>VLOOKUP($B97,'DCS Data'!$E$2:$AJ$100,MATCH('Daily Report'!Q$1,'DCS Data'!$E$2:$AJ$2,0),0)</f>
        <v>#N/A</v>
      </c>
      <c r="R97" s="103" t="e">
        <f>VLOOKUP($B97,'DCS Data'!$E$2:$AJ$100,MATCH('Daily Report'!R$1,'DCS Data'!$E$2:$AJ$2,0),0)</f>
        <v>#N/A</v>
      </c>
      <c r="S97" s="103" t="e">
        <f>VLOOKUP($B97,'DCS Data'!$E$2:$AJ$100,MATCH('Daily Report'!S$1,'DCS Data'!$E$2:$AJ$2,0),0)</f>
        <v>#N/A</v>
      </c>
      <c r="T97" s="103" t="e">
        <f>VLOOKUP($B97,'DCS Data'!$E$2:$AJ$100,MATCH('Daily Report'!T$1,'DCS Data'!$E$2:$AJ$2,0),0)</f>
        <v>#N/A</v>
      </c>
      <c r="U97" s="103" t="e">
        <f>VLOOKUP($B97,'DCS Data'!$E$2:$AJ$100,MATCH('Daily Report'!U$1,'DCS Data'!$E$2:$AJ$2,0),0)</f>
        <v>#N/A</v>
      </c>
      <c r="V97" s="103" t="e">
        <f>VLOOKUP($B97,'DCS Data'!$E$2:$AJ$100,MATCH('Daily Report'!V$1,'DCS Data'!$E$2:$AJ$2,0),0)</f>
        <v>#N/A</v>
      </c>
      <c r="W97" s="103" t="e">
        <f>VLOOKUP($B97,'DCS Data'!$E$2:$AJ$100,MATCH('Daily Report'!W$1,'DCS Data'!$E$2:$AJ$2,0),0)</f>
        <v>#N/A</v>
      </c>
      <c r="X97" s="103" t="e">
        <f>VLOOKUP($B97,'DCS Data'!$E$2:$AJ$100,MATCH('Daily Report'!X$1,'DCS Data'!$E$2:$AJ$2,0),0)</f>
        <v>#N/A</v>
      </c>
      <c r="Y97" s="103" t="e">
        <f>VLOOKUP($B97,'DCS Data'!$E$2:$AJ$100,MATCH('Daily Report'!Y$1,'DCS Data'!$E$2:$AJ$2,0),0)</f>
        <v>#N/A</v>
      </c>
      <c r="Z97" s="103" t="e">
        <f>VLOOKUP($B97,'DCS Data'!$E$2:$AJ$100,MATCH('Daily Report'!Z$1,'DCS Data'!$E$2:$AJ$2,0),0)</f>
        <v>#N/A</v>
      </c>
      <c r="AA97" s="103" t="e">
        <f>VLOOKUP($B97,'DCS Data'!$E$2:$AJ$100,MATCH('Daily Report'!AA$1,'DCS Data'!$E$2:$AJ$2,0),0)</f>
        <v>#N/A</v>
      </c>
      <c r="AB97" s="103" t="e">
        <f>VLOOKUP($B97,'DCS Data'!$E$2:$AJ$100,MATCH('Daily Report'!AB$1,'DCS Data'!$E$2:$AJ$2,0),0)</f>
        <v>#N/A</v>
      </c>
      <c r="AC97" s="103" t="e">
        <f>VLOOKUP($B97,'DCS Data'!$E$2:$AJ$100,MATCH('Daily Report'!AC$1,'DCS Data'!$E$2:$AJ$2,0),0)</f>
        <v>#N/A</v>
      </c>
      <c r="AD97" s="103" t="e">
        <f>VLOOKUP($B97,'DCS Data'!$E$2:$AJ$100,MATCH('Daily Report'!AD$1,'DCS Data'!$E$2:$AJ$2,0),0)</f>
        <v>#N/A</v>
      </c>
      <c r="AE97" s="103" t="e">
        <f>VLOOKUP($B97,'DCS Data'!$E$2:$AJ$100,MATCH('Daily Report'!AE$1,'DCS Data'!$E$2:$AJ$2,0),0)</f>
        <v>#N/A</v>
      </c>
      <c r="AF97" s="103" t="e">
        <f>VLOOKUP($B97,'DCS Data'!$E$2:$AJ$100,MATCH('Daily Report'!AF$1,'DCS Data'!$E$2:$AJ$2,0),0)</f>
        <v>#N/A</v>
      </c>
      <c r="AG97" s="103" t="e">
        <f>VLOOKUP($B97,'DCS Data'!$E$2:$AJ$100,MATCH('Daily Report'!AG$1,'DCS Data'!$E$2:$AJ$2,0),0)</f>
        <v>#N/A</v>
      </c>
      <c r="AH97" s="103" t="e">
        <f>VLOOKUP($B97,'DCS Data'!$E$2:$AJ$100,MATCH('Daily Report'!AH$1,'DCS Data'!$E$2:$AJ$2,0),0)</f>
        <v>#N/A</v>
      </c>
      <c r="AI97" s="103" t="e">
        <f>VLOOKUP($B97,'DCS Data'!$E$2:$AJ$100,MATCH('Daily Report'!AI$1,'DCS Data'!$E$2:$AJ$2,0),0)</f>
        <v>#N/A</v>
      </c>
      <c r="AJ97" s="103" t="e">
        <f>VLOOKUP($B97,'DCS Data'!$E$2:$AJ$100,MATCH('Daily Report'!AJ$1,'DCS Data'!$E$2:$AJ$2,0),0)</f>
        <v>#N/A</v>
      </c>
      <c r="AK97" s="103" t="e">
        <f>VLOOKUP($B97,'DCS Data'!$E$2:$AJ$100,MATCH('Daily Report'!AK$1,'DCS Data'!$E$2:$AJ$2,0),0)</f>
        <v>#N/A</v>
      </c>
      <c r="AL97" s="103" t="e">
        <f>VLOOKUP($B97,'DCS Data'!$E$2:$AJ$100,MATCH('Daily Report'!AL$1,'DCS Data'!$E$2:$AJ$2,0),0)</f>
        <v>#N/A</v>
      </c>
      <c r="AM97" s="103" t="e">
        <f>VLOOKUP($B97,'DCS Data'!$E$2:$AJ$100,MATCH('Daily Report'!AM$1,'DCS Data'!$E$2:$AJ$2,0),0)</f>
        <v>#N/A</v>
      </c>
      <c r="AN97" s="103" t="e">
        <f>VLOOKUP($B97,'DCS Data'!$E$2:$AJ$100,MATCH('Daily Report'!AN$1,'DCS Data'!$E$2:$AJ$2,0),0)</f>
        <v>#N/A</v>
      </c>
    </row>
    <row r="98" spans="1:40">
      <c r="A98" s="252" t="s">
        <v>129</v>
      </c>
      <c r="B98" s="180" t="s">
        <v>398</v>
      </c>
      <c r="C98" s="416" t="s">
        <v>521</v>
      </c>
      <c r="D98" s="418" t="s">
        <v>521</v>
      </c>
      <c r="E98" s="59" t="s">
        <v>9</v>
      </c>
      <c r="F98" s="132">
        <v>4417.6000000000004</v>
      </c>
      <c r="G98" s="60" t="s">
        <v>748</v>
      </c>
      <c r="H98" s="473">
        <f t="shared" si="23"/>
        <v>111964.34007872456</v>
      </c>
      <c r="I98" s="92">
        <f>VLOOKUP($B98,'DCS Data'!$E$2:$AJ$100,MATCH('Daily Report'!I$1,'DCS Data'!$E$2:$AJ$2,0),0)</f>
        <v>3389.8588469197334</v>
      </c>
      <c r="K98" s="92">
        <f>VLOOKUP($B98,'DCS Data'!$E$2:$AJ$100,MATCH('Daily Report'!K$1,'DCS Data'!$E$2:$AJ$2,0),0)</f>
        <v>3664.5952355789309</v>
      </c>
      <c r="L98" s="92">
        <f>VLOOKUP($B98,'DCS Data'!$E$2:$AJ$100,MATCH('Daily Report'!L$1,'DCS Data'!$E$2:$AJ$2,0),0)</f>
        <v>3685.7111485994869</v>
      </c>
      <c r="M98" s="92">
        <f>VLOOKUP($B98,'DCS Data'!$E$2:$AJ$100,MATCH('Daily Report'!M$1,'DCS Data'!$E$2:$AJ$2,0),0)</f>
        <v>3675.4642526030425</v>
      </c>
      <c r="N98" s="92">
        <f>VLOOKUP($B98,'DCS Data'!$E$2:$AJ$100,MATCH('Daily Report'!N$1,'DCS Data'!$E$2:$AJ$2,0),0)</f>
        <v>3683.867063100894</v>
      </c>
      <c r="O98" s="92">
        <f>VLOOKUP($B98,'DCS Data'!$E$2:$AJ$100,MATCH('Daily Report'!O$1,'DCS Data'!$E$2:$AJ$2,0),0)</f>
        <v>3725.7587858615852</v>
      </c>
      <c r="P98" s="92">
        <f>VLOOKUP($B98,'DCS Data'!$E$2:$AJ$100,MATCH('Daily Report'!P$1,'DCS Data'!$E$2:$AJ$2,0),0)</f>
        <v>3719.2905825952366</v>
      </c>
      <c r="Q98" s="92">
        <f>VLOOKUP($B98,'DCS Data'!$E$2:$AJ$100,MATCH('Daily Report'!Q$1,'DCS Data'!$E$2:$AJ$2,0),0)</f>
        <v>3700.2337685233001</v>
      </c>
      <c r="R98" s="92">
        <f>VLOOKUP($B98,'DCS Data'!$E$2:$AJ$100,MATCH('Daily Report'!R$1,'DCS Data'!$E$2:$AJ$2,0),0)</f>
        <v>3649.851602896289</v>
      </c>
      <c r="S98" s="92">
        <f>VLOOKUP($B98,'DCS Data'!$E$2:$AJ$100,MATCH('Daily Report'!S$1,'DCS Data'!$E$2:$AJ$2,0),0)</f>
        <v>3637.1914899750932</v>
      </c>
      <c r="T98" s="92">
        <f>VLOOKUP($B98,'DCS Data'!$E$2:$AJ$100,MATCH('Daily Report'!T$1,'DCS Data'!$E$2:$AJ$2,0),0)</f>
        <v>3627.2442637044992</v>
      </c>
      <c r="U98" s="92">
        <f>VLOOKUP($B98,'DCS Data'!$E$2:$AJ$100,MATCH('Daily Report'!U$1,'DCS Data'!$E$2:$AJ$2,0),0)</f>
        <v>3629.5329375266774</v>
      </c>
      <c r="V98" s="92">
        <f>VLOOKUP($B98,'DCS Data'!$E$2:$AJ$100,MATCH('Daily Report'!V$1,'DCS Data'!$E$2:$AJ$2,0),0)</f>
        <v>3628.8439537399931</v>
      </c>
      <c r="W98" s="92">
        <f>VLOOKUP($B98,'DCS Data'!$E$2:$AJ$100,MATCH('Daily Report'!W$1,'DCS Data'!$E$2:$AJ$2,0),0)</f>
        <v>3658.6980660280283</v>
      </c>
      <c r="X98" s="92">
        <f>VLOOKUP($B98,'DCS Data'!$E$2:$AJ$100,MATCH('Daily Report'!X$1,'DCS Data'!$E$2:$AJ$2,0),0)</f>
        <v>3608.7045150178642</v>
      </c>
      <c r="Y98" s="92">
        <f>VLOOKUP($B98,'DCS Data'!$E$2:$AJ$100,MATCH('Daily Report'!Y$1,'DCS Data'!$E$2:$AJ$2,0),0)</f>
        <v>3425.1374725565888</v>
      </c>
      <c r="Z98" s="92">
        <f>VLOOKUP($B98,'DCS Data'!$E$2:$AJ$100,MATCH('Daily Report'!Z$1,'DCS Data'!$E$2:$AJ$2,0),0)</f>
        <v>3356.4123275061002</v>
      </c>
      <c r="AA98" s="92">
        <f>VLOOKUP($B98,'DCS Data'!$E$2:$AJ$100,MATCH('Daily Report'!AA$1,'DCS Data'!$E$2:$AJ$2,0),0)</f>
        <v>3373.1574650700245</v>
      </c>
      <c r="AB98" s="92">
        <f>VLOOKUP($B98,'DCS Data'!$E$2:$AJ$100,MATCH('Daily Report'!AB$1,'DCS Data'!$E$2:$AJ$2,0),0)</f>
        <v>3403.8482652642315</v>
      </c>
      <c r="AC98" s="92">
        <f>VLOOKUP($B98,'DCS Data'!$E$2:$AJ$100,MATCH('Daily Report'!AC$1,'DCS Data'!$E$2:$AJ$2,0),0)</f>
        <v>3475.676102528168</v>
      </c>
      <c r="AD98" s="92">
        <f>VLOOKUP($B98,'DCS Data'!$E$2:$AJ$100,MATCH('Daily Report'!AD$1,'DCS Data'!$E$2:$AJ$2,0),0)</f>
        <v>3600.9721194943022</v>
      </c>
      <c r="AE98" s="92">
        <f>VLOOKUP($B98,'DCS Data'!$E$2:$AJ$100,MATCH('Daily Report'!AE$1,'DCS Data'!$E$2:$AJ$2,0),0)</f>
        <v>3625.7115190519839</v>
      </c>
      <c r="AF98" s="92">
        <f>VLOOKUP($B98,'DCS Data'!$E$2:$AJ$100,MATCH('Daily Report'!AF$1,'DCS Data'!$E$2:$AJ$2,0),0)</f>
        <v>3658.3314396322789</v>
      </c>
      <c r="AG98" s="92">
        <f>VLOOKUP($B98,'DCS Data'!$E$2:$AJ$100,MATCH('Daily Report'!AG$1,'DCS Data'!$E$2:$AJ$2,0),0)</f>
        <v>3658.2126200764083</v>
      </c>
      <c r="AH98" s="92">
        <f>VLOOKUP($B98,'DCS Data'!$E$2:$AJ$100,MATCH('Daily Report'!AH$1,'DCS Data'!$E$2:$AJ$2,0),0)</f>
        <v>3660.4719725434356</v>
      </c>
      <c r="AI98" s="92">
        <f>VLOOKUP($B98,'DCS Data'!$E$2:$AJ$100,MATCH('Daily Report'!AI$1,'DCS Data'!$E$2:$AJ$2,0),0)</f>
        <v>3683.3951501293095</v>
      </c>
      <c r="AJ98" s="92">
        <f>VLOOKUP($B98,'DCS Data'!$E$2:$AJ$100,MATCH('Daily Report'!AJ$1,'DCS Data'!$E$2:$AJ$2,0),0)</f>
        <v>3677.9198539064569</v>
      </c>
      <c r="AK98" s="92">
        <f>VLOOKUP($B98,'DCS Data'!$E$2:$AJ$100,MATCH('Daily Report'!AK$1,'DCS Data'!$E$2:$AJ$2,0),0)</f>
        <v>3675.8043289944203</v>
      </c>
      <c r="AL98" s="92">
        <f>VLOOKUP($B98,'DCS Data'!$E$2:$AJ$100,MATCH('Daily Report'!AL$1,'DCS Data'!$E$2:$AJ$2,0),0)</f>
        <v>3675.1906047618968</v>
      </c>
      <c r="AM98" s="92">
        <f>VLOOKUP($B98,'DCS Data'!$E$2:$AJ$100,MATCH('Daily Report'!AM$1,'DCS Data'!$E$2:$AJ$2,0),0)</f>
        <v>3661.5178652721788</v>
      </c>
      <c r="AN98" s="92">
        <f>VLOOKUP($B98,'DCS Data'!$E$2:$AJ$100,MATCH('Daily Report'!AN$1,'DCS Data'!$E$2:$AJ$2,0),0)</f>
        <v>3667.7344592661148</v>
      </c>
    </row>
    <row r="99" spans="1:40">
      <c r="A99" s="252" t="s">
        <v>130</v>
      </c>
      <c r="B99" s="180" t="s">
        <v>399</v>
      </c>
      <c r="C99" s="416" t="s">
        <v>522</v>
      </c>
      <c r="D99" s="435" t="s">
        <v>522</v>
      </c>
      <c r="E99" s="59" t="s">
        <v>9</v>
      </c>
      <c r="F99" s="132">
        <v>0</v>
      </c>
      <c r="G99" s="60" t="s">
        <v>749</v>
      </c>
      <c r="H99" s="473">
        <f t="shared" si="23"/>
        <v>2399.2675432966685</v>
      </c>
      <c r="I99" s="92">
        <f>VLOOKUP($B99,'DCS Data'!$E$2:$AJ$100,MATCH('Daily Report'!I$1,'DCS Data'!$E$2:$AJ$2,0),0)</f>
        <v>44.827314791557505</v>
      </c>
      <c r="K99" s="92">
        <f>VLOOKUP($B99,'DCS Data'!$E$2:$AJ$100,MATCH('Daily Report'!K$1,'DCS Data'!$E$2:$AJ$2,0),0)</f>
        <v>65.494207482786763</v>
      </c>
      <c r="L99" s="92">
        <f>VLOOKUP($B99,'DCS Data'!$E$2:$AJ$100,MATCH('Daily Report'!L$1,'DCS Data'!$E$2:$AJ$2,0),0)</f>
        <v>63.429567403588592</v>
      </c>
      <c r="M99" s="92">
        <f>VLOOKUP($B99,'DCS Data'!$E$2:$AJ$100,MATCH('Daily Report'!M$1,'DCS Data'!$E$2:$AJ$2,0),0)</f>
        <v>61.566810598655664</v>
      </c>
      <c r="N99" s="92">
        <f>VLOOKUP($B99,'DCS Data'!$E$2:$AJ$100,MATCH('Daily Report'!N$1,'DCS Data'!$E$2:$AJ$2,0),0)</f>
        <v>57.421625596831298</v>
      </c>
      <c r="O99" s="92">
        <f>VLOOKUP($B99,'DCS Data'!$E$2:$AJ$100,MATCH('Daily Report'!O$1,'DCS Data'!$E$2:$AJ$2,0),0)</f>
        <v>70.260243648370093</v>
      </c>
      <c r="P99" s="92">
        <f>VLOOKUP($B99,'DCS Data'!$E$2:$AJ$100,MATCH('Daily Report'!P$1,'DCS Data'!$E$2:$AJ$2,0),0)</f>
        <v>70.255795119385951</v>
      </c>
      <c r="Q99" s="92">
        <f>VLOOKUP($B99,'DCS Data'!$E$2:$AJ$100,MATCH('Daily Report'!Q$1,'DCS Data'!$E$2:$AJ$2,0),0)</f>
        <v>70.249288193056643</v>
      </c>
      <c r="R99" s="92">
        <f>VLOOKUP($B99,'DCS Data'!$E$2:$AJ$100,MATCH('Daily Report'!R$1,'DCS Data'!$E$2:$AJ$2,0),0)</f>
        <v>70.263426884822564</v>
      </c>
      <c r="S99" s="92">
        <f>VLOOKUP($B99,'DCS Data'!$E$2:$AJ$100,MATCH('Daily Report'!S$1,'DCS Data'!$E$2:$AJ$2,0),0)</f>
        <v>70.251937960579269</v>
      </c>
      <c r="T99" s="92">
        <f>VLOOKUP($B99,'DCS Data'!$E$2:$AJ$100,MATCH('Daily Report'!T$1,'DCS Data'!$E$2:$AJ$2,0),0)</f>
        <v>70.270091985530144</v>
      </c>
      <c r="U99" s="92">
        <f>VLOOKUP($B99,'DCS Data'!$E$2:$AJ$100,MATCH('Daily Report'!U$1,'DCS Data'!$E$2:$AJ$2,0),0)</f>
        <v>70.25657869062519</v>
      </c>
      <c r="V99" s="92">
        <f>VLOOKUP($B99,'DCS Data'!$E$2:$AJ$100,MATCH('Daily Report'!V$1,'DCS Data'!$E$2:$AJ$2,0),0)</f>
        <v>70.266172212887184</v>
      </c>
      <c r="W99" s="92">
        <f>VLOOKUP($B99,'DCS Data'!$E$2:$AJ$100,MATCH('Daily Report'!W$1,'DCS Data'!$E$2:$AJ$2,0),0)</f>
        <v>70.25826907931885</v>
      </c>
      <c r="X99" s="92">
        <f>VLOOKUP($B99,'DCS Data'!$E$2:$AJ$100,MATCH('Daily Report'!X$1,'DCS Data'!$E$2:$AJ$2,0),0)</f>
        <v>70.265224532098941</v>
      </c>
      <c r="Y99" s="92">
        <f>VLOOKUP($B99,'DCS Data'!$E$2:$AJ$100,MATCH('Daily Report'!Y$1,'DCS Data'!$E$2:$AJ$2,0),0)</f>
        <v>73.638300047476648</v>
      </c>
      <c r="Z99" s="92">
        <f>VLOOKUP($B99,'DCS Data'!$E$2:$AJ$100,MATCH('Daily Report'!Z$1,'DCS Data'!$E$2:$AJ$2,0),0)</f>
        <v>84.991223175705841</v>
      </c>
      <c r="AA99" s="92">
        <f>VLOOKUP($B99,'DCS Data'!$E$2:$AJ$100,MATCH('Daily Report'!AA$1,'DCS Data'!$E$2:$AJ$2,0),0)</f>
        <v>87.069610360812788</v>
      </c>
      <c r="AB99" s="92">
        <f>VLOOKUP($B99,'DCS Data'!$E$2:$AJ$100,MATCH('Daily Report'!AB$1,'DCS Data'!$E$2:$AJ$2,0),0)</f>
        <v>87.990797824980987</v>
      </c>
      <c r="AC99" s="92">
        <f>VLOOKUP($B99,'DCS Data'!$E$2:$AJ$100,MATCH('Daily Report'!AC$1,'DCS Data'!$E$2:$AJ$2,0),0)</f>
        <v>99.924574674669486</v>
      </c>
      <c r="AD99" s="92">
        <f>VLOOKUP($B99,'DCS Data'!$E$2:$AJ$100,MATCH('Daily Report'!AD$1,'DCS Data'!$E$2:$AJ$2,0),0)</f>
        <v>93.319856439541667</v>
      </c>
      <c r="AE99" s="92">
        <f>VLOOKUP($B99,'DCS Data'!$E$2:$AJ$100,MATCH('Daily Report'!AE$1,'DCS Data'!$E$2:$AJ$2,0),0)</f>
        <v>89.984682591118528</v>
      </c>
      <c r="AF99" s="92">
        <f>VLOOKUP($B99,'DCS Data'!$E$2:$AJ$100,MATCH('Daily Report'!AF$1,'DCS Data'!$E$2:$AJ$2,0),0)</f>
        <v>89.989262583470648</v>
      </c>
      <c r="AG99" s="92">
        <f>VLOOKUP($B99,'DCS Data'!$E$2:$AJ$100,MATCH('Daily Report'!AG$1,'DCS Data'!$E$2:$AJ$2,0),0)</f>
        <v>90.002259998196706</v>
      </c>
      <c r="AH99" s="92">
        <f>VLOOKUP($B99,'DCS Data'!$E$2:$AJ$100,MATCH('Daily Report'!AH$1,'DCS Data'!$E$2:$AJ$2,0),0)</f>
        <v>89.993977716590138</v>
      </c>
      <c r="AI99" s="92">
        <f>VLOOKUP($B99,'DCS Data'!$E$2:$AJ$100,MATCH('Daily Report'!AI$1,'DCS Data'!$E$2:$AJ$2,0),0)</f>
        <v>90.028060077208821</v>
      </c>
      <c r="AJ99" s="92">
        <f>VLOOKUP($B99,'DCS Data'!$E$2:$AJ$100,MATCH('Daily Report'!AJ$1,'DCS Data'!$E$2:$AJ$2,0),0)</f>
        <v>89.400916803798296</v>
      </c>
      <c r="AK99" s="92">
        <f>VLOOKUP($B99,'DCS Data'!$E$2:$AJ$100,MATCH('Daily Report'!AK$1,'DCS Data'!$E$2:$AJ$2,0),0)</f>
        <v>85.602063368972509</v>
      </c>
      <c r="AL99" s="92">
        <f>VLOOKUP($B99,'DCS Data'!$E$2:$AJ$100,MATCH('Daily Report'!AL$1,'DCS Data'!$E$2:$AJ$2,0),0)</f>
        <v>83.998363356776636</v>
      </c>
      <c r="AM99" s="92">
        <f>VLOOKUP($B99,'DCS Data'!$E$2:$AJ$100,MATCH('Daily Report'!AM$1,'DCS Data'!$E$2:$AJ$2,0),0)</f>
        <v>83.999552026282643</v>
      </c>
      <c r="AN99" s="92">
        <f>VLOOKUP($B99,'DCS Data'!$E$2:$AJ$100,MATCH('Daily Report'!AN$1,'DCS Data'!$E$2:$AJ$2,0),0)</f>
        <v>83.997488070970974</v>
      </c>
    </row>
    <row r="100" spans="1:40">
      <c r="A100" s="252" t="s">
        <v>131</v>
      </c>
      <c r="B100" s="180" t="s">
        <v>400</v>
      </c>
      <c r="C100" s="416" t="s">
        <v>523</v>
      </c>
      <c r="D100" s="435" t="s">
        <v>523</v>
      </c>
      <c r="E100" s="59" t="s">
        <v>9</v>
      </c>
      <c r="F100" s="132">
        <v>150</v>
      </c>
      <c r="G100" s="60" t="s">
        <v>750</v>
      </c>
      <c r="H100" s="473">
        <f t="shared" si="23"/>
        <v>2083.6342870845365</v>
      </c>
      <c r="I100" s="92">
        <f>VLOOKUP($B100,'DCS Data'!$E$2:$AJ$100,MATCH('Daily Report'!I$1,'DCS Data'!$E$2:$AJ$2,0),0)</f>
        <v>64.435585207243705</v>
      </c>
      <c r="K100" s="92">
        <f>VLOOKUP($B100,'DCS Data'!$E$2:$AJ$100,MATCH('Daily Report'!K$1,'DCS Data'!$E$2:$AJ$2,0),0)</f>
        <v>67.717366666305907</v>
      </c>
      <c r="L100" s="92">
        <f>VLOOKUP($B100,'DCS Data'!$E$2:$AJ$100,MATCH('Daily Report'!L$1,'DCS Data'!$E$2:$AJ$2,0),0)</f>
        <v>67.829990312269615</v>
      </c>
      <c r="M100" s="92">
        <f>VLOOKUP($B100,'DCS Data'!$E$2:$AJ$100,MATCH('Daily Report'!M$1,'DCS Data'!$E$2:$AJ$2,0),0)</f>
        <v>68.380181658041053</v>
      </c>
      <c r="N100" s="92">
        <f>VLOOKUP($B100,'DCS Data'!$E$2:$AJ$100,MATCH('Daily Report'!N$1,'DCS Data'!$E$2:$AJ$2,0),0)</f>
        <v>68.623165906064173</v>
      </c>
      <c r="O100" s="92">
        <f>VLOOKUP($B100,'DCS Data'!$E$2:$AJ$100,MATCH('Daily Report'!O$1,'DCS Data'!$E$2:$AJ$2,0),0)</f>
        <v>67.674918678436512</v>
      </c>
      <c r="P100" s="92">
        <f>VLOOKUP($B100,'DCS Data'!$E$2:$AJ$100,MATCH('Daily Report'!P$1,'DCS Data'!$E$2:$AJ$2,0),0)</f>
        <v>67.432783860414403</v>
      </c>
      <c r="Q100" s="92">
        <f>VLOOKUP($B100,'DCS Data'!$E$2:$AJ$100,MATCH('Daily Report'!Q$1,'DCS Data'!$E$2:$AJ$2,0),0)</f>
        <v>67.401967375238826</v>
      </c>
      <c r="R100" s="92">
        <f>VLOOKUP($B100,'DCS Data'!$E$2:$AJ$100,MATCH('Daily Report'!R$1,'DCS Data'!$E$2:$AJ$2,0),0)</f>
        <v>66.801651102614258</v>
      </c>
      <c r="S100" s="92">
        <f>VLOOKUP($B100,'DCS Data'!$E$2:$AJ$100,MATCH('Daily Report'!S$1,'DCS Data'!$E$2:$AJ$2,0),0)</f>
        <v>66.887273585296967</v>
      </c>
      <c r="T100" s="92">
        <f>VLOOKUP($B100,'DCS Data'!$E$2:$AJ$100,MATCH('Daily Report'!T$1,'DCS Data'!$E$2:$AJ$2,0),0)</f>
        <v>67.393411804539667</v>
      </c>
      <c r="U100" s="92">
        <f>VLOOKUP($B100,'DCS Data'!$E$2:$AJ$100,MATCH('Daily Report'!U$1,'DCS Data'!$E$2:$AJ$2,0),0)</f>
        <v>66.590571749911987</v>
      </c>
      <c r="V100" s="92">
        <f>VLOOKUP($B100,'DCS Data'!$E$2:$AJ$100,MATCH('Daily Report'!V$1,'DCS Data'!$E$2:$AJ$2,0),0)</f>
        <v>66.67751013257211</v>
      </c>
      <c r="W100" s="92">
        <f>VLOOKUP($B100,'DCS Data'!$E$2:$AJ$100,MATCH('Daily Report'!W$1,'DCS Data'!$E$2:$AJ$2,0),0)</f>
        <v>65.658132508533697</v>
      </c>
      <c r="X100" s="92">
        <f>VLOOKUP($B100,'DCS Data'!$E$2:$AJ$100,MATCH('Daily Report'!X$1,'DCS Data'!$E$2:$AJ$2,0),0)</f>
        <v>64.008958131573351</v>
      </c>
      <c r="Y100" s="92">
        <f>VLOOKUP($B100,'DCS Data'!$E$2:$AJ$100,MATCH('Daily Report'!Y$1,'DCS Data'!$E$2:$AJ$2,0),0)</f>
        <v>63.437993764313511</v>
      </c>
      <c r="Z100" s="92">
        <f>VLOOKUP($B100,'DCS Data'!$E$2:$AJ$100,MATCH('Daily Report'!Z$1,'DCS Data'!$E$2:$AJ$2,0),0)</f>
        <v>65.969798661411986</v>
      </c>
      <c r="AA100" s="92">
        <f>VLOOKUP($B100,'DCS Data'!$E$2:$AJ$100,MATCH('Daily Report'!AA$1,'DCS Data'!$E$2:$AJ$2,0),0)</f>
        <v>67.930464253349129</v>
      </c>
      <c r="AB100" s="92">
        <f>VLOOKUP($B100,'DCS Data'!$E$2:$AJ$100,MATCH('Daily Report'!AB$1,'DCS Data'!$E$2:$AJ$2,0),0)</f>
        <v>64.198659587459417</v>
      </c>
      <c r="AC100" s="92">
        <f>VLOOKUP($B100,'DCS Data'!$E$2:$AJ$100,MATCH('Daily Report'!AC$1,'DCS Data'!$E$2:$AJ$2,0),0)</f>
        <v>68.296173134541306</v>
      </c>
      <c r="AD100" s="92">
        <f>VLOOKUP($B100,'DCS Data'!$E$2:$AJ$100,MATCH('Daily Report'!AD$1,'DCS Data'!$E$2:$AJ$2,0),0)</f>
        <v>66.739765325110284</v>
      </c>
      <c r="AE100" s="92">
        <f>VLOOKUP($B100,'DCS Data'!$E$2:$AJ$100,MATCH('Daily Report'!AE$1,'DCS Data'!$E$2:$AJ$2,0),0)</f>
        <v>67.012865866984896</v>
      </c>
      <c r="AF100" s="92">
        <f>VLOOKUP($B100,'DCS Data'!$E$2:$AJ$100,MATCH('Daily Report'!AF$1,'DCS Data'!$E$2:$AJ$2,0),0)</f>
        <v>67.695306100029853</v>
      </c>
      <c r="AG100" s="92">
        <f>VLOOKUP($B100,'DCS Data'!$E$2:$AJ$100,MATCH('Daily Report'!AG$1,'DCS Data'!$E$2:$AJ$2,0),0)</f>
        <v>67.479939049617997</v>
      </c>
      <c r="AH100" s="92">
        <f>VLOOKUP($B100,'DCS Data'!$E$2:$AJ$100,MATCH('Daily Report'!AH$1,'DCS Data'!$E$2:$AJ$2,0),0)</f>
        <v>68.602745621164189</v>
      </c>
      <c r="AI100" s="92">
        <f>VLOOKUP($B100,'DCS Data'!$E$2:$AJ$100,MATCH('Daily Report'!AI$1,'DCS Data'!$E$2:$AJ$2,0),0)</f>
        <v>68.104212215481041</v>
      </c>
      <c r="AJ100" s="92">
        <f>VLOOKUP($B100,'DCS Data'!$E$2:$AJ$100,MATCH('Daily Report'!AJ$1,'DCS Data'!$E$2:$AJ$2,0),0)</f>
        <v>68.736496580385847</v>
      </c>
      <c r="AK100" s="92">
        <f>VLOOKUP($B100,'DCS Data'!$E$2:$AJ$100,MATCH('Daily Report'!AK$1,'DCS Data'!$E$2:$AJ$2,0),0)</f>
        <v>68.272403642342994</v>
      </c>
      <c r="AL100" s="92">
        <f>VLOOKUP($B100,'DCS Data'!$E$2:$AJ$100,MATCH('Daily Report'!AL$1,'DCS Data'!$E$2:$AJ$2,0),0)</f>
        <v>69.136759121385083</v>
      </c>
      <c r="AM100" s="92">
        <f>VLOOKUP($B100,'DCS Data'!$E$2:$AJ$100,MATCH('Daily Report'!AM$1,'DCS Data'!$E$2:$AJ$2,0),0)</f>
        <v>69.229354722545409</v>
      </c>
      <c r="AN100" s="92">
        <f>VLOOKUP($B100,'DCS Data'!$E$2:$AJ$100,MATCH('Daily Report'!AN$1,'DCS Data'!$E$2:$AJ$2,0),0)</f>
        <v>69.277880759357274</v>
      </c>
    </row>
    <row r="101" spans="1:40">
      <c r="A101" s="252" t="s">
        <v>132</v>
      </c>
      <c r="B101" s="180" t="s">
        <v>401</v>
      </c>
      <c r="C101" s="416" t="s">
        <v>524</v>
      </c>
      <c r="D101" s="435" t="s">
        <v>524</v>
      </c>
      <c r="E101" s="59" t="s">
        <v>9</v>
      </c>
      <c r="F101" s="132">
        <v>22.5</v>
      </c>
      <c r="G101" s="60" t="s">
        <v>751</v>
      </c>
      <c r="H101" s="473">
        <f t="shared" si="23"/>
        <v>154.49349990153161</v>
      </c>
      <c r="I101" s="92">
        <f>VLOOKUP($B101,'DCS Data'!$E$2:$AJ$100,MATCH('Daily Report'!I$1,'DCS Data'!$E$2:$AJ$2,0),0)</f>
        <v>4.7598831384685747</v>
      </c>
      <c r="K101" s="92">
        <f>VLOOKUP($B101,'DCS Data'!$E$2:$AJ$100,MATCH('Daily Report'!K$1,'DCS Data'!$E$2:$AJ$2,0),0)</f>
        <v>4.7120430253014378</v>
      </c>
      <c r="L101" s="92">
        <f>VLOOKUP($B101,'DCS Data'!$E$2:$AJ$100,MATCH('Daily Report'!L$1,'DCS Data'!$E$2:$AJ$2,0),0)</f>
        <v>4.7259447990255117</v>
      </c>
      <c r="M101" s="92">
        <f>VLOOKUP($B101,'DCS Data'!$E$2:$AJ$100,MATCH('Daily Report'!M$1,'DCS Data'!$E$2:$AJ$2,0),0)</f>
        <v>4.7466986326344474</v>
      </c>
      <c r="N101" s="92">
        <f>VLOOKUP($B101,'DCS Data'!$E$2:$AJ$100,MATCH('Daily Report'!N$1,'DCS Data'!$E$2:$AJ$2,0),0)</f>
        <v>4.752398882970434</v>
      </c>
      <c r="O101" s="92">
        <f>VLOOKUP($B101,'DCS Data'!$E$2:$AJ$100,MATCH('Daily Report'!O$1,'DCS Data'!$E$2:$AJ$2,0),0)</f>
        <v>4.7581413911165082</v>
      </c>
      <c r="P101" s="92">
        <f>VLOOKUP($B101,'DCS Data'!$E$2:$AJ$100,MATCH('Daily Report'!P$1,'DCS Data'!$E$2:$AJ$2,0),0)</f>
        <v>4.7565780970163933</v>
      </c>
      <c r="Q101" s="92">
        <f>VLOOKUP($B101,'DCS Data'!$E$2:$AJ$100,MATCH('Daily Report'!Q$1,'DCS Data'!$E$2:$AJ$2,0),0)</f>
        <v>4.7608676964476677</v>
      </c>
      <c r="R101" s="92">
        <f>VLOOKUP($B101,'DCS Data'!$E$2:$AJ$100,MATCH('Daily Report'!R$1,'DCS Data'!$E$2:$AJ$2,0),0)</f>
        <v>4.781246017621247</v>
      </c>
      <c r="S101" s="92">
        <f>VLOOKUP($B101,'DCS Data'!$E$2:$AJ$100,MATCH('Daily Report'!S$1,'DCS Data'!$E$2:$AJ$2,0),0)</f>
        <v>4.7843023717207531</v>
      </c>
      <c r="T101" s="92">
        <f>VLOOKUP($B101,'DCS Data'!$E$2:$AJ$100,MATCH('Daily Report'!T$1,'DCS Data'!$E$2:$AJ$2,0),0)</f>
        <v>4.7980110349147269</v>
      </c>
      <c r="U101" s="92">
        <f>VLOOKUP($B101,'DCS Data'!$E$2:$AJ$100,MATCH('Daily Report'!U$1,'DCS Data'!$E$2:$AJ$2,0),0)</f>
        <v>4.7949166009113888</v>
      </c>
      <c r="V101" s="92">
        <f>VLOOKUP($B101,'DCS Data'!$E$2:$AJ$100,MATCH('Daily Report'!V$1,'DCS Data'!$E$2:$AJ$2,0),0)</f>
        <v>4.7906290428729372</v>
      </c>
      <c r="W101" s="92">
        <f>VLOOKUP($B101,'DCS Data'!$E$2:$AJ$100,MATCH('Daily Report'!W$1,'DCS Data'!$E$2:$AJ$2,0),0)</f>
        <v>4.7638157262541689</v>
      </c>
      <c r="X101" s="92">
        <f>VLOOKUP($B101,'DCS Data'!$E$2:$AJ$100,MATCH('Daily Report'!X$1,'DCS Data'!$E$2:$AJ$2,0),0)</f>
        <v>4.7631617886326634</v>
      </c>
      <c r="Y101" s="92">
        <f>VLOOKUP($B101,'DCS Data'!$E$2:$AJ$100,MATCH('Daily Report'!Y$1,'DCS Data'!$E$2:$AJ$2,0),0)</f>
        <v>5.6040311087185124</v>
      </c>
      <c r="Z101" s="92">
        <f>VLOOKUP($B101,'DCS Data'!$E$2:$AJ$100,MATCH('Daily Report'!Z$1,'DCS Data'!$E$2:$AJ$2,0),0)</f>
        <v>6.7571506820102787</v>
      </c>
      <c r="AA101" s="92">
        <f>VLOOKUP($B101,'DCS Data'!$E$2:$AJ$100,MATCH('Daily Report'!AA$1,'DCS Data'!$E$2:$AJ$2,0),0)</f>
        <v>6.7003962057524431</v>
      </c>
      <c r="AB101" s="92">
        <f>VLOOKUP($B101,'DCS Data'!$E$2:$AJ$100,MATCH('Daily Report'!AB$1,'DCS Data'!$E$2:$AJ$2,0),0)</f>
        <v>5.2984779394608577</v>
      </c>
      <c r="AC101" s="92">
        <f>VLOOKUP($B101,'DCS Data'!$E$2:$AJ$100,MATCH('Daily Report'!AC$1,'DCS Data'!$E$2:$AJ$2,0),0)</f>
        <v>4.8957967453488411</v>
      </c>
      <c r="AD101" s="92">
        <f>VLOOKUP($B101,'DCS Data'!$E$2:$AJ$100,MATCH('Daily Report'!AD$1,'DCS Data'!$E$2:$AJ$2,0),0)</f>
        <v>4.8562441514443604</v>
      </c>
      <c r="AE101" s="92">
        <f>VLOOKUP($B101,'DCS Data'!$E$2:$AJ$100,MATCH('Daily Report'!AE$1,'DCS Data'!$E$2:$AJ$2,0),0)</f>
        <v>4.8661216424749663</v>
      </c>
      <c r="AF101" s="92">
        <f>VLOOKUP($B101,'DCS Data'!$E$2:$AJ$100,MATCH('Daily Report'!AF$1,'DCS Data'!$E$2:$AJ$2,0),0)</f>
        <v>4.8780582769416565</v>
      </c>
      <c r="AG101" s="92">
        <f>VLOOKUP($B101,'DCS Data'!$E$2:$AJ$100,MATCH('Daily Report'!AG$1,'DCS Data'!$E$2:$AJ$2,0),0)</f>
        <v>4.8781987628970587</v>
      </c>
      <c r="AH101" s="92">
        <f>VLOOKUP($B101,'DCS Data'!$E$2:$AJ$100,MATCH('Daily Report'!AH$1,'DCS Data'!$E$2:$AJ$2,0),0)</f>
        <v>4.8932441330636269</v>
      </c>
      <c r="AI101" s="92">
        <f>VLOOKUP($B101,'DCS Data'!$E$2:$AJ$100,MATCH('Daily Report'!AI$1,'DCS Data'!$E$2:$AJ$2,0),0)</f>
        <v>4.8900656109899137</v>
      </c>
      <c r="AJ101" s="92">
        <f>VLOOKUP($B101,'DCS Data'!$E$2:$AJ$100,MATCH('Daily Report'!AJ$1,'DCS Data'!$E$2:$AJ$2,0),0)</f>
        <v>4.8798495351309521</v>
      </c>
      <c r="AK101" s="92">
        <f>VLOOKUP($B101,'DCS Data'!$E$2:$AJ$100,MATCH('Daily Report'!AK$1,'DCS Data'!$E$2:$AJ$2,0),0)</f>
        <v>4.8903257050463838</v>
      </c>
      <c r="AL101" s="92">
        <f>VLOOKUP($B101,'DCS Data'!$E$2:$AJ$100,MATCH('Daily Report'!AL$1,'DCS Data'!$E$2:$AJ$2,0),0)</f>
        <v>4.9082425445420386</v>
      </c>
      <c r="AM101" s="92">
        <f>VLOOKUP($B101,'DCS Data'!$E$2:$AJ$100,MATCH('Daily Report'!AM$1,'DCS Data'!$E$2:$AJ$2,0),0)</f>
        <v>4.9221852955208103</v>
      </c>
      <c r="AN101" s="92">
        <f>VLOOKUP($B101,'DCS Data'!$E$2:$AJ$100,MATCH('Daily Report'!AN$1,'DCS Data'!$E$2:$AJ$2,0),0)</f>
        <v>4.9264733162800205</v>
      </c>
    </row>
    <row r="102" spans="1:40">
      <c r="A102" s="252" t="s">
        <v>411</v>
      </c>
      <c r="B102" s="180" t="s">
        <v>409</v>
      </c>
      <c r="C102" s="180" t="s">
        <v>409</v>
      </c>
      <c r="D102" s="420" t="s">
        <v>567</v>
      </c>
      <c r="E102" s="59" t="s">
        <v>5</v>
      </c>
      <c r="F102" s="132"/>
      <c r="G102" s="60" t="s">
        <v>752</v>
      </c>
      <c r="H102" s="473">
        <f>AVERAGE(I102:AN102)</f>
        <v>0.75635767763252293</v>
      </c>
      <c r="I102" s="92">
        <f>VLOOKUP($B102,'DCS Data'!$E$2:$AJ$100,MATCH('Daily Report'!I$1,'DCS Data'!$E$2:$AJ$2,0),0)</f>
        <v>0</v>
      </c>
      <c r="K102" s="92">
        <f>VLOOKUP($B102,'DCS Data'!$E$2:$AJ$100,MATCH('Daily Report'!K$1,'DCS Data'!$E$2:$AJ$2,0),0)</f>
        <v>0</v>
      </c>
      <c r="L102" s="92">
        <f>VLOOKUP($B102,'DCS Data'!$E$2:$AJ$100,MATCH('Daily Report'!L$1,'DCS Data'!$E$2:$AJ$2,0),0)</f>
        <v>0</v>
      </c>
      <c r="M102" s="92">
        <f>VLOOKUP($B102,'DCS Data'!$E$2:$AJ$100,MATCH('Daily Report'!M$1,'DCS Data'!$E$2:$AJ$2,0),0)</f>
        <v>0</v>
      </c>
      <c r="N102" s="92">
        <f>VLOOKUP($B102,'DCS Data'!$E$2:$AJ$100,MATCH('Daily Report'!N$1,'DCS Data'!$E$2:$AJ$2,0),0)</f>
        <v>0</v>
      </c>
      <c r="O102" s="92">
        <f>VLOOKUP($B102,'DCS Data'!$E$2:$AJ$100,MATCH('Daily Report'!O$1,'DCS Data'!$E$2:$AJ$2,0),0)</f>
        <v>0</v>
      </c>
      <c r="P102" s="92">
        <f>VLOOKUP($B102,'DCS Data'!$E$2:$AJ$100,MATCH('Daily Report'!P$1,'DCS Data'!$E$2:$AJ$2,0),0)</f>
        <v>0</v>
      </c>
      <c r="Q102" s="92">
        <f>VLOOKUP($B102,'DCS Data'!$E$2:$AJ$100,MATCH('Daily Report'!Q$1,'DCS Data'!$E$2:$AJ$2,0),0)</f>
        <v>0</v>
      </c>
      <c r="R102" s="92">
        <f>VLOOKUP($B102,'DCS Data'!$E$2:$AJ$100,MATCH('Daily Report'!R$1,'DCS Data'!$E$2:$AJ$2,0),0)</f>
        <v>0</v>
      </c>
      <c r="S102" s="92">
        <f>VLOOKUP($B102,'DCS Data'!$E$2:$AJ$100,MATCH('Daily Report'!S$1,'DCS Data'!$E$2:$AJ$2,0),0)</f>
        <v>0</v>
      </c>
      <c r="T102" s="92">
        <f>VLOOKUP($B102,'DCS Data'!$E$2:$AJ$100,MATCH('Daily Report'!T$1,'DCS Data'!$E$2:$AJ$2,0),0)</f>
        <v>0</v>
      </c>
      <c r="U102" s="92">
        <f>VLOOKUP($B102,'DCS Data'!$E$2:$AJ$100,MATCH('Daily Report'!U$1,'DCS Data'!$E$2:$AJ$2,0),0)</f>
        <v>0</v>
      </c>
      <c r="V102" s="92">
        <f>VLOOKUP($B102,'DCS Data'!$E$2:$AJ$100,MATCH('Daily Report'!V$1,'DCS Data'!$E$2:$AJ$2,0),0)</f>
        <v>0</v>
      </c>
      <c r="W102" s="92">
        <f>VLOOKUP($B102,'DCS Data'!$E$2:$AJ$100,MATCH('Daily Report'!W$1,'DCS Data'!$E$2:$AJ$2,0),0)</f>
        <v>0</v>
      </c>
      <c r="X102" s="92">
        <f>VLOOKUP($B102,'DCS Data'!$E$2:$AJ$100,MATCH('Daily Report'!X$1,'DCS Data'!$E$2:$AJ$2,0),0)</f>
        <v>0</v>
      </c>
      <c r="Y102" s="92">
        <f>VLOOKUP($B102,'DCS Data'!$E$2:$AJ$100,MATCH('Daily Report'!Y$1,'DCS Data'!$E$2:$AJ$2,0),0)</f>
        <v>0</v>
      </c>
      <c r="Z102" s="92">
        <f>VLOOKUP($B102,'DCS Data'!$E$2:$AJ$100,MATCH('Daily Report'!Z$1,'DCS Data'!$E$2:$AJ$2,0),0)</f>
        <v>11.701256396926755</v>
      </c>
      <c r="AA102" s="92">
        <f>VLOOKUP($B102,'DCS Data'!$E$2:$AJ$100,MATCH('Daily Report'!AA$1,'DCS Data'!$E$2:$AJ$2,0),0)</f>
        <v>11.745831609681456</v>
      </c>
      <c r="AB102" s="92">
        <f>VLOOKUP($B102,'DCS Data'!$E$2:$AJ$100,MATCH('Daily Report'!AB$1,'DCS Data'!$E$2:$AJ$2,0),0)</f>
        <v>0</v>
      </c>
      <c r="AC102" s="92">
        <f>VLOOKUP($B102,'DCS Data'!$E$2:$AJ$100,MATCH('Daily Report'!AC$1,'DCS Data'!$E$2:$AJ$2,0),0)</f>
        <v>0</v>
      </c>
      <c r="AD102" s="92">
        <f>VLOOKUP($B102,'DCS Data'!$E$2:$AJ$100,MATCH('Daily Report'!AD$1,'DCS Data'!$E$2:$AJ$2,0),0)</f>
        <v>0</v>
      </c>
      <c r="AE102" s="92">
        <f>VLOOKUP($B102,'DCS Data'!$E$2:$AJ$100,MATCH('Daily Report'!AE$1,'DCS Data'!$E$2:$AJ$2,0),0)</f>
        <v>0</v>
      </c>
      <c r="AF102" s="92">
        <f>VLOOKUP($B102,'DCS Data'!$E$2:$AJ$100,MATCH('Daily Report'!AF$1,'DCS Data'!$E$2:$AJ$2,0),0)</f>
        <v>0</v>
      </c>
      <c r="AG102" s="92">
        <f>VLOOKUP($B102,'DCS Data'!$E$2:$AJ$100,MATCH('Daily Report'!AG$1,'DCS Data'!$E$2:$AJ$2,0),0)</f>
        <v>0</v>
      </c>
      <c r="AH102" s="92">
        <f>VLOOKUP($B102,'DCS Data'!$E$2:$AJ$100,MATCH('Daily Report'!AH$1,'DCS Data'!$E$2:$AJ$2,0),0)</f>
        <v>0</v>
      </c>
      <c r="AI102" s="92">
        <f>VLOOKUP($B102,'DCS Data'!$E$2:$AJ$100,MATCH('Daily Report'!AI$1,'DCS Data'!$E$2:$AJ$2,0),0)</f>
        <v>0</v>
      </c>
      <c r="AJ102" s="92">
        <f>VLOOKUP($B102,'DCS Data'!$E$2:$AJ$100,MATCH('Daily Report'!AJ$1,'DCS Data'!$E$2:$AJ$2,0),0)</f>
        <v>0</v>
      </c>
      <c r="AK102" s="92">
        <f>VLOOKUP($B102,'DCS Data'!$E$2:$AJ$100,MATCH('Daily Report'!AK$1,'DCS Data'!$E$2:$AJ$2,0),0)</f>
        <v>0</v>
      </c>
      <c r="AL102" s="92">
        <f>VLOOKUP($B102,'DCS Data'!$E$2:$AJ$100,MATCH('Daily Report'!AL$1,'DCS Data'!$E$2:$AJ$2,0),0)</f>
        <v>0</v>
      </c>
      <c r="AM102" s="92">
        <f>VLOOKUP($B102,'DCS Data'!$E$2:$AJ$100,MATCH('Daily Report'!AM$1,'DCS Data'!$E$2:$AJ$2,0),0)</f>
        <v>0</v>
      </c>
      <c r="AN102" s="92">
        <f>VLOOKUP($B102,'DCS Data'!$E$2:$AJ$100,MATCH('Daily Report'!AN$1,'DCS Data'!$E$2:$AJ$2,0),0)</f>
        <v>0</v>
      </c>
    </row>
    <row r="103" spans="1:40">
      <c r="A103" s="252" t="s">
        <v>414</v>
      </c>
      <c r="B103" s="195"/>
      <c r="C103" s="195"/>
      <c r="D103" s="431" t="s">
        <v>608</v>
      </c>
      <c r="E103" s="59"/>
      <c r="F103" s="132"/>
      <c r="G103" s="60" t="s">
        <v>753</v>
      </c>
      <c r="H103" s="473">
        <f>SUM(I103:AN103)</f>
        <v>0</v>
      </c>
      <c r="I103" s="96"/>
      <c r="J103" s="439"/>
      <c r="K103" s="96"/>
      <c r="L103" s="96"/>
      <c r="M103" s="96"/>
      <c r="N103" s="96"/>
      <c r="O103" s="96"/>
      <c r="P103" s="96"/>
      <c r="Q103" s="96"/>
      <c r="R103" s="96"/>
      <c r="S103" s="96"/>
      <c r="T103" s="96"/>
      <c r="U103" s="96"/>
      <c r="V103" s="96"/>
      <c r="W103" s="96"/>
      <c r="X103" s="96"/>
      <c r="Y103" s="96"/>
      <c r="Z103" s="96"/>
      <c r="AA103" s="96"/>
      <c r="AB103" s="96"/>
      <c r="AC103" s="96"/>
      <c r="AD103" s="96"/>
      <c r="AE103" s="96"/>
      <c r="AF103" s="96"/>
      <c r="AG103" s="96"/>
      <c r="AH103" s="96"/>
      <c r="AI103" s="96"/>
      <c r="AJ103" s="96"/>
      <c r="AK103" s="96"/>
      <c r="AL103" s="96"/>
      <c r="AM103" s="96"/>
      <c r="AN103" s="96"/>
    </row>
    <row r="104" spans="1:40">
      <c r="A104" s="252" t="s">
        <v>410</v>
      </c>
      <c r="B104" s="180" t="s">
        <v>412</v>
      </c>
      <c r="C104" s="180" t="s">
        <v>412</v>
      </c>
      <c r="D104" s="420" t="s">
        <v>568</v>
      </c>
      <c r="E104" s="59" t="s">
        <v>5</v>
      </c>
      <c r="F104" s="132"/>
      <c r="G104" s="60" t="s">
        <v>754</v>
      </c>
      <c r="H104" s="473">
        <f>AVERAGE(I104:AN104)</f>
        <v>0</v>
      </c>
      <c r="I104" s="92">
        <f>VLOOKUP($B104,'DCS Data'!$E$2:$AJ$100,MATCH('Daily Report'!I$1,'DCS Data'!$E$2:$AJ$2,0),0)</f>
        <v>0</v>
      </c>
      <c r="K104" s="92">
        <f>VLOOKUP($B104,'DCS Data'!$E$2:$AJ$100,MATCH('Daily Report'!K$1,'DCS Data'!$E$2:$AJ$2,0),0)</f>
        <v>0</v>
      </c>
      <c r="L104" s="92">
        <f>VLOOKUP($B104,'DCS Data'!$E$2:$AJ$100,MATCH('Daily Report'!L$1,'DCS Data'!$E$2:$AJ$2,0),0)</f>
        <v>0</v>
      </c>
      <c r="M104" s="92">
        <f>VLOOKUP($B104,'DCS Data'!$E$2:$AJ$100,MATCH('Daily Report'!M$1,'DCS Data'!$E$2:$AJ$2,0),0)</f>
        <v>0</v>
      </c>
      <c r="N104" s="92">
        <f>VLOOKUP($B104,'DCS Data'!$E$2:$AJ$100,MATCH('Daily Report'!N$1,'DCS Data'!$E$2:$AJ$2,0),0)</f>
        <v>0</v>
      </c>
      <c r="O104" s="92">
        <f>VLOOKUP($B104,'DCS Data'!$E$2:$AJ$100,MATCH('Daily Report'!O$1,'DCS Data'!$E$2:$AJ$2,0),0)</f>
        <v>0</v>
      </c>
      <c r="P104" s="92">
        <f>VLOOKUP($B104,'DCS Data'!$E$2:$AJ$100,MATCH('Daily Report'!P$1,'DCS Data'!$E$2:$AJ$2,0),0)</f>
        <v>0</v>
      </c>
      <c r="Q104" s="92">
        <f>VLOOKUP($B104,'DCS Data'!$E$2:$AJ$100,MATCH('Daily Report'!Q$1,'DCS Data'!$E$2:$AJ$2,0),0)</f>
        <v>0</v>
      </c>
      <c r="R104" s="92">
        <f>VLOOKUP($B104,'DCS Data'!$E$2:$AJ$100,MATCH('Daily Report'!R$1,'DCS Data'!$E$2:$AJ$2,0),0)</f>
        <v>0</v>
      </c>
      <c r="S104" s="92">
        <f>VLOOKUP($B104,'DCS Data'!$E$2:$AJ$100,MATCH('Daily Report'!S$1,'DCS Data'!$E$2:$AJ$2,0),0)</f>
        <v>0</v>
      </c>
      <c r="T104" s="92">
        <f>VLOOKUP($B104,'DCS Data'!$E$2:$AJ$100,MATCH('Daily Report'!T$1,'DCS Data'!$E$2:$AJ$2,0),0)</f>
        <v>0</v>
      </c>
      <c r="U104" s="92">
        <f>VLOOKUP($B104,'DCS Data'!$E$2:$AJ$100,MATCH('Daily Report'!U$1,'DCS Data'!$E$2:$AJ$2,0),0)</f>
        <v>0</v>
      </c>
      <c r="V104" s="92">
        <f>VLOOKUP($B104,'DCS Data'!$E$2:$AJ$100,MATCH('Daily Report'!V$1,'DCS Data'!$E$2:$AJ$2,0),0)</f>
        <v>0</v>
      </c>
      <c r="W104" s="92">
        <f>VLOOKUP($B104,'DCS Data'!$E$2:$AJ$100,MATCH('Daily Report'!W$1,'DCS Data'!$E$2:$AJ$2,0),0)</f>
        <v>0</v>
      </c>
      <c r="X104" s="92">
        <f>VLOOKUP($B104,'DCS Data'!$E$2:$AJ$100,MATCH('Daily Report'!X$1,'DCS Data'!$E$2:$AJ$2,0),0)</f>
        <v>0</v>
      </c>
      <c r="Y104" s="92">
        <f>VLOOKUP($B104,'DCS Data'!$E$2:$AJ$100,MATCH('Daily Report'!Y$1,'DCS Data'!$E$2:$AJ$2,0),0)</f>
        <v>0</v>
      </c>
      <c r="Z104" s="92">
        <f>VLOOKUP($B104,'DCS Data'!$E$2:$AJ$100,MATCH('Daily Report'!Z$1,'DCS Data'!$E$2:$AJ$2,0),0)</f>
        <v>0</v>
      </c>
      <c r="AA104" s="92">
        <f>VLOOKUP($B104,'DCS Data'!$E$2:$AJ$100,MATCH('Daily Report'!AA$1,'DCS Data'!$E$2:$AJ$2,0),0)</f>
        <v>0</v>
      </c>
      <c r="AB104" s="92">
        <f>VLOOKUP($B104,'DCS Data'!$E$2:$AJ$100,MATCH('Daily Report'!AB$1,'DCS Data'!$E$2:$AJ$2,0),0)</f>
        <v>0</v>
      </c>
      <c r="AC104" s="92">
        <f>VLOOKUP($B104,'DCS Data'!$E$2:$AJ$100,MATCH('Daily Report'!AC$1,'DCS Data'!$E$2:$AJ$2,0),0)</f>
        <v>0</v>
      </c>
      <c r="AD104" s="92">
        <f>VLOOKUP($B104,'DCS Data'!$E$2:$AJ$100,MATCH('Daily Report'!AD$1,'DCS Data'!$E$2:$AJ$2,0),0)</f>
        <v>0</v>
      </c>
      <c r="AE104" s="92">
        <f>VLOOKUP($B104,'DCS Data'!$E$2:$AJ$100,MATCH('Daily Report'!AE$1,'DCS Data'!$E$2:$AJ$2,0),0)</f>
        <v>0</v>
      </c>
      <c r="AF104" s="92">
        <f>VLOOKUP($B104,'DCS Data'!$E$2:$AJ$100,MATCH('Daily Report'!AF$1,'DCS Data'!$E$2:$AJ$2,0),0)</f>
        <v>0</v>
      </c>
      <c r="AG104" s="92">
        <f>VLOOKUP($B104,'DCS Data'!$E$2:$AJ$100,MATCH('Daily Report'!AG$1,'DCS Data'!$E$2:$AJ$2,0),0)</f>
        <v>0</v>
      </c>
      <c r="AH104" s="92">
        <f>VLOOKUP($B104,'DCS Data'!$E$2:$AJ$100,MATCH('Daily Report'!AH$1,'DCS Data'!$E$2:$AJ$2,0),0)</f>
        <v>0</v>
      </c>
      <c r="AI104" s="92">
        <f>VLOOKUP($B104,'DCS Data'!$E$2:$AJ$100,MATCH('Daily Report'!AI$1,'DCS Data'!$E$2:$AJ$2,0),0)</f>
        <v>0</v>
      </c>
      <c r="AJ104" s="92">
        <f>VLOOKUP($B104,'DCS Data'!$E$2:$AJ$100,MATCH('Daily Report'!AJ$1,'DCS Data'!$E$2:$AJ$2,0),0)</f>
        <v>0</v>
      </c>
      <c r="AK104" s="92">
        <f>VLOOKUP($B104,'DCS Data'!$E$2:$AJ$100,MATCH('Daily Report'!AK$1,'DCS Data'!$E$2:$AJ$2,0),0)</f>
        <v>0</v>
      </c>
      <c r="AL104" s="92">
        <f>VLOOKUP($B104,'DCS Data'!$E$2:$AJ$100,MATCH('Daily Report'!AL$1,'DCS Data'!$E$2:$AJ$2,0),0)</f>
        <v>0</v>
      </c>
      <c r="AM104" s="92">
        <f>VLOOKUP($B104,'DCS Data'!$E$2:$AJ$100,MATCH('Daily Report'!AM$1,'DCS Data'!$E$2:$AJ$2,0),0)</f>
        <v>0</v>
      </c>
      <c r="AN104" s="92">
        <f>VLOOKUP($B104,'DCS Data'!$E$2:$AJ$100,MATCH('Daily Report'!AN$1,'DCS Data'!$E$2:$AJ$2,0),0)</f>
        <v>0</v>
      </c>
    </row>
    <row r="105" spans="1:40">
      <c r="A105" s="252" t="s">
        <v>413</v>
      </c>
      <c r="B105" s="195"/>
      <c r="C105" s="195"/>
      <c r="D105" s="431" t="s">
        <v>609</v>
      </c>
      <c r="E105" s="59"/>
      <c r="F105" s="132"/>
      <c r="G105" s="60" t="s">
        <v>755</v>
      </c>
      <c r="H105" s="473">
        <f t="shared" ref="H105:H128" si="25">SUM(I105:AN105)</f>
        <v>0</v>
      </c>
      <c r="I105" s="96"/>
      <c r="J105" s="439"/>
      <c r="K105" s="96"/>
      <c r="L105" s="96"/>
      <c r="M105" s="96"/>
      <c r="N105" s="96"/>
      <c r="O105" s="96"/>
      <c r="P105" s="96"/>
      <c r="Q105" s="96"/>
      <c r="R105" s="96"/>
      <c r="S105" s="96"/>
      <c r="T105" s="96"/>
      <c r="U105" s="96"/>
      <c r="V105" s="96"/>
      <c r="W105" s="96"/>
      <c r="X105" s="96"/>
      <c r="Y105" s="96"/>
      <c r="Z105" s="96"/>
      <c r="AA105" s="96"/>
      <c r="AB105" s="96"/>
      <c r="AC105" s="96"/>
      <c r="AD105" s="96"/>
      <c r="AE105" s="96"/>
      <c r="AF105" s="96"/>
      <c r="AG105" s="96"/>
      <c r="AH105" s="96"/>
      <c r="AI105" s="96"/>
      <c r="AJ105" s="96"/>
      <c r="AK105" s="96"/>
      <c r="AL105" s="96"/>
      <c r="AM105" s="96"/>
      <c r="AN105" s="96"/>
    </row>
    <row r="106" spans="1:40">
      <c r="A106" s="252" t="s">
        <v>133</v>
      </c>
      <c r="B106" s="255"/>
      <c r="C106" s="255"/>
      <c r="D106" s="423" t="s">
        <v>607</v>
      </c>
      <c r="E106" s="59" t="s">
        <v>9</v>
      </c>
      <c r="F106" s="132">
        <f>F98+F99+F100+F101</f>
        <v>4590.1000000000004</v>
      </c>
      <c r="G106" s="60" t="s">
        <v>756</v>
      </c>
      <c r="H106" s="473">
        <f t="shared" si="25"/>
        <v>116601.73540900729</v>
      </c>
      <c r="I106" s="96">
        <f>SUM(I98:I101,I103,I105)</f>
        <v>3503.8816300570029</v>
      </c>
      <c r="J106" s="437"/>
      <c r="K106" s="96">
        <f t="shared" ref="K106:AN106" si="26">SUM(K98:K101,K103,K105)</f>
        <v>3802.5188527533251</v>
      </c>
      <c r="L106" s="96">
        <f t="shared" si="26"/>
        <v>3821.6966511143705</v>
      </c>
      <c r="M106" s="96">
        <f t="shared" si="26"/>
        <v>3810.1579434923738</v>
      </c>
      <c r="N106" s="96">
        <f t="shared" si="26"/>
        <v>3814.6642534867597</v>
      </c>
      <c r="O106" s="96">
        <f t="shared" si="26"/>
        <v>3868.4520895795085</v>
      </c>
      <c r="P106" s="96">
        <f t="shared" si="26"/>
        <v>3861.7357396720531</v>
      </c>
      <c r="Q106" s="96">
        <f t="shared" si="26"/>
        <v>3842.6458917880432</v>
      </c>
      <c r="R106" s="96">
        <f t="shared" si="26"/>
        <v>3791.6979269013473</v>
      </c>
      <c r="S106" s="96">
        <f t="shared" si="26"/>
        <v>3779.1150038926903</v>
      </c>
      <c r="T106" s="96">
        <f t="shared" si="26"/>
        <v>3769.7057785294837</v>
      </c>
      <c r="U106" s="96">
        <f t="shared" si="26"/>
        <v>3771.1750045681256</v>
      </c>
      <c r="V106" s="96">
        <f t="shared" si="26"/>
        <v>3770.5782651283253</v>
      </c>
      <c r="W106" s="96">
        <f t="shared" si="26"/>
        <v>3799.3782833421346</v>
      </c>
      <c r="X106" s="96">
        <f t="shared" si="26"/>
        <v>3747.7418594701689</v>
      </c>
      <c r="Y106" s="96">
        <f t="shared" si="26"/>
        <v>3567.8177974770974</v>
      </c>
      <c r="Z106" s="96">
        <f t="shared" si="26"/>
        <v>3514.1305000252282</v>
      </c>
      <c r="AA106" s="96">
        <f t="shared" si="26"/>
        <v>3534.8579358899392</v>
      </c>
      <c r="AB106" s="96">
        <f t="shared" si="26"/>
        <v>3561.3362006161333</v>
      </c>
      <c r="AC106" s="96">
        <f t="shared" si="26"/>
        <v>3648.7926470827279</v>
      </c>
      <c r="AD106" s="96">
        <f t="shared" si="26"/>
        <v>3765.8879854103984</v>
      </c>
      <c r="AE106" s="96">
        <f t="shared" si="26"/>
        <v>3787.5751891525624</v>
      </c>
      <c r="AF106" s="96">
        <f t="shared" si="26"/>
        <v>3820.8940665927212</v>
      </c>
      <c r="AG106" s="96">
        <f t="shared" si="26"/>
        <v>3820.5730178871199</v>
      </c>
      <c r="AH106" s="96">
        <f t="shared" si="26"/>
        <v>3823.9619400142533</v>
      </c>
      <c r="AI106" s="96">
        <f t="shared" si="26"/>
        <v>3846.4174880329892</v>
      </c>
      <c r="AJ106" s="96">
        <f t="shared" si="26"/>
        <v>3840.9371168257721</v>
      </c>
      <c r="AK106" s="96">
        <f t="shared" si="26"/>
        <v>3834.5691217107824</v>
      </c>
      <c r="AL106" s="96">
        <f t="shared" si="26"/>
        <v>3833.233969784601</v>
      </c>
      <c r="AM106" s="96">
        <f t="shared" si="26"/>
        <v>3819.6689573165277</v>
      </c>
      <c r="AN106" s="96">
        <f t="shared" si="26"/>
        <v>3825.936301412723</v>
      </c>
    </row>
    <row r="107" spans="1:40">
      <c r="A107" s="252" t="s">
        <v>134</v>
      </c>
      <c r="B107" s="180" t="s">
        <v>402</v>
      </c>
      <c r="C107" s="416" t="s">
        <v>525</v>
      </c>
      <c r="D107" s="435" t="s">
        <v>525</v>
      </c>
      <c r="E107" s="59" t="s">
        <v>9</v>
      </c>
      <c r="F107" s="132">
        <v>2730</v>
      </c>
      <c r="G107" s="60" t="s">
        <v>757</v>
      </c>
      <c r="H107" s="473">
        <f t="shared" si="25"/>
        <v>78256.204012309929</v>
      </c>
      <c r="I107" s="92">
        <f>VLOOKUP($B107,'DCS Data'!$E$2:$AJ$100,MATCH('Daily Report'!I$1,'DCS Data'!$E$2:$AJ$2,0),0)</f>
        <v>2445.7614843171959</v>
      </c>
      <c r="K107" s="92">
        <f>VLOOKUP($B107,'DCS Data'!$E$2:$AJ$100,MATCH('Daily Report'!K$1,'DCS Data'!$E$2:$AJ$2,0),0)</f>
        <v>2592.9166809602698</v>
      </c>
      <c r="L107" s="92">
        <f>VLOOKUP($B107,'DCS Data'!$E$2:$AJ$100,MATCH('Daily Report'!L$1,'DCS Data'!$E$2:$AJ$2,0),0)</f>
        <v>2607.2226021826923</v>
      </c>
      <c r="M107" s="92">
        <f>VLOOKUP($B107,'DCS Data'!$E$2:$AJ$100,MATCH('Daily Report'!M$1,'DCS Data'!$E$2:$AJ$2,0),0)</f>
        <v>2604.6073823100819</v>
      </c>
      <c r="N107" s="92">
        <f>VLOOKUP($B107,'DCS Data'!$E$2:$AJ$100,MATCH('Daily Report'!N$1,'DCS Data'!$E$2:$AJ$2,0),0)</f>
        <v>2568.9385945872164</v>
      </c>
      <c r="O107" s="92">
        <f>VLOOKUP($B107,'DCS Data'!$E$2:$AJ$100,MATCH('Daily Report'!O$1,'DCS Data'!$E$2:$AJ$2,0),0)</f>
        <v>2566.8858527391908</v>
      </c>
      <c r="P107" s="92">
        <f>VLOOKUP($B107,'DCS Data'!$E$2:$AJ$100,MATCH('Daily Report'!P$1,'DCS Data'!$E$2:$AJ$2,0),0)</f>
        <v>2570.6017614429675</v>
      </c>
      <c r="Q107" s="92">
        <f>VLOOKUP($B107,'DCS Data'!$E$2:$AJ$100,MATCH('Daily Report'!Q$1,'DCS Data'!$E$2:$AJ$2,0),0)</f>
        <v>2580.0588171623863</v>
      </c>
      <c r="R107" s="92">
        <f>VLOOKUP($B107,'DCS Data'!$E$2:$AJ$100,MATCH('Daily Report'!R$1,'DCS Data'!$E$2:$AJ$2,0),0)</f>
        <v>2542.7898876934432</v>
      </c>
      <c r="S107" s="92">
        <f>VLOOKUP($B107,'DCS Data'!$E$2:$AJ$100,MATCH('Daily Report'!S$1,'DCS Data'!$E$2:$AJ$2,0),0)</f>
        <v>2541.2836636859047</v>
      </c>
      <c r="T107" s="92">
        <f>VLOOKUP($B107,'DCS Data'!$E$2:$AJ$100,MATCH('Daily Report'!T$1,'DCS Data'!$E$2:$AJ$2,0),0)</f>
        <v>2542.5555196662781</v>
      </c>
      <c r="U107" s="92">
        <f>VLOOKUP($B107,'DCS Data'!$E$2:$AJ$100,MATCH('Daily Report'!U$1,'DCS Data'!$E$2:$AJ$2,0),0)</f>
        <v>2541.1198568128934</v>
      </c>
      <c r="V107" s="92">
        <f>VLOOKUP($B107,'DCS Data'!$E$2:$AJ$100,MATCH('Daily Report'!V$1,'DCS Data'!$E$2:$AJ$2,0),0)</f>
        <v>2543.1509636687069</v>
      </c>
      <c r="W107" s="92">
        <f>VLOOKUP($B107,'DCS Data'!$E$2:$AJ$100,MATCH('Daily Report'!W$1,'DCS Data'!$E$2:$AJ$2,0),0)</f>
        <v>2560.1591794095179</v>
      </c>
      <c r="X107" s="92">
        <f>VLOOKUP($B107,'DCS Data'!$E$2:$AJ$100,MATCH('Daily Report'!X$1,'DCS Data'!$E$2:$AJ$2,0),0)</f>
        <v>2539.1840057557806</v>
      </c>
      <c r="Y107" s="92">
        <f>VLOOKUP($B107,'DCS Data'!$E$2:$AJ$100,MATCH('Daily Report'!Y$1,'DCS Data'!$E$2:$AJ$2,0),0)</f>
        <v>2379.9960017627036</v>
      </c>
      <c r="Z107" s="92">
        <f>VLOOKUP($B107,'DCS Data'!$E$2:$AJ$100,MATCH('Daily Report'!Z$1,'DCS Data'!$E$2:$AJ$2,0),0)</f>
        <v>2324.3467817550372</v>
      </c>
      <c r="AA107" s="92">
        <f>VLOOKUP($B107,'DCS Data'!$E$2:$AJ$100,MATCH('Daily Report'!AA$1,'DCS Data'!$E$2:$AJ$2,0),0)</f>
        <v>2309.2366427822321</v>
      </c>
      <c r="AB107" s="92">
        <f>VLOOKUP($B107,'DCS Data'!$E$2:$AJ$100,MATCH('Daily Report'!AB$1,'DCS Data'!$E$2:$AJ$2,0),0)</f>
        <v>2347.89889188297</v>
      </c>
      <c r="AC107" s="92">
        <f>VLOOKUP($B107,'DCS Data'!$E$2:$AJ$100,MATCH('Daily Report'!AC$1,'DCS Data'!$E$2:$AJ$2,0),0)</f>
        <v>2401.6364246006601</v>
      </c>
      <c r="AD107" s="92">
        <f>VLOOKUP($B107,'DCS Data'!$E$2:$AJ$100,MATCH('Daily Report'!AD$1,'DCS Data'!$E$2:$AJ$2,0),0)</f>
        <v>2491.4468132734819</v>
      </c>
      <c r="AE107" s="92">
        <f>VLOOKUP($B107,'DCS Data'!$E$2:$AJ$100,MATCH('Daily Report'!AE$1,'DCS Data'!$E$2:$AJ$2,0),0)</f>
        <v>2500.6148606016391</v>
      </c>
      <c r="AF107" s="92">
        <f>VLOOKUP($B107,'DCS Data'!$E$2:$AJ$100,MATCH('Daily Report'!AF$1,'DCS Data'!$E$2:$AJ$2,0),0)</f>
        <v>2560.1544675509053</v>
      </c>
      <c r="AG107" s="92">
        <f>VLOOKUP($B107,'DCS Data'!$E$2:$AJ$100,MATCH('Daily Report'!AG$1,'DCS Data'!$E$2:$AJ$2,0),0)</f>
        <v>2566.5906052732657</v>
      </c>
      <c r="AH107" s="92">
        <f>VLOOKUP($B107,'DCS Data'!$E$2:$AJ$100,MATCH('Daily Report'!AH$1,'DCS Data'!$E$2:$AJ$2,0),0)</f>
        <v>2573.7695657799277</v>
      </c>
      <c r="AI107" s="92">
        <f>VLOOKUP($B107,'DCS Data'!$E$2:$AJ$100,MATCH('Daily Report'!AI$1,'DCS Data'!$E$2:$AJ$2,0),0)</f>
        <v>2596.5063485281785</v>
      </c>
      <c r="AJ107" s="92">
        <f>VLOOKUP($B107,'DCS Data'!$E$2:$AJ$100,MATCH('Daily Report'!AJ$1,'DCS Data'!$E$2:$AJ$2,0),0)</f>
        <v>2582.6452659504193</v>
      </c>
      <c r="AK107" s="92">
        <f>VLOOKUP($B107,'DCS Data'!$E$2:$AJ$100,MATCH('Daily Report'!AK$1,'DCS Data'!$E$2:$AJ$2,0),0)</f>
        <v>2581.6056548355018</v>
      </c>
      <c r="AL107" s="92">
        <f>VLOOKUP($B107,'DCS Data'!$E$2:$AJ$100,MATCH('Daily Report'!AL$1,'DCS Data'!$E$2:$AJ$2,0),0)</f>
        <v>2582.9485586198639</v>
      </c>
      <c r="AM107" s="92">
        <f>VLOOKUP($B107,'DCS Data'!$E$2:$AJ$100,MATCH('Daily Report'!AM$1,'DCS Data'!$E$2:$AJ$2,0),0)</f>
        <v>2559.6359058901362</v>
      </c>
      <c r="AN107" s="92">
        <f>VLOOKUP($B107,'DCS Data'!$E$2:$AJ$100,MATCH('Daily Report'!AN$1,'DCS Data'!$E$2:$AJ$2,0),0)</f>
        <v>2549.9349708285054</v>
      </c>
    </row>
    <row r="108" spans="1:40" ht="28.5">
      <c r="A108" s="252" t="s">
        <v>135</v>
      </c>
      <c r="B108" s="60" t="s">
        <v>124</v>
      </c>
      <c r="C108" s="60" t="s">
        <v>124</v>
      </c>
      <c r="D108" s="423" t="s">
        <v>644</v>
      </c>
      <c r="E108" s="59"/>
      <c r="F108" s="132"/>
      <c r="G108" s="60" t="s">
        <v>758</v>
      </c>
      <c r="H108" s="473">
        <f t="shared" si="25"/>
        <v>0</v>
      </c>
      <c r="I108" s="93"/>
      <c r="K108" s="93"/>
      <c r="L108" s="93"/>
      <c r="M108" s="93"/>
      <c r="N108" s="93"/>
      <c r="O108" s="93"/>
      <c r="P108" s="93"/>
      <c r="Q108" s="93"/>
      <c r="R108" s="93"/>
      <c r="S108" s="93"/>
      <c r="T108" s="93"/>
      <c r="U108" s="93"/>
      <c r="V108" s="93"/>
      <c r="W108" s="93"/>
      <c r="X108" s="93"/>
      <c r="Y108" s="93"/>
      <c r="Z108" s="93"/>
      <c r="AA108" s="93"/>
      <c r="AB108" s="93"/>
      <c r="AC108" s="93"/>
      <c r="AD108" s="93"/>
      <c r="AE108" s="93"/>
      <c r="AF108" s="93"/>
      <c r="AG108" s="93"/>
      <c r="AH108" s="93"/>
      <c r="AI108" s="93"/>
      <c r="AJ108" s="93"/>
      <c r="AK108" s="93"/>
      <c r="AL108" s="93"/>
      <c r="AM108" s="93"/>
      <c r="AN108" s="93"/>
    </row>
    <row r="109" spans="1:40" ht="28.5">
      <c r="A109" s="252" t="s">
        <v>136</v>
      </c>
      <c r="B109" s="60" t="s">
        <v>124</v>
      </c>
      <c r="C109" s="60" t="s">
        <v>124</v>
      </c>
      <c r="D109" s="423" t="s">
        <v>645</v>
      </c>
      <c r="E109" s="59" t="s">
        <v>9</v>
      </c>
      <c r="F109" s="303">
        <v>622</v>
      </c>
      <c r="G109" s="60" t="s">
        <v>759</v>
      </c>
      <c r="H109" s="473">
        <v>0</v>
      </c>
      <c r="I109" s="93"/>
      <c r="K109" s="93"/>
      <c r="L109" s="93"/>
      <c r="M109" s="93"/>
      <c r="N109" s="93"/>
      <c r="O109" s="93"/>
      <c r="P109" s="93"/>
      <c r="Q109" s="93"/>
      <c r="R109" s="93"/>
      <c r="S109" s="93"/>
      <c r="T109" s="93"/>
      <c r="U109" s="93"/>
      <c r="V109" s="93"/>
      <c r="W109" s="93"/>
      <c r="X109" s="93"/>
      <c r="Y109" s="93"/>
      <c r="Z109" s="93"/>
      <c r="AA109" s="93"/>
      <c r="AB109" s="93"/>
      <c r="AC109" s="93"/>
      <c r="AD109" s="93"/>
      <c r="AE109" s="93"/>
      <c r="AF109" s="93"/>
      <c r="AG109" s="93"/>
      <c r="AH109" s="93"/>
      <c r="AI109" s="93"/>
      <c r="AJ109" s="93"/>
      <c r="AK109" s="93"/>
      <c r="AL109" s="93"/>
      <c r="AM109" s="93"/>
      <c r="AN109" s="93"/>
    </row>
    <row r="110" spans="1:40">
      <c r="A110" s="252" t="s">
        <v>137</v>
      </c>
      <c r="B110" s="60"/>
      <c r="C110" s="60"/>
      <c r="D110" s="423" t="s">
        <v>646</v>
      </c>
      <c r="E110" s="59"/>
      <c r="F110" s="303"/>
      <c r="G110" s="60" t="s">
        <v>760</v>
      </c>
      <c r="H110" s="473">
        <f t="shared" si="25"/>
        <v>0</v>
      </c>
      <c r="I110" s="93"/>
      <c r="K110" s="93"/>
      <c r="L110" s="93"/>
      <c r="M110" s="93"/>
      <c r="N110" s="93"/>
      <c r="O110" s="93"/>
      <c r="P110" s="93"/>
      <c r="Q110" s="93"/>
      <c r="R110" s="93"/>
      <c r="S110" s="93"/>
      <c r="T110" s="93"/>
      <c r="U110" s="93"/>
      <c r="V110" s="93"/>
      <c r="W110" s="93"/>
      <c r="X110" s="93"/>
      <c r="Y110" s="93"/>
      <c r="Z110" s="93"/>
      <c r="AA110" s="93"/>
      <c r="AB110" s="93"/>
      <c r="AC110" s="93"/>
      <c r="AD110" s="93"/>
      <c r="AE110" s="93"/>
      <c r="AF110" s="93"/>
      <c r="AG110" s="93"/>
      <c r="AH110" s="93"/>
      <c r="AI110" s="93"/>
      <c r="AJ110" s="93"/>
      <c r="AK110" s="93"/>
      <c r="AL110" s="93"/>
      <c r="AM110" s="93"/>
      <c r="AN110" s="93"/>
    </row>
    <row r="111" spans="1:40">
      <c r="A111" s="252" t="s">
        <v>138</v>
      </c>
      <c r="B111" s="60" t="s">
        <v>124</v>
      </c>
      <c r="C111" s="60" t="s">
        <v>124</v>
      </c>
      <c r="D111" s="423" t="s">
        <v>647</v>
      </c>
      <c r="E111" s="59" t="s">
        <v>9</v>
      </c>
      <c r="F111" s="132"/>
      <c r="G111" s="60" t="s">
        <v>761</v>
      </c>
      <c r="H111" s="473">
        <f t="shared" si="25"/>
        <v>0</v>
      </c>
      <c r="I111" s="93"/>
      <c r="K111" s="93"/>
      <c r="L111" s="93"/>
      <c r="M111" s="93"/>
      <c r="N111" s="93"/>
      <c r="O111" s="93"/>
      <c r="P111" s="93"/>
      <c r="Q111" s="93"/>
      <c r="R111" s="93"/>
      <c r="S111" s="93"/>
      <c r="T111" s="93"/>
      <c r="U111" s="93"/>
      <c r="V111" s="93"/>
      <c r="W111" s="93"/>
      <c r="X111" s="93"/>
      <c r="Y111" s="93"/>
      <c r="Z111" s="93"/>
      <c r="AA111" s="93"/>
      <c r="AB111" s="93"/>
      <c r="AC111" s="93"/>
      <c r="AD111" s="93"/>
      <c r="AE111" s="93"/>
      <c r="AF111" s="93"/>
      <c r="AG111" s="93"/>
      <c r="AH111" s="93"/>
      <c r="AI111" s="93"/>
      <c r="AJ111" s="93"/>
      <c r="AK111" s="93"/>
      <c r="AL111" s="93"/>
      <c r="AM111" s="93"/>
      <c r="AN111" s="93"/>
    </row>
    <row r="112" spans="1:40">
      <c r="A112" s="252" t="s">
        <v>139</v>
      </c>
      <c r="B112" s="60" t="s">
        <v>124</v>
      </c>
      <c r="C112" s="60" t="s">
        <v>124</v>
      </c>
      <c r="D112" s="423" t="s">
        <v>648</v>
      </c>
      <c r="E112" s="59" t="s">
        <v>9</v>
      </c>
      <c r="F112" s="132"/>
      <c r="G112" s="60" t="s">
        <v>762</v>
      </c>
      <c r="H112" s="473">
        <f t="shared" si="25"/>
        <v>0</v>
      </c>
      <c r="I112" s="93"/>
      <c r="K112" s="93"/>
      <c r="L112" s="93"/>
      <c r="M112" s="93"/>
      <c r="N112" s="93"/>
      <c r="O112" s="93"/>
      <c r="P112" s="93"/>
      <c r="Q112" s="93"/>
      <c r="R112" s="93"/>
      <c r="S112" s="93"/>
      <c r="T112" s="93"/>
      <c r="U112" s="93"/>
      <c r="V112" s="93"/>
      <c r="W112" s="93"/>
      <c r="X112" s="93"/>
      <c r="Y112" s="93"/>
      <c r="Z112" s="93"/>
      <c r="AA112" s="93"/>
      <c r="AB112" s="93"/>
      <c r="AC112" s="93"/>
      <c r="AD112" s="93"/>
      <c r="AE112" s="93"/>
      <c r="AF112" s="93"/>
      <c r="AG112" s="93"/>
      <c r="AH112" s="93"/>
      <c r="AI112" s="93"/>
      <c r="AJ112" s="93"/>
      <c r="AK112" s="93"/>
      <c r="AL112" s="93"/>
      <c r="AM112" s="93"/>
      <c r="AN112" s="93"/>
    </row>
    <row r="113" spans="1:1583">
      <c r="A113" s="252" t="s">
        <v>140</v>
      </c>
      <c r="B113" s="60" t="s">
        <v>124</v>
      </c>
      <c r="C113" s="60" t="s">
        <v>124</v>
      </c>
      <c r="D113" s="423" t="s">
        <v>649</v>
      </c>
      <c r="E113" s="59" t="s">
        <v>9</v>
      </c>
      <c r="F113" s="132"/>
      <c r="G113" s="60" t="s">
        <v>763</v>
      </c>
      <c r="H113" s="473">
        <f t="shared" si="25"/>
        <v>0</v>
      </c>
      <c r="I113" s="93"/>
      <c r="K113" s="93"/>
      <c r="L113" s="93"/>
      <c r="M113" s="93"/>
      <c r="N113" s="93"/>
      <c r="O113" s="93"/>
      <c r="P113" s="93"/>
      <c r="Q113" s="93"/>
      <c r="R113" s="93"/>
      <c r="S113" s="93"/>
      <c r="T113" s="93"/>
      <c r="U113" s="93"/>
      <c r="V113" s="93"/>
      <c r="W113" s="93"/>
      <c r="X113" s="93"/>
      <c r="Y113" s="93"/>
      <c r="Z113" s="93"/>
      <c r="AA113" s="93"/>
      <c r="AB113" s="93"/>
      <c r="AC113" s="93"/>
      <c r="AD113" s="93"/>
      <c r="AE113" s="93"/>
      <c r="AF113" s="93"/>
      <c r="AG113" s="93"/>
      <c r="AH113" s="93"/>
      <c r="AI113" s="93"/>
      <c r="AJ113" s="93"/>
      <c r="AK113" s="93"/>
      <c r="AL113" s="93"/>
      <c r="AM113" s="93"/>
      <c r="AN113" s="93"/>
    </row>
    <row r="114" spans="1:1583">
      <c r="A114" s="252" t="s">
        <v>141</v>
      </c>
      <c r="B114" s="255"/>
      <c r="C114" s="255"/>
      <c r="D114" s="423" t="s">
        <v>610</v>
      </c>
      <c r="E114" s="59" t="s">
        <v>9</v>
      </c>
      <c r="F114" s="132">
        <v>10.68</v>
      </c>
      <c r="G114" s="60" t="s">
        <v>764</v>
      </c>
      <c r="H114" s="473">
        <f t="shared" si="25"/>
        <v>0</v>
      </c>
      <c r="I114" s="96">
        <f>I111+I112+I113</f>
        <v>0</v>
      </c>
      <c r="K114" s="96">
        <f t="shared" ref="K114:AN114" si="27">K111+K112+K113</f>
        <v>0</v>
      </c>
      <c r="L114" s="96">
        <f t="shared" si="27"/>
        <v>0</v>
      </c>
      <c r="M114" s="96">
        <f t="shared" si="27"/>
        <v>0</v>
      </c>
      <c r="N114" s="96">
        <f t="shared" si="27"/>
        <v>0</v>
      </c>
      <c r="O114" s="96">
        <f t="shared" si="27"/>
        <v>0</v>
      </c>
      <c r="P114" s="96">
        <f t="shared" si="27"/>
        <v>0</v>
      </c>
      <c r="Q114" s="96">
        <f t="shared" si="27"/>
        <v>0</v>
      </c>
      <c r="R114" s="96">
        <f t="shared" si="27"/>
        <v>0</v>
      </c>
      <c r="S114" s="96">
        <f t="shared" si="27"/>
        <v>0</v>
      </c>
      <c r="T114" s="96">
        <f t="shared" si="27"/>
        <v>0</v>
      </c>
      <c r="U114" s="96">
        <f t="shared" si="27"/>
        <v>0</v>
      </c>
      <c r="V114" s="96">
        <f t="shared" si="27"/>
        <v>0</v>
      </c>
      <c r="W114" s="96">
        <f t="shared" si="27"/>
        <v>0</v>
      </c>
      <c r="X114" s="96">
        <f t="shared" si="27"/>
        <v>0</v>
      </c>
      <c r="Y114" s="96">
        <f t="shared" si="27"/>
        <v>0</v>
      </c>
      <c r="Z114" s="96">
        <f t="shared" si="27"/>
        <v>0</v>
      </c>
      <c r="AA114" s="96">
        <f t="shared" si="27"/>
        <v>0</v>
      </c>
      <c r="AB114" s="96">
        <f t="shared" si="27"/>
        <v>0</v>
      </c>
      <c r="AC114" s="96">
        <f t="shared" si="27"/>
        <v>0</v>
      </c>
      <c r="AD114" s="96">
        <f t="shared" si="27"/>
        <v>0</v>
      </c>
      <c r="AE114" s="96">
        <f t="shared" si="27"/>
        <v>0</v>
      </c>
      <c r="AF114" s="96">
        <f t="shared" si="27"/>
        <v>0</v>
      </c>
      <c r="AG114" s="96">
        <f t="shared" si="27"/>
        <v>0</v>
      </c>
      <c r="AH114" s="96">
        <f t="shared" si="27"/>
        <v>0</v>
      </c>
      <c r="AI114" s="96">
        <f t="shared" si="27"/>
        <v>0</v>
      </c>
      <c r="AJ114" s="96">
        <f t="shared" si="27"/>
        <v>0</v>
      </c>
      <c r="AK114" s="96">
        <f t="shared" si="27"/>
        <v>0</v>
      </c>
      <c r="AL114" s="96">
        <f t="shared" si="27"/>
        <v>0</v>
      </c>
      <c r="AM114" s="96">
        <f t="shared" si="27"/>
        <v>0</v>
      </c>
      <c r="AN114" s="96">
        <f t="shared" si="27"/>
        <v>0</v>
      </c>
    </row>
    <row r="115" spans="1:1583">
      <c r="A115" s="252" t="s">
        <v>142</v>
      </c>
      <c r="B115" s="180" t="s">
        <v>403</v>
      </c>
      <c r="C115" s="416" t="s">
        <v>526</v>
      </c>
      <c r="D115" s="435" t="s">
        <v>526</v>
      </c>
      <c r="E115" s="59" t="s">
        <v>9</v>
      </c>
      <c r="F115" s="141">
        <v>207.36</v>
      </c>
      <c r="G115" s="60" t="s">
        <v>765</v>
      </c>
      <c r="H115" s="473">
        <f t="shared" si="25"/>
        <v>0</v>
      </c>
      <c r="I115" s="92" t="str">
        <f>VLOOKUP($B115,'DCS Data'!$E$2:$AJ$100,MATCH('Daily Report'!I$1,'DCS Data'!$E$2:$AJ$2,0),0)</f>
        <v/>
      </c>
      <c r="K115" s="92" t="str">
        <f>VLOOKUP($B115,'DCS Data'!$E$2:$AJ$100,MATCH('Daily Report'!K$1,'DCS Data'!$E$2:$AJ$2,0),0)</f>
        <v/>
      </c>
      <c r="L115" s="92" t="str">
        <f>VLOOKUP($B115,'DCS Data'!$E$2:$AJ$100,MATCH('Daily Report'!L$1,'DCS Data'!$E$2:$AJ$2,0),0)</f>
        <v/>
      </c>
      <c r="M115" s="92" t="str">
        <f>VLOOKUP($B115,'DCS Data'!$E$2:$AJ$100,MATCH('Daily Report'!M$1,'DCS Data'!$E$2:$AJ$2,0),0)</f>
        <v/>
      </c>
      <c r="N115" s="92" t="str">
        <f>VLOOKUP($B115,'DCS Data'!$E$2:$AJ$100,MATCH('Daily Report'!N$1,'DCS Data'!$E$2:$AJ$2,0),0)</f>
        <v/>
      </c>
      <c r="O115" s="92" t="str">
        <f>VLOOKUP($B115,'DCS Data'!$E$2:$AJ$100,MATCH('Daily Report'!O$1,'DCS Data'!$E$2:$AJ$2,0),0)</f>
        <v/>
      </c>
      <c r="P115" s="92" t="str">
        <f>VLOOKUP($B115,'DCS Data'!$E$2:$AJ$100,MATCH('Daily Report'!P$1,'DCS Data'!$E$2:$AJ$2,0),0)</f>
        <v/>
      </c>
      <c r="Q115" s="92" t="str">
        <f>VLOOKUP($B115,'DCS Data'!$E$2:$AJ$100,MATCH('Daily Report'!Q$1,'DCS Data'!$E$2:$AJ$2,0),0)</f>
        <v/>
      </c>
      <c r="R115" s="92" t="str">
        <f>VLOOKUP($B115,'DCS Data'!$E$2:$AJ$100,MATCH('Daily Report'!R$1,'DCS Data'!$E$2:$AJ$2,0),0)</f>
        <v/>
      </c>
      <c r="S115" s="92" t="str">
        <f>VLOOKUP($B115,'DCS Data'!$E$2:$AJ$100,MATCH('Daily Report'!S$1,'DCS Data'!$E$2:$AJ$2,0),0)</f>
        <v/>
      </c>
      <c r="T115" s="92" t="str">
        <f>VLOOKUP($B115,'DCS Data'!$E$2:$AJ$100,MATCH('Daily Report'!T$1,'DCS Data'!$E$2:$AJ$2,0),0)</f>
        <v/>
      </c>
      <c r="U115" s="92" t="str">
        <f>VLOOKUP($B115,'DCS Data'!$E$2:$AJ$100,MATCH('Daily Report'!U$1,'DCS Data'!$E$2:$AJ$2,0),0)</f>
        <v/>
      </c>
      <c r="V115" s="92" t="str">
        <f>VLOOKUP($B115,'DCS Data'!$E$2:$AJ$100,MATCH('Daily Report'!V$1,'DCS Data'!$E$2:$AJ$2,0),0)</f>
        <v/>
      </c>
      <c r="W115" s="92" t="str">
        <f>VLOOKUP($B115,'DCS Data'!$E$2:$AJ$100,MATCH('Daily Report'!W$1,'DCS Data'!$E$2:$AJ$2,0),0)</f>
        <v/>
      </c>
      <c r="X115" s="92" t="str">
        <f>VLOOKUP($B115,'DCS Data'!$E$2:$AJ$100,MATCH('Daily Report'!X$1,'DCS Data'!$E$2:$AJ$2,0),0)</f>
        <v/>
      </c>
      <c r="Y115" s="92" t="str">
        <f>VLOOKUP($B115,'DCS Data'!$E$2:$AJ$100,MATCH('Daily Report'!Y$1,'DCS Data'!$E$2:$AJ$2,0),0)</f>
        <v/>
      </c>
      <c r="Z115" s="92" t="str">
        <f>VLOOKUP($B115,'DCS Data'!$E$2:$AJ$100,MATCH('Daily Report'!Z$1,'DCS Data'!$E$2:$AJ$2,0),0)</f>
        <v/>
      </c>
      <c r="AA115" s="92" t="str">
        <f>VLOOKUP($B115,'DCS Data'!$E$2:$AJ$100,MATCH('Daily Report'!AA$1,'DCS Data'!$E$2:$AJ$2,0),0)</f>
        <v/>
      </c>
      <c r="AB115" s="92" t="str">
        <f>VLOOKUP($B115,'DCS Data'!$E$2:$AJ$100,MATCH('Daily Report'!AB$1,'DCS Data'!$E$2:$AJ$2,0),0)</f>
        <v/>
      </c>
      <c r="AC115" s="92" t="str">
        <f>VLOOKUP($B115,'DCS Data'!$E$2:$AJ$100,MATCH('Daily Report'!AC$1,'DCS Data'!$E$2:$AJ$2,0),0)</f>
        <v/>
      </c>
      <c r="AD115" s="92" t="str">
        <f>VLOOKUP($B115,'DCS Data'!$E$2:$AJ$100,MATCH('Daily Report'!AD$1,'DCS Data'!$E$2:$AJ$2,0),0)</f>
        <v/>
      </c>
      <c r="AE115" s="92" t="str">
        <f>VLOOKUP($B115,'DCS Data'!$E$2:$AJ$100,MATCH('Daily Report'!AE$1,'DCS Data'!$E$2:$AJ$2,0),0)</f>
        <v/>
      </c>
      <c r="AF115" s="92" t="str">
        <f>VLOOKUP($B115,'DCS Data'!$E$2:$AJ$100,MATCH('Daily Report'!AF$1,'DCS Data'!$E$2:$AJ$2,0),0)</f>
        <v/>
      </c>
      <c r="AG115" s="92" t="str">
        <f>VLOOKUP($B115,'DCS Data'!$E$2:$AJ$100,MATCH('Daily Report'!AG$1,'DCS Data'!$E$2:$AJ$2,0),0)</f>
        <v/>
      </c>
      <c r="AH115" s="92" t="str">
        <f>VLOOKUP($B115,'DCS Data'!$E$2:$AJ$100,MATCH('Daily Report'!AH$1,'DCS Data'!$E$2:$AJ$2,0),0)</f>
        <v/>
      </c>
      <c r="AI115" s="92" t="str">
        <f>VLOOKUP($B115,'DCS Data'!$E$2:$AJ$100,MATCH('Daily Report'!AI$1,'DCS Data'!$E$2:$AJ$2,0),0)</f>
        <v/>
      </c>
      <c r="AJ115" s="92" t="str">
        <f>VLOOKUP($B115,'DCS Data'!$E$2:$AJ$100,MATCH('Daily Report'!AJ$1,'DCS Data'!$E$2:$AJ$2,0),0)</f>
        <v/>
      </c>
      <c r="AK115" s="92" t="str">
        <f>VLOOKUP($B115,'DCS Data'!$E$2:$AJ$100,MATCH('Daily Report'!AK$1,'DCS Data'!$E$2:$AJ$2,0),0)</f>
        <v/>
      </c>
      <c r="AL115" s="92" t="str">
        <f>VLOOKUP($B115,'DCS Data'!$E$2:$AJ$100,MATCH('Daily Report'!AL$1,'DCS Data'!$E$2:$AJ$2,0),0)</f>
        <v/>
      </c>
      <c r="AM115" s="92" t="str">
        <f>VLOOKUP($B115,'DCS Data'!$E$2:$AJ$100,MATCH('Daily Report'!AM$1,'DCS Data'!$E$2:$AJ$2,0),0)</f>
        <v/>
      </c>
      <c r="AN115" s="92" t="str">
        <f>VLOOKUP($B115,'DCS Data'!$E$2:$AJ$100,MATCH('Daily Report'!AN$1,'DCS Data'!$E$2:$AJ$2,0),0)</f>
        <v/>
      </c>
    </row>
    <row r="116" spans="1:1583">
      <c r="A116" s="252" t="s">
        <v>143</v>
      </c>
      <c r="B116" s="60" t="s">
        <v>124</v>
      </c>
      <c r="C116" s="60" t="s">
        <v>124</v>
      </c>
      <c r="D116" s="423" t="s">
        <v>650</v>
      </c>
      <c r="E116" s="59" t="s">
        <v>9</v>
      </c>
      <c r="F116" s="132">
        <v>17.52</v>
      </c>
      <c r="G116" s="60" t="s">
        <v>766</v>
      </c>
      <c r="H116" s="473">
        <f t="shared" si="25"/>
        <v>0</v>
      </c>
      <c r="I116" s="93"/>
      <c r="K116" s="93"/>
      <c r="L116" s="93"/>
      <c r="M116" s="93"/>
      <c r="N116" s="93"/>
      <c r="O116" s="93"/>
      <c r="P116" s="93"/>
      <c r="Q116" s="93"/>
      <c r="R116" s="93"/>
      <c r="S116" s="93"/>
      <c r="T116" s="93"/>
      <c r="U116" s="93"/>
      <c r="V116" s="93"/>
      <c r="W116" s="93"/>
      <c r="X116" s="93"/>
      <c r="Y116" s="93"/>
      <c r="Z116" s="93"/>
      <c r="AA116" s="93"/>
      <c r="AB116" s="93"/>
      <c r="AC116" s="93"/>
      <c r="AD116" s="93"/>
      <c r="AE116" s="93"/>
      <c r="AF116" s="93"/>
      <c r="AG116" s="93"/>
      <c r="AH116" s="93"/>
      <c r="AI116" s="93"/>
      <c r="AJ116" s="93"/>
      <c r="AK116" s="93"/>
      <c r="AL116" s="93"/>
      <c r="AM116" s="93"/>
      <c r="AN116" s="93"/>
    </row>
    <row r="117" spans="1:1583">
      <c r="A117" s="252" t="s">
        <v>144</v>
      </c>
      <c r="B117" s="60" t="s">
        <v>124</v>
      </c>
      <c r="C117" s="60" t="s">
        <v>124</v>
      </c>
      <c r="D117" s="423" t="s">
        <v>795</v>
      </c>
      <c r="E117" s="59"/>
      <c r="F117" s="132"/>
      <c r="G117" s="60" t="s">
        <v>767</v>
      </c>
      <c r="H117" s="473">
        <f t="shared" si="25"/>
        <v>0</v>
      </c>
      <c r="I117" s="93"/>
      <c r="K117" s="93"/>
      <c r="L117" s="93"/>
      <c r="M117" s="93"/>
      <c r="N117" s="93"/>
      <c r="O117" s="93"/>
      <c r="P117" s="93"/>
      <c r="Q117" s="93"/>
      <c r="R117" s="93"/>
      <c r="S117" s="93"/>
      <c r="T117" s="93"/>
      <c r="U117" s="93"/>
      <c r="V117" s="93"/>
      <c r="W117" s="93"/>
      <c r="X117" s="93"/>
      <c r="Y117" s="93"/>
      <c r="Z117" s="93"/>
      <c r="AA117" s="93"/>
      <c r="AB117" s="93"/>
      <c r="AC117" s="93"/>
      <c r="AD117" s="93"/>
      <c r="AE117" s="93"/>
      <c r="AF117" s="93"/>
      <c r="AG117" s="93"/>
      <c r="AH117" s="93"/>
      <c r="AI117" s="93"/>
      <c r="AJ117" s="93"/>
      <c r="AK117" s="93"/>
      <c r="AL117" s="93"/>
      <c r="AM117" s="93"/>
      <c r="AN117" s="93"/>
    </row>
    <row r="118" spans="1:1583">
      <c r="A118" s="252" t="s">
        <v>145</v>
      </c>
      <c r="B118" s="60" t="s">
        <v>124</v>
      </c>
      <c r="C118" s="60" t="s">
        <v>124</v>
      </c>
      <c r="D118" s="423" t="s">
        <v>796</v>
      </c>
      <c r="E118" s="59"/>
      <c r="F118" s="132"/>
      <c r="G118" s="60" t="s">
        <v>768</v>
      </c>
      <c r="H118" s="473">
        <f t="shared" si="25"/>
        <v>0</v>
      </c>
      <c r="I118" s="93"/>
      <c r="K118" s="93"/>
      <c r="L118" s="93"/>
      <c r="M118" s="93"/>
      <c r="N118" s="93"/>
      <c r="O118" s="93"/>
      <c r="P118" s="93"/>
      <c r="Q118" s="93"/>
      <c r="R118" s="93"/>
      <c r="S118" s="93"/>
      <c r="T118" s="93"/>
      <c r="U118" s="93"/>
      <c r="V118" s="93"/>
      <c r="W118" s="93"/>
      <c r="X118" s="93"/>
      <c r="Y118" s="93"/>
      <c r="Z118" s="93"/>
      <c r="AA118" s="93"/>
      <c r="AB118" s="93"/>
      <c r="AC118" s="93"/>
      <c r="AD118" s="93"/>
      <c r="AE118" s="93"/>
      <c r="AF118" s="93"/>
      <c r="AG118" s="93"/>
      <c r="AH118" s="93"/>
      <c r="AI118" s="93"/>
      <c r="AJ118" s="93"/>
      <c r="AK118" s="93"/>
      <c r="AL118" s="93"/>
      <c r="AM118" s="93"/>
      <c r="AN118" s="93"/>
    </row>
    <row r="119" spans="1:1583" ht="15.75" thickBot="1">
      <c r="A119" s="75" t="s">
        <v>146</v>
      </c>
      <c r="B119" s="71"/>
      <c r="C119" s="71"/>
      <c r="D119" s="424" t="s">
        <v>611</v>
      </c>
      <c r="E119" s="264"/>
      <c r="F119" s="136">
        <v>10.944000000000001</v>
      </c>
      <c r="G119" s="60" t="s">
        <v>769</v>
      </c>
      <c r="H119" s="473">
        <f t="shared" si="25"/>
        <v>0</v>
      </c>
      <c r="I119" s="94">
        <f>I117+I118</f>
        <v>0</v>
      </c>
      <c r="J119" s="437"/>
      <c r="K119" s="94">
        <f t="shared" ref="K119:AN119" si="28">K117+K118</f>
        <v>0</v>
      </c>
      <c r="L119" s="94">
        <f t="shared" si="28"/>
        <v>0</v>
      </c>
      <c r="M119" s="94">
        <f t="shared" si="28"/>
        <v>0</v>
      </c>
      <c r="N119" s="94">
        <f t="shared" si="28"/>
        <v>0</v>
      </c>
      <c r="O119" s="94">
        <f t="shared" si="28"/>
        <v>0</v>
      </c>
      <c r="P119" s="94">
        <f t="shared" si="28"/>
        <v>0</v>
      </c>
      <c r="Q119" s="94">
        <f t="shared" si="28"/>
        <v>0</v>
      </c>
      <c r="R119" s="94">
        <f t="shared" si="28"/>
        <v>0</v>
      </c>
      <c r="S119" s="94">
        <f t="shared" si="28"/>
        <v>0</v>
      </c>
      <c r="T119" s="94">
        <f t="shared" si="28"/>
        <v>0</v>
      </c>
      <c r="U119" s="94">
        <f t="shared" si="28"/>
        <v>0</v>
      </c>
      <c r="V119" s="94">
        <f t="shared" si="28"/>
        <v>0</v>
      </c>
      <c r="W119" s="94">
        <f t="shared" si="28"/>
        <v>0</v>
      </c>
      <c r="X119" s="94">
        <f t="shared" si="28"/>
        <v>0</v>
      </c>
      <c r="Y119" s="94">
        <f t="shared" si="28"/>
        <v>0</v>
      </c>
      <c r="Z119" s="94">
        <f t="shared" si="28"/>
        <v>0</v>
      </c>
      <c r="AA119" s="94">
        <f t="shared" si="28"/>
        <v>0</v>
      </c>
      <c r="AB119" s="94">
        <f t="shared" si="28"/>
        <v>0</v>
      </c>
      <c r="AC119" s="94">
        <f t="shared" si="28"/>
        <v>0</v>
      </c>
      <c r="AD119" s="94">
        <f t="shared" si="28"/>
        <v>0</v>
      </c>
      <c r="AE119" s="94">
        <f t="shared" si="28"/>
        <v>0</v>
      </c>
      <c r="AF119" s="94">
        <f t="shared" si="28"/>
        <v>0</v>
      </c>
      <c r="AG119" s="94">
        <f t="shared" si="28"/>
        <v>0</v>
      </c>
      <c r="AH119" s="94">
        <f t="shared" si="28"/>
        <v>0</v>
      </c>
      <c r="AI119" s="94">
        <f t="shared" si="28"/>
        <v>0</v>
      </c>
      <c r="AJ119" s="94">
        <f t="shared" si="28"/>
        <v>0</v>
      </c>
      <c r="AK119" s="94">
        <f t="shared" si="28"/>
        <v>0</v>
      </c>
      <c r="AL119" s="94">
        <f t="shared" si="28"/>
        <v>0</v>
      </c>
      <c r="AM119" s="94">
        <f t="shared" si="28"/>
        <v>0</v>
      </c>
      <c r="AN119" s="94">
        <f t="shared" si="28"/>
        <v>0</v>
      </c>
    </row>
    <row r="120" spans="1:1583" s="216" customFormat="1" ht="14.25" customHeight="1" thickBot="1">
      <c r="A120" s="246" t="s">
        <v>147</v>
      </c>
      <c r="B120" s="77" t="s">
        <v>148</v>
      </c>
      <c r="C120" s="77" t="s">
        <v>148</v>
      </c>
      <c r="D120" s="426" t="s">
        <v>651</v>
      </c>
      <c r="E120" s="63" t="s">
        <v>149</v>
      </c>
      <c r="F120" s="140">
        <v>1860</v>
      </c>
      <c r="G120" s="60" t="s">
        <v>770</v>
      </c>
      <c r="H120" s="473">
        <f t="shared" si="25"/>
        <v>0</v>
      </c>
      <c r="I120" s="150"/>
      <c r="J120" s="255"/>
      <c r="K120" s="150"/>
      <c r="L120" s="150"/>
      <c r="M120" s="150"/>
      <c r="N120" s="150"/>
      <c r="O120" s="150"/>
      <c r="P120" s="150"/>
      <c r="Q120" s="150"/>
      <c r="R120" s="150"/>
      <c r="S120" s="150"/>
      <c r="T120" s="150"/>
      <c r="U120" s="150"/>
      <c r="V120" s="150"/>
      <c r="W120" s="150"/>
      <c r="X120" s="150"/>
      <c r="Y120" s="150"/>
      <c r="Z120" s="150"/>
      <c r="AA120" s="150"/>
      <c r="AB120" s="150"/>
      <c r="AC120" s="150"/>
      <c r="AD120" s="150"/>
      <c r="AE120" s="150"/>
      <c r="AF120" s="150"/>
      <c r="AG120" s="150"/>
      <c r="AH120" s="150"/>
      <c r="AI120" s="150"/>
      <c r="AJ120" s="150"/>
      <c r="AK120" s="150"/>
      <c r="AL120" s="150"/>
      <c r="AM120" s="150"/>
      <c r="AN120" s="150"/>
      <c r="AO120" s="215"/>
      <c r="AP120" s="215"/>
      <c r="AQ120" s="215"/>
      <c r="AR120" s="215"/>
      <c r="AS120" s="215"/>
      <c r="AT120" s="215"/>
      <c r="AU120" s="215"/>
      <c r="AV120" s="215"/>
      <c r="AW120" s="215"/>
      <c r="AX120" s="215"/>
      <c r="AY120" s="215"/>
      <c r="AZ120" s="215"/>
      <c r="BA120" s="215"/>
      <c r="BB120" s="215"/>
      <c r="BC120" s="215"/>
      <c r="BD120" s="215"/>
      <c r="BE120" s="215"/>
      <c r="BF120" s="215"/>
      <c r="BG120" s="215"/>
      <c r="BH120" s="215"/>
      <c r="BI120" s="215"/>
      <c r="BJ120" s="215"/>
      <c r="BK120" s="215"/>
      <c r="BL120" s="215"/>
      <c r="BM120" s="215"/>
      <c r="BN120" s="215"/>
      <c r="BO120" s="215"/>
      <c r="BP120" s="215"/>
      <c r="BQ120" s="215"/>
      <c r="BR120" s="215"/>
      <c r="BS120" s="215"/>
      <c r="BT120" s="215"/>
      <c r="BU120" s="215"/>
      <c r="BV120" s="215"/>
      <c r="BW120" s="215"/>
      <c r="BX120" s="215"/>
      <c r="BY120" s="215"/>
      <c r="BZ120" s="215"/>
      <c r="CA120" s="215"/>
      <c r="CB120" s="215"/>
      <c r="CC120" s="215"/>
      <c r="CD120" s="215"/>
      <c r="CE120" s="215"/>
      <c r="CF120" s="215"/>
      <c r="CG120" s="215"/>
      <c r="CH120" s="215"/>
      <c r="CI120" s="215"/>
      <c r="CJ120" s="215"/>
      <c r="CK120" s="215"/>
      <c r="CL120" s="215"/>
      <c r="CM120" s="215"/>
      <c r="CN120" s="215"/>
      <c r="CO120" s="215"/>
      <c r="CP120" s="215"/>
      <c r="CQ120" s="215"/>
      <c r="CR120" s="215"/>
      <c r="CS120" s="215"/>
      <c r="CT120" s="215"/>
      <c r="CU120" s="215"/>
      <c r="CV120" s="215"/>
      <c r="CW120" s="215"/>
      <c r="CX120" s="215"/>
      <c r="CY120" s="215"/>
      <c r="CZ120" s="215"/>
      <c r="DA120" s="215"/>
      <c r="DB120" s="215"/>
      <c r="DC120" s="215"/>
      <c r="DD120" s="215"/>
      <c r="DE120" s="215"/>
      <c r="DF120" s="215"/>
      <c r="DG120" s="215"/>
      <c r="DH120" s="215"/>
      <c r="DI120" s="215"/>
      <c r="DJ120" s="215"/>
      <c r="DK120" s="215"/>
      <c r="DL120" s="215"/>
      <c r="DM120" s="215"/>
      <c r="DN120" s="215"/>
      <c r="DO120" s="215"/>
      <c r="DP120" s="215"/>
      <c r="DQ120" s="215"/>
      <c r="DR120" s="215"/>
      <c r="DS120" s="215"/>
      <c r="DT120" s="215"/>
      <c r="DU120" s="215"/>
      <c r="DV120" s="215"/>
      <c r="DW120" s="215"/>
      <c r="DX120" s="215"/>
      <c r="DY120" s="215"/>
      <c r="DZ120" s="215"/>
      <c r="EA120" s="215"/>
      <c r="EB120" s="215"/>
      <c r="EC120" s="215"/>
      <c r="ED120" s="215"/>
      <c r="EE120" s="215"/>
      <c r="EF120" s="215"/>
      <c r="EG120" s="215"/>
      <c r="EH120" s="215"/>
      <c r="EI120" s="215"/>
      <c r="EJ120" s="215"/>
      <c r="EK120" s="215"/>
      <c r="EL120" s="215"/>
      <c r="EM120" s="215"/>
      <c r="EN120" s="215"/>
      <c r="EO120" s="215"/>
      <c r="EP120" s="215"/>
      <c r="EQ120" s="215"/>
      <c r="ER120" s="215"/>
      <c r="ES120" s="215"/>
      <c r="ET120" s="215"/>
      <c r="EU120" s="215"/>
      <c r="EV120" s="215"/>
      <c r="EW120" s="215"/>
      <c r="EX120" s="215"/>
      <c r="EY120" s="215"/>
      <c r="EZ120" s="215"/>
      <c r="FA120" s="215"/>
      <c r="FB120" s="215"/>
      <c r="FC120" s="215"/>
      <c r="FD120" s="215"/>
      <c r="FE120" s="215"/>
      <c r="FF120" s="215"/>
      <c r="FG120" s="215"/>
      <c r="FH120" s="215"/>
      <c r="FI120" s="215"/>
      <c r="FJ120" s="215"/>
      <c r="FK120" s="215"/>
      <c r="FL120" s="215"/>
      <c r="FM120" s="215"/>
      <c r="FN120" s="215"/>
      <c r="FO120" s="215"/>
      <c r="FP120" s="215"/>
      <c r="FQ120" s="215"/>
      <c r="FR120" s="215"/>
      <c r="FS120" s="215"/>
      <c r="FT120" s="215"/>
      <c r="FU120" s="215"/>
      <c r="FV120" s="215"/>
      <c r="FW120" s="215"/>
      <c r="FX120" s="215"/>
      <c r="FY120" s="215"/>
      <c r="FZ120" s="215"/>
      <c r="GA120" s="215"/>
      <c r="GB120" s="215"/>
      <c r="GC120" s="215"/>
      <c r="GD120" s="215"/>
      <c r="GE120" s="215"/>
      <c r="GF120" s="215"/>
      <c r="GG120" s="215"/>
      <c r="GH120" s="215"/>
      <c r="GI120" s="215"/>
      <c r="GJ120" s="215"/>
      <c r="GK120" s="215"/>
      <c r="GL120" s="215"/>
      <c r="GM120" s="215"/>
      <c r="GN120" s="215"/>
      <c r="GO120" s="215"/>
      <c r="GP120" s="215"/>
      <c r="GQ120" s="215"/>
      <c r="GR120" s="215"/>
      <c r="GS120" s="215"/>
      <c r="GT120" s="215"/>
      <c r="GU120" s="215"/>
      <c r="GV120" s="215"/>
      <c r="GW120" s="215"/>
      <c r="GX120" s="215"/>
      <c r="GY120" s="215"/>
      <c r="GZ120" s="215"/>
      <c r="HA120" s="215"/>
      <c r="HB120" s="215"/>
      <c r="HC120" s="215"/>
      <c r="HD120" s="215"/>
      <c r="HE120" s="215"/>
      <c r="HF120" s="215"/>
      <c r="HG120" s="215"/>
      <c r="HH120" s="215"/>
      <c r="HI120" s="215"/>
      <c r="HJ120" s="215"/>
      <c r="HK120" s="215"/>
      <c r="HL120" s="215"/>
      <c r="HM120" s="215"/>
      <c r="HN120" s="215"/>
      <c r="HO120" s="215"/>
      <c r="HP120" s="215"/>
      <c r="HQ120" s="215"/>
      <c r="HR120" s="215"/>
      <c r="HS120" s="215"/>
      <c r="HT120" s="215"/>
      <c r="HU120" s="215"/>
      <c r="HV120" s="215"/>
      <c r="HW120" s="215"/>
      <c r="HX120" s="215"/>
      <c r="HY120" s="215"/>
      <c r="HZ120" s="215"/>
      <c r="IA120" s="215"/>
      <c r="IB120" s="215"/>
      <c r="IC120" s="215"/>
      <c r="ID120" s="215"/>
      <c r="IE120" s="215"/>
      <c r="IF120" s="215"/>
      <c r="IG120" s="215"/>
      <c r="IH120" s="215"/>
      <c r="II120" s="215"/>
      <c r="IJ120" s="215"/>
      <c r="IK120" s="215"/>
      <c r="IL120" s="215"/>
      <c r="IM120" s="215"/>
      <c r="IN120" s="215"/>
      <c r="IO120" s="215"/>
      <c r="IP120" s="215"/>
      <c r="IQ120" s="215"/>
      <c r="IR120" s="215"/>
      <c r="IS120" s="215"/>
      <c r="IT120" s="215"/>
      <c r="IU120" s="215"/>
      <c r="IV120" s="215"/>
      <c r="IW120" s="215"/>
      <c r="IX120" s="215"/>
      <c r="IY120" s="215"/>
      <c r="IZ120" s="215"/>
      <c r="JA120" s="215"/>
      <c r="JB120" s="215"/>
      <c r="JC120" s="215"/>
      <c r="JD120" s="215"/>
      <c r="JE120" s="215"/>
      <c r="JF120" s="215"/>
      <c r="JG120" s="215"/>
      <c r="JH120" s="215"/>
      <c r="JI120" s="215"/>
      <c r="JJ120" s="215"/>
      <c r="JK120" s="215"/>
      <c r="JL120" s="215"/>
      <c r="JM120" s="215"/>
      <c r="JN120" s="215"/>
      <c r="JO120" s="215"/>
      <c r="JP120" s="215"/>
      <c r="JQ120" s="215"/>
      <c r="JR120" s="215"/>
      <c r="JS120" s="215"/>
      <c r="JT120" s="215"/>
      <c r="JU120" s="215"/>
      <c r="JV120" s="215"/>
      <c r="JW120" s="215"/>
      <c r="JX120" s="215"/>
      <c r="JY120" s="215"/>
      <c r="JZ120" s="215"/>
      <c r="KA120" s="215"/>
      <c r="KB120" s="215"/>
      <c r="KC120" s="215"/>
      <c r="KD120" s="215"/>
      <c r="KE120" s="215"/>
      <c r="KF120" s="215"/>
      <c r="KG120" s="215"/>
      <c r="KH120" s="215"/>
      <c r="KI120" s="215"/>
      <c r="KJ120" s="215"/>
      <c r="KK120" s="215"/>
      <c r="KL120" s="215"/>
      <c r="KM120" s="215"/>
      <c r="KN120" s="215"/>
      <c r="KO120" s="215"/>
      <c r="KP120" s="215"/>
      <c r="KQ120" s="215"/>
      <c r="KR120" s="215"/>
      <c r="KS120" s="215"/>
      <c r="KT120" s="215"/>
      <c r="KU120" s="215"/>
      <c r="KV120" s="215"/>
      <c r="KW120" s="215"/>
      <c r="KX120" s="215"/>
      <c r="KY120" s="215"/>
      <c r="KZ120" s="215"/>
      <c r="LA120" s="215"/>
      <c r="LB120" s="215"/>
      <c r="LC120" s="215"/>
      <c r="LD120" s="215"/>
      <c r="LE120" s="215"/>
      <c r="LF120" s="215"/>
      <c r="LG120" s="215"/>
      <c r="LH120" s="215"/>
      <c r="LI120" s="215"/>
      <c r="LJ120" s="215"/>
      <c r="LK120" s="215"/>
      <c r="LL120" s="215"/>
      <c r="LM120" s="215"/>
      <c r="LN120" s="215"/>
      <c r="LO120" s="215"/>
      <c r="LP120" s="215"/>
      <c r="LQ120" s="215"/>
      <c r="LR120" s="215"/>
      <c r="LS120" s="215"/>
      <c r="LT120" s="215"/>
      <c r="LU120" s="215"/>
      <c r="LV120" s="215"/>
      <c r="LW120" s="215"/>
      <c r="LX120" s="215"/>
      <c r="LY120" s="215"/>
      <c r="LZ120" s="215"/>
      <c r="MA120" s="215"/>
      <c r="MB120" s="215"/>
      <c r="MC120" s="215"/>
      <c r="MD120" s="215"/>
      <c r="ME120" s="215"/>
      <c r="MF120" s="215"/>
      <c r="MG120" s="215"/>
      <c r="MH120" s="215"/>
      <c r="MI120" s="215"/>
      <c r="MJ120" s="215"/>
      <c r="MK120" s="215"/>
      <c r="ML120" s="215"/>
      <c r="MM120" s="215"/>
      <c r="MN120" s="215"/>
      <c r="MO120" s="215"/>
      <c r="MP120" s="215"/>
      <c r="MQ120" s="215"/>
      <c r="MR120" s="215"/>
      <c r="MS120" s="215"/>
      <c r="MT120" s="215"/>
      <c r="MU120" s="215"/>
      <c r="MV120" s="215"/>
      <c r="MW120" s="215"/>
      <c r="MX120" s="215"/>
      <c r="MY120" s="215"/>
      <c r="MZ120" s="215"/>
      <c r="NA120" s="215"/>
      <c r="NB120" s="215"/>
      <c r="NC120" s="215"/>
      <c r="ND120" s="215"/>
      <c r="NE120" s="215"/>
      <c r="NF120" s="215"/>
      <c r="NG120" s="215"/>
      <c r="NH120" s="215"/>
      <c r="NI120" s="215"/>
      <c r="NJ120" s="215"/>
      <c r="NK120" s="215"/>
      <c r="NL120" s="215"/>
      <c r="NM120" s="215"/>
      <c r="NN120" s="215"/>
      <c r="NO120" s="215"/>
      <c r="NP120" s="215"/>
      <c r="NQ120" s="215"/>
      <c r="NR120" s="215"/>
      <c r="NS120" s="215"/>
      <c r="NT120" s="215"/>
      <c r="NU120" s="215"/>
      <c r="NV120" s="215"/>
      <c r="NW120" s="215"/>
      <c r="NX120" s="215"/>
      <c r="NY120" s="215"/>
      <c r="NZ120" s="215"/>
      <c r="OA120" s="215"/>
      <c r="OB120" s="215"/>
      <c r="OC120" s="215"/>
      <c r="OD120" s="215"/>
      <c r="OE120" s="215"/>
      <c r="OF120" s="215"/>
      <c r="OG120" s="215"/>
      <c r="OH120" s="215"/>
      <c r="OI120" s="215"/>
      <c r="OJ120" s="215"/>
      <c r="OK120" s="215"/>
      <c r="OL120" s="215"/>
      <c r="OM120" s="215"/>
      <c r="ON120" s="215"/>
      <c r="OO120" s="215"/>
      <c r="OP120" s="215"/>
      <c r="OQ120" s="215"/>
      <c r="OR120" s="215"/>
      <c r="OS120" s="215"/>
      <c r="OT120" s="215"/>
      <c r="OU120" s="215"/>
      <c r="OV120" s="215"/>
      <c r="OW120" s="215"/>
      <c r="OX120" s="215"/>
      <c r="OY120" s="215"/>
      <c r="OZ120" s="215"/>
      <c r="PA120" s="215"/>
      <c r="PB120" s="215"/>
      <c r="PC120" s="215"/>
      <c r="PD120" s="215"/>
      <c r="PE120" s="215"/>
      <c r="PF120" s="215"/>
      <c r="PG120" s="215"/>
      <c r="PH120" s="215"/>
      <c r="PI120" s="215"/>
      <c r="PJ120" s="215"/>
      <c r="PK120" s="215"/>
      <c r="PL120" s="215"/>
      <c r="PM120" s="215"/>
      <c r="PN120" s="215"/>
      <c r="PO120" s="215"/>
      <c r="PP120" s="215"/>
      <c r="PQ120" s="215"/>
      <c r="PR120" s="215"/>
      <c r="PS120" s="215"/>
      <c r="PT120" s="215"/>
      <c r="PU120" s="215"/>
      <c r="PV120" s="215"/>
      <c r="PW120" s="215"/>
      <c r="PX120" s="215"/>
      <c r="PY120" s="215"/>
      <c r="PZ120" s="215"/>
      <c r="QA120" s="215"/>
      <c r="QB120" s="215"/>
      <c r="QC120" s="215"/>
      <c r="QD120" s="215"/>
      <c r="QE120" s="215"/>
      <c r="QF120" s="215"/>
      <c r="QG120" s="215"/>
      <c r="QH120" s="215"/>
      <c r="QI120" s="215"/>
      <c r="QJ120" s="215"/>
      <c r="QK120" s="215"/>
      <c r="QL120" s="215"/>
      <c r="QM120" s="215"/>
      <c r="QN120" s="215"/>
      <c r="QO120" s="215"/>
      <c r="QP120" s="215"/>
      <c r="QQ120" s="215"/>
      <c r="QR120" s="215"/>
      <c r="QS120" s="215"/>
      <c r="QT120" s="215"/>
      <c r="QU120" s="215"/>
      <c r="QV120" s="215"/>
      <c r="QW120" s="215"/>
      <c r="QX120" s="215"/>
      <c r="QY120" s="215"/>
      <c r="QZ120" s="215"/>
      <c r="RA120" s="215"/>
      <c r="RB120" s="215"/>
      <c r="RC120" s="215"/>
      <c r="RD120" s="215"/>
      <c r="RE120" s="215"/>
      <c r="RF120" s="215"/>
      <c r="RG120" s="215"/>
      <c r="RH120" s="215"/>
      <c r="RI120" s="215"/>
      <c r="RJ120" s="215"/>
      <c r="RK120" s="215"/>
      <c r="RL120" s="215"/>
      <c r="RM120" s="215"/>
      <c r="RN120" s="215"/>
      <c r="RO120" s="215"/>
      <c r="RP120" s="215"/>
      <c r="RQ120" s="215"/>
      <c r="RR120" s="215"/>
      <c r="RS120" s="215"/>
      <c r="RT120" s="215"/>
      <c r="RU120" s="215"/>
      <c r="RV120" s="215"/>
      <c r="RW120" s="215"/>
      <c r="RX120" s="215"/>
      <c r="RY120" s="215"/>
      <c r="RZ120" s="215"/>
      <c r="SA120" s="215"/>
      <c r="SB120" s="215"/>
      <c r="SC120" s="215"/>
      <c r="SD120" s="215"/>
      <c r="SE120" s="215"/>
      <c r="SF120" s="215"/>
      <c r="SG120" s="215"/>
      <c r="SH120" s="215"/>
      <c r="SI120" s="215"/>
      <c r="SJ120" s="215"/>
      <c r="SK120" s="215"/>
      <c r="SL120" s="215"/>
      <c r="SM120" s="215"/>
      <c r="SN120" s="215"/>
      <c r="SO120" s="215"/>
      <c r="SP120" s="215"/>
      <c r="SQ120" s="215"/>
      <c r="SR120" s="215"/>
      <c r="SS120" s="215"/>
      <c r="ST120" s="215"/>
      <c r="SU120" s="215"/>
      <c r="SV120" s="215"/>
      <c r="SW120" s="215"/>
      <c r="SX120" s="215"/>
      <c r="SY120" s="215"/>
      <c r="SZ120" s="215"/>
      <c r="TA120" s="215"/>
      <c r="TB120" s="215"/>
      <c r="TC120" s="215"/>
      <c r="TD120" s="215"/>
      <c r="TE120" s="215"/>
      <c r="TF120" s="215"/>
      <c r="TG120" s="215"/>
      <c r="TH120" s="215"/>
      <c r="TI120" s="215"/>
      <c r="TJ120" s="215"/>
      <c r="TK120" s="215"/>
      <c r="TL120" s="215"/>
      <c r="TM120" s="215"/>
      <c r="TN120" s="215"/>
      <c r="TO120" s="215"/>
      <c r="TP120" s="215"/>
      <c r="TQ120" s="215"/>
      <c r="TR120" s="215"/>
      <c r="TS120" s="215"/>
      <c r="TT120" s="215"/>
      <c r="TU120" s="215"/>
      <c r="TV120" s="215"/>
      <c r="TW120" s="215"/>
      <c r="TX120" s="215"/>
      <c r="TY120" s="215"/>
      <c r="TZ120" s="215"/>
      <c r="UA120" s="215"/>
      <c r="UB120" s="215"/>
      <c r="UC120" s="215"/>
      <c r="UD120" s="215"/>
      <c r="UE120" s="215"/>
      <c r="UF120" s="215"/>
      <c r="UG120" s="215"/>
      <c r="UH120" s="215"/>
      <c r="UI120" s="215"/>
      <c r="UJ120" s="215"/>
      <c r="UK120" s="215"/>
      <c r="UL120" s="215"/>
      <c r="UM120" s="215"/>
      <c r="UN120" s="215"/>
      <c r="UO120" s="215"/>
      <c r="UP120" s="215"/>
      <c r="UQ120" s="215"/>
      <c r="UR120" s="215"/>
      <c r="US120" s="215"/>
      <c r="UT120" s="215"/>
      <c r="UU120" s="215"/>
      <c r="UV120" s="215"/>
      <c r="UW120" s="215"/>
      <c r="UX120" s="215"/>
      <c r="UY120" s="215"/>
      <c r="UZ120" s="215"/>
      <c r="VA120" s="215"/>
      <c r="VB120" s="215"/>
      <c r="VC120" s="215"/>
      <c r="VD120" s="215"/>
      <c r="VE120" s="215"/>
      <c r="VF120" s="215"/>
      <c r="VG120" s="215"/>
      <c r="VH120" s="215"/>
      <c r="VI120" s="215"/>
      <c r="VJ120" s="215"/>
      <c r="VK120" s="215"/>
      <c r="VL120" s="215"/>
      <c r="VM120" s="215"/>
      <c r="VN120" s="215"/>
      <c r="VO120" s="215"/>
      <c r="VP120" s="215"/>
      <c r="VQ120" s="215"/>
      <c r="VR120" s="215"/>
      <c r="VS120" s="215"/>
      <c r="VT120" s="215"/>
      <c r="VU120" s="215"/>
      <c r="VV120" s="215"/>
      <c r="VW120" s="215"/>
      <c r="VX120" s="215"/>
      <c r="VY120" s="215"/>
      <c r="VZ120" s="215"/>
      <c r="WA120" s="215"/>
      <c r="WB120" s="215"/>
      <c r="WC120" s="215"/>
      <c r="WD120" s="215"/>
      <c r="WE120" s="215"/>
      <c r="WF120" s="215"/>
      <c r="WG120" s="215"/>
      <c r="WH120" s="215"/>
      <c r="WI120" s="215"/>
      <c r="WJ120" s="215"/>
      <c r="WK120" s="215"/>
      <c r="WL120" s="215"/>
      <c r="WM120" s="215"/>
      <c r="WN120" s="215"/>
      <c r="WO120" s="215"/>
      <c r="WP120" s="215"/>
      <c r="WQ120" s="215"/>
      <c r="WR120" s="215"/>
      <c r="WS120" s="215"/>
      <c r="WT120" s="215"/>
      <c r="WU120" s="215"/>
      <c r="WV120" s="215"/>
      <c r="WW120" s="215"/>
      <c r="WX120" s="215"/>
      <c r="WY120" s="215"/>
      <c r="WZ120" s="215"/>
      <c r="XA120" s="215"/>
      <c r="XB120" s="215"/>
      <c r="XC120" s="215"/>
      <c r="XD120" s="215"/>
      <c r="XE120" s="215"/>
      <c r="XF120" s="215"/>
      <c r="XG120" s="215"/>
      <c r="XH120" s="215"/>
      <c r="XI120" s="215"/>
      <c r="XJ120" s="215"/>
      <c r="XK120" s="215"/>
      <c r="XL120" s="215"/>
      <c r="XM120" s="215"/>
      <c r="XN120" s="215"/>
      <c r="XO120" s="215"/>
      <c r="XP120" s="215"/>
      <c r="XQ120" s="215"/>
      <c r="XR120" s="215"/>
      <c r="XS120" s="215"/>
      <c r="XT120" s="215"/>
      <c r="XU120" s="215"/>
      <c r="XV120" s="215"/>
      <c r="XW120" s="215"/>
      <c r="XX120" s="215"/>
      <c r="XY120" s="215"/>
      <c r="XZ120" s="215"/>
      <c r="YA120" s="215"/>
      <c r="YB120" s="215"/>
      <c r="YC120" s="215"/>
      <c r="YD120" s="215"/>
      <c r="YE120" s="215"/>
      <c r="YF120" s="215"/>
      <c r="YG120" s="215"/>
      <c r="YH120" s="215"/>
      <c r="YI120" s="215"/>
      <c r="YJ120" s="215"/>
      <c r="YK120" s="215"/>
      <c r="YL120" s="215"/>
      <c r="YM120" s="215"/>
      <c r="YN120" s="215"/>
      <c r="YO120" s="215"/>
      <c r="YP120" s="215"/>
      <c r="YQ120" s="215"/>
      <c r="YR120" s="215"/>
      <c r="YS120" s="215"/>
      <c r="YT120" s="215"/>
      <c r="YU120" s="215"/>
      <c r="YV120" s="215"/>
      <c r="YW120" s="215"/>
      <c r="YX120" s="215"/>
      <c r="YY120" s="215"/>
      <c r="YZ120" s="215"/>
      <c r="ZA120" s="215"/>
      <c r="ZB120" s="215"/>
      <c r="ZC120" s="215"/>
      <c r="ZD120" s="215"/>
      <c r="ZE120" s="215"/>
      <c r="ZF120" s="215"/>
      <c r="ZG120" s="215"/>
      <c r="ZH120" s="215"/>
      <c r="ZI120" s="215"/>
      <c r="ZJ120" s="215"/>
      <c r="ZK120" s="215"/>
      <c r="ZL120" s="215"/>
      <c r="ZM120" s="215"/>
      <c r="ZN120" s="215"/>
      <c r="ZO120" s="215"/>
      <c r="ZP120" s="215"/>
      <c r="ZQ120" s="215"/>
      <c r="ZR120" s="215"/>
      <c r="ZS120" s="215"/>
      <c r="ZT120" s="215"/>
      <c r="ZU120" s="215"/>
      <c r="ZV120" s="215"/>
      <c r="ZW120" s="215"/>
      <c r="ZX120" s="215"/>
      <c r="ZY120" s="215"/>
      <c r="ZZ120" s="215"/>
      <c r="AAA120" s="215"/>
      <c r="AAB120" s="215"/>
      <c r="AAC120" s="215"/>
      <c r="AAD120" s="215"/>
      <c r="AAE120" s="215"/>
      <c r="AAF120" s="215"/>
      <c r="AAG120" s="215"/>
      <c r="AAH120" s="215"/>
      <c r="AAI120" s="215"/>
      <c r="AAJ120" s="215"/>
      <c r="AAK120" s="215"/>
      <c r="AAL120" s="215"/>
      <c r="AAM120" s="215"/>
      <c r="AAN120" s="215"/>
      <c r="AAO120" s="215"/>
      <c r="AAP120" s="215"/>
      <c r="AAQ120" s="215"/>
      <c r="AAR120" s="215"/>
      <c r="AAS120" s="215"/>
      <c r="AAT120" s="215"/>
      <c r="AAU120" s="215"/>
      <c r="AAV120" s="215"/>
      <c r="AAW120" s="215"/>
      <c r="AAX120" s="215"/>
      <c r="AAY120" s="215"/>
      <c r="AAZ120" s="215"/>
      <c r="ABA120" s="215"/>
      <c r="ABB120" s="215"/>
      <c r="ABC120" s="215"/>
      <c r="ABD120" s="215"/>
      <c r="ABE120" s="215"/>
      <c r="ABF120" s="215"/>
      <c r="ABG120" s="215"/>
      <c r="ABH120" s="215"/>
      <c r="ABI120" s="215"/>
      <c r="ABJ120" s="215"/>
      <c r="ABK120" s="215"/>
      <c r="ABL120" s="215"/>
      <c r="ABM120" s="215"/>
      <c r="ABN120" s="215"/>
      <c r="ABO120" s="215"/>
      <c r="ABP120" s="215"/>
      <c r="ABQ120" s="215"/>
      <c r="ABR120" s="215"/>
      <c r="ABS120" s="215"/>
      <c r="ABT120" s="215"/>
      <c r="ABU120" s="215"/>
      <c r="ABV120" s="215"/>
      <c r="ABW120" s="215"/>
      <c r="ABX120" s="215"/>
      <c r="ABY120" s="215"/>
      <c r="ABZ120" s="215"/>
      <c r="ACA120" s="215"/>
      <c r="ACB120" s="215"/>
      <c r="ACC120" s="215"/>
      <c r="ACD120" s="215"/>
      <c r="ACE120" s="215"/>
      <c r="ACF120" s="215"/>
      <c r="ACG120" s="215"/>
      <c r="ACH120" s="215"/>
      <c r="ACI120" s="215"/>
      <c r="ACJ120" s="215"/>
      <c r="ACK120" s="215"/>
      <c r="ACL120" s="215"/>
      <c r="ACM120" s="215"/>
      <c r="ACN120" s="215"/>
      <c r="ACO120" s="215"/>
      <c r="ACP120" s="215"/>
      <c r="ACQ120" s="215"/>
      <c r="ACR120" s="215"/>
      <c r="ACS120" s="215"/>
      <c r="ACT120" s="215"/>
      <c r="ACU120" s="215"/>
      <c r="ACV120" s="215"/>
      <c r="ACW120" s="215"/>
      <c r="ACX120" s="215"/>
      <c r="ACY120" s="215"/>
      <c r="ACZ120" s="215"/>
      <c r="ADA120" s="215"/>
      <c r="ADB120" s="215"/>
      <c r="ADC120" s="215"/>
      <c r="ADD120" s="215"/>
      <c r="ADE120" s="215"/>
      <c r="ADF120" s="215"/>
      <c r="ADG120" s="215"/>
      <c r="ADH120" s="215"/>
      <c r="ADI120" s="215"/>
      <c r="ADJ120" s="215"/>
      <c r="ADK120" s="215"/>
      <c r="ADL120" s="215"/>
      <c r="ADM120" s="215"/>
      <c r="ADN120" s="215"/>
      <c r="ADO120" s="215"/>
      <c r="ADP120" s="215"/>
      <c r="ADQ120" s="215"/>
      <c r="ADR120" s="215"/>
      <c r="ADS120" s="215"/>
      <c r="ADT120" s="215"/>
      <c r="ADU120" s="215"/>
      <c r="ADV120" s="215"/>
      <c r="ADW120" s="215"/>
      <c r="ADX120" s="215"/>
      <c r="ADY120" s="215"/>
      <c r="ADZ120" s="215"/>
      <c r="AEA120" s="215"/>
      <c r="AEB120" s="215"/>
      <c r="AEC120" s="215"/>
      <c r="AED120" s="215"/>
      <c r="AEE120" s="215"/>
      <c r="AEF120" s="215"/>
      <c r="AEG120" s="215"/>
      <c r="AEH120" s="215"/>
      <c r="AEI120" s="215"/>
      <c r="AEJ120" s="215"/>
      <c r="AEK120" s="215"/>
      <c r="AEL120" s="215"/>
      <c r="AEM120" s="215"/>
      <c r="AEN120" s="215"/>
      <c r="AEO120" s="215"/>
      <c r="AEP120" s="215"/>
      <c r="AEQ120" s="215"/>
      <c r="AER120" s="215"/>
      <c r="AES120" s="215"/>
      <c r="AET120" s="215"/>
      <c r="AEU120" s="215"/>
      <c r="AEV120" s="215"/>
      <c r="AEW120" s="215"/>
      <c r="AEX120" s="215"/>
      <c r="AEY120" s="215"/>
      <c r="AEZ120" s="215"/>
      <c r="AFA120" s="215"/>
      <c r="AFB120" s="215"/>
      <c r="AFC120" s="215"/>
      <c r="AFD120" s="215"/>
      <c r="AFE120" s="215"/>
      <c r="AFF120" s="215"/>
      <c r="AFG120" s="215"/>
      <c r="AFH120" s="215"/>
      <c r="AFI120" s="215"/>
      <c r="AFJ120" s="215"/>
      <c r="AFK120" s="215"/>
      <c r="AFL120" s="215"/>
      <c r="AFM120" s="215"/>
      <c r="AFN120" s="215"/>
      <c r="AFO120" s="215"/>
      <c r="AFP120" s="215"/>
      <c r="AFQ120" s="215"/>
      <c r="AFR120" s="215"/>
      <c r="AFS120" s="215"/>
      <c r="AFT120" s="215"/>
      <c r="AFU120" s="215"/>
      <c r="AFV120" s="215"/>
      <c r="AFW120" s="215"/>
      <c r="AFX120" s="215"/>
      <c r="AFY120" s="215"/>
      <c r="AFZ120" s="215"/>
      <c r="AGA120" s="215"/>
      <c r="AGB120" s="215"/>
      <c r="AGC120" s="215"/>
      <c r="AGD120" s="215"/>
      <c r="AGE120" s="215"/>
      <c r="AGF120" s="215"/>
      <c r="AGG120" s="215"/>
      <c r="AGH120" s="215"/>
      <c r="AGI120" s="215"/>
      <c r="AGJ120" s="215"/>
      <c r="AGK120" s="215"/>
      <c r="AGL120" s="215"/>
      <c r="AGM120" s="215"/>
      <c r="AGN120" s="215"/>
      <c r="AGO120" s="215"/>
      <c r="AGP120" s="215"/>
      <c r="AGQ120" s="215"/>
      <c r="AGR120" s="215"/>
      <c r="AGS120" s="215"/>
      <c r="AGT120" s="215"/>
      <c r="AGU120" s="215"/>
      <c r="AGV120" s="215"/>
      <c r="AGW120" s="215"/>
      <c r="AGX120" s="215"/>
      <c r="AGY120" s="215"/>
      <c r="AGZ120" s="215"/>
      <c r="AHA120" s="215"/>
      <c r="AHB120" s="215"/>
      <c r="AHC120" s="215"/>
      <c r="AHD120" s="215"/>
      <c r="AHE120" s="215"/>
      <c r="AHF120" s="215"/>
      <c r="AHG120" s="215"/>
      <c r="AHH120" s="215"/>
      <c r="AHI120" s="215"/>
      <c r="AHJ120" s="215"/>
      <c r="AHK120" s="215"/>
      <c r="AHL120" s="215"/>
      <c r="AHM120" s="215"/>
      <c r="AHN120" s="215"/>
      <c r="AHO120" s="215"/>
      <c r="AHP120" s="215"/>
      <c r="AHQ120" s="215"/>
      <c r="AHR120" s="215"/>
      <c r="AHS120" s="215"/>
      <c r="AHT120" s="215"/>
      <c r="AHU120" s="215"/>
      <c r="AHV120" s="215"/>
      <c r="AHW120" s="215"/>
      <c r="AHX120" s="215"/>
      <c r="AHY120" s="215"/>
      <c r="AHZ120" s="215"/>
      <c r="AIA120" s="215"/>
      <c r="AIB120" s="215"/>
      <c r="AIC120" s="215"/>
      <c r="AID120" s="215"/>
      <c r="AIE120" s="215"/>
      <c r="AIF120" s="215"/>
      <c r="AIG120" s="215"/>
      <c r="AIH120" s="215"/>
      <c r="AII120" s="215"/>
      <c r="AIJ120" s="215"/>
      <c r="AIK120" s="215"/>
      <c r="AIL120" s="215"/>
      <c r="AIM120" s="215"/>
      <c r="AIN120" s="215"/>
      <c r="AIO120" s="215"/>
      <c r="AIP120" s="215"/>
      <c r="AIQ120" s="215"/>
      <c r="AIR120" s="215"/>
      <c r="AIS120" s="215"/>
      <c r="AIT120" s="215"/>
      <c r="AIU120" s="215"/>
      <c r="AIV120" s="215"/>
      <c r="AIW120" s="215"/>
      <c r="AIX120" s="215"/>
      <c r="AIY120" s="215"/>
      <c r="AIZ120" s="215"/>
      <c r="AJA120" s="215"/>
      <c r="AJB120" s="215"/>
      <c r="AJC120" s="215"/>
      <c r="AJD120" s="215"/>
      <c r="AJE120" s="215"/>
      <c r="AJF120" s="215"/>
      <c r="AJG120" s="215"/>
      <c r="AJH120" s="215"/>
      <c r="AJI120" s="215"/>
      <c r="AJJ120" s="215"/>
      <c r="AJK120" s="215"/>
      <c r="AJL120" s="215"/>
      <c r="AJM120" s="215"/>
      <c r="AJN120" s="215"/>
      <c r="AJO120" s="215"/>
      <c r="AJP120" s="215"/>
      <c r="AJQ120" s="215"/>
      <c r="AJR120" s="215"/>
      <c r="AJS120" s="215"/>
      <c r="AJT120" s="215"/>
      <c r="AJU120" s="215"/>
      <c r="AJV120" s="215"/>
      <c r="AJW120" s="215"/>
      <c r="AJX120" s="215"/>
      <c r="AJY120" s="215"/>
      <c r="AJZ120" s="215"/>
      <c r="AKA120" s="215"/>
      <c r="AKB120" s="215"/>
      <c r="AKC120" s="215"/>
      <c r="AKD120" s="215"/>
      <c r="AKE120" s="215"/>
      <c r="AKF120" s="215"/>
      <c r="AKG120" s="215"/>
      <c r="AKH120" s="215"/>
      <c r="AKI120" s="215"/>
      <c r="AKJ120" s="215"/>
      <c r="AKK120" s="215"/>
      <c r="AKL120" s="215"/>
      <c r="AKM120" s="215"/>
      <c r="AKN120" s="215"/>
      <c r="AKO120" s="215"/>
      <c r="AKP120" s="215"/>
      <c r="AKQ120" s="215"/>
      <c r="AKR120" s="215"/>
      <c r="AKS120" s="215"/>
      <c r="AKT120" s="215"/>
      <c r="AKU120" s="215"/>
      <c r="AKV120" s="215"/>
      <c r="AKW120" s="215"/>
      <c r="AKX120" s="215"/>
      <c r="AKY120" s="215"/>
      <c r="AKZ120" s="215"/>
      <c r="ALA120" s="215"/>
      <c r="ALB120" s="215"/>
      <c r="ALC120" s="215"/>
      <c r="ALD120" s="215"/>
      <c r="ALE120" s="215"/>
      <c r="ALF120" s="215"/>
      <c r="ALG120" s="215"/>
      <c r="ALH120" s="215"/>
      <c r="ALI120" s="215"/>
      <c r="ALJ120" s="215"/>
      <c r="ALK120" s="215"/>
      <c r="ALL120" s="215"/>
      <c r="ALM120" s="215"/>
      <c r="ALN120" s="215"/>
      <c r="ALO120" s="215"/>
      <c r="ALP120" s="215"/>
      <c r="ALQ120" s="215"/>
      <c r="ALR120" s="215"/>
      <c r="ALS120" s="215"/>
      <c r="ALT120" s="215"/>
      <c r="ALU120" s="215"/>
      <c r="ALV120" s="215"/>
      <c r="ALW120" s="215"/>
      <c r="ALX120" s="215"/>
      <c r="ALY120" s="215"/>
      <c r="ALZ120" s="215"/>
      <c r="AMA120" s="215"/>
      <c r="AMB120" s="215"/>
      <c r="AMC120" s="215"/>
      <c r="AMD120" s="215"/>
      <c r="AME120" s="215"/>
      <c r="AMF120" s="215"/>
      <c r="AMG120" s="215"/>
      <c r="AMH120" s="215"/>
      <c r="AMI120" s="215"/>
      <c r="AMJ120" s="215"/>
      <c r="AMK120" s="215"/>
      <c r="AML120" s="215"/>
      <c r="AMM120" s="215"/>
      <c r="AMN120" s="215"/>
      <c r="AMO120" s="215"/>
      <c r="AMP120" s="215"/>
      <c r="AMQ120" s="215"/>
      <c r="AMR120" s="215"/>
      <c r="AMS120" s="215"/>
      <c r="AMT120" s="215"/>
      <c r="AMU120" s="215"/>
      <c r="AMV120" s="215"/>
      <c r="AMW120" s="215"/>
      <c r="AMX120" s="215"/>
      <c r="AMY120" s="215"/>
      <c r="AMZ120" s="215"/>
      <c r="ANA120" s="215"/>
      <c r="ANB120" s="215"/>
      <c r="ANC120" s="215"/>
      <c r="AND120" s="215"/>
      <c r="ANE120" s="215"/>
      <c r="ANF120" s="215"/>
      <c r="ANG120" s="215"/>
      <c r="ANH120" s="215"/>
      <c r="ANI120" s="215"/>
      <c r="ANJ120" s="215"/>
      <c r="ANK120" s="215"/>
      <c r="ANL120" s="215"/>
      <c r="ANM120" s="215"/>
      <c r="ANN120" s="215"/>
      <c r="ANO120" s="215"/>
      <c r="ANP120" s="215"/>
      <c r="ANQ120" s="215"/>
      <c r="ANR120" s="215"/>
      <c r="ANS120" s="215"/>
      <c r="ANT120" s="215"/>
      <c r="ANU120" s="215"/>
      <c r="ANV120" s="215"/>
      <c r="ANW120" s="215"/>
      <c r="ANX120" s="215"/>
      <c r="ANY120" s="215"/>
      <c r="ANZ120" s="215"/>
      <c r="AOA120" s="215"/>
      <c r="AOB120" s="215"/>
      <c r="AOC120" s="215"/>
      <c r="AOD120" s="215"/>
      <c r="AOE120" s="215"/>
      <c r="AOF120" s="215"/>
      <c r="AOG120" s="215"/>
      <c r="AOH120" s="215"/>
      <c r="AOI120" s="215"/>
      <c r="AOJ120" s="215"/>
      <c r="AOK120" s="215"/>
      <c r="AOL120" s="215"/>
      <c r="AOM120" s="215"/>
      <c r="AON120" s="215"/>
      <c r="AOO120" s="215"/>
      <c r="AOP120" s="215"/>
      <c r="AOQ120" s="215"/>
      <c r="AOR120" s="215"/>
      <c r="AOS120" s="215"/>
      <c r="AOT120" s="215"/>
      <c r="AOU120" s="215"/>
      <c r="AOV120" s="215"/>
      <c r="AOW120" s="215"/>
      <c r="AOX120" s="215"/>
      <c r="AOY120" s="215"/>
      <c r="AOZ120" s="215"/>
      <c r="APA120" s="215"/>
      <c r="APB120" s="215"/>
      <c r="APC120" s="215"/>
      <c r="APD120" s="215"/>
      <c r="APE120" s="215"/>
      <c r="APF120" s="215"/>
      <c r="APG120" s="215"/>
      <c r="APH120" s="215"/>
      <c r="API120" s="215"/>
      <c r="APJ120" s="215"/>
      <c r="APK120" s="215"/>
      <c r="APL120" s="215"/>
      <c r="APM120" s="215"/>
      <c r="APN120" s="215"/>
      <c r="APO120" s="215"/>
      <c r="APP120" s="215"/>
      <c r="APQ120" s="215"/>
      <c r="APR120" s="215"/>
      <c r="APS120" s="215"/>
      <c r="APT120" s="215"/>
      <c r="APU120" s="215"/>
      <c r="APV120" s="215"/>
      <c r="APW120" s="215"/>
      <c r="APX120" s="215"/>
      <c r="APY120" s="215"/>
      <c r="APZ120" s="215"/>
      <c r="AQA120" s="215"/>
      <c r="AQB120" s="215"/>
      <c r="AQC120" s="215"/>
      <c r="AQD120" s="215"/>
      <c r="AQE120" s="215"/>
      <c r="AQF120" s="215"/>
      <c r="AQG120" s="215"/>
      <c r="AQH120" s="215"/>
      <c r="AQI120" s="215"/>
      <c r="AQJ120" s="215"/>
      <c r="AQK120" s="215"/>
      <c r="AQL120" s="215"/>
      <c r="AQM120" s="215"/>
      <c r="AQN120" s="215"/>
      <c r="AQO120" s="215"/>
      <c r="AQP120" s="215"/>
      <c r="AQQ120" s="215"/>
      <c r="AQR120" s="215"/>
      <c r="AQS120" s="215"/>
      <c r="AQT120" s="215"/>
      <c r="AQU120" s="215"/>
      <c r="AQV120" s="215"/>
      <c r="AQW120" s="215"/>
      <c r="AQX120" s="215"/>
      <c r="AQY120" s="215"/>
      <c r="AQZ120" s="215"/>
      <c r="ARA120" s="215"/>
      <c r="ARB120" s="215"/>
      <c r="ARC120" s="215"/>
      <c r="ARD120" s="215"/>
      <c r="ARE120" s="215"/>
      <c r="ARF120" s="215"/>
      <c r="ARG120" s="215"/>
      <c r="ARH120" s="215"/>
      <c r="ARI120" s="215"/>
      <c r="ARJ120" s="215"/>
      <c r="ARK120" s="215"/>
      <c r="ARL120" s="215"/>
      <c r="ARM120" s="215"/>
      <c r="ARN120" s="215"/>
      <c r="ARO120" s="215"/>
      <c r="ARP120" s="215"/>
      <c r="ARQ120" s="215"/>
      <c r="ARR120" s="215"/>
      <c r="ARS120" s="215"/>
      <c r="ART120" s="215"/>
      <c r="ARU120" s="215"/>
      <c r="ARV120" s="215"/>
      <c r="ARW120" s="215"/>
      <c r="ARX120" s="215"/>
      <c r="ARY120" s="215"/>
      <c r="ARZ120" s="215"/>
      <c r="ASA120" s="215"/>
      <c r="ASB120" s="215"/>
      <c r="ASC120" s="215"/>
      <c r="ASD120" s="215"/>
      <c r="ASE120" s="215"/>
      <c r="ASF120" s="215"/>
      <c r="ASG120" s="215"/>
      <c r="ASH120" s="215"/>
      <c r="ASI120" s="215"/>
      <c r="ASJ120" s="215"/>
      <c r="ASK120" s="215"/>
      <c r="ASL120" s="215"/>
      <c r="ASM120" s="215"/>
      <c r="ASN120" s="215"/>
      <c r="ASO120" s="215"/>
      <c r="ASP120" s="215"/>
      <c r="ASQ120" s="215"/>
      <c r="ASR120" s="215"/>
      <c r="ASS120" s="215"/>
      <c r="AST120" s="215"/>
      <c r="ASU120" s="215"/>
      <c r="ASV120" s="215"/>
      <c r="ASW120" s="215"/>
      <c r="ASX120" s="215"/>
      <c r="ASY120" s="215"/>
      <c r="ASZ120" s="215"/>
      <c r="ATA120" s="215"/>
      <c r="ATB120" s="215"/>
      <c r="ATC120" s="215"/>
      <c r="ATD120" s="215"/>
      <c r="ATE120" s="215"/>
      <c r="ATF120" s="215"/>
      <c r="ATG120" s="215"/>
      <c r="ATH120" s="215"/>
      <c r="ATI120" s="215"/>
      <c r="ATJ120" s="215"/>
      <c r="ATK120" s="215"/>
      <c r="ATL120" s="215"/>
      <c r="ATM120" s="215"/>
      <c r="ATN120" s="215"/>
      <c r="ATO120" s="215"/>
      <c r="ATP120" s="215"/>
      <c r="ATQ120" s="215"/>
      <c r="ATR120" s="215"/>
      <c r="ATS120" s="215"/>
      <c r="ATT120" s="215"/>
      <c r="ATU120" s="215"/>
      <c r="ATV120" s="215"/>
      <c r="ATW120" s="215"/>
      <c r="ATX120" s="215"/>
      <c r="ATY120" s="215"/>
      <c r="ATZ120" s="215"/>
      <c r="AUA120" s="215"/>
      <c r="AUB120" s="215"/>
      <c r="AUC120" s="215"/>
      <c r="AUD120" s="215"/>
      <c r="AUE120" s="215"/>
      <c r="AUF120" s="215"/>
      <c r="AUG120" s="215"/>
      <c r="AUH120" s="215"/>
      <c r="AUI120" s="215"/>
      <c r="AUJ120" s="215"/>
      <c r="AUK120" s="215"/>
      <c r="AUL120" s="215"/>
      <c r="AUM120" s="215"/>
      <c r="AUN120" s="215"/>
      <c r="AUO120" s="215"/>
      <c r="AUP120" s="215"/>
      <c r="AUQ120" s="215"/>
      <c r="AUR120" s="215"/>
      <c r="AUS120" s="215"/>
      <c r="AUT120" s="215"/>
      <c r="AUU120" s="215"/>
      <c r="AUV120" s="215"/>
      <c r="AUW120" s="215"/>
      <c r="AUX120" s="215"/>
      <c r="AUY120" s="215"/>
      <c r="AUZ120" s="215"/>
      <c r="AVA120" s="215"/>
      <c r="AVB120" s="215"/>
      <c r="AVC120" s="215"/>
      <c r="AVD120" s="215"/>
      <c r="AVE120" s="215"/>
      <c r="AVF120" s="215"/>
      <c r="AVG120" s="215"/>
      <c r="AVH120" s="215"/>
      <c r="AVI120" s="215"/>
      <c r="AVJ120" s="215"/>
      <c r="AVK120" s="215"/>
      <c r="AVL120" s="215"/>
      <c r="AVM120" s="215"/>
      <c r="AVN120" s="215"/>
      <c r="AVO120" s="215"/>
      <c r="AVP120" s="215"/>
      <c r="AVQ120" s="215"/>
      <c r="AVR120" s="215"/>
      <c r="AVS120" s="215"/>
      <c r="AVT120" s="215"/>
      <c r="AVU120" s="215"/>
      <c r="AVV120" s="215"/>
      <c r="AVW120" s="215"/>
      <c r="AVX120" s="215"/>
      <c r="AVY120" s="215"/>
      <c r="AVZ120" s="215"/>
      <c r="AWA120" s="215"/>
      <c r="AWB120" s="215"/>
      <c r="AWC120" s="215"/>
      <c r="AWD120" s="215"/>
      <c r="AWE120" s="215"/>
      <c r="AWF120" s="215"/>
      <c r="AWG120" s="215"/>
      <c r="AWH120" s="215"/>
      <c r="AWI120" s="215"/>
      <c r="AWJ120" s="215"/>
      <c r="AWK120" s="215"/>
      <c r="AWL120" s="215"/>
      <c r="AWM120" s="215"/>
      <c r="AWN120" s="215"/>
      <c r="AWO120" s="215"/>
      <c r="AWP120" s="215"/>
      <c r="AWQ120" s="215"/>
      <c r="AWR120" s="215"/>
      <c r="AWS120" s="215"/>
      <c r="AWT120" s="215"/>
      <c r="AWU120" s="215"/>
      <c r="AWV120" s="215"/>
      <c r="AWW120" s="215"/>
      <c r="AWX120" s="215"/>
      <c r="AWY120" s="215"/>
      <c r="AWZ120" s="215"/>
      <c r="AXA120" s="215"/>
      <c r="AXB120" s="215"/>
      <c r="AXC120" s="215"/>
      <c r="AXD120" s="215"/>
      <c r="AXE120" s="215"/>
      <c r="AXF120" s="215"/>
      <c r="AXG120" s="215"/>
      <c r="AXH120" s="215"/>
      <c r="AXI120" s="215"/>
      <c r="AXJ120" s="215"/>
      <c r="AXK120" s="215"/>
      <c r="AXL120" s="215"/>
      <c r="AXM120" s="215"/>
      <c r="AXN120" s="215"/>
      <c r="AXO120" s="215"/>
      <c r="AXP120" s="215"/>
      <c r="AXQ120" s="215"/>
      <c r="AXR120" s="215"/>
      <c r="AXS120" s="215"/>
      <c r="AXT120" s="215"/>
      <c r="AXU120" s="215"/>
      <c r="AXV120" s="215"/>
      <c r="AXW120" s="215"/>
      <c r="AXX120" s="215"/>
      <c r="AXY120" s="215"/>
      <c r="AXZ120" s="215"/>
      <c r="AYA120" s="215"/>
      <c r="AYB120" s="215"/>
      <c r="AYC120" s="215"/>
      <c r="AYD120" s="215"/>
      <c r="AYE120" s="215"/>
      <c r="AYF120" s="215"/>
      <c r="AYG120" s="215"/>
      <c r="AYH120" s="215"/>
      <c r="AYI120" s="215"/>
      <c r="AYJ120" s="215"/>
      <c r="AYK120" s="215"/>
      <c r="AYL120" s="215"/>
      <c r="AYM120" s="215"/>
      <c r="AYN120" s="215"/>
      <c r="AYO120" s="215"/>
      <c r="AYP120" s="215"/>
      <c r="AYQ120" s="215"/>
      <c r="AYR120" s="215"/>
      <c r="AYS120" s="215"/>
      <c r="AYT120" s="215"/>
      <c r="AYU120" s="215"/>
      <c r="AYV120" s="215"/>
      <c r="AYW120" s="215"/>
      <c r="AYX120" s="215"/>
      <c r="AYY120" s="215"/>
      <c r="AYZ120" s="215"/>
      <c r="AZA120" s="215"/>
      <c r="AZB120" s="215"/>
      <c r="AZC120" s="215"/>
      <c r="AZD120" s="215"/>
      <c r="AZE120" s="215"/>
      <c r="AZF120" s="215"/>
      <c r="AZG120" s="215"/>
      <c r="AZH120" s="215"/>
      <c r="AZI120" s="215"/>
      <c r="AZJ120" s="215"/>
      <c r="AZK120" s="215"/>
      <c r="AZL120" s="215"/>
      <c r="AZM120" s="215"/>
      <c r="AZN120" s="215"/>
      <c r="AZO120" s="215"/>
      <c r="AZP120" s="215"/>
      <c r="AZQ120" s="215"/>
      <c r="AZR120" s="215"/>
      <c r="AZS120" s="215"/>
      <c r="AZT120" s="215"/>
      <c r="AZU120" s="215"/>
      <c r="AZV120" s="215"/>
      <c r="AZW120" s="215"/>
      <c r="AZX120" s="215"/>
      <c r="AZY120" s="215"/>
      <c r="AZZ120" s="215"/>
      <c r="BAA120" s="215"/>
      <c r="BAB120" s="215"/>
      <c r="BAC120" s="215"/>
      <c r="BAD120" s="215"/>
      <c r="BAE120" s="215"/>
      <c r="BAF120" s="215"/>
      <c r="BAG120" s="215"/>
      <c r="BAH120" s="215"/>
      <c r="BAI120" s="215"/>
      <c r="BAJ120" s="215"/>
      <c r="BAK120" s="215"/>
      <c r="BAL120" s="215"/>
      <c r="BAM120" s="215"/>
      <c r="BAN120" s="215"/>
      <c r="BAO120" s="215"/>
      <c r="BAP120" s="215"/>
      <c r="BAQ120" s="215"/>
      <c r="BAR120" s="215"/>
      <c r="BAS120" s="215"/>
      <c r="BAT120" s="215"/>
      <c r="BAU120" s="215"/>
      <c r="BAV120" s="215"/>
      <c r="BAW120" s="215"/>
      <c r="BAX120" s="215"/>
      <c r="BAY120" s="215"/>
      <c r="BAZ120" s="215"/>
      <c r="BBA120" s="215"/>
      <c r="BBB120" s="215"/>
      <c r="BBC120" s="215"/>
      <c r="BBD120" s="215"/>
      <c r="BBE120" s="215"/>
      <c r="BBF120" s="215"/>
      <c r="BBG120" s="215"/>
      <c r="BBH120" s="215"/>
      <c r="BBI120" s="215"/>
      <c r="BBJ120" s="215"/>
      <c r="BBK120" s="215"/>
      <c r="BBL120" s="215"/>
      <c r="BBM120" s="215"/>
      <c r="BBN120" s="215"/>
      <c r="BBO120" s="215"/>
      <c r="BBP120" s="215"/>
      <c r="BBQ120" s="215"/>
      <c r="BBR120" s="215"/>
      <c r="BBS120" s="215"/>
      <c r="BBT120" s="215"/>
      <c r="BBU120" s="215"/>
      <c r="BBV120" s="215"/>
      <c r="BBW120" s="215"/>
      <c r="BBX120" s="215"/>
      <c r="BBY120" s="215"/>
      <c r="BBZ120" s="215"/>
      <c r="BCA120" s="215"/>
      <c r="BCB120" s="215"/>
      <c r="BCC120" s="215"/>
      <c r="BCD120" s="215"/>
      <c r="BCE120" s="215"/>
      <c r="BCF120" s="215"/>
      <c r="BCG120" s="215"/>
      <c r="BCH120" s="215"/>
      <c r="BCI120" s="215"/>
      <c r="BCJ120" s="215"/>
      <c r="BCK120" s="215"/>
      <c r="BCL120" s="215"/>
      <c r="BCM120" s="215"/>
      <c r="BCN120" s="215"/>
      <c r="BCO120" s="215"/>
      <c r="BCP120" s="215"/>
      <c r="BCQ120" s="215"/>
      <c r="BCR120" s="215"/>
      <c r="BCS120" s="215"/>
      <c r="BCT120" s="215"/>
      <c r="BCU120" s="215"/>
      <c r="BCV120" s="215"/>
      <c r="BCW120" s="215"/>
      <c r="BCX120" s="215"/>
      <c r="BCY120" s="215"/>
      <c r="BCZ120" s="215"/>
      <c r="BDA120" s="215"/>
      <c r="BDB120" s="215"/>
      <c r="BDC120" s="215"/>
      <c r="BDD120" s="215"/>
      <c r="BDE120" s="215"/>
      <c r="BDF120" s="215"/>
      <c r="BDG120" s="215"/>
      <c r="BDH120" s="215"/>
      <c r="BDI120" s="215"/>
      <c r="BDJ120" s="215"/>
      <c r="BDK120" s="215"/>
      <c r="BDL120" s="215"/>
      <c r="BDM120" s="215"/>
      <c r="BDN120" s="215"/>
      <c r="BDO120" s="215"/>
      <c r="BDP120" s="215"/>
      <c r="BDQ120" s="215"/>
      <c r="BDR120" s="215"/>
      <c r="BDS120" s="215"/>
      <c r="BDT120" s="215"/>
      <c r="BDU120" s="215"/>
      <c r="BDV120" s="215"/>
      <c r="BDW120" s="215"/>
      <c r="BDX120" s="215"/>
      <c r="BDY120" s="215"/>
      <c r="BDZ120" s="215"/>
      <c r="BEA120" s="215"/>
      <c r="BEB120" s="215"/>
      <c r="BEC120" s="215"/>
      <c r="BED120" s="215"/>
      <c r="BEE120" s="215"/>
      <c r="BEF120" s="215"/>
      <c r="BEG120" s="215"/>
      <c r="BEH120" s="215"/>
      <c r="BEI120" s="215"/>
      <c r="BEJ120" s="215"/>
      <c r="BEK120" s="215"/>
      <c r="BEL120" s="215"/>
      <c r="BEM120" s="215"/>
      <c r="BEN120" s="215"/>
      <c r="BEO120" s="215"/>
      <c r="BEP120" s="215"/>
      <c r="BEQ120" s="215"/>
      <c r="BER120" s="215"/>
      <c r="BES120" s="215"/>
      <c r="BET120" s="215"/>
      <c r="BEU120" s="215"/>
      <c r="BEV120" s="215"/>
      <c r="BEW120" s="215"/>
      <c r="BEX120" s="215"/>
      <c r="BEY120" s="215"/>
      <c r="BEZ120" s="215"/>
      <c r="BFA120" s="215"/>
      <c r="BFB120" s="215"/>
      <c r="BFC120" s="215"/>
      <c r="BFD120" s="215"/>
      <c r="BFE120" s="215"/>
      <c r="BFF120" s="215"/>
      <c r="BFG120" s="215"/>
      <c r="BFH120" s="215"/>
      <c r="BFI120" s="215"/>
      <c r="BFJ120" s="215"/>
      <c r="BFK120" s="215"/>
      <c r="BFL120" s="215"/>
      <c r="BFM120" s="215"/>
      <c r="BFN120" s="215"/>
      <c r="BFO120" s="215"/>
      <c r="BFP120" s="215"/>
      <c r="BFQ120" s="215"/>
      <c r="BFR120" s="215"/>
      <c r="BFS120" s="215"/>
      <c r="BFT120" s="215"/>
      <c r="BFU120" s="215"/>
      <c r="BFV120" s="215"/>
      <c r="BFW120" s="215"/>
      <c r="BFX120" s="215"/>
      <c r="BFY120" s="215"/>
      <c r="BFZ120" s="215"/>
      <c r="BGA120" s="215"/>
      <c r="BGB120" s="215"/>
      <c r="BGC120" s="215"/>
      <c r="BGD120" s="215"/>
      <c r="BGE120" s="215"/>
      <c r="BGF120" s="215"/>
      <c r="BGG120" s="215"/>
      <c r="BGH120" s="215"/>
      <c r="BGI120" s="215"/>
      <c r="BGJ120" s="215"/>
      <c r="BGK120" s="215"/>
      <c r="BGL120" s="215"/>
      <c r="BGM120" s="215"/>
      <c r="BGN120" s="215"/>
      <c r="BGO120" s="215"/>
      <c r="BGP120" s="215"/>
      <c r="BGQ120" s="215"/>
      <c r="BGR120" s="215"/>
      <c r="BGS120" s="215"/>
      <c r="BGT120" s="215"/>
      <c r="BGU120" s="215"/>
      <c r="BGV120" s="215"/>
      <c r="BGW120" s="215"/>
      <c r="BGX120" s="215"/>
      <c r="BGY120" s="215"/>
      <c r="BGZ120" s="215"/>
      <c r="BHA120" s="215"/>
      <c r="BHB120" s="215"/>
      <c r="BHC120" s="215"/>
      <c r="BHD120" s="215"/>
      <c r="BHE120" s="215"/>
      <c r="BHF120" s="215"/>
      <c r="BHG120" s="215"/>
      <c r="BHH120" s="215"/>
      <c r="BHI120" s="215"/>
      <c r="BHJ120" s="215"/>
      <c r="BHK120" s="215"/>
      <c r="BHL120" s="215"/>
      <c r="BHM120" s="215"/>
      <c r="BHN120" s="215"/>
      <c r="BHO120" s="215"/>
      <c r="BHP120" s="215"/>
      <c r="BHQ120" s="215"/>
      <c r="BHR120" s="215"/>
      <c r="BHS120" s="215"/>
      <c r="BHT120" s="215"/>
      <c r="BHU120" s="215"/>
      <c r="BHV120" s="215"/>
      <c r="BHW120" s="215"/>
    </row>
    <row r="121" spans="1:1583" s="217" customFormat="1" ht="14.25" customHeight="1" thickBot="1">
      <c r="A121" s="247"/>
      <c r="B121" s="255" t="s">
        <v>150</v>
      </c>
      <c r="C121" s="255" t="s">
        <v>150</v>
      </c>
      <c r="D121" s="426" t="s">
        <v>652</v>
      </c>
      <c r="E121" s="59" t="s">
        <v>149</v>
      </c>
      <c r="F121" s="141">
        <v>355</v>
      </c>
      <c r="G121" s="60" t="s">
        <v>771</v>
      </c>
      <c r="H121" s="473">
        <f t="shared" si="25"/>
        <v>0</v>
      </c>
      <c r="I121" s="93"/>
      <c r="J121" s="255"/>
      <c r="K121" s="93"/>
      <c r="L121" s="93"/>
      <c r="M121" s="93"/>
      <c r="N121" s="93"/>
      <c r="O121" s="93"/>
      <c r="P121" s="93"/>
      <c r="Q121" s="93"/>
      <c r="R121" s="93"/>
      <c r="S121" s="93"/>
      <c r="T121" s="93"/>
      <c r="U121" s="93"/>
      <c r="V121" s="93"/>
      <c r="W121" s="93"/>
      <c r="X121" s="93"/>
      <c r="Y121" s="93"/>
      <c r="Z121" s="93"/>
      <c r="AA121" s="93"/>
      <c r="AB121" s="93"/>
      <c r="AC121" s="93"/>
      <c r="AD121" s="93"/>
      <c r="AE121" s="93"/>
      <c r="AF121" s="93"/>
      <c r="AG121" s="93"/>
      <c r="AH121" s="93"/>
      <c r="AI121" s="93"/>
      <c r="AJ121" s="93"/>
      <c r="AK121" s="93"/>
      <c r="AL121" s="93"/>
      <c r="AM121" s="93"/>
      <c r="AN121" s="93"/>
      <c r="AO121" s="214"/>
      <c r="AP121" s="214"/>
      <c r="AQ121" s="214"/>
      <c r="AR121" s="214"/>
      <c r="AS121" s="214"/>
      <c r="AT121" s="214"/>
      <c r="AU121" s="214"/>
      <c r="AV121" s="214"/>
      <c r="AW121" s="214"/>
      <c r="AX121" s="214"/>
      <c r="AY121" s="214"/>
      <c r="AZ121" s="214"/>
      <c r="BA121" s="214"/>
      <c r="BB121" s="214"/>
      <c r="BC121" s="214"/>
      <c r="BD121" s="214"/>
      <c r="BE121" s="214"/>
      <c r="BF121" s="214"/>
      <c r="BG121" s="214"/>
      <c r="BH121" s="214"/>
      <c r="BI121" s="214"/>
      <c r="BJ121" s="214"/>
      <c r="BK121" s="214"/>
      <c r="BL121" s="214"/>
      <c r="BM121" s="214"/>
      <c r="BN121" s="214"/>
      <c r="BO121" s="214"/>
      <c r="BP121" s="214"/>
      <c r="BQ121" s="214"/>
      <c r="BR121" s="214"/>
      <c r="BS121" s="214"/>
      <c r="BT121" s="214"/>
      <c r="BU121" s="214"/>
      <c r="BV121" s="214"/>
      <c r="BW121" s="214"/>
      <c r="BX121" s="214"/>
      <c r="BY121" s="214"/>
      <c r="BZ121" s="214"/>
      <c r="CA121" s="214"/>
      <c r="CB121" s="214"/>
      <c r="CC121" s="214"/>
      <c r="CD121" s="214"/>
      <c r="CE121" s="214"/>
      <c r="CF121" s="214"/>
      <c r="CG121" s="214"/>
      <c r="CH121" s="214"/>
      <c r="CI121" s="214"/>
      <c r="CJ121" s="214"/>
      <c r="CK121" s="214"/>
      <c r="CL121" s="214"/>
      <c r="CM121" s="214"/>
      <c r="CN121" s="214"/>
      <c r="CO121" s="214"/>
      <c r="CP121" s="214"/>
      <c r="CQ121" s="214"/>
      <c r="CR121" s="214"/>
      <c r="CS121" s="214"/>
      <c r="CT121" s="214"/>
      <c r="CU121" s="214"/>
      <c r="CV121" s="214"/>
      <c r="CW121" s="214"/>
      <c r="CX121" s="214"/>
      <c r="CY121" s="214"/>
      <c r="CZ121" s="214"/>
      <c r="DA121" s="214"/>
      <c r="DB121" s="214"/>
      <c r="DC121" s="214"/>
      <c r="DD121" s="214"/>
      <c r="DE121" s="214"/>
      <c r="DF121" s="214"/>
      <c r="DG121" s="214"/>
      <c r="DH121" s="214"/>
      <c r="DI121" s="214"/>
      <c r="DJ121" s="214"/>
      <c r="DK121" s="214"/>
      <c r="DL121" s="214"/>
      <c r="DM121" s="214"/>
      <c r="DN121" s="214"/>
      <c r="DO121" s="214"/>
      <c r="DP121" s="214"/>
      <c r="DQ121" s="214"/>
      <c r="DR121" s="214"/>
      <c r="DS121" s="214"/>
      <c r="DT121" s="214"/>
      <c r="DU121" s="214"/>
      <c r="DV121" s="214"/>
      <c r="DW121" s="214"/>
      <c r="DX121" s="214"/>
      <c r="DY121" s="214"/>
      <c r="DZ121" s="214"/>
      <c r="EA121" s="214"/>
      <c r="EB121" s="214"/>
      <c r="EC121" s="214"/>
      <c r="ED121" s="214"/>
      <c r="EE121" s="214"/>
      <c r="EF121" s="214"/>
      <c r="EG121" s="214"/>
      <c r="EH121" s="214"/>
      <c r="EI121" s="214"/>
      <c r="EJ121" s="214"/>
      <c r="EK121" s="214"/>
      <c r="EL121" s="214"/>
      <c r="EM121" s="214"/>
      <c r="EN121" s="214"/>
      <c r="EO121" s="214"/>
      <c r="EP121" s="214"/>
      <c r="EQ121" s="214"/>
      <c r="ER121" s="214"/>
      <c r="ES121" s="214"/>
      <c r="ET121" s="214"/>
      <c r="EU121" s="214"/>
      <c r="EV121" s="214"/>
      <c r="EW121" s="214"/>
      <c r="EX121" s="214"/>
      <c r="EY121" s="214"/>
      <c r="EZ121" s="214"/>
      <c r="FA121" s="214"/>
      <c r="FB121" s="214"/>
      <c r="FC121" s="214"/>
      <c r="FD121" s="214"/>
      <c r="FE121" s="214"/>
      <c r="FF121" s="214"/>
      <c r="FG121" s="214"/>
      <c r="FH121" s="214"/>
      <c r="FI121" s="214"/>
      <c r="FJ121" s="214"/>
      <c r="FK121" s="214"/>
      <c r="FL121" s="214"/>
      <c r="FM121" s="214"/>
      <c r="FN121" s="214"/>
      <c r="FO121" s="214"/>
      <c r="FP121" s="214"/>
      <c r="FQ121" s="214"/>
      <c r="FR121" s="214"/>
      <c r="FS121" s="214"/>
      <c r="FT121" s="214"/>
      <c r="FU121" s="214"/>
      <c r="FV121" s="214"/>
      <c r="FW121" s="214"/>
      <c r="FX121" s="214"/>
      <c r="FY121" s="214"/>
      <c r="FZ121" s="214"/>
      <c r="GA121" s="214"/>
      <c r="GB121" s="214"/>
      <c r="GC121" s="214"/>
      <c r="GD121" s="214"/>
      <c r="GE121" s="214"/>
      <c r="GF121" s="214"/>
      <c r="GG121" s="214"/>
      <c r="GH121" s="214"/>
      <c r="GI121" s="214"/>
      <c r="GJ121" s="214"/>
      <c r="GK121" s="214"/>
      <c r="GL121" s="214"/>
      <c r="GM121" s="214"/>
      <c r="GN121" s="214"/>
      <c r="GO121" s="214"/>
      <c r="GP121" s="214"/>
      <c r="GQ121" s="214"/>
      <c r="GR121" s="214"/>
      <c r="GS121" s="214"/>
      <c r="GT121" s="214"/>
      <c r="GU121" s="214"/>
      <c r="GV121" s="214"/>
      <c r="GW121" s="214"/>
      <c r="GX121" s="214"/>
      <c r="GY121" s="214"/>
      <c r="GZ121" s="214"/>
      <c r="HA121" s="214"/>
      <c r="HB121" s="214"/>
      <c r="HC121" s="214"/>
      <c r="HD121" s="214"/>
      <c r="HE121" s="214"/>
      <c r="HF121" s="214"/>
      <c r="HG121" s="214"/>
      <c r="HH121" s="214"/>
      <c r="HI121" s="214"/>
      <c r="HJ121" s="214"/>
      <c r="HK121" s="214"/>
      <c r="HL121" s="214"/>
      <c r="HM121" s="214"/>
      <c r="HN121" s="214"/>
      <c r="HO121" s="214"/>
      <c r="HP121" s="214"/>
      <c r="HQ121" s="214"/>
      <c r="HR121" s="214"/>
      <c r="HS121" s="214"/>
      <c r="HT121" s="214"/>
      <c r="HU121" s="214"/>
      <c r="HV121" s="214"/>
      <c r="HW121" s="214"/>
      <c r="HX121" s="214"/>
      <c r="HY121" s="214"/>
      <c r="HZ121" s="214"/>
      <c r="IA121" s="214"/>
      <c r="IB121" s="214"/>
      <c r="IC121" s="214"/>
      <c r="ID121" s="214"/>
      <c r="IE121" s="214"/>
      <c r="IF121" s="214"/>
      <c r="IG121" s="214"/>
      <c r="IH121" s="214"/>
      <c r="II121" s="214"/>
      <c r="IJ121" s="214"/>
      <c r="IK121" s="214"/>
      <c r="IL121" s="214"/>
      <c r="IM121" s="214"/>
      <c r="IN121" s="214"/>
      <c r="IO121" s="214"/>
      <c r="IP121" s="214"/>
      <c r="IQ121" s="214"/>
      <c r="IR121" s="214"/>
      <c r="IS121" s="214"/>
      <c r="IT121" s="214"/>
      <c r="IU121" s="214"/>
      <c r="IV121" s="214"/>
      <c r="IW121" s="214"/>
      <c r="IX121" s="214"/>
      <c r="IY121" s="214"/>
      <c r="IZ121" s="214"/>
      <c r="JA121" s="214"/>
      <c r="JB121" s="214"/>
      <c r="JC121" s="214"/>
      <c r="JD121" s="214"/>
      <c r="JE121" s="214"/>
      <c r="JF121" s="214"/>
      <c r="JG121" s="214"/>
      <c r="JH121" s="214"/>
      <c r="JI121" s="214"/>
      <c r="JJ121" s="214"/>
      <c r="JK121" s="214"/>
      <c r="JL121" s="214"/>
      <c r="JM121" s="214"/>
      <c r="JN121" s="214"/>
      <c r="JO121" s="214"/>
      <c r="JP121" s="214"/>
      <c r="JQ121" s="214"/>
      <c r="JR121" s="214"/>
      <c r="JS121" s="214"/>
      <c r="JT121" s="214"/>
      <c r="JU121" s="214"/>
      <c r="JV121" s="214"/>
      <c r="JW121" s="214"/>
      <c r="JX121" s="214"/>
      <c r="JY121" s="214"/>
      <c r="JZ121" s="214"/>
      <c r="KA121" s="214"/>
      <c r="KB121" s="214"/>
      <c r="KC121" s="214"/>
      <c r="KD121" s="214"/>
      <c r="KE121" s="214"/>
      <c r="KF121" s="214"/>
      <c r="KG121" s="214"/>
      <c r="KH121" s="214"/>
      <c r="KI121" s="214"/>
      <c r="KJ121" s="214"/>
      <c r="KK121" s="214"/>
      <c r="KL121" s="214"/>
      <c r="KM121" s="214"/>
      <c r="KN121" s="214"/>
      <c r="KO121" s="214"/>
      <c r="KP121" s="214"/>
      <c r="KQ121" s="214"/>
      <c r="KR121" s="214"/>
      <c r="KS121" s="214"/>
      <c r="KT121" s="214"/>
      <c r="KU121" s="214"/>
      <c r="KV121" s="214"/>
      <c r="KW121" s="214"/>
      <c r="KX121" s="214"/>
      <c r="KY121" s="214"/>
      <c r="KZ121" s="214"/>
      <c r="LA121" s="214"/>
      <c r="LB121" s="214"/>
      <c r="LC121" s="214"/>
      <c r="LD121" s="214"/>
      <c r="LE121" s="214"/>
      <c r="LF121" s="214"/>
      <c r="LG121" s="214"/>
      <c r="LH121" s="214"/>
      <c r="LI121" s="214"/>
      <c r="LJ121" s="214"/>
      <c r="LK121" s="214"/>
      <c r="LL121" s="214"/>
      <c r="LM121" s="214"/>
      <c r="LN121" s="214"/>
      <c r="LO121" s="214"/>
      <c r="LP121" s="214"/>
      <c r="LQ121" s="214"/>
      <c r="LR121" s="214"/>
      <c r="LS121" s="214"/>
      <c r="LT121" s="214"/>
      <c r="LU121" s="214"/>
      <c r="LV121" s="214"/>
      <c r="LW121" s="214"/>
      <c r="LX121" s="214"/>
      <c r="LY121" s="214"/>
      <c r="LZ121" s="214"/>
      <c r="MA121" s="214"/>
      <c r="MB121" s="214"/>
      <c r="MC121" s="214"/>
      <c r="MD121" s="214"/>
      <c r="ME121" s="214"/>
      <c r="MF121" s="214"/>
      <c r="MG121" s="214"/>
      <c r="MH121" s="214"/>
      <c r="MI121" s="214"/>
      <c r="MJ121" s="214"/>
      <c r="MK121" s="214"/>
      <c r="ML121" s="214"/>
      <c r="MM121" s="214"/>
      <c r="MN121" s="214"/>
      <c r="MO121" s="214"/>
      <c r="MP121" s="214"/>
      <c r="MQ121" s="214"/>
      <c r="MR121" s="214"/>
      <c r="MS121" s="214"/>
      <c r="MT121" s="214"/>
      <c r="MU121" s="214"/>
      <c r="MV121" s="214"/>
      <c r="MW121" s="214"/>
      <c r="MX121" s="214"/>
      <c r="MY121" s="214"/>
      <c r="MZ121" s="214"/>
      <c r="NA121" s="214"/>
      <c r="NB121" s="214"/>
      <c r="NC121" s="214"/>
      <c r="ND121" s="214"/>
      <c r="NE121" s="214"/>
      <c r="NF121" s="214"/>
      <c r="NG121" s="214"/>
      <c r="NH121" s="214"/>
      <c r="NI121" s="214"/>
      <c r="NJ121" s="214"/>
      <c r="NK121" s="214"/>
      <c r="NL121" s="214"/>
      <c r="NM121" s="214"/>
      <c r="NN121" s="214"/>
      <c r="NO121" s="214"/>
      <c r="NP121" s="214"/>
      <c r="NQ121" s="214"/>
      <c r="NR121" s="214"/>
      <c r="NS121" s="214"/>
      <c r="NT121" s="214"/>
      <c r="NU121" s="214"/>
      <c r="NV121" s="214"/>
      <c r="NW121" s="214"/>
      <c r="NX121" s="214"/>
      <c r="NY121" s="214"/>
      <c r="NZ121" s="214"/>
      <c r="OA121" s="214"/>
      <c r="OB121" s="214"/>
      <c r="OC121" s="214"/>
      <c r="OD121" s="214"/>
      <c r="OE121" s="214"/>
      <c r="OF121" s="214"/>
      <c r="OG121" s="214"/>
      <c r="OH121" s="214"/>
      <c r="OI121" s="214"/>
      <c r="OJ121" s="214"/>
      <c r="OK121" s="214"/>
      <c r="OL121" s="214"/>
      <c r="OM121" s="214"/>
      <c r="ON121" s="214"/>
      <c r="OO121" s="214"/>
      <c r="OP121" s="214"/>
      <c r="OQ121" s="214"/>
      <c r="OR121" s="214"/>
      <c r="OS121" s="214"/>
      <c r="OT121" s="214"/>
      <c r="OU121" s="214"/>
      <c r="OV121" s="214"/>
      <c r="OW121" s="214"/>
      <c r="OX121" s="214"/>
      <c r="OY121" s="214"/>
      <c r="OZ121" s="214"/>
      <c r="PA121" s="214"/>
      <c r="PB121" s="214"/>
      <c r="PC121" s="214"/>
      <c r="PD121" s="214"/>
      <c r="PE121" s="214"/>
      <c r="PF121" s="214"/>
      <c r="PG121" s="214"/>
      <c r="PH121" s="214"/>
      <c r="PI121" s="214"/>
      <c r="PJ121" s="214"/>
      <c r="PK121" s="214"/>
      <c r="PL121" s="214"/>
      <c r="PM121" s="214"/>
      <c r="PN121" s="214"/>
      <c r="PO121" s="214"/>
      <c r="PP121" s="214"/>
      <c r="PQ121" s="214"/>
      <c r="PR121" s="214"/>
      <c r="PS121" s="214"/>
      <c r="PT121" s="214"/>
      <c r="PU121" s="214"/>
      <c r="PV121" s="214"/>
      <c r="PW121" s="214"/>
      <c r="PX121" s="214"/>
      <c r="PY121" s="214"/>
      <c r="PZ121" s="214"/>
      <c r="QA121" s="214"/>
      <c r="QB121" s="214"/>
      <c r="QC121" s="214"/>
      <c r="QD121" s="214"/>
      <c r="QE121" s="214"/>
      <c r="QF121" s="214"/>
      <c r="QG121" s="214"/>
      <c r="QH121" s="214"/>
      <c r="QI121" s="214"/>
      <c r="QJ121" s="214"/>
      <c r="QK121" s="214"/>
      <c r="QL121" s="214"/>
      <c r="QM121" s="214"/>
      <c r="QN121" s="214"/>
      <c r="QO121" s="214"/>
      <c r="QP121" s="214"/>
      <c r="QQ121" s="214"/>
      <c r="QR121" s="214"/>
      <c r="QS121" s="214"/>
      <c r="QT121" s="214"/>
      <c r="QU121" s="214"/>
      <c r="QV121" s="214"/>
      <c r="QW121" s="214"/>
      <c r="QX121" s="214"/>
      <c r="QY121" s="214"/>
      <c r="QZ121" s="214"/>
      <c r="RA121" s="214"/>
      <c r="RB121" s="214"/>
      <c r="RC121" s="214"/>
      <c r="RD121" s="214"/>
      <c r="RE121" s="214"/>
      <c r="RF121" s="214"/>
      <c r="RG121" s="214"/>
      <c r="RH121" s="214"/>
      <c r="RI121" s="214"/>
      <c r="RJ121" s="214"/>
      <c r="RK121" s="214"/>
      <c r="RL121" s="214"/>
      <c r="RM121" s="214"/>
      <c r="RN121" s="214"/>
      <c r="RO121" s="214"/>
      <c r="RP121" s="214"/>
      <c r="RQ121" s="214"/>
      <c r="RR121" s="214"/>
      <c r="RS121" s="214"/>
      <c r="RT121" s="214"/>
      <c r="RU121" s="214"/>
      <c r="RV121" s="214"/>
      <c r="RW121" s="214"/>
      <c r="RX121" s="214"/>
      <c r="RY121" s="214"/>
      <c r="RZ121" s="214"/>
      <c r="SA121" s="214"/>
      <c r="SB121" s="214"/>
      <c r="SC121" s="214"/>
      <c r="SD121" s="214"/>
      <c r="SE121" s="214"/>
      <c r="SF121" s="214"/>
      <c r="SG121" s="214"/>
      <c r="SH121" s="214"/>
      <c r="SI121" s="214"/>
      <c r="SJ121" s="214"/>
      <c r="SK121" s="214"/>
      <c r="SL121" s="214"/>
      <c r="SM121" s="214"/>
      <c r="SN121" s="214"/>
      <c r="SO121" s="214"/>
      <c r="SP121" s="214"/>
      <c r="SQ121" s="214"/>
      <c r="SR121" s="214"/>
      <c r="SS121" s="214"/>
      <c r="ST121" s="214"/>
      <c r="SU121" s="214"/>
      <c r="SV121" s="214"/>
      <c r="SW121" s="214"/>
      <c r="SX121" s="214"/>
      <c r="SY121" s="214"/>
      <c r="SZ121" s="214"/>
      <c r="TA121" s="214"/>
      <c r="TB121" s="214"/>
      <c r="TC121" s="214"/>
      <c r="TD121" s="214"/>
      <c r="TE121" s="214"/>
      <c r="TF121" s="214"/>
      <c r="TG121" s="214"/>
      <c r="TH121" s="214"/>
      <c r="TI121" s="214"/>
      <c r="TJ121" s="214"/>
      <c r="TK121" s="214"/>
      <c r="TL121" s="214"/>
      <c r="TM121" s="214"/>
      <c r="TN121" s="214"/>
      <c r="TO121" s="214"/>
      <c r="TP121" s="214"/>
      <c r="TQ121" s="214"/>
      <c r="TR121" s="214"/>
      <c r="TS121" s="214"/>
      <c r="TT121" s="214"/>
      <c r="TU121" s="214"/>
      <c r="TV121" s="214"/>
      <c r="TW121" s="214"/>
      <c r="TX121" s="214"/>
      <c r="TY121" s="214"/>
      <c r="TZ121" s="214"/>
      <c r="UA121" s="214"/>
      <c r="UB121" s="214"/>
      <c r="UC121" s="214"/>
      <c r="UD121" s="214"/>
      <c r="UE121" s="214"/>
      <c r="UF121" s="214"/>
      <c r="UG121" s="214"/>
      <c r="UH121" s="214"/>
      <c r="UI121" s="214"/>
      <c r="UJ121" s="214"/>
      <c r="UK121" s="214"/>
      <c r="UL121" s="214"/>
      <c r="UM121" s="214"/>
      <c r="UN121" s="214"/>
      <c r="UO121" s="214"/>
      <c r="UP121" s="214"/>
      <c r="UQ121" s="214"/>
      <c r="UR121" s="214"/>
      <c r="US121" s="214"/>
      <c r="UT121" s="214"/>
      <c r="UU121" s="214"/>
      <c r="UV121" s="214"/>
      <c r="UW121" s="214"/>
      <c r="UX121" s="214"/>
      <c r="UY121" s="214"/>
      <c r="UZ121" s="214"/>
      <c r="VA121" s="214"/>
      <c r="VB121" s="214"/>
      <c r="VC121" s="214"/>
      <c r="VD121" s="214"/>
      <c r="VE121" s="214"/>
      <c r="VF121" s="214"/>
      <c r="VG121" s="214"/>
      <c r="VH121" s="214"/>
      <c r="VI121" s="214"/>
      <c r="VJ121" s="214"/>
      <c r="VK121" s="214"/>
      <c r="VL121" s="214"/>
      <c r="VM121" s="214"/>
      <c r="VN121" s="214"/>
      <c r="VO121" s="214"/>
      <c r="VP121" s="214"/>
      <c r="VQ121" s="214"/>
      <c r="VR121" s="214"/>
      <c r="VS121" s="214"/>
      <c r="VT121" s="214"/>
      <c r="VU121" s="214"/>
      <c r="VV121" s="214"/>
      <c r="VW121" s="214"/>
      <c r="VX121" s="214"/>
      <c r="VY121" s="214"/>
      <c r="VZ121" s="214"/>
      <c r="WA121" s="214"/>
      <c r="WB121" s="214"/>
      <c r="WC121" s="214"/>
      <c r="WD121" s="214"/>
      <c r="WE121" s="214"/>
      <c r="WF121" s="214"/>
      <c r="WG121" s="214"/>
      <c r="WH121" s="214"/>
      <c r="WI121" s="214"/>
      <c r="WJ121" s="214"/>
      <c r="WK121" s="214"/>
      <c r="WL121" s="214"/>
      <c r="WM121" s="214"/>
      <c r="WN121" s="214"/>
      <c r="WO121" s="214"/>
      <c r="WP121" s="214"/>
      <c r="WQ121" s="214"/>
      <c r="WR121" s="214"/>
      <c r="WS121" s="214"/>
      <c r="WT121" s="214"/>
      <c r="WU121" s="214"/>
      <c r="WV121" s="214"/>
      <c r="WW121" s="214"/>
      <c r="WX121" s="214"/>
      <c r="WY121" s="214"/>
      <c r="WZ121" s="214"/>
      <c r="XA121" s="214"/>
      <c r="XB121" s="214"/>
      <c r="XC121" s="214"/>
      <c r="XD121" s="214"/>
      <c r="XE121" s="214"/>
      <c r="XF121" s="214"/>
      <c r="XG121" s="214"/>
      <c r="XH121" s="214"/>
      <c r="XI121" s="214"/>
      <c r="XJ121" s="214"/>
      <c r="XK121" s="214"/>
      <c r="XL121" s="214"/>
      <c r="XM121" s="214"/>
      <c r="XN121" s="214"/>
      <c r="XO121" s="214"/>
      <c r="XP121" s="214"/>
      <c r="XQ121" s="214"/>
      <c r="XR121" s="214"/>
      <c r="XS121" s="214"/>
      <c r="XT121" s="214"/>
      <c r="XU121" s="214"/>
      <c r="XV121" s="214"/>
      <c r="XW121" s="214"/>
      <c r="XX121" s="214"/>
      <c r="XY121" s="214"/>
      <c r="XZ121" s="214"/>
      <c r="YA121" s="214"/>
      <c r="YB121" s="214"/>
      <c r="YC121" s="214"/>
      <c r="YD121" s="214"/>
      <c r="YE121" s="214"/>
      <c r="YF121" s="214"/>
      <c r="YG121" s="214"/>
      <c r="YH121" s="214"/>
      <c r="YI121" s="214"/>
      <c r="YJ121" s="214"/>
      <c r="YK121" s="214"/>
      <c r="YL121" s="214"/>
      <c r="YM121" s="214"/>
      <c r="YN121" s="214"/>
      <c r="YO121" s="214"/>
      <c r="YP121" s="214"/>
      <c r="YQ121" s="214"/>
      <c r="YR121" s="214"/>
      <c r="YS121" s="214"/>
      <c r="YT121" s="214"/>
      <c r="YU121" s="214"/>
      <c r="YV121" s="214"/>
      <c r="YW121" s="214"/>
      <c r="YX121" s="214"/>
      <c r="YY121" s="214"/>
      <c r="YZ121" s="214"/>
      <c r="ZA121" s="214"/>
      <c r="ZB121" s="214"/>
      <c r="ZC121" s="214"/>
      <c r="ZD121" s="214"/>
      <c r="ZE121" s="214"/>
      <c r="ZF121" s="214"/>
      <c r="ZG121" s="214"/>
      <c r="ZH121" s="214"/>
      <c r="ZI121" s="214"/>
      <c r="ZJ121" s="214"/>
      <c r="ZK121" s="214"/>
      <c r="ZL121" s="214"/>
      <c r="ZM121" s="214"/>
      <c r="ZN121" s="214"/>
      <c r="ZO121" s="214"/>
      <c r="ZP121" s="214"/>
      <c r="ZQ121" s="214"/>
      <c r="ZR121" s="214"/>
      <c r="ZS121" s="214"/>
      <c r="ZT121" s="214"/>
      <c r="ZU121" s="214"/>
      <c r="ZV121" s="214"/>
      <c r="ZW121" s="214"/>
      <c r="ZX121" s="214"/>
      <c r="ZY121" s="214"/>
      <c r="ZZ121" s="214"/>
      <c r="AAA121" s="214"/>
      <c r="AAB121" s="214"/>
      <c r="AAC121" s="214"/>
      <c r="AAD121" s="214"/>
      <c r="AAE121" s="214"/>
      <c r="AAF121" s="214"/>
      <c r="AAG121" s="214"/>
      <c r="AAH121" s="214"/>
      <c r="AAI121" s="214"/>
      <c r="AAJ121" s="214"/>
      <c r="AAK121" s="214"/>
      <c r="AAL121" s="214"/>
      <c r="AAM121" s="214"/>
      <c r="AAN121" s="214"/>
      <c r="AAO121" s="214"/>
      <c r="AAP121" s="214"/>
      <c r="AAQ121" s="214"/>
      <c r="AAR121" s="214"/>
      <c r="AAS121" s="214"/>
      <c r="AAT121" s="214"/>
      <c r="AAU121" s="214"/>
      <c r="AAV121" s="214"/>
      <c r="AAW121" s="214"/>
      <c r="AAX121" s="214"/>
      <c r="AAY121" s="214"/>
      <c r="AAZ121" s="214"/>
      <c r="ABA121" s="214"/>
      <c r="ABB121" s="214"/>
      <c r="ABC121" s="214"/>
      <c r="ABD121" s="214"/>
      <c r="ABE121" s="214"/>
      <c r="ABF121" s="214"/>
      <c r="ABG121" s="214"/>
      <c r="ABH121" s="214"/>
      <c r="ABI121" s="214"/>
      <c r="ABJ121" s="214"/>
      <c r="ABK121" s="214"/>
      <c r="ABL121" s="214"/>
      <c r="ABM121" s="214"/>
      <c r="ABN121" s="214"/>
      <c r="ABO121" s="214"/>
      <c r="ABP121" s="214"/>
      <c r="ABQ121" s="214"/>
      <c r="ABR121" s="214"/>
      <c r="ABS121" s="214"/>
      <c r="ABT121" s="214"/>
      <c r="ABU121" s="214"/>
      <c r="ABV121" s="214"/>
      <c r="ABW121" s="214"/>
      <c r="ABX121" s="214"/>
      <c r="ABY121" s="214"/>
      <c r="ABZ121" s="214"/>
      <c r="ACA121" s="214"/>
      <c r="ACB121" s="214"/>
      <c r="ACC121" s="214"/>
      <c r="ACD121" s="214"/>
      <c r="ACE121" s="214"/>
      <c r="ACF121" s="214"/>
      <c r="ACG121" s="214"/>
      <c r="ACH121" s="214"/>
      <c r="ACI121" s="214"/>
      <c r="ACJ121" s="214"/>
      <c r="ACK121" s="214"/>
      <c r="ACL121" s="214"/>
      <c r="ACM121" s="214"/>
      <c r="ACN121" s="214"/>
      <c r="ACO121" s="214"/>
      <c r="ACP121" s="214"/>
      <c r="ACQ121" s="214"/>
      <c r="ACR121" s="214"/>
      <c r="ACS121" s="214"/>
      <c r="ACT121" s="214"/>
      <c r="ACU121" s="214"/>
      <c r="ACV121" s="214"/>
      <c r="ACW121" s="214"/>
      <c r="ACX121" s="214"/>
      <c r="ACY121" s="214"/>
      <c r="ACZ121" s="214"/>
      <c r="ADA121" s="214"/>
      <c r="ADB121" s="214"/>
      <c r="ADC121" s="214"/>
      <c r="ADD121" s="214"/>
      <c r="ADE121" s="214"/>
      <c r="ADF121" s="214"/>
      <c r="ADG121" s="214"/>
      <c r="ADH121" s="214"/>
      <c r="ADI121" s="214"/>
      <c r="ADJ121" s="214"/>
      <c r="ADK121" s="214"/>
      <c r="ADL121" s="214"/>
      <c r="ADM121" s="214"/>
      <c r="ADN121" s="214"/>
      <c r="ADO121" s="214"/>
      <c r="ADP121" s="214"/>
      <c r="ADQ121" s="214"/>
      <c r="ADR121" s="214"/>
      <c r="ADS121" s="214"/>
      <c r="ADT121" s="214"/>
      <c r="ADU121" s="214"/>
      <c r="ADV121" s="214"/>
      <c r="ADW121" s="214"/>
      <c r="ADX121" s="214"/>
      <c r="ADY121" s="214"/>
      <c r="ADZ121" s="214"/>
      <c r="AEA121" s="214"/>
      <c r="AEB121" s="214"/>
      <c r="AEC121" s="214"/>
      <c r="AED121" s="214"/>
      <c r="AEE121" s="214"/>
      <c r="AEF121" s="214"/>
      <c r="AEG121" s="214"/>
      <c r="AEH121" s="214"/>
      <c r="AEI121" s="214"/>
      <c r="AEJ121" s="214"/>
      <c r="AEK121" s="214"/>
      <c r="AEL121" s="214"/>
      <c r="AEM121" s="214"/>
      <c r="AEN121" s="214"/>
      <c r="AEO121" s="214"/>
      <c r="AEP121" s="214"/>
      <c r="AEQ121" s="214"/>
      <c r="AER121" s="214"/>
      <c r="AES121" s="214"/>
      <c r="AET121" s="214"/>
      <c r="AEU121" s="214"/>
      <c r="AEV121" s="214"/>
      <c r="AEW121" s="214"/>
      <c r="AEX121" s="214"/>
      <c r="AEY121" s="214"/>
      <c r="AEZ121" s="214"/>
      <c r="AFA121" s="214"/>
      <c r="AFB121" s="214"/>
      <c r="AFC121" s="214"/>
      <c r="AFD121" s="214"/>
      <c r="AFE121" s="214"/>
      <c r="AFF121" s="214"/>
      <c r="AFG121" s="214"/>
      <c r="AFH121" s="214"/>
      <c r="AFI121" s="214"/>
      <c r="AFJ121" s="214"/>
      <c r="AFK121" s="214"/>
      <c r="AFL121" s="214"/>
      <c r="AFM121" s="214"/>
      <c r="AFN121" s="214"/>
      <c r="AFO121" s="214"/>
      <c r="AFP121" s="214"/>
      <c r="AFQ121" s="214"/>
      <c r="AFR121" s="214"/>
      <c r="AFS121" s="214"/>
      <c r="AFT121" s="214"/>
      <c r="AFU121" s="214"/>
      <c r="AFV121" s="214"/>
      <c r="AFW121" s="214"/>
      <c r="AFX121" s="214"/>
      <c r="AFY121" s="214"/>
      <c r="AFZ121" s="214"/>
      <c r="AGA121" s="214"/>
      <c r="AGB121" s="214"/>
      <c r="AGC121" s="214"/>
      <c r="AGD121" s="214"/>
      <c r="AGE121" s="214"/>
      <c r="AGF121" s="214"/>
      <c r="AGG121" s="214"/>
      <c r="AGH121" s="214"/>
      <c r="AGI121" s="214"/>
      <c r="AGJ121" s="214"/>
      <c r="AGK121" s="214"/>
      <c r="AGL121" s="214"/>
      <c r="AGM121" s="214"/>
      <c r="AGN121" s="214"/>
      <c r="AGO121" s="214"/>
      <c r="AGP121" s="214"/>
      <c r="AGQ121" s="214"/>
      <c r="AGR121" s="214"/>
      <c r="AGS121" s="214"/>
      <c r="AGT121" s="214"/>
      <c r="AGU121" s="214"/>
      <c r="AGV121" s="214"/>
      <c r="AGW121" s="214"/>
      <c r="AGX121" s="214"/>
      <c r="AGY121" s="214"/>
      <c r="AGZ121" s="214"/>
      <c r="AHA121" s="214"/>
      <c r="AHB121" s="214"/>
      <c r="AHC121" s="214"/>
      <c r="AHD121" s="214"/>
      <c r="AHE121" s="214"/>
      <c r="AHF121" s="214"/>
      <c r="AHG121" s="214"/>
      <c r="AHH121" s="214"/>
      <c r="AHI121" s="214"/>
      <c r="AHJ121" s="214"/>
      <c r="AHK121" s="214"/>
      <c r="AHL121" s="214"/>
      <c r="AHM121" s="214"/>
      <c r="AHN121" s="214"/>
      <c r="AHO121" s="214"/>
      <c r="AHP121" s="214"/>
      <c r="AHQ121" s="214"/>
      <c r="AHR121" s="214"/>
      <c r="AHS121" s="214"/>
      <c r="AHT121" s="214"/>
      <c r="AHU121" s="214"/>
      <c r="AHV121" s="214"/>
      <c r="AHW121" s="214"/>
      <c r="AHX121" s="214"/>
      <c r="AHY121" s="214"/>
      <c r="AHZ121" s="214"/>
      <c r="AIA121" s="214"/>
      <c r="AIB121" s="214"/>
      <c r="AIC121" s="214"/>
      <c r="AID121" s="214"/>
      <c r="AIE121" s="214"/>
      <c r="AIF121" s="214"/>
      <c r="AIG121" s="214"/>
      <c r="AIH121" s="214"/>
      <c r="AII121" s="214"/>
      <c r="AIJ121" s="214"/>
      <c r="AIK121" s="214"/>
      <c r="AIL121" s="214"/>
      <c r="AIM121" s="214"/>
      <c r="AIN121" s="214"/>
      <c r="AIO121" s="214"/>
      <c r="AIP121" s="214"/>
      <c r="AIQ121" s="214"/>
      <c r="AIR121" s="214"/>
      <c r="AIS121" s="214"/>
      <c r="AIT121" s="214"/>
      <c r="AIU121" s="214"/>
      <c r="AIV121" s="214"/>
      <c r="AIW121" s="214"/>
      <c r="AIX121" s="214"/>
      <c r="AIY121" s="214"/>
      <c r="AIZ121" s="214"/>
      <c r="AJA121" s="214"/>
      <c r="AJB121" s="214"/>
      <c r="AJC121" s="214"/>
      <c r="AJD121" s="214"/>
      <c r="AJE121" s="214"/>
      <c r="AJF121" s="214"/>
      <c r="AJG121" s="214"/>
      <c r="AJH121" s="214"/>
      <c r="AJI121" s="214"/>
      <c r="AJJ121" s="214"/>
      <c r="AJK121" s="214"/>
      <c r="AJL121" s="214"/>
      <c r="AJM121" s="214"/>
      <c r="AJN121" s="214"/>
      <c r="AJO121" s="214"/>
      <c r="AJP121" s="214"/>
      <c r="AJQ121" s="214"/>
      <c r="AJR121" s="214"/>
      <c r="AJS121" s="214"/>
      <c r="AJT121" s="214"/>
      <c r="AJU121" s="214"/>
      <c r="AJV121" s="214"/>
      <c r="AJW121" s="214"/>
      <c r="AJX121" s="214"/>
      <c r="AJY121" s="214"/>
      <c r="AJZ121" s="214"/>
      <c r="AKA121" s="214"/>
      <c r="AKB121" s="214"/>
      <c r="AKC121" s="214"/>
      <c r="AKD121" s="214"/>
      <c r="AKE121" s="214"/>
      <c r="AKF121" s="214"/>
      <c r="AKG121" s="214"/>
      <c r="AKH121" s="214"/>
      <c r="AKI121" s="214"/>
      <c r="AKJ121" s="214"/>
      <c r="AKK121" s="214"/>
      <c r="AKL121" s="214"/>
      <c r="AKM121" s="214"/>
      <c r="AKN121" s="214"/>
      <c r="AKO121" s="214"/>
      <c r="AKP121" s="214"/>
      <c r="AKQ121" s="214"/>
      <c r="AKR121" s="214"/>
      <c r="AKS121" s="214"/>
      <c r="AKT121" s="214"/>
      <c r="AKU121" s="214"/>
      <c r="AKV121" s="214"/>
      <c r="AKW121" s="214"/>
      <c r="AKX121" s="214"/>
      <c r="AKY121" s="214"/>
      <c r="AKZ121" s="214"/>
      <c r="ALA121" s="214"/>
      <c r="ALB121" s="214"/>
      <c r="ALC121" s="214"/>
      <c r="ALD121" s="214"/>
      <c r="ALE121" s="214"/>
      <c r="ALF121" s="214"/>
      <c r="ALG121" s="214"/>
      <c r="ALH121" s="214"/>
      <c r="ALI121" s="214"/>
      <c r="ALJ121" s="214"/>
      <c r="ALK121" s="214"/>
      <c r="ALL121" s="214"/>
      <c r="ALM121" s="214"/>
      <c r="ALN121" s="214"/>
      <c r="ALO121" s="214"/>
      <c r="ALP121" s="214"/>
      <c r="ALQ121" s="214"/>
      <c r="ALR121" s="214"/>
      <c r="ALS121" s="214"/>
      <c r="ALT121" s="214"/>
      <c r="ALU121" s="214"/>
      <c r="ALV121" s="214"/>
      <c r="ALW121" s="214"/>
      <c r="ALX121" s="214"/>
      <c r="ALY121" s="214"/>
      <c r="ALZ121" s="214"/>
      <c r="AMA121" s="214"/>
      <c r="AMB121" s="214"/>
      <c r="AMC121" s="214"/>
      <c r="AMD121" s="214"/>
      <c r="AME121" s="214"/>
      <c r="AMF121" s="214"/>
      <c r="AMG121" s="214"/>
      <c r="AMH121" s="214"/>
      <c r="AMI121" s="214"/>
      <c r="AMJ121" s="214"/>
      <c r="AMK121" s="214"/>
      <c r="AML121" s="214"/>
      <c r="AMM121" s="214"/>
      <c r="AMN121" s="214"/>
      <c r="AMO121" s="214"/>
      <c r="AMP121" s="214"/>
      <c r="AMQ121" s="214"/>
      <c r="AMR121" s="214"/>
      <c r="AMS121" s="214"/>
      <c r="AMT121" s="214"/>
      <c r="AMU121" s="214"/>
      <c r="AMV121" s="214"/>
      <c r="AMW121" s="214"/>
      <c r="AMX121" s="214"/>
      <c r="AMY121" s="214"/>
      <c r="AMZ121" s="214"/>
      <c r="ANA121" s="214"/>
      <c r="ANB121" s="214"/>
      <c r="ANC121" s="214"/>
      <c r="AND121" s="214"/>
      <c r="ANE121" s="214"/>
      <c r="ANF121" s="214"/>
      <c r="ANG121" s="214"/>
      <c r="ANH121" s="214"/>
      <c r="ANI121" s="214"/>
      <c r="ANJ121" s="214"/>
      <c r="ANK121" s="214"/>
      <c r="ANL121" s="214"/>
      <c r="ANM121" s="214"/>
      <c r="ANN121" s="214"/>
      <c r="ANO121" s="214"/>
      <c r="ANP121" s="214"/>
      <c r="ANQ121" s="214"/>
      <c r="ANR121" s="214"/>
      <c r="ANS121" s="214"/>
      <c r="ANT121" s="214"/>
      <c r="ANU121" s="214"/>
      <c r="ANV121" s="214"/>
      <c r="ANW121" s="214"/>
      <c r="ANX121" s="214"/>
      <c r="ANY121" s="214"/>
      <c r="ANZ121" s="214"/>
      <c r="AOA121" s="214"/>
      <c r="AOB121" s="214"/>
      <c r="AOC121" s="214"/>
      <c r="AOD121" s="214"/>
      <c r="AOE121" s="214"/>
      <c r="AOF121" s="214"/>
      <c r="AOG121" s="214"/>
      <c r="AOH121" s="214"/>
      <c r="AOI121" s="214"/>
      <c r="AOJ121" s="214"/>
      <c r="AOK121" s="214"/>
      <c r="AOL121" s="214"/>
      <c r="AOM121" s="214"/>
      <c r="AON121" s="214"/>
      <c r="AOO121" s="214"/>
      <c r="AOP121" s="214"/>
      <c r="AOQ121" s="214"/>
      <c r="AOR121" s="214"/>
      <c r="AOS121" s="214"/>
      <c r="AOT121" s="214"/>
      <c r="AOU121" s="214"/>
      <c r="AOV121" s="214"/>
      <c r="AOW121" s="214"/>
      <c r="AOX121" s="214"/>
      <c r="AOY121" s="214"/>
      <c r="AOZ121" s="214"/>
      <c r="APA121" s="214"/>
      <c r="APB121" s="214"/>
      <c r="APC121" s="214"/>
      <c r="APD121" s="214"/>
      <c r="APE121" s="214"/>
      <c r="APF121" s="214"/>
      <c r="APG121" s="214"/>
      <c r="APH121" s="214"/>
      <c r="API121" s="214"/>
      <c r="APJ121" s="214"/>
      <c r="APK121" s="214"/>
      <c r="APL121" s="214"/>
      <c r="APM121" s="214"/>
      <c r="APN121" s="214"/>
      <c r="APO121" s="214"/>
      <c r="APP121" s="214"/>
      <c r="APQ121" s="214"/>
      <c r="APR121" s="214"/>
      <c r="APS121" s="214"/>
      <c r="APT121" s="214"/>
      <c r="APU121" s="214"/>
      <c r="APV121" s="214"/>
      <c r="APW121" s="214"/>
      <c r="APX121" s="214"/>
      <c r="APY121" s="214"/>
      <c r="APZ121" s="214"/>
      <c r="AQA121" s="214"/>
      <c r="AQB121" s="214"/>
      <c r="AQC121" s="214"/>
      <c r="AQD121" s="214"/>
      <c r="AQE121" s="214"/>
      <c r="AQF121" s="214"/>
      <c r="AQG121" s="214"/>
      <c r="AQH121" s="214"/>
      <c r="AQI121" s="214"/>
      <c r="AQJ121" s="214"/>
      <c r="AQK121" s="214"/>
      <c r="AQL121" s="214"/>
      <c r="AQM121" s="214"/>
      <c r="AQN121" s="214"/>
      <c r="AQO121" s="214"/>
      <c r="AQP121" s="214"/>
      <c r="AQQ121" s="214"/>
      <c r="AQR121" s="214"/>
      <c r="AQS121" s="214"/>
      <c r="AQT121" s="214"/>
      <c r="AQU121" s="214"/>
      <c r="AQV121" s="214"/>
      <c r="AQW121" s="214"/>
      <c r="AQX121" s="214"/>
      <c r="AQY121" s="214"/>
      <c r="AQZ121" s="214"/>
      <c r="ARA121" s="214"/>
      <c r="ARB121" s="214"/>
      <c r="ARC121" s="214"/>
      <c r="ARD121" s="214"/>
      <c r="ARE121" s="214"/>
      <c r="ARF121" s="214"/>
      <c r="ARG121" s="214"/>
      <c r="ARH121" s="214"/>
      <c r="ARI121" s="214"/>
      <c r="ARJ121" s="214"/>
      <c r="ARK121" s="214"/>
      <c r="ARL121" s="214"/>
      <c r="ARM121" s="214"/>
      <c r="ARN121" s="214"/>
      <c r="ARO121" s="214"/>
      <c r="ARP121" s="214"/>
      <c r="ARQ121" s="214"/>
      <c r="ARR121" s="214"/>
      <c r="ARS121" s="214"/>
      <c r="ART121" s="214"/>
      <c r="ARU121" s="214"/>
      <c r="ARV121" s="214"/>
      <c r="ARW121" s="214"/>
      <c r="ARX121" s="214"/>
      <c r="ARY121" s="214"/>
      <c r="ARZ121" s="214"/>
      <c r="ASA121" s="214"/>
      <c r="ASB121" s="214"/>
      <c r="ASC121" s="214"/>
      <c r="ASD121" s="214"/>
      <c r="ASE121" s="214"/>
      <c r="ASF121" s="214"/>
      <c r="ASG121" s="214"/>
      <c r="ASH121" s="214"/>
      <c r="ASI121" s="214"/>
      <c r="ASJ121" s="214"/>
      <c r="ASK121" s="214"/>
      <c r="ASL121" s="214"/>
      <c r="ASM121" s="214"/>
      <c r="ASN121" s="214"/>
      <c r="ASO121" s="214"/>
      <c r="ASP121" s="214"/>
      <c r="ASQ121" s="214"/>
      <c r="ASR121" s="214"/>
      <c r="ASS121" s="214"/>
      <c r="AST121" s="214"/>
      <c r="ASU121" s="214"/>
      <c r="ASV121" s="214"/>
      <c r="ASW121" s="214"/>
      <c r="ASX121" s="214"/>
      <c r="ASY121" s="214"/>
      <c r="ASZ121" s="214"/>
      <c r="ATA121" s="214"/>
      <c r="ATB121" s="214"/>
      <c r="ATC121" s="214"/>
      <c r="ATD121" s="214"/>
      <c r="ATE121" s="214"/>
      <c r="ATF121" s="214"/>
      <c r="ATG121" s="214"/>
      <c r="ATH121" s="214"/>
      <c r="ATI121" s="214"/>
      <c r="ATJ121" s="214"/>
      <c r="ATK121" s="214"/>
      <c r="ATL121" s="214"/>
      <c r="ATM121" s="214"/>
      <c r="ATN121" s="214"/>
      <c r="ATO121" s="214"/>
      <c r="ATP121" s="214"/>
      <c r="ATQ121" s="214"/>
      <c r="ATR121" s="214"/>
      <c r="ATS121" s="214"/>
      <c r="ATT121" s="214"/>
      <c r="ATU121" s="214"/>
      <c r="ATV121" s="214"/>
      <c r="ATW121" s="214"/>
      <c r="ATX121" s="214"/>
      <c r="ATY121" s="214"/>
      <c r="ATZ121" s="214"/>
      <c r="AUA121" s="214"/>
      <c r="AUB121" s="214"/>
      <c r="AUC121" s="214"/>
      <c r="AUD121" s="214"/>
      <c r="AUE121" s="214"/>
      <c r="AUF121" s="214"/>
      <c r="AUG121" s="214"/>
      <c r="AUH121" s="214"/>
      <c r="AUI121" s="214"/>
      <c r="AUJ121" s="214"/>
      <c r="AUK121" s="214"/>
      <c r="AUL121" s="214"/>
      <c r="AUM121" s="214"/>
      <c r="AUN121" s="214"/>
      <c r="AUO121" s="214"/>
      <c r="AUP121" s="214"/>
      <c r="AUQ121" s="214"/>
      <c r="AUR121" s="214"/>
      <c r="AUS121" s="214"/>
      <c r="AUT121" s="214"/>
      <c r="AUU121" s="214"/>
      <c r="AUV121" s="214"/>
      <c r="AUW121" s="214"/>
      <c r="AUX121" s="214"/>
      <c r="AUY121" s="214"/>
      <c r="AUZ121" s="214"/>
      <c r="AVA121" s="214"/>
      <c r="AVB121" s="214"/>
      <c r="AVC121" s="214"/>
      <c r="AVD121" s="214"/>
      <c r="AVE121" s="214"/>
      <c r="AVF121" s="214"/>
      <c r="AVG121" s="214"/>
      <c r="AVH121" s="214"/>
      <c r="AVI121" s="214"/>
      <c r="AVJ121" s="214"/>
      <c r="AVK121" s="214"/>
      <c r="AVL121" s="214"/>
      <c r="AVM121" s="214"/>
      <c r="AVN121" s="214"/>
      <c r="AVO121" s="214"/>
      <c r="AVP121" s="214"/>
      <c r="AVQ121" s="214"/>
      <c r="AVR121" s="214"/>
      <c r="AVS121" s="214"/>
      <c r="AVT121" s="214"/>
      <c r="AVU121" s="214"/>
      <c r="AVV121" s="214"/>
      <c r="AVW121" s="214"/>
      <c r="AVX121" s="214"/>
      <c r="AVY121" s="214"/>
      <c r="AVZ121" s="214"/>
      <c r="AWA121" s="214"/>
      <c r="AWB121" s="214"/>
      <c r="AWC121" s="214"/>
      <c r="AWD121" s="214"/>
      <c r="AWE121" s="214"/>
      <c r="AWF121" s="214"/>
      <c r="AWG121" s="214"/>
      <c r="AWH121" s="214"/>
      <c r="AWI121" s="214"/>
      <c r="AWJ121" s="214"/>
      <c r="AWK121" s="214"/>
      <c r="AWL121" s="214"/>
      <c r="AWM121" s="214"/>
      <c r="AWN121" s="214"/>
      <c r="AWO121" s="214"/>
      <c r="AWP121" s="214"/>
      <c r="AWQ121" s="214"/>
      <c r="AWR121" s="214"/>
      <c r="AWS121" s="214"/>
      <c r="AWT121" s="214"/>
      <c r="AWU121" s="214"/>
      <c r="AWV121" s="214"/>
      <c r="AWW121" s="214"/>
      <c r="AWX121" s="214"/>
      <c r="AWY121" s="214"/>
      <c r="AWZ121" s="214"/>
      <c r="AXA121" s="214"/>
      <c r="AXB121" s="214"/>
      <c r="AXC121" s="214"/>
      <c r="AXD121" s="214"/>
      <c r="AXE121" s="214"/>
      <c r="AXF121" s="214"/>
      <c r="AXG121" s="214"/>
      <c r="AXH121" s="214"/>
      <c r="AXI121" s="214"/>
      <c r="AXJ121" s="214"/>
      <c r="AXK121" s="214"/>
      <c r="AXL121" s="214"/>
      <c r="AXM121" s="214"/>
      <c r="AXN121" s="214"/>
      <c r="AXO121" s="214"/>
      <c r="AXP121" s="214"/>
      <c r="AXQ121" s="214"/>
      <c r="AXR121" s="214"/>
      <c r="AXS121" s="214"/>
      <c r="AXT121" s="214"/>
      <c r="AXU121" s="214"/>
      <c r="AXV121" s="214"/>
      <c r="AXW121" s="214"/>
      <c r="AXX121" s="214"/>
      <c r="AXY121" s="214"/>
      <c r="AXZ121" s="214"/>
      <c r="AYA121" s="214"/>
      <c r="AYB121" s="214"/>
      <c r="AYC121" s="214"/>
      <c r="AYD121" s="214"/>
      <c r="AYE121" s="214"/>
      <c r="AYF121" s="214"/>
      <c r="AYG121" s="214"/>
      <c r="AYH121" s="214"/>
      <c r="AYI121" s="214"/>
      <c r="AYJ121" s="214"/>
      <c r="AYK121" s="214"/>
      <c r="AYL121" s="214"/>
      <c r="AYM121" s="214"/>
      <c r="AYN121" s="214"/>
      <c r="AYO121" s="214"/>
      <c r="AYP121" s="214"/>
      <c r="AYQ121" s="214"/>
      <c r="AYR121" s="214"/>
      <c r="AYS121" s="214"/>
      <c r="AYT121" s="214"/>
      <c r="AYU121" s="214"/>
      <c r="AYV121" s="214"/>
      <c r="AYW121" s="214"/>
      <c r="AYX121" s="214"/>
      <c r="AYY121" s="214"/>
      <c r="AYZ121" s="214"/>
      <c r="AZA121" s="214"/>
      <c r="AZB121" s="214"/>
      <c r="AZC121" s="214"/>
      <c r="AZD121" s="214"/>
      <c r="AZE121" s="214"/>
      <c r="AZF121" s="214"/>
      <c r="AZG121" s="214"/>
      <c r="AZH121" s="214"/>
      <c r="AZI121" s="214"/>
      <c r="AZJ121" s="214"/>
      <c r="AZK121" s="214"/>
      <c r="AZL121" s="214"/>
      <c r="AZM121" s="214"/>
      <c r="AZN121" s="214"/>
      <c r="AZO121" s="214"/>
      <c r="AZP121" s="214"/>
      <c r="AZQ121" s="214"/>
      <c r="AZR121" s="214"/>
      <c r="AZS121" s="214"/>
      <c r="AZT121" s="214"/>
      <c r="AZU121" s="214"/>
      <c r="AZV121" s="214"/>
      <c r="AZW121" s="214"/>
      <c r="AZX121" s="214"/>
      <c r="AZY121" s="214"/>
      <c r="AZZ121" s="214"/>
      <c r="BAA121" s="214"/>
      <c r="BAB121" s="214"/>
      <c r="BAC121" s="214"/>
      <c r="BAD121" s="214"/>
      <c r="BAE121" s="214"/>
      <c r="BAF121" s="214"/>
      <c r="BAG121" s="214"/>
      <c r="BAH121" s="214"/>
      <c r="BAI121" s="214"/>
      <c r="BAJ121" s="214"/>
      <c r="BAK121" s="214"/>
      <c r="BAL121" s="214"/>
      <c r="BAM121" s="214"/>
      <c r="BAN121" s="214"/>
      <c r="BAO121" s="214"/>
      <c r="BAP121" s="214"/>
      <c r="BAQ121" s="214"/>
      <c r="BAR121" s="214"/>
      <c r="BAS121" s="214"/>
      <c r="BAT121" s="214"/>
      <c r="BAU121" s="214"/>
      <c r="BAV121" s="214"/>
      <c r="BAW121" s="214"/>
      <c r="BAX121" s="214"/>
      <c r="BAY121" s="214"/>
      <c r="BAZ121" s="214"/>
      <c r="BBA121" s="214"/>
      <c r="BBB121" s="214"/>
      <c r="BBC121" s="214"/>
      <c r="BBD121" s="214"/>
      <c r="BBE121" s="214"/>
      <c r="BBF121" s="214"/>
      <c r="BBG121" s="214"/>
      <c r="BBH121" s="214"/>
      <c r="BBI121" s="214"/>
      <c r="BBJ121" s="214"/>
      <c r="BBK121" s="214"/>
      <c r="BBL121" s="214"/>
      <c r="BBM121" s="214"/>
      <c r="BBN121" s="214"/>
      <c r="BBO121" s="214"/>
      <c r="BBP121" s="214"/>
      <c r="BBQ121" s="214"/>
      <c r="BBR121" s="214"/>
      <c r="BBS121" s="214"/>
      <c r="BBT121" s="214"/>
      <c r="BBU121" s="214"/>
      <c r="BBV121" s="214"/>
      <c r="BBW121" s="214"/>
      <c r="BBX121" s="214"/>
      <c r="BBY121" s="214"/>
      <c r="BBZ121" s="214"/>
      <c r="BCA121" s="214"/>
      <c r="BCB121" s="214"/>
      <c r="BCC121" s="214"/>
      <c r="BCD121" s="214"/>
      <c r="BCE121" s="214"/>
      <c r="BCF121" s="214"/>
      <c r="BCG121" s="214"/>
      <c r="BCH121" s="214"/>
      <c r="BCI121" s="214"/>
      <c r="BCJ121" s="214"/>
      <c r="BCK121" s="214"/>
      <c r="BCL121" s="214"/>
      <c r="BCM121" s="214"/>
      <c r="BCN121" s="214"/>
      <c r="BCO121" s="214"/>
      <c r="BCP121" s="214"/>
      <c r="BCQ121" s="214"/>
      <c r="BCR121" s="214"/>
      <c r="BCS121" s="214"/>
      <c r="BCT121" s="214"/>
      <c r="BCU121" s="214"/>
      <c r="BCV121" s="214"/>
      <c r="BCW121" s="214"/>
      <c r="BCX121" s="214"/>
      <c r="BCY121" s="214"/>
      <c r="BCZ121" s="214"/>
      <c r="BDA121" s="214"/>
      <c r="BDB121" s="214"/>
      <c r="BDC121" s="214"/>
      <c r="BDD121" s="214"/>
      <c r="BDE121" s="214"/>
      <c r="BDF121" s="214"/>
      <c r="BDG121" s="214"/>
      <c r="BDH121" s="214"/>
      <c r="BDI121" s="214"/>
      <c r="BDJ121" s="214"/>
      <c r="BDK121" s="214"/>
      <c r="BDL121" s="214"/>
      <c r="BDM121" s="214"/>
      <c r="BDN121" s="214"/>
      <c r="BDO121" s="214"/>
      <c r="BDP121" s="214"/>
      <c r="BDQ121" s="214"/>
      <c r="BDR121" s="214"/>
      <c r="BDS121" s="214"/>
      <c r="BDT121" s="214"/>
      <c r="BDU121" s="214"/>
      <c r="BDV121" s="214"/>
      <c r="BDW121" s="214"/>
      <c r="BDX121" s="214"/>
      <c r="BDY121" s="214"/>
      <c r="BDZ121" s="214"/>
      <c r="BEA121" s="214"/>
      <c r="BEB121" s="214"/>
      <c r="BEC121" s="214"/>
      <c r="BED121" s="214"/>
      <c r="BEE121" s="214"/>
      <c r="BEF121" s="214"/>
      <c r="BEG121" s="214"/>
      <c r="BEH121" s="214"/>
      <c r="BEI121" s="214"/>
      <c r="BEJ121" s="214"/>
      <c r="BEK121" s="214"/>
      <c r="BEL121" s="214"/>
      <c r="BEM121" s="214"/>
      <c r="BEN121" s="214"/>
      <c r="BEO121" s="214"/>
      <c r="BEP121" s="214"/>
      <c r="BEQ121" s="214"/>
      <c r="BER121" s="214"/>
      <c r="BES121" s="214"/>
      <c r="BET121" s="214"/>
      <c r="BEU121" s="214"/>
      <c r="BEV121" s="214"/>
      <c r="BEW121" s="214"/>
      <c r="BEX121" s="214"/>
      <c r="BEY121" s="214"/>
      <c r="BEZ121" s="214"/>
      <c r="BFA121" s="214"/>
      <c r="BFB121" s="214"/>
      <c r="BFC121" s="214"/>
      <c r="BFD121" s="214"/>
      <c r="BFE121" s="214"/>
      <c r="BFF121" s="214"/>
      <c r="BFG121" s="214"/>
      <c r="BFH121" s="214"/>
      <c r="BFI121" s="214"/>
      <c r="BFJ121" s="214"/>
      <c r="BFK121" s="214"/>
      <c r="BFL121" s="214"/>
      <c r="BFM121" s="214"/>
      <c r="BFN121" s="214"/>
      <c r="BFO121" s="214"/>
      <c r="BFP121" s="214"/>
      <c r="BFQ121" s="214"/>
      <c r="BFR121" s="214"/>
      <c r="BFS121" s="214"/>
      <c r="BFT121" s="214"/>
      <c r="BFU121" s="214"/>
      <c r="BFV121" s="214"/>
      <c r="BFW121" s="214"/>
      <c r="BFX121" s="214"/>
      <c r="BFY121" s="214"/>
      <c r="BFZ121" s="214"/>
      <c r="BGA121" s="214"/>
      <c r="BGB121" s="214"/>
      <c r="BGC121" s="214"/>
      <c r="BGD121" s="214"/>
      <c r="BGE121" s="214"/>
      <c r="BGF121" s="214"/>
      <c r="BGG121" s="214"/>
      <c r="BGH121" s="214"/>
      <c r="BGI121" s="214"/>
      <c r="BGJ121" s="214"/>
      <c r="BGK121" s="214"/>
      <c r="BGL121" s="214"/>
      <c r="BGM121" s="214"/>
      <c r="BGN121" s="214"/>
      <c r="BGO121" s="214"/>
      <c r="BGP121" s="214"/>
      <c r="BGQ121" s="214"/>
      <c r="BGR121" s="214"/>
      <c r="BGS121" s="214"/>
      <c r="BGT121" s="214"/>
      <c r="BGU121" s="214"/>
      <c r="BGV121" s="214"/>
      <c r="BGW121" s="214"/>
      <c r="BGX121" s="214"/>
      <c r="BGY121" s="214"/>
      <c r="BGZ121" s="214"/>
      <c r="BHA121" s="214"/>
      <c r="BHB121" s="214"/>
      <c r="BHC121" s="214"/>
      <c r="BHD121" s="214"/>
      <c r="BHE121" s="214"/>
      <c r="BHF121" s="214"/>
      <c r="BHG121" s="214"/>
      <c r="BHH121" s="214"/>
      <c r="BHI121" s="214"/>
      <c r="BHJ121" s="214"/>
      <c r="BHK121" s="214"/>
      <c r="BHL121" s="214"/>
      <c r="BHM121" s="214"/>
      <c r="BHN121" s="214"/>
      <c r="BHO121" s="214"/>
      <c r="BHP121" s="214"/>
      <c r="BHQ121" s="214"/>
      <c r="BHR121" s="214"/>
      <c r="BHS121" s="214"/>
      <c r="BHT121" s="214"/>
      <c r="BHU121" s="214"/>
      <c r="BHV121" s="214"/>
      <c r="BHW121" s="214"/>
    </row>
    <row r="122" spans="1:1583" s="217" customFormat="1" ht="14.25" customHeight="1" thickBot="1">
      <c r="A122" s="247"/>
      <c r="B122" s="255" t="s">
        <v>151</v>
      </c>
      <c r="C122" s="255" t="s">
        <v>151</v>
      </c>
      <c r="D122" s="426" t="s">
        <v>653</v>
      </c>
      <c r="E122" s="59" t="s">
        <v>149</v>
      </c>
      <c r="F122" s="141">
        <v>600</v>
      </c>
      <c r="G122" s="60" t="s">
        <v>772</v>
      </c>
      <c r="H122" s="473">
        <f t="shared" si="25"/>
        <v>0</v>
      </c>
      <c r="I122" s="93"/>
      <c r="J122" s="255"/>
      <c r="K122" s="93"/>
      <c r="L122" s="93"/>
      <c r="M122" s="93"/>
      <c r="N122" s="93"/>
      <c r="O122" s="93"/>
      <c r="P122" s="93"/>
      <c r="Q122" s="93"/>
      <c r="R122" s="93"/>
      <c r="S122" s="93"/>
      <c r="T122" s="93"/>
      <c r="U122" s="93"/>
      <c r="V122" s="93"/>
      <c r="W122" s="93"/>
      <c r="X122" s="93"/>
      <c r="Y122" s="93"/>
      <c r="Z122" s="93"/>
      <c r="AA122" s="93"/>
      <c r="AB122" s="93"/>
      <c r="AC122" s="93"/>
      <c r="AD122" s="93"/>
      <c r="AE122" s="93"/>
      <c r="AF122" s="93"/>
      <c r="AG122" s="93"/>
      <c r="AH122" s="93"/>
      <c r="AI122" s="93"/>
      <c r="AJ122" s="93"/>
      <c r="AK122" s="93"/>
      <c r="AL122" s="93"/>
      <c r="AM122" s="93"/>
      <c r="AN122" s="93"/>
      <c r="AO122" s="214"/>
      <c r="AP122" s="214"/>
      <c r="AQ122" s="214"/>
      <c r="AR122" s="214"/>
      <c r="AS122" s="214"/>
      <c r="AT122" s="214"/>
      <c r="AU122" s="214"/>
      <c r="AV122" s="214"/>
      <c r="AW122" s="214"/>
      <c r="AX122" s="214"/>
      <c r="AY122" s="214"/>
      <c r="AZ122" s="214"/>
      <c r="BA122" s="214"/>
      <c r="BB122" s="214"/>
      <c r="BC122" s="214"/>
      <c r="BD122" s="214"/>
      <c r="BE122" s="214"/>
      <c r="BF122" s="214"/>
      <c r="BG122" s="214"/>
      <c r="BH122" s="214"/>
      <c r="BI122" s="214"/>
      <c r="BJ122" s="214"/>
      <c r="BK122" s="214"/>
      <c r="BL122" s="214"/>
      <c r="BM122" s="214"/>
      <c r="BN122" s="214"/>
      <c r="BO122" s="214"/>
      <c r="BP122" s="214"/>
      <c r="BQ122" s="214"/>
      <c r="BR122" s="214"/>
      <c r="BS122" s="214"/>
      <c r="BT122" s="214"/>
      <c r="BU122" s="214"/>
      <c r="BV122" s="214"/>
      <c r="BW122" s="214"/>
      <c r="BX122" s="214"/>
      <c r="BY122" s="214"/>
      <c r="BZ122" s="214"/>
      <c r="CA122" s="214"/>
      <c r="CB122" s="214"/>
      <c r="CC122" s="214"/>
      <c r="CD122" s="214"/>
      <c r="CE122" s="214"/>
      <c r="CF122" s="214"/>
      <c r="CG122" s="214"/>
      <c r="CH122" s="214"/>
      <c r="CI122" s="214"/>
      <c r="CJ122" s="214"/>
      <c r="CK122" s="214"/>
      <c r="CL122" s="214"/>
      <c r="CM122" s="214"/>
      <c r="CN122" s="214"/>
      <c r="CO122" s="214"/>
      <c r="CP122" s="214"/>
      <c r="CQ122" s="214"/>
      <c r="CR122" s="214"/>
      <c r="CS122" s="214"/>
      <c r="CT122" s="214"/>
      <c r="CU122" s="214"/>
      <c r="CV122" s="214"/>
      <c r="CW122" s="214"/>
      <c r="CX122" s="214"/>
      <c r="CY122" s="214"/>
      <c r="CZ122" s="214"/>
      <c r="DA122" s="214"/>
      <c r="DB122" s="214"/>
      <c r="DC122" s="214"/>
      <c r="DD122" s="214"/>
      <c r="DE122" s="214"/>
      <c r="DF122" s="214"/>
      <c r="DG122" s="214"/>
      <c r="DH122" s="214"/>
      <c r="DI122" s="214"/>
      <c r="DJ122" s="214"/>
      <c r="DK122" s="214"/>
      <c r="DL122" s="214"/>
      <c r="DM122" s="214"/>
      <c r="DN122" s="214"/>
      <c r="DO122" s="214"/>
      <c r="DP122" s="214"/>
      <c r="DQ122" s="214"/>
      <c r="DR122" s="214"/>
      <c r="DS122" s="214"/>
      <c r="DT122" s="214"/>
      <c r="DU122" s="214"/>
      <c r="DV122" s="214"/>
      <c r="DW122" s="214"/>
      <c r="DX122" s="214"/>
      <c r="DY122" s="214"/>
      <c r="DZ122" s="214"/>
      <c r="EA122" s="214"/>
      <c r="EB122" s="214"/>
      <c r="EC122" s="214"/>
      <c r="ED122" s="214"/>
      <c r="EE122" s="214"/>
      <c r="EF122" s="214"/>
      <c r="EG122" s="214"/>
      <c r="EH122" s="214"/>
      <c r="EI122" s="214"/>
      <c r="EJ122" s="214"/>
      <c r="EK122" s="214"/>
      <c r="EL122" s="214"/>
      <c r="EM122" s="214"/>
      <c r="EN122" s="214"/>
      <c r="EO122" s="214"/>
      <c r="EP122" s="214"/>
      <c r="EQ122" s="214"/>
      <c r="ER122" s="214"/>
      <c r="ES122" s="214"/>
      <c r="ET122" s="214"/>
      <c r="EU122" s="214"/>
      <c r="EV122" s="214"/>
      <c r="EW122" s="214"/>
      <c r="EX122" s="214"/>
      <c r="EY122" s="214"/>
      <c r="EZ122" s="214"/>
      <c r="FA122" s="214"/>
      <c r="FB122" s="214"/>
      <c r="FC122" s="214"/>
      <c r="FD122" s="214"/>
      <c r="FE122" s="214"/>
      <c r="FF122" s="214"/>
      <c r="FG122" s="214"/>
      <c r="FH122" s="214"/>
      <c r="FI122" s="214"/>
      <c r="FJ122" s="214"/>
      <c r="FK122" s="214"/>
      <c r="FL122" s="214"/>
      <c r="FM122" s="214"/>
      <c r="FN122" s="214"/>
      <c r="FO122" s="214"/>
      <c r="FP122" s="214"/>
      <c r="FQ122" s="214"/>
      <c r="FR122" s="214"/>
      <c r="FS122" s="214"/>
      <c r="FT122" s="214"/>
      <c r="FU122" s="214"/>
      <c r="FV122" s="214"/>
      <c r="FW122" s="214"/>
      <c r="FX122" s="214"/>
      <c r="FY122" s="214"/>
      <c r="FZ122" s="214"/>
      <c r="GA122" s="214"/>
      <c r="GB122" s="214"/>
      <c r="GC122" s="214"/>
      <c r="GD122" s="214"/>
      <c r="GE122" s="214"/>
      <c r="GF122" s="214"/>
      <c r="GG122" s="214"/>
      <c r="GH122" s="214"/>
      <c r="GI122" s="214"/>
      <c r="GJ122" s="214"/>
      <c r="GK122" s="214"/>
      <c r="GL122" s="214"/>
      <c r="GM122" s="214"/>
      <c r="GN122" s="214"/>
      <c r="GO122" s="214"/>
      <c r="GP122" s="214"/>
      <c r="GQ122" s="214"/>
      <c r="GR122" s="214"/>
      <c r="GS122" s="214"/>
      <c r="GT122" s="214"/>
      <c r="GU122" s="214"/>
      <c r="GV122" s="214"/>
      <c r="GW122" s="214"/>
      <c r="GX122" s="214"/>
      <c r="GY122" s="214"/>
      <c r="GZ122" s="214"/>
      <c r="HA122" s="214"/>
      <c r="HB122" s="214"/>
      <c r="HC122" s="214"/>
      <c r="HD122" s="214"/>
      <c r="HE122" s="214"/>
      <c r="HF122" s="214"/>
      <c r="HG122" s="214"/>
      <c r="HH122" s="214"/>
      <c r="HI122" s="214"/>
      <c r="HJ122" s="214"/>
      <c r="HK122" s="214"/>
      <c r="HL122" s="214"/>
      <c r="HM122" s="214"/>
      <c r="HN122" s="214"/>
      <c r="HO122" s="214"/>
      <c r="HP122" s="214"/>
      <c r="HQ122" s="214"/>
      <c r="HR122" s="214"/>
      <c r="HS122" s="214"/>
      <c r="HT122" s="214"/>
      <c r="HU122" s="214"/>
      <c r="HV122" s="214"/>
      <c r="HW122" s="214"/>
      <c r="HX122" s="214"/>
      <c r="HY122" s="214"/>
      <c r="HZ122" s="214"/>
      <c r="IA122" s="214"/>
      <c r="IB122" s="214"/>
      <c r="IC122" s="214"/>
      <c r="ID122" s="214"/>
      <c r="IE122" s="214"/>
      <c r="IF122" s="214"/>
      <c r="IG122" s="214"/>
      <c r="IH122" s="214"/>
      <c r="II122" s="214"/>
      <c r="IJ122" s="214"/>
      <c r="IK122" s="214"/>
      <c r="IL122" s="214"/>
      <c r="IM122" s="214"/>
      <c r="IN122" s="214"/>
      <c r="IO122" s="214"/>
      <c r="IP122" s="214"/>
      <c r="IQ122" s="214"/>
      <c r="IR122" s="214"/>
      <c r="IS122" s="214"/>
      <c r="IT122" s="214"/>
      <c r="IU122" s="214"/>
      <c r="IV122" s="214"/>
      <c r="IW122" s="214"/>
      <c r="IX122" s="214"/>
      <c r="IY122" s="214"/>
      <c r="IZ122" s="214"/>
      <c r="JA122" s="214"/>
      <c r="JB122" s="214"/>
      <c r="JC122" s="214"/>
      <c r="JD122" s="214"/>
      <c r="JE122" s="214"/>
      <c r="JF122" s="214"/>
      <c r="JG122" s="214"/>
      <c r="JH122" s="214"/>
      <c r="JI122" s="214"/>
      <c r="JJ122" s="214"/>
      <c r="JK122" s="214"/>
      <c r="JL122" s="214"/>
      <c r="JM122" s="214"/>
      <c r="JN122" s="214"/>
      <c r="JO122" s="214"/>
      <c r="JP122" s="214"/>
      <c r="JQ122" s="214"/>
      <c r="JR122" s="214"/>
      <c r="JS122" s="214"/>
      <c r="JT122" s="214"/>
      <c r="JU122" s="214"/>
      <c r="JV122" s="214"/>
      <c r="JW122" s="214"/>
      <c r="JX122" s="214"/>
      <c r="JY122" s="214"/>
      <c r="JZ122" s="214"/>
      <c r="KA122" s="214"/>
      <c r="KB122" s="214"/>
      <c r="KC122" s="214"/>
      <c r="KD122" s="214"/>
      <c r="KE122" s="214"/>
      <c r="KF122" s="214"/>
      <c r="KG122" s="214"/>
      <c r="KH122" s="214"/>
      <c r="KI122" s="214"/>
      <c r="KJ122" s="214"/>
      <c r="KK122" s="214"/>
      <c r="KL122" s="214"/>
      <c r="KM122" s="214"/>
      <c r="KN122" s="214"/>
      <c r="KO122" s="214"/>
      <c r="KP122" s="214"/>
      <c r="KQ122" s="214"/>
      <c r="KR122" s="214"/>
      <c r="KS122" s="214"/>
      <c r="KT122" s="214"/>
      <c r="KU122" s="214"/>
      <c r="KV122" s="214"/>
      <c r="KW122" s="214"/>
      <c r="KX122" s="214"/>
      <c r="KY122" s="214"/>
      <c r="KZ122" s="214"/>
      <c r="LA122" s="214"/>
      <c r="LB122" s="214"/>
      <c r="LC122" s="214"/>
      <c r="LD122" s="214"/>
      <c r="LE122" s="214"/>
      <c r="LF122" s="214"/>
      <c r="LG122" s="214"/>
      <c r="LH122" s="214"/>
      <c r="LI122" s="214"/>
      <c r="LJ122" s="214"/>
      <c r="LK122" s="214"/>
      <c r="LL122" s="214"/>
      <c r="LM122" s="214"/>
      <c r="LN122" s="214"/>
      <c r="LO122" s="214"/>
      <c r="LP122" s="214"/>
      <c r="LQ122" s="214"/>
      <c r="LR122" s="214"/>
      <c r="LS122" s="214"/>
      <c r="LT122" s="214"/>
      <c r="LU122" s="214"/>
      <c r="LV122" s="214"/>
      <c r="LW122" s="214"/>
      <c r="LX122" s="214"/>
      <c r="LY122" s="214"/>
      <c r="LZ122" s="214"/>
      <c r="MA122" s="214"/>
      <c r="MB122" s="214"/>
      <c r="MC122" s="214"/>
      <c r="MD122" s="214"/>
      <c r="ME122" s="214"/>
      <c r="MF122" s="214"/>
      <c r="MG122" s="214"/>
      <c r="MH122" s="214"/>
      <c r="MI122" s="214"/>
      <c r="MJ122" s="214"/>
      <c r="MK122" s="214"/>
      <c r="ML122" s="214"/>
      <c r="MM122" s="214"/>
      <c r="MN122" s="214"/>
      <c r="MO122" s="214"/>
      <c r="MP122" s="214"/>
      <c r="MQ122" s="214"/>
      <c r="MR122" s="214"/>
      <c r="MS122" s="214"/>
      <c r="MT122" s="214"/>
      <c r="MU122" s="214"/>
      <c r="MV122" s="214"/>
      <c r="MW122" s="214"/>
      <c r="MX122" s="214"/>
      <c r="MY122" s="214"/>
      <c r="MZ122" s="214"/>
      <c r="NA122" s="214"/>
      <c r="NB122" s="214"/>
      <c r="NC122" s="214"/>
      <c r="ND122" s="214"/>
      <c r="NE122" s="214"/>
      <c r="NF122" s="214"/>
      <c r="NG122" s="214"/>
      <c r="NH122" s="214"/>
      <c r="NI122" s="214"/>
      <c r="NJ122" s="214"/>
      <c r="NK122" s="214"/>
      <c r="NL122" s="214"/>
      <c r="NM122" s="214"/>
      <c r="NN122" s="214"/>
      <c r="NO122" s="214"/>
      <c r="NP122" s="214"/>
      <c r="NQ122" s="214"/>
      <c r="NR122" s="214"/>
      <c r="NS122" s="214"/>
      <c r="NT122" s="214"/>
      <c r="NU122" s="214"/>
      <c r="NV122" s="214"/>
      <c r="NW122" s="214"/>
      <c r="NX122" s="214"/>
      <c r="NY122" s="214"/>
      <c r="NZ122" s="214"/>
      <c r="OA122" s="214"/>
      <c r="OB122" s="214"/>
      <c r="OC122" s="214"/>
      <c r="OD122" s="214"/>
      <c r="OE122" s="214"/>
      <c r="OF122" s="214"/>
      <c r="OG122" s="214"/>
      <c r="OH122" s="214"/>
      <c r="OI122" s="214"/>
      <c r="OJ122" s="214"/>
      <c r="OK122" s="214"/>
      <c r="OL122" s="214"/>
      <c r="OM122" s="214"/>
      <c r="ON122" s="214"/>
      <c r="OO122" s="214"/>
      <c r="OP122" s="214"/>
      <c r="OQ122" s="214"/>
      <c r="OR122" s="214"/>
      <c r="OS122" s="214"/>
      <c r="OT122" s="214"/>
      <c r="OU122" s="214"/>
      <c r="OV122" s="214"/>
      <c r="OW122" s="214"/>
      <c r="OX122" s="214"/>
      <c r="OY122" s="214"/>
      <c r="OZ122" s="214"/>
      <c r="PA122" s="214"/>
      <c r="PB122" s="214"/>
      <c r="PC122" s="214"/>
      <c r="PD122" s="214"/>
      <c r="PE122" s="214"/>
      <c r="PF122" s="214"/>
      <c r="PG122" s="214"/>
      <c r="PH122" s="214"/>
      <c r="PI122" s="214"/>
      <c r="PJ122" s="214"/>
      <c r="PK122" s="214"/>
      <c r="PL122" s="214"/>
      <c r="PM122" s="214"/>
      <c r="PN122" s="214"/>
      <c r="PO122" s="214"/>
      <c r="PP122" s="214"/>
      <c r="PQ122" s="214"/>
      <c r="PR122" s="214"/>
      <c r="PS122" s="214"/>
      <c r="PT122" s="214"/>
      <c r="PU122" s="214"/>
      <c r="PV122" s="214"/>
      <c r="PW122" s="214"/>
      <c r="PX122" s="214"/>
      <c r="PY122" s="214"/>
      <c r="PZ122" s="214"/>
      <c r="QA122" s="214"/>
      <c r="QB122" s="214"/>
      <c r="QC122" s="214"/>
      <c r="QD122" s="214"/>
      <c r="QE122" s="214"/>
      <c r="QF122" s="214"/>
      <c r="QG122" s="214"/>
      <c r="QH122" s="214"/>
      <c r="QI122" s="214"/>
      <c r="QJ122" s="214"/>
      <c r="QK122" s="214"/>
      <c r="QL122" s="214"/>
      <c r="QM122" s="214"/>
      <c r="QN122" s="214"/>
      <c r="QO122" s="214"/>
      <c r="QP122" s="214"/>
      <c r="QQ122" s="214"/>
      <c r="QR122" s="214"/>
      <c r="QS122" s="214"/>
      <c r="QT122" s="214"/>
      <c r="QU122" s="214"/>
      <c r="QV122" s="214"/>
      <c r="QW122" s="214"/>
      <c r="QX122" s="214"/>
      <c r="QY122" s="214"/>
      <c r="QZ122" s="214"/>
      <c r="RA122" s="214"/>
      <c r="RB122" s="214"/>
      <c r="RC122" s="214"/>
      <c r="RD122" s="214"/>
      <c r="RE122" s="214"/>
      <c r="RF122" s="214"/>
      <c r="RG122" s="214"/>
      <c r="RH122" s="214"/>
      <c r="RI122" s="214"/>
      <c r="RJ122" s="214"/>
      <c r="RK122" s="214"/>
      <c r="RL122" s="214"/>
      <c r="RM122" s="214"/>
      <c r="RN122" s="214"/>
      <c r="RO122" s="214"/>
      <c r="RP122" s="214"/>
      <c r="RQ122" s="214"/>
      <c r="RR122" s="214"/>
      <c r="RS122" s="214"/>
      <c r="RT122" s="214"/>
      <c r="RU122" s="214"/>
      <c r="RV122" s="214"/>
      <c r="RW122" s="214"/>
      <c r="RX122" s="214"/>
      <c r="RY122" s="214"/>
      <c r="RZ122" s="214"/>
      <c r="SA122" s="214"/>
      <c r="SB122" s="214"/>
      <c r="SC122" s="214"/>
      <c r="SD122" s="214"/>
      <c r="SE122" s="214"/>
      <c r="SF122" s="214"/>
      <c r="SG122" s="214"/>
      <c r="SH122" s="214"/>
      <c r="SI122" s="214"/>
      <c r="SJ122" s="214"/>
      <c r="SK122" s="214"/>
      <c r="SL122" s="214"/>
      <c r="SM122" s="214"/>
      <c r="SN122" s="214"/>
      <c r="SO122" s="214"/>
      <c r="SP122" s="214"/>
      <c r="SQ122" s="214"/>
      <c r="SR122" s="214"/>
      <c r="SS122" s="214"/>
      <c r="ST122" s="214"/>
      <c r="SU122" s="214"/>
      <c r="SV122" s="214"/>
      <c r="SW122" s="214"/>
      <c r="SX122" s="214"/>
      <c r="SY122" s="214"/>
      <c r="SZ122" s="214"/>
      <c r="TA122" s="214"/>
      <c r="TB122" s="214"/>
      <c r="TC122" s="214"/>
      <c r="TD122" s="214"/>
      <c r="TE122" s="214"/>
      <c r="TF122" s="214"/>
      <c r="TG122" s="214"/>
      <c r="TH122" s="214"/>
      <c r="TI122" s="214"/>
      <c r="TJ122" s="214"/>
      <c r="TK122" s="214"/>
      <c r="TL122" s="214"/>
      <c r="TM122" s="214"/>
      <c r="TN122" s="214"/>
      <c r="TO122" s="214"/>
      <c r="TP122" s="214"/>
      <c r="TQ122" s="214"/>
      <c r="TR122" s="214"/>
      <c r="TS122" s="214"/>
      <c r="TT122" s="214"/>
      <c r="TU122" s="214"/>
      <c r="TV122" s="214"/>
      <c r="TW122" s="214"/>
      <c r="TX122" s="214"/>
      <c r="TY122" s="214"/>
      <c r="TZ122" s="214"/>
      <c r="UA122" s="214"/>
      <c r="UB122" s="214"/>
      <c r="UC122" s="214"/>
      <c r="UD122" s="214"/>
      <c r="UE122" s="214"/>
      <c r="UF122" s="214"/>
      <c r="UG122" s="214"/>
      <c r="UH122" s="214"/>
      <c r="UI122" s="214"/>
      <c r="UJ122" s="214"/>
      <c r="UK122" s="214"/>
      <c r="UL122" s="214"/>
      <c r="UM122" s="214"/>
      <c r="UN122" s="214"/>
      <c r="UO122" s="214"/>
      <c r="UP122" s="214"/>
      <c r="UQ122" s="214"/>
      <c r="UR122" s="214"/>
      <c r="US122" s="214"/>
      <c r="UT122" s="214"/>
      <c r="UU122" s="214"/>
      <c r="UV122" s="214"/>
      <c r="UW122" s="214"/>
      <c r="UX122" s="214"/>
      <c r="UY122" s="214"/>
      <c r="UZ122" s="214"/>
      <c r="VA122" s="214"/>
      <c r="VB122" s="214"/>
      <c r="VC122" s="214"/>
      <c r="VD122" s="214"/>
      <c r="VE122" s="214"/>
      <c r="VF122" s="214"/>
      <c r="VG122" s="214"/>
      <c r="VH122" s="214"/>
      <c r="VI122" s="214"/>
      <c r="VJ122" s="214"/>
      <c r="VK122" s="214"/>
      <c r="VL122" s="214"/>
      <c r="VM122" s="214"/>
      <c r="VN122" s="214"/>
      <c r="VO122" s="214"/>
      <c r="VP122" s="214"/>
      <c r="VQ122" s="214"/>
      <c r="VR122" s="214"/>
      <c r="VS122" s="214"/>
      <c r="VT122" s="214"/>
      <c r="VU122" s="214"/>
      <c r="VV122" s="214"/>
      <c r="VW122" s="214"/>
      <c r="VX122" s="214"/>
      <c r="VY122" s="214"/>
      <c r="VZ122" s="214"/>
      <c r="WA122" s="214"/>
      <c r="WB122" s="214"/>
      <c r="WC122" s="214"/>
      <c r="WD122" s="214"/>
      <c r="WE122" s="214"/>
      <c r="WF122" s="214"/>
      <c r="WG122" s="214"/>
      <c r="WH122" s="214"/>
      <c r="WI122" s="214"/>
      <c r="WJ122" s="214"/>
      <c r="WK122" s="214"/>
      <c r="WL122" s="214"/>
      <c r="WM122" s="214"/>
      <c r="WN122" s="214"/>
      <c r="WO122" s="214"/>
      <c r="WP122" s="214"/>
      <c r="WQ122" s="214"/>
      <c r="WR122" s="214"/>
      <c r="WS122" s="214"/>
      <c r="WT122" s="214"/>
      <c r="WU122" s="214"/>
      <c r="WV122" s="214"/>
      <c r="WW122" s="214"/>
      <c r="WX122" s="214"/>
      <c r="WY122" s="214"/>
      <c r="WZ122" s="214"/>
      <c r="XA122" s="214"/>
      <c r="XB122" s="214"/>
      <c r="XC122" s="214"/>
      <c r="XD122" s="214"/>
      <c r="XE122" s="214"/>
      <c r="XF122" s="214"/>
      <c r="XG122" s="214"/>
      <c r="XH122" s="214"/>
      <c r="XI122" s="214"/>
      <c r="XJ122" s="214"/>
      <c r="XK122" s="214"/>
      <c r="XL122" s="214"/>
      <c r="XM122" s="214"/>
      <c r="XN122" s="214"/>
      <c r="XO122" s="214"/>
      <c r="XP122" s="214"/>
      <c r="XQ122" s="214"/>
      <c r="XR122" s="214"/>
      <c r="XS122" s="214"/>
      <c r="XT122" s="214"/>
      <c r="XU122" s="214"/>
      <c r="XV122" s="214"/>
      <c r="XW122" s="214"/>
      <c r="XX122" s="214"/>
      <c r="XY122" s="214"/>
      <c r="XZ122" s="214"/>
      <c r="YA122" s="214"/>
      <c r="YB122" s="214"/>
      <c r="YC122" s="214"/>
      <c r="YD122" s="214"/>
      <c r="YE122" s="214"/>
      <c r="YF122" s="214"/>
      <c r="YG122" s="214"/>
      <c r="YH122" s="214"/>
      <c r="YI122" s="214"/>
      <c r="YJ122" s="214"/>
      <c r="YK122" s="214"/>
      <c r="YL122" s="214"/>
      <c r="YM122" s="214"/>
      <c r="YN122" s="214"/>
      <c r="YO122" s="214"/>
      <c r="YP122" s="214"/>
      <c r="YQ122" s="214"/>
      <c r="YR122" s="214"/>
      <c r="YS122" s="214"/>
      <c r="YT122" s="214"/>
      <c r="YU122" s="214"/>
      <c r="YV122" s="214"/>
      <c r="YW122" s="214"/>
      <c r="YX122" s="214"/>
      <c r="YY122" s="214"/>
      <c r="YZ122" s="214"/>
      <c r="ZA122" s="214"/>
      <c r="ZB122" s="214"/>
      <c r="ZC122" s="214"/>
      <c r="ZD122" s="214"/>
      <c r="ZE122" s="214"/>
      <c r="ZF122" s="214"/>
      <c r="ZG122" s="214"/>
      <c r="ZH122" s="214"/>
      <c r="ZI122" s="214"/>
      <c r="ZJ122" s="214"/>
      <c r="ZK122" s="214"/>
      <c r="ZL122" s="214"/>
      <c r="ZM122" s="214"/>
      <c r="ZN122" s="214"/>
      <c r="ZO122" s="214"/>
      <c r="ZP122" s="214"/>
      <c r="ZQ122" s="214"/>
      <c r="ZR122" s="214"/>
      <c r="ZS122" s="214"/>
      <c r="ZT122" s="214"/>
      <c r="ZU122" s="214"/>
      <c r="ZV122" s="214"/>
      <c r="ZW122" s="214"/>
      <c r="ZX122" s="214"/>
      <c r="ZY122" s="214"/>
      <c r="ZZ122" s="214"/>
      <c r="AAA122" s="214"/>
      <c r="AAB122" s="214"/>
      <c r="AAC122" s="214"/>
      <c r="AAD122" s="214"/>
      <c r="AAE122" s="214"/>
      <c r="AAF122" s="214"/>
      <c r="AAG122" s="214"/>
      <c r="AAH122" s="214"/>
      <c r="AAI122" s="214"/>
      <c r="AAJ122" s="214"/>
      <c r="AAK122" s="214"/>
      <c r="AAL122" s="214"/>
      <c r="AAM122" s="214"/>
      <c r="AAN122" s="214"/>
      <c r="AAO122" s="214"/>
      <c r="AAP122" s="214"/>
      <c r="AAQ122" s="214"/>
      <c r="AAR122" s="214"/>
      <c r="AAS122" s="214"/>
      <c r="AAT122" s="214"/>
      <c r="AAU122" s="214"/>
      <c r="AAV122" s="214"/>
      <c r="AAW122" s="214"/>
      <c r="AAX122" s="214"/>
      <c r="AAY122" s="214"/>
      <c r="AAZ122" s="214"/>
      <c r="ABA122" s="214"/>
      <c r="ABB122" s="214"/>
      <c r="ABC122" s="214"/>
      <c r="ABD122" s="214"/>
      <c r="ABE122" s="214"/>
      <c r="ABF122" s="214"/>
      <c r="ABG122" s="214"/>
      <c r="ABH122" s="214"/>
      <c r="ABI122" s="214"/>
      <c r="ABJ122" s="214"/>
      <c r="ABK122" s="214"/>
      <c r="ABL122" s="214"/>
      <c r="ABM122" s="214"/>
      <c r="ABN122" s="214"/>
      <c r="ABO122" s="214"/>
      <c r="ABP122" s="214"/>
      <c r="ABQ122" s="214"/>
      <c r="ABR122" s="214"/>
      <c r="ABS122" s="214"/>
      <c r="ABT122" s="214"/>
      <c r="ABU122" s="214"/>
      <c r="ABV122" s="214"/>
      <c r="ABW122" s="214"/>
      <c r="ABX122" s="214"/>
      <c r="ABY122" s="214"/>
      <c r="ABZ122" s="214"/>
      <c r="ACA122" s="214"/>
      <c r="ACB122" s="214"/>
      <c r="ACC122" s="214"/>
      <c r="ACD122" s="214"/>
      <c r="ACE122" s="214"/>
      <c r="ACF122" s="214"/>
      <c r="ACG122" s="214"/>
      <c r="ACH122" s="214"/>
      <c r="ACI122" s="214"/>
      <c r="ACJ122" s="214"/>
      <c r="ACK122" s="214"/>
      <c r="ACL122" s="214"/>
      <c r="ACM122" s="214"/>
      <c r="ACN122" s="214"/>
      <c r="ACO122" s="214"/>
      <c r="ACP122" s="214"/>
      <c r="ACQ122" s="214"/>
      <c r="ACR122" s="214"/>
      <c r="ACS122" s="214"/>
      <c r="ACT122" s="214"/>
      <c r="ACU122" s="214"/>
      <c r="ACV122" s="214"/>
      <c r="ACW122" s="214"/>
      <c r="ACX122" s="214"/>
      <c r="ACY122" s="214"/>
      <c r="ACZ122" s="214"/>
      <c r="ADA122" s="214"/>
      <c r="ADB122" s="214"/>
      <c r="ADC122" s="214"/>
      <c r="ADD122" s="214"/>
      <c r="ADE122" s="214"/>
      <c r="ADF122" s="214"/>
      <c r="ADG122" s="214"/>
      <c r="ADH122" s="214"/>
      <c r="ADI122" s="214"/>
      <c r="ADJ122" s="214"/>
      <c r="ADK122" s="214"/>
      <c r="ADL122" s="214"/>
      <c r="ADM122" s="214"/>
      <c r="ADN122" s="214"/>
      <c r="ADO122" s="214"/>
      <c r="ADP122" s="214"/>
      <c r="ADQ122" s="214"/>
      <c r="ADR122" s="214"/>
      <c r="ADS122" s="214"/>
      <c r="ADT122" s="214"/>
      <c r="ADU122" s="214"/>
      <c r="ADV122" s="214"/>
      <c r="ADW122" s="214"/>
      <c r="ADX122" s="214"/>
      <c r="ADY122" s="214"/>
      <c r="ADZ122" s="214"/>
      <c r="AEA122" s="214"/>
      <c r="AEB122" s="214"/>
      <c r="AEC122" s="214"/>
      <c r="AED122" s="214"/>
      <c r="AEE122" s="214"/>
      <c r="AEF122" s="214"/>
      <c r="AEG122" s="214"/>
      <c r="AEH122" s="214"/>
      <c r="AEI122" s="214"/>
      <c r="AEJ122" s="214"/>
      <c r="AEK122" s="214"/>
      <c r="AEL122" s="214"/>
      <c r="AEM122" s="214"/>
      <c r="AEN122" s="214"/>
      <c r="AEO122" s="214"/>
      <c r="AEP122" s="214"/>
      <c r="AEQ122" s="214"/>
      <c r="AER122" s="214"/>
      <c r="AES122" s="214"/>
      <c r="AET122" s="214"/>
      <c r="AEU122" s="214"/>
      <c r="AEV122" s="214"/>
      <c r="AEW122" s="214"/>
      <c r="AEX122" s="214"/>
      <c r="AEY122" s="214"/>
      <c r="AEZ122" s="214"/>
      <c r="AFA122" s="214"/>
      <c r="AFB122" s="214"/>
      <c r="AFC122" s="214"/>
      <c r="AFD122" s="214"/>
      <c r="AFE122" s="214"/>
      <c r="AFF122" s="214"/>
      <c r="AFG122" s="214"/>
      <c r="AFH122" s="214"/>
      <c r="AFI122" s="214"/>
      <c r="AFJ122" s="214"/>
      <c r="AFK122" s="214"/>
      <c r="AFL122" s="214"/>
      <c r="AFM122" s="214"/>
      <c r="AFN122" s="214"/>
      <c r="AFO122" s="214"/>
      <c r="AFP122" s="214"/>
      <c r="AFQ122" s="214"/>
      <c r="AFR122" s="214"/>
      <c r="AFS122" s="214"/>
      <c r="AFT122" s="214"/>
      <c r="AFU122" s="214"/>
      <c r="AFV122" s="214"/>
      <c r="AFW122" s="214"/>
      <c r="AFX122" s="214"/>
      <c r="AFY122" s="214"/>
      <c r="AFZ122" s="214"/>
      <c r="AGA122" s="214"/>
      <c r="AGB122" s="214"/>
      <c r="AGC122" s="214"/>
      <c r="AGD122" s="214"/>
      <c r="AGE122" s="214"/>
      <c r="AGF122" s="214"/>
      <c r="AGG122" s="214"/>
      <c r="AGH122" s="214"/>
      <c r="AGI122" s="214"/>
      <c r="AGJ122" s="214"/>
      <c r="AGK122" s="214"/>
      <c r="AGL122" s="214"/>
      <c r="AGM122" s="214"/>
      <c r="AGN122" s="214"/>
      <c r="AGO122" s="214"/>
      <c r="AGP122" s="214"/>
      <c r="AGQ122" s="214"/>
      <c r="AGR122" s="214"/>
      <c r="AGS122" s="214"/>
      <c r="AGT122" s="214"/>
      <c r="AGU122" s="214"/>
      <c r="AGV122" s="214"/>
      <c r="AGW122" s="214"/>
      <c r="AGX122" s="214"/>
      <c r="AGY122" s="214"/>
      <c r="AGZ122" s="214"/>
      <c r="AHA122" s="214"/>
      <c r="AHB122" s="214"/>
      <c r="AHC122" s="214"/>
      <c r="AHD122" s="214"/>
      <c r="AHE122" s="214"/>
      <c r="AHF122" s="214"/>
      <c r="AHG122" s="214"/>
      <c r="AHH122" s="214"/>
      <c r="AHI122" s="214"/>
      <c r="AHJ122" s="214"/>
      <c r="AHK122" s="214"/>
      <c r="AHL122" s="214"/>
      <c r="AHM122" s="214"/>
      <c r="AHN122" s="214"/>
      <c r="AHO122" s="214"/>
      <c r="AHP122" s="214"/>
      <c r="AHQ122" s="214"/>
      <c r="AHR122" s="214"/>
      <c r="AHS122" s="214"/>
      <c r="AHT122" s="214"/>
      <c r="AHU122" s="214"/>
      <c r="AHV122" s="214"/>
      <c r="AHW122" s="214"/>
      <c r="AHX122" s="214"/>
      <c r="AHY122" s="214"/>
      <c r="AHZ122" s="214"/>
      <c r="AIA122" s="214"/>
      <c r="AIB122" s="214"/>
      <c r="AIC122" s="214"/>
      <c r="AID122" s="214"/>
      <c r="AIE122" s="214"/>
      <c r="AIF122" s="214"/>
      <c r="AIG122" s="214"/>
      <c r="AIH122" s="214"/>
      <c r="AII122" s="214"/>
      <c r="AIJ122" s="214"/>
      <c r="AIK122" s="214"/>
      <c r="AIL122" s="214"/>
      <c r="AIM122" s="214"/>
      <c r="AIN122" s="214"/>
      <c r="AIO122" s="214"/>
      <c r="AIP122" s="214"/>
      <c r="AIQ122" s="214"/>
      <c r="AIR122" s="214"/>
      <c r="AIS122" s="214"/>
      <c r="AIT122" s="214"/>
      <c r="AIU122" s="214"/>
      <c r="AIV122" s="214"/>
      <c r="AIW122" s="214"/>
      <c r="AIX122" s="214"/>
      <c r="AIY122" s="214"/>
      <c r="AIZ122" s="214"/>
      <c r="AJA122" s="214"/>
      <c r="AJB122" s="214"/>
      <c r="AJC122" s="214"/>
      <c r="AJD122" s="214"/>
      <c r="AJE122" s="214"/>
      <c r="AJF122" s="214"/>
      <c r="AJG122" s="214"/>
      <c r="AJH122" s="214"/>
      <c r="AJI122" s="214"/>
      <c r="AJJ122" s="214"/>
      <c r="AJK122" s="214"/>
      <c r="AJL122" s="214"/>
      <c r="AJM122" s="214"/>
      <c r="AJN122" s="214"/>
      <c r="AJO122" s="214"/>
      <c r="AJP122" s="214"/>
      <c r="AJQ122" s="214"/>
      <c r="AJR122" s="214"/>
      <c r="AJS122" s="214"/>
      <c r="AJT122" s="214"/>
      <c r="AJU122" s="214"/>
      <c r="AJV122" s="214"/>
      <c r="AJW122" s="214"/>
      <c r="AJX122" s="214"/>
      <c r="AJY122" s="214"/>
      <c r="AJZ122" s="214"/>
      <c r="AKA122" s="214"/>
      <c r="AKB122" s="214"/>
      <c r="AKC122" s="214"/>
      <c r="AKD122" s="214"/>
      <c r="AKE122" s="214"/>
      <c r="AKF122" s="214"/>
      <c r="AKG122" s="214"/>
      <c r="AKH122" s="214"/>
      <c r="AKI122" s="214"/>
      <c r="AKJ122" s="214"/>
      <c r="AKK122" s="214"/>
      <c r="AKL122" s="214"/>
      <c r="AKM122" s="214"/>
      <c r="AKN122" s="214"/>
      <c r="AKO122" s="214"/>
      <c r="AKP122" s="214"/>
      <c r="AKQ122" s="214"/>
      <c r="AKR122" s="214"/>
      <c r="AKS122" s="214"/>
      <c r="AKT122" s="214"/>
      <c r="AKU122" s="214"/>
      <c r="AKV122" s="214"/>
      <c r="AKW122" s="214"/>
      <c r="AKX122" s="214"/>
      <c r="AKY122" s="214"/>
      <c r="AKZ122" s="214"/>
      <c r="ALA122" s="214"/>
      <c r="ALB122" s="214"/>
      <c r="ALC122" s="214"/>
      <c r="ALD122" s="214"/>
      <c r="ALE122" s="214"/>
      <c r="ALF122" s="214"/>
      <c r="ALG122" s="214"/>
      <c r="ALH122" s="214"/>
      <c r="ALI122" s="214"/>
      <c r="ALJ122" s="214"/>
      <c r="ALK122" s="214"/>
      <c r="ALL122" s="214"/>
      <c r="ALM122" s="214"/>
      <c r="ALN122" s="214"/>
      <c r="ALO122" s="214"/>
      <c r="ALP122" s="214"/>
      <c r="ALQ122" s="214"/>
      <c r="ALR122" s="214"/>
      <c r="ALS122" s="214"/>
      <c r="ALT122" s="214"/>
      <c r="ALU122" s="214"/>
      <c r="ALV122" s="214"/>
      <c r="ALW122" s="214"/>
      <c r="ALX122" s="214"/>
      <c r="ALY122" s="214"/>
      <c r="ALZ122" s="214"/>
      <c r="AMA122" s="214"/>
      <c r="AMB122" s="214"/>
      <c r="AMC122" s="214"/>
      <c r="AMD122" s="214"/>
      <c r="AME122" s="214"/>
      <c r="AMF122" s="214"/>
      <c r="AMG122" s="214"/>
      <c r="AMH122" s="214"/>
      <c r="AMI122" s="214"/>
      <c r="AMJ122" s="214"/>
      <c r="AMK122" s="214"/>
      <c r="AML122" s="214"/>
      <c r="AMM122" s="214"/>
      <c r="AMN122" s="214"/>
      <c r="AMO122" s="214"/>
      <c r="AMP122" s="214"/>
      <c r="AMQ122" s="214"/>
      <c r="AMR122" s="214"/>
      <c r="AMS122" s="214"/>
      <c r="AMT122" s="214"/>
      <c r="AMU122" s="214"/>
      <c r="AMV122" s="214"/>
      <c r="AMW122" s="214"/>
      <c r="AMX122" s="214"/>
      <c r="AMY122" s="214"/>
      <c r="AMZ122" s="214"/>
      <c r="ANA122" s="214"/>
      <c r="ANB122" s="214"/>
      <c r="ANC122" s="214"/>
      <c r="AND122" s="214"/>
      <c r="ANE122" s="214"/>
      <c r="ANF122" s="214"/>
      <c r="ANG122" s="214"/>
      <c r="ANH122" s="214"/>
      <c r="ANI122" s="214"/>
      <c r="ANJ122" s="214"/>
      <c r="ANK122" s="214"/>
      <c r="ANL122" s="214"/>
      <c r="ANM122" s="214"/>
      <c r="ANN122" s="214"/>
      <c r="ANO122" s="214"/>
      <c r="ANP122" s="214"/>
      <c r="ANQ122" s="214"/>
      <c r="ANR122" s="214"/>
      <c r="ANS122" s="214"/>
      <c r="ANT122" s="214"/>
      <c r="ANU122" s="214"/>
      <c r="ANV122" s="214"/>
      <c r="ANW122" s="214"/>
      <c r="ANX122" s="214"/>
      <c r="ANY122" s="214"/>
      <c r="ANZ122" s="214"/>
      <c r="AOA122" s="214"/>
      <c r="AOB122" s="214"/>
      <c r="AOC122" s="214"/>
      <c r="AOD122" s="214"/>
      <c r="AOE122" s="214"/>
      <c r="AOF122" s="214"/>
      <c r="AOG122" s="214"/>
      <c r="AOH122" s="214"/>
      <c r="AOI122" s="214"/>
      <c r="AOJ122" s="214"/>
      <c r="AOK122" s="214"/>
      <c r="AOL122" s="214"/>
      <c r="AOM122" s="214"/>
      <c r="AON122" s="214"/>
      <c r="AOO122" s="214"/>
      <c r="AOP122" s="214"/>
      <c r="AOQ122" s="214"/>
      <c r="AOR122" s="214"/>
      <c r="AOS122" s="214"/>
      <c r="AOT122" s="214"/>
      <c r="AOU122" s="214"/>
      <c r="AOV122" s="214"/>
      <c r="AOW122" s="214"/>
      <c r="AOX122" s="214"/>
      <c r="AOY122" s="214"/>
      <c r="AOZ122" s="214"/>
      <c r="APA122" s="214"/>
      <c r="APB122" s="214"/>
      <c r="APC122" s="214"/>
      <c r="APD122" s="214"/>
      <c r="APE122" s="214"/>
      <c r="APF122" s="214"/>
      <c r="APG122" s="214"/>
      <c r="APH122" s="214"/>
      <c r="API122" s="214"/>
      <c r="APJ122" s="214"/>
      <c r="APK122" s="214"/>
      <c r="APL122" s="214"/>
      <c r="APM122" s="214"/>
      <c r="APN122" s="214"/>
      <c r="APO122" s="214"/>
      <c r="APP122" s="214"/>
      <c r="APQ122" s="214"/>
      <c r="APR122" s="214"/>
      <c r="APS122" s="214"/>
      <c r="APT122" s="214"/>
      <c r="APU122" s="214"/>
      <c r="APV122" s="214"/>
      <c r="APW122" s="214"/>
      <c r="APX122" s="214"/>
      <c r="APY122" s="214"/>
      <c r="APZ122" s="214"/>
      <c r="AQA122" s="214"/>
      <c r="AQB122" s="214"/>
      <c r="AQC122" s="214"/>
      <c r="AQD122" s="214"/>
      <c r="AQE122" s="214"/>
      <c r="AQF122" s="214"/>
      <c r="AQG122" s="214"/>
      <c r="AQH122" s="214"/>
      <c r="AQI122" s="214"/>
      <c r="AQJ122" s="214"/>
      <c r="AQK122" s="214"/>
      <c r="AQL122" s="214"/>
      <c r="AQM122" s="214"/>
      <c r="AQN122" s="214"/>
      <c r="AQO122" s="214"/>
      <c r="AQP122" s="214"/>
      <c r="AQQ122" s="214"/>
      <c r="AQR122" s="214"/>
      <c r="AQS122" s="214"/>
      <c r="AQT122" s="214"/>
      <c r="AQU122" s="214"/>
      <c r="AQV122" s="214"/>
      <c r="AQW122" s="214"/>
      <c r="AQX122" s="214"/>
      <c r="AQY122" s="214"/>
      <c r="AQZ122" s="214"/>
      <c r="ARA122" s="214"/>
      <c r="ARB122" s="214"/>
      <c r="ARC122" s="214"/>
      <c r="ARD122" s="214"/>
      <c r="ARE122" s="214"/>
      <c r="ARF122" s="214"/>
      <c r="ARG122" s="214"/>
      <c r="ARH122" s="214"/>
      <c r="ARI122" s="214"/>
      <c r="ARJ122" s="214"/>
      <c r="ARK122" s="214"/>
      <c r="ARL122" s="214"/>
      <c r="ARM122" s="214"/>
      <c r="ARN122" s="214"/>
      <c r="ARO122" s="214"/>
      <c r="ARP122" s="214"/>
      <c r="ARQ122" s="214"/>
      <c r="ARR122" s="214"/>
      <c r="ARS122" s="214"/>
      <c r="ART122" s="214"/>
      <c r="ARU122" s="214"/>
      <c r="ARV122" s="214"/>
      <c r="ARW122" s="214"/>
      <c r="ARX122" s="214"/>
      <c r="ARY122" s="214"/>
      <c r="ARZ122" s="214"/>
      <c r="ASA122" s="214"/>
      <c r="ASB122" s="214"/>
      <c r="ASC122" s="214"/>
      <c r="ASD122" s="214"/>
      <c r="ASE122" s="214"/>
      <c r="ASF122" s="214"/>
      <c r="ASG122" s="214"/>
      <c r="ASH122" s="214"/>
      <c r="ASI122" s="214"/>
      <c r="ASJ122" s="214"/>
      <c r="ASK122" s="214"/>
      <c r="ASL122" s="214"/>
      <c r="ASM122" s="214"/>
      <c r="ASN122" s="214"/>
      <c r="ASO122" s="214"/>
      <c r="ASP122" s="214"/>
      <c r="ASQ122" s="214"/>
      <c r="ASR122" s="214"/>
      <c r="ASS122" s="214"/>
      <c r="AST122" s="214"/>
      <c r="ASU122" s="214"/>
      <c r="ASV122" s="214"/>
      <c r="ASW122" s="214"/>
      <c r="ASX122" s="214"/>
      <c r="ASY122" s="214"/>
      <c r="ASZ122" s="214"/>
      <c r="ATA122" s="214"/>
      <c r="ATB122" s="214"/>
      <c r="ATC122" s="214"/>
      <c r="ATD122" s="214"/>
      <c r="ATE122" s="214"/>
      <c r="ATF122" s="214"/>
      <c r="ATG122" s="214"/>
      <c r="ATH122" s="214"/>
      <c r="ATI122" s="214"/>
      <c r="ATJ122" s="214"/>
      <c r="ATK122" s="214"/>
      <c r="ATL122" s="214"/>
      <c r="ATM122" s="214"/>
      <c r="ATN122" s="214"/>
      <c r="ATO122" s="214"/>
      <c r="ATP122" s="214"/>
      <c r="ATQ122" s="214"/>
      <c r="ATR122" s="214"/>
      <c r="ATS122" s="214"/>
      <c r="ATT122" s="214"/>
      <c r="ATU122" s="214"/>
      <c r="ATV122" s="214"/>
      <c r="ATW122" s="214"/>
      <c r="ATX122" s="214"/>
      <c r="ATY122" s="214"/>
      <c r="ATZ122" s="214"/>
      <c r="AUA122" s="214"/>
      <c r="AUB122" s="214"/>
      <c r="AUC122" s="214"/>
      <c r="AUD122" s="214"/>
      <c r="AUE122" s="214"/>
      <c r="AUF122" s="214"/>
      <c r="AUG122" s="214"/>
      <c r="AUH122" s="214"/>
      <c r="AUI122" s="214"/>
      <c r="AUJ122" s="214"/>
      <c r="AUK122" s="214"/>
      <c r="AUL122" s="214"/>
      <c r="AUM122" s="214"/>
      <c r="AUN122" s="214"/>
      <c r="AUO122" s="214"/>
      <c r="AUP122" s="214"/>
      <c r="AUQ122" s="214"/>
      <c r="AUR122" s="214"/>
      <c r="AUS122" s="214"/>
      <c r="AUT122" s="214"/>
      <c r="AUU122" s="214"/>
      <c r="AUV122" s="214"/>
      <c r="AUW122" s="214"/>
      <c r="AUX122" s="214"/>
      <c r="AUY122" s="214"/>
      <c r="AUZ122" s="214"/>
      <c r="AVA122" s="214"/>
      <c r="AVB122" s="214"/>
      <c r="AVC122" s="214"/>
      <c r="AVD122" s="214"/>
      <c r="AVE122" s="214"/>
      <c r="AVF122" s="214"/>
      <c r="AVG122" s="214"/>
      <c r="AVH122" s="214"/>
      <c r="AVI122" s="214"/>
      <c r="AVJ122" s="214"/>
      <c r="AVK122" s="214"/>
      <c r="AVL122" s="214"/>
      <c r="AVM122" s="214"/>
      <c r="AVN122" s="214"/>
      <c r="AVO122" s="214"/>
      <c r="AVP122" s="214"/>
      <c r="AVQ122" s="214"/>
      <c r="AVR122" s="214"/>
      <c r="AVS122" s="214"/>
      <c r="AVT122" s="214"/>
      <c r="AVU122" s="214"/>
      <c r="AVV122" s="214"/>
      <c r="AVW122" s="214"/>
      <c r="AVX122" s="214"/>
      <c r="AVY122" s="214"/>
      <c r="AVZ122" s="214"/>
      <c r="AWA122" s="214"/>
      <c r="AWB122" s="214"/>
      <c r="AWC122" s="214"/>
      <c r="AWD122" s="214"/>
      <c r="AWE122" s="214"/>
      <c r="AWF122" s="214"/>
      <c r="AWG122" s="214"/>
      <c r="AWH122" s="214"/>
      <c r="AWI122" s="214"/>
      <c r="AWJ122" s="214"/>
      <c r="AWK122" s="214"/>
      <c r="AWL122" s="214"/>
      <c r="AWM122" s="214"/>
      <c r="AWN122" s="214"/>
      <c r="AWO122" s="214"/>
      <c r="AWP122" s="214"/>
      <c r="AWQ122" s="214"/>
      <c r="AWR122" s="214"/>
      <c r="AWS122" s="214"/>
      <c r="AWT122" s="214"/>
      <c r="AWU122" s="214"/>
      <c r="AWV122" s="214"/>
      <c r="AWW122" s="214"/>
      <c r="AWX122" s="214"/>
      <c r="AWY122" s="214"/>
      <c r="AWZ122" s="214"/>
      <c r="AXA122" s="214"/>
      <c r="AXB122" s="214"/>
      <c r="AXC122" s="214"/>
      <c r="AXD122" s="214"/>
      <c r="AXE122" s="214"/>
      <c r="AXF122" s="214"/>
      <c r="AXG122" s="214"/>
      <c r="AXH122" s="214"/>
      <c r="AXI122" s="214"/>
      <c r="AXJ122" s="214"/>
      <c r="AXK122" s="214"/>
      <c r="AXL122" s="214"/>
      <c r="AXM122" s="214"/>
      <c r="AXN122" s="214"/>
      <c r="AXO122" s="214"/>
      <c r="AXP122" s="214"/>
      <c r="AXQ122" s="214"/>
      <c r="AXR122" s="214"/>
      <c r="AXS122" s="214"/>
      <c r="AXT122" s="214"/>
      <c r="AXU122" s="214"/>
      <c r="AXV122" s="214"/>
      <c r="AXW122" s="214"/>
      <c r="AXX122" s="214"/>
      <c r="AXY122" s="214"/>
      <c r="AXZ122" s="214"/>
      <c r="AYA122" s="214"/>
      <c r="AYB122" s="214"/>
      <c r="AYC122" s="214"/>
      <c r="AYD122" s="214"/>
      <c r="AYE122" s="214"/>
      <c r="AYF122" s="214"/>
      <c r="AYG122" s="214"/>
      <c r="AYH122" s="214"/>
      <c r="AYI122" s="214"/>
      <c r="AYJ122" s="214"/>
      <c r="AYK122" s="214"/>
      <c r="AYL122" s="214"/>
      <c r="AYM122" s="214"/>
      <c r="AYN122" s="214"/>
      <c r="AYO122" s="214"/>
      <c r="AYP122" s="214"/>
      <c r="AYQ122" s="214"/>
      <c r="AYR122" s="214"/>
      <c r="AYS122" s="214"/>
      <c r="AYT122" s="214"/>
      <c r="AYU122" s="214"/>
      <c r="AYV122" s="214"/>
      <c r="AYW122" s="214"/>
      <c r="AYX122" s="214"/>
      <c r="AYY122" s="214"/>
      <c r="AYZ122" s="214"/>
      <c r="AZA122" s="214"/>
      <c r="AZB122" s="214"/>
      <c r="AZC122" s="214"/>
      <c r="AZD122" s="214"/>
      <c r="AZE122" s="214"/>
      <c r="AZF122" s="214"/>
      <c r="AZG122" s="214"/>
      <c r="AZH122" s="214"/>
      <c r="AZI122" s="214"/>
      <c r="AZJ122" s="214"/>
      <c r="AZK122" s="214"/>
      <c r="AZL122" s="214"/>
      <c r="AZM122" s="214"/>
      <c r="AZN122" s="214"/>
      <c r="AZO122" s="214"/>
      <c r="AZP122" s="214"/>
      <c r="AZQ122" s="214"/>
      <c r="AZR122" s="214"/>
      <c r="AZS122" s="214"/>
      <c r="AZT122" s="214"/>
      <c r="AZU122" s="214"/>
      <c r="AZV122" s="214"/>
      <c r="AZW122" s="214"/>
      <c r="AZX122" s="214"/>
      <c r="AZY122" s="214"/>
      <c r="AZZ122" s="214"/>
      <c r="BAA122" s="214"/>
      <c r="BAB122" s="214"/>
      <c r="BAC122" s="214"/>
      <c r="BAD122" s="214"/>
      <c r="BAE122" s="214"/>
      <c r="BAF122" s="214"/>
      <c r="BAG122" s="214"/>
      <c r="BAH122" s="214"/>
      <c r="BAI122" s="214"/>
      <c r="BAJ122" s="214"/>
      <c r="BAK122" s="214"/>
      <c r="BAL122" s="214"/>
      <c r="BAM122" s="214"/>
      <c r="BAN122" s="214"/>
      <c r="BAO122" s="214"/>
      <c r="BAP122" s="214"/>
      <c r="BAQ122" s="214"/>
      <c r="BAR122" s="214"/>
      <c r="BAS122" s="214"/>
      <c r="BAT122" s="214"/>
      <c r="BAU122" s="214"/>
      <c r="BAV122" s="214"/>
      <c r="BAW122" s="214"/>
      <c r="BAX122" s="214"/>
      <c r="BAY122" s="214"/>
      <c r="BAZ122" s="214"/>
      <c r="BBA122" s="214"/>
      <c r="BBB122" s="214"/>
      <c r="BBC122" s="214"/>
      <c r="BBD122" s="214"/>
      <c r="BBE122" s="214"/>
      <c r="BBF122" s="214"/>
      <c r="BBG122" s="214"/>
      <c r="BBH122" s="214"/>
      <c r="BBI122" s="214"/>
      <c r="BBJ122" s="214"/>
      <c r="BBK122" s="214"/>
      <c r="BBL122" s="214"/>
      <c r="BBM122" s="214"/>
      <c r="BBN122" s="214"/>
      <c r="BBO122" s="214"/>
      <c r="BBP122" s="214"/>
      <c r="BBQ122" s="214"/>
      <c r="BBR122" s="214"/>
      <c r="BBS122" s="214"/>
      <c r="BBT122" s="214"/>
      <c r="BBU122" s="214"/>
      <c r="BBV122" s="214"/>
      <c r="BBW122" s="214"/>
      <c r="BBX122" s="214"/>
      <c r="BBY122" s="214"/>
      <c r="BBZ122" s="214"/>
      <c r="BCA122" s="214"/>
      <c r="BCB122" s="214"/>
      <c r="BCC122" s="214"/>
      <c r="BCD122" s="214"/>
      <c r="BCE122" s="214"/>
      <c r="BCF122" s="214"/>
      <c r="BCG122" s="214"/>
      <c r="BCH122" s="214"/>
      <c r="BCI122" s="214"/>
      <c r="BCJ122" s="214"/>
      <c r="BCK122" s="214"/>
      <c r="BCL122" s="214"/>
      <c r="BCM122" s="214"/>
      <c r="BCN122" s="214"/>
      <c r="BCO122" s="214"/>
      <c r="BCP122" s="214"/>
      <c r="BCQ122" s="214"/>
      <c r="BCR122" s="214"/>
      <c r="BCS122" s="214"/>
      <c r="BCT122" s="214"/>
      <c r="BCU122" s="214"/>
      <c r="BCV122" s="214"/>
      <c r="BCW122" s="214"/>
      <c r="BCX122" s="214"/>
      <c r="BCY122" s="214"/>
      <c r="BCZ122" s="214"/>
      <c r="BDA122" s="214"/>
      <c r="BDB122" s="214"/>
      <c r="BDC122" s="214"/>
      <c r="BDD122" s="214"/>
      <c r="BDE122" s="214"/>
      <c r="BDF122" s="214"/>
      <c r="BDG122" s="214"/>
      <c r="BDH122" s="214"/>
      <c r="BDI122" s="214"/>
      <c r="BDJ122" s="214"/>
      <c r="BDK122" s="214"/>
      <c r="BDL122" s="214"/>
      <c r="BDM122" s="214"/>
      <c r="BDN122" s="214"/>
      <c r="BDO122" s="214"/>
      <c r="BDP122" s="214"/>
      <c r="BDQ122" s="214"/>
      <c r="BDR122" s="214"/>
      <c r="BDS122" s="214"/>
      <c r="BDT122" s="214"/>
      <c r="BDU122" s="214"/>
      <c r="BDV122" s="214"/>
      <c r="BDW122" s="214"/>
      <c r="BDX122" s="214"/>
      <c r="BDY122" s="214"/>
      <c r="BDZ122" s="214"/>
      <c r="BEA122" s="214"/>
      <c r="BEB122" s="214"/>
      <c r="BEC122" s="214"/>
      <c r="BED122" s="214"/>
      <c r="BEE122" s="214"/>
      <c r="BEF122" s="214"/>
      <c r="BEG122" s="214"/>
      <c r="BEH122" s="214"/>
      <c r="BEI122" s="214"/>
      <c r="BEJ122" s="214"/>
      <c r="BEK122" s="214"/>
      <c r="BEL122" s="214"/>
      <c r="BEM122" s="214"/>
      <c r="BEN122" s="214"/>
      <c r="BEO122" s="214"/>
      <c r="BEP122" s="214"/>
      <c r="BEQ122" s="214"/>
      <c r="BER122" s="214"/>
      <c r="BES122" s="214"/>
      <c r="BET122" s="214"/>
      <c r="BEU122" s="214"/>
      <c r="BEV122" s="214"/>
      <c r="BEW122" s="214"/>
      <c r="BEX122" s="214"/>
      <c r="BEY122" s="214"/>
      <c r="BEZ122" s="214"/>
      <c r="BFA122" s="214"/>
      <c r="BFB122" s="214"/>
      <c r="BFC122" s="214"/>
      <c r="BFD122" s="214"/>
      <c r="BFE122" s="214"/>
      <c r="BFF122" s="214"/>
      <c r="BFG122" s="214"/>
      <c r="BFH122" s="214"/>
      <c r="BFI122" s="214"/>
      <c r="BFJ122" s="214"/>
      <c r="BFK122" s="214"/>
      <c r="BFL122" s="214"/>
      <c r="BFM122" s="214"/>
      <c r="BFN122" s="214"/>
      <c r="BFO122" s="214"/>
      <c r="BFP122" s="214"/>
      <c r="BFQ122" s="214"/>
      <c r="BFR122" s="214"/>
      <c r="BFS122" s="214"/>
      <c r="BFT122" s="214"/>
      <c r="BFU122" s="214"/>
      <c r="BFV122" s="214"/>
      <c r="BFW122" s="214"/>
      <c r="BFX122" s="214"/>
      <c r="BFY122" s="214"/>
      <c r="BFZ122" s="214"/>
      <c r="BGA122" s="214"/>
      <c r="BGB122" s="214"/>
      <c r="BGC122" s="214"/>
      <c r="BGD122" s="214"/>
      <c r="BGE122" s="214"/>
      <c r="BGF122" s="214"/>
      <c r="BGG122" s="214"/>
      <c r="BGH122" s="214"/>
      <c r="BGI122" s="214"/>
      <c r="BGJ122" s="214"/>
      <c r="BGK122" s="214"/>
      <c r="BGL122" s="214"/>
      <c r="BGM122" s="214"/>
      <c r="BGN122" s="214"/>
      <c r="BGO122" s="214"/>
      <c r="BGP122" s="214"/>
      <c r="BGQ122" s="214"/>
      <c r="BGR122" s="214"/>
      <c r="BGS122" s="214"/>
      <c r="BGT122" s="214"/>
      <c r="BGU122" s="214"/>
      <c r="BGV122" s="214"/>
      <c r="BGW122" s="214"/>
      <c r="BGX122" s="214"/>
      <c r="BGY122" s="214"/>
      <c r="BGZ122" s="214"/>
      <c r="BHA122" s="214"/>
      <c r="BHB122" s="214"/>
      <c r="BHC122" s="214"/>
      <c r="BHD122" s="214"/>
      <c r="BHE122" s="214"/>
      <c r="BHF122" s="214"/>
      <c r="BHG122" s="214"/>
      <c r="BHH122" s="214"/>
      <c r="BHI122" s="214"/>
      <c r="BHJ122" s="214"/>
      <c r="BHK122" s="214"/>
      <c r="BHL122" s="214"/>
      <c r="BHM122" s="214"/>
      <c r="BHN122" s="214"/>
      <c r="BHO122" s="214"/>
      <c r="BHP122" s="214"/>
      <c r="BHQ122" s="214"/>
      <c r="BHR122" s="214"/>
      <c r="BHS122" s="214"/>
      <c r="BHT122" s="214"/>
      <c r="BHU122" s="214"/>
      <c r="BHV122" s="214"/>
      <c r="BHW122" s="214"/>
    </row>
    <row r="123" spans="1:1583" s="217" customFormat="1" ht="14.25" customHeight="1" thickBot="1">
      <c r="A123" s="247"/>
      <c r="B123" s="255" t="s">
        <v>152</v>
      </c>
      <c r="C123" s="255" t="s">
        <v>152</v>
      </c>
      <c r="D123" s="426" t="s">
        <v>654</v>
      </c>
      <c r="E123" s="59" t="s">
        <v>149</v>
      </c>
      <c r="F123" s="141">
        <v>7000</v>
      </c>
      <c r="G123" s="60" t="s">
        <v>773</v>
      </c>
      <c r="H123" s="473">
        <f t="shared" si="25"/>
        <v>226300</v>
      </c>
      <c r="I123" s="93">
        <v>7300</v>
      </c>
      <c r="J123" s="255"/>
      <c r="K123" s="93">
        <v>7300</v>
      </c>
      <c r="L123" s="93">
        <v>7300</v>
      </c>
      <c r="M123" s="93">
        <v>7300</v>
      </c>
      <c r="N123" s="93">
        <v>7300</v>
      </c>
      <c r="O123" s="93">
        <v>7300</v>
      </c>
      <c r="P123" s="93">
        <v>7300</v>
      </c>
      <c r="Q123" s="93">
        <v>7300</v>
      </c>
      <c r="R123" s="93">
        <v>7300</v>
      </c>
      <c r="S123" s="93">
        <v>7300</v>
      </c>
      <c r="T123" s="93">
        <v>7300</v>
      </c>
      <c r="U123" s="93">
        <v>7300</v>
      </c>
      <c r="V123" s="93">
        <v>7300</v>
      </c>
      <c r="W123" s="93">
        <v>7300</v>
      </c>
      <c r="X123" s="93">
        <v>7300</v>
      </c>
      <c r="Y123" s="93">
        <v>7300</v>
      </c>
      <c r="Z123" s="93">
        <v>7300</v>
      </c>
      <c r="AA123" s="93">
        <v>7300</v>
      </c>
      <c r="AB123" s="93">
        <v>7300</v>
      </c>
      <c r="AC123" s="93">
        <v>7300</v>
      </c>
      <c r="AD123" s="93">
        <v>7300</v>
      </c>
      <c r="AE123" s="93">
        <v>7300</v>
      </c>
      <c r="AF123" s="93">
        <v>7300</v>
      </c>
      <c r="AG123" s="93">
        <v>7300</v>
      </c>
      <c r="AH123" s="93">
        <v>7300</v>
      </c>
      <c r="AI123" s="93">
        <v>7300</v>
      </c>
      <c r="AJ123" s="93">
        <v>7300</v>
      </c>
      <c r="AK123" s="93">
        <v>7300</v>
      </c>
      <c r="AL123" s="93">
        <v>7300</v>
      </c>
      <c r="AM123" s="93">
        <v>7300</v>
      </c>
      <c r="AN123" s="93">
        <v>7300</v>
      </c>
      <c r="AO123" s="214"/>
      <c r="AP123" s="214"/>
      <c r="AQ123" s="214"/>
      <c r="AR123" s="214"/>
      <c r="AS123" s="214"/>
      <c r="AT123" s="214"/>
      <c r="AU123" s="214"/>
      <c r="AV123" s="214"/>
      <c r="AW123" s="214"/>
      <c r="AX123" s="214"/>
      <c r="AY123" s="214"/>
      <c r="AZ123" s="214"/>
      <c r="BA123" s="214"/>
      <c r="BB123" s="214"/>
      <c r="BC123" s="214"/>
      <c r="BD123" s="214"/>
      <c r="BE123" s="214"/>
      <c r="BF123" s="214"/>
      <c r="BG123" s="214"/>
      <c r="BH123" s="214"/>
      <c r="BI123" s="214"/>
      <c r="BJ123" s="214"/>
      <c r="BK123" s="214"/>
      <c r="BL123" s="214"/>
      <c r="BM123" s="214"/>
      <c r="BN123" s="214"/>
      <c r="BO123" s="214"/>
      <c r="BP123" s="214"/>
      <c r="BQ123" s="214"/>
      <c r="BR123" s="214"/>
      <c r="BS123" s="214"/>
      <c r="BT123" s="214"/>
      <c r="BU123" s="214"/>
      <c r="BV123" s="214"/>
      <c r="BW123" s="214"/>
      <c r="BX123" s="214"/>
      <c r="BY123" s="214"/>
      <c r="BZ123" s="214"/>
      <c r="CA123" s="214"/>
      <c r="CB123" s="214"/>
      <c r="CC123" s="214"/>
      <c r="CD123" s="214"/>
      <c r="CE123" s="214"/>
      <c r="CF123" s="214"/>
      <c r="CG123" s="214"/>
      <c r="CH123" s="214"/>
      <c r="CI123" s="214"/>
      <c r="CJ123" s="214"/>
      <c r="CK123" s="214"/>
      <c r="CL123" s="214"/>
      <c r="CM123" s="214"/>
      <c r="CN123" s="214"/>
      <c r="CO123" s="214"/>
      <c r="CP123" s="214"/>
      <c r="CQ123" s="214"/>
      <c r="CR123" s="214"/>
      <c r="CS123" s="214"/>
      <c r="CT123" s="214"/>
      <c r="CU123" s="214"/>
      <c r="CV123" s="214"/>
      <c r="CW123" s="214"/>
      <c r="CX123" s="214"/>
      <c r="CY123" s="214"/>
      <c r="CZ123" s="214"/>
      <c r="DA123" s="214"/>
      <c r="DB123" s="214"/>
      <c r="DC123" s="214"/>
      <c r="DD123" s="214"/>
      <c r="DE123" s="214"/>
      <c r="DF123" s="214"/>
      <c r="DG123" s="214"/>
      <c r="DH123" s="214"/>
      <c r="DI123" s="214"/>
      <c r="DJ123" s="214"/>
      <c r="DK123" s="214"/>
      <c r="DL123" s="214"/>
      <c r="DM123" s="214"/>
      <c r="DN123" s="214"/>
      <c r="DO123" s="214"/>
      <c r="DP123" s="214"/>
      <c r="DQ123" s="214"/>
      <c r="DR123" s="214"/>
      <c r="DS123" s="214"/>
      <c r="DT123" s="214"/>
      <c r="DU123" s="214"/>
      <c r="DV123" s="214"/>
      <c r="DW123" s="214"/>
      <c r="DX123" s="214"/>
      <c r="DY123" s="214"/>
      <c r="DZ123" s="214"/>
      <c r="EA123" s="214"/>
      <c r="EB123" s="214"/>
      <c r="EC123" s="214"/>
      <c r="ED123" s="214"/>
      <c r="EE123" s="214"/>
      <c r="EF123" s="214"/>
      <c r="EG123" s="214"/>
      <c r="EH123" s="214"/>
      <c r="EI123" s="214"/>
      <c r="EJ123" s="214"/>
      <c r="EK123" s="214"/>
      <c r="EL123" s="214"/>
      <c r="EM123" s="214"/>
      <c r="EN123" s="214"/>
      <c r="EO123" s="214"/>
      <c r="EP123" s="214"/>
      <c r="EQ123" s="214"/>
      <c r="ER123" s="214"/>
      <c r="ES123" s="214"/>
      <c r="ET123" s="214"/>
      <c r="EU123" s="214"/>
      <c r="EV123" s="214"/>
      <c r="EW123" s="214"/>
      <c r="EX123" s="214"/>
      <c r="EY123" s="214"/>
      <c r="EZ123" s="214"/>
      <c r="FA123" s="214"/>
      <c r="FB123" s="214"/>
      <c r="FC123" s="214"/>
      <c r="FD123" s="214"/>
      <c r="FE123" s="214"/>
      <c r="FF123" s="214"/>
      <c r="FG123" s="214"/>
      <c r="FH123" s="214"/>
      <c r="FI123" s="214"/>
      <c r="FJ123" s="214"/>
      <c r="FK123" s="214"/>
      <c r="FL123" s="214"/>
      <c r="FM123" s="214"/>
      <c r="FN123" s="214"/>
      <c r="FO123" s="214"/>
      <c r="FP123" s="214"/>
      <c r="FQ123" s="214"/>
      <c r="FR123" s="214"/>
      <c r="FS123" s="214"/>
      <c r="FT123" s="214"/>
      <c r="FU123" s="214"/>
      <c r="FV123" s="214"/>
      <c r="FW123" s="214"/>
      <c r="FX123" s="214"/>
      <c r="FY123" s="214"/>
      <c r="FZ123" s="214"/>
      <c r="GA123" s="214"/>
      <c r="GB123" s="214"/>
      <c r="GC123" s="214"/>
      <c r="GD123" s="214"/>
      <c r="GE123" s="214"/>
      <c r="GF123" s="214"/>
      <c r="GG123" s="214"/>
      <c r="GH123" s="214"/>
      <c r="GI123" s="214"/>
      <c r="GJ123" s="214"/>
      <c r="GK123" s="214"/>
      <c r="GL123" s="214"/>
      <c r="GM123" s="214"/>
      <c r="GN123" s="214"/>
      <c r="GO123" s="214"/>
      <c r="GP123" s="214"/>
      <c r="GQ123" s="214"/>
      <c r="GR123" s="214"/>
      <c r="GS123" s="214"/>
      <c r="GT123" s="214"/>
      <c r="GU123" s="214"/>
      <c r="GV123" s="214"/>
      <c r="GW123" s="214"/>
      <c r="GX123" s="214"/>
      <c r="GY123" s="214"/>
      <c r="GZ123" s="214"/>
      <c r="HA123" s="214"/>
      <c r="HB123" s="214"/>
      <c r="HC123" s="214"/>
      <c r="HD123" s="214"/>
      <c r="HE123" s="214"/>
      <c r="HF123" s="214"/>
      <c r="HG123" s="214"/>
      <c r="HH123" s="214"/>
      <c r="HI123" s="214"/>
      <c r="HJ123" s="214"/>
      <c r="HK123" s="214"/>
      <c r="HL123" s="214"/>
      <c r="HM123" s="214"/>
      <c r="HN123" s="214"/>
      <c r="HO123" s="214"/>
      <c r="HP123" s="214"/>
      <c r="HQ123" s="214"/>
      <c r="HR123" s="214"/>
      <c r="HS123" s="214"/>
      <c r="HT123" s="214"/>
      <c r="HU123" s="214"/>
      <c r="HV123" s="214"/>
      <c r="HW123" s="214"/>
      <c r="HX123" s="214"/>
      <c r="HY123" s="214"/>
      <c r="HZ123" s="214"/>
      <c r="IA123" s="214"/>
      <c r="IB123" s="214"/>
      <c r="IC123" s="214"/>
      <c r="ID123" s="214"/>
      <c r="IE123" s="214"/>
      <c r="IF123" s="214"/>
      <c r="IG123" s="214"/>
      <c r="IH123" s="214"/>
      <c r="II123" s="214"/>
      <c r="IJ123" s="214"/>
      <c r="IK123" s="214"/>
      <c r="IL123" s="214"/>
      <c r="IM123" s="214"/>
      <c r="IN123" s="214"/>
      <c r="IO123" s="214"/>
      <c r="IP123" s="214"/>
      <c r="IQ123" s="214"/>
      <c r="IR123" s="214"/>
      <c r="IS123" s="214"/>
      <c r="IT123" s="214"/>
      <c r="IU123" s="214"/>
      <c r="IV123" s="214"/>
      <c r="IW123" s="214"/>
      <c r="IX123" s="214"/>
      <c r="IY123" s="214"/>
      <c r="IZ123" s="214"/>
      <c r="JA123" s="214"/>
      <c r="JB123" s="214"/>
      <c r="JC123" s="214"/>
      <c r="JD123" s="214"/>
      <c r="JE123" s="214"/>
      <c r="JF123" s="214"/>
      <c r="JG123" s="214"/>
      <c r="JH123" s="214"/>
      <c r="JI123" s="214"/>
      <c r="JJ123" s="214"/>
      <c r="JK123" s="214"/>
      <c r="JL123" s="214"/>
      <c r="JM123" s="214"/>
      <c r="JN123" s="214"/>
      <c r="JO123" s="214"/>
      <c r="JP123" s="214"/>
      <c r="JQ123" s="214"/>
      <c r="JR123" s="214"/>
      <c r="JS123" s="214"/>
      <c r="JT123" s="214"/>
      <c r="JU123" s="214"/>
      <c r="JV123" s="214"/>
      <c r="JW123" s="214"/>
      <c r="JX123" s="214"/>
      <c r="JY123" s="214"/>
      <c r="JZ123" s="214"/>
      <c r="KA123" s="214"/>
      <c r="KB123" s="214"/>
      <c r="KC123" s="214"/>
      <c r="KD123" s="214"/>
      <c r="KE123" s="214"/>
      <c r="KF123" s="214"/>
      <c r="KG123" s="214"/>
      <c r="KH123" s="214"/>
      <c r="KI123" s="214"/>
      <c r="KJ123" s="214"/>
      <c r="KK123" s="214"/>
      <c r="KL123" s="214"/>
      <c r="KM123" s="214"/>
      <c r="KN123" s="214"/>
      <c r="KO123" s="214"/>
      <c r="KP123" s="214"/>
      <c r="KQ123" s="214"/>
      <c r="KR123" s="214"/>
      <c r="KS123" s="214"/>
      <c r="KT123" s="214"/>
      <c r="KU123" s="214"/>
      <c r="KV123" s="214"/>
      <c r="KW123" s="214"/>
      <c r="KX123" s="214"/>
      <c r="KY123" s="214"/>
      <c r="KZ123" s="214"/>
      <c r="LA123" s="214"/>
      <c r="LB123" s="214"/>
      <c r="LC123" s="214"/>
      <c r="LD123" s="214"/>
      <c r="LE123" s="214"/>
      <c r="LF123" s="214"/>
      <c r="LG123" s="214"/>
      <c r="LH123" s="214"/>
      <c r="LI123" s="214"/>
      <c r="LJ123" s="214"/>
      <c r="LK123" s="214"/>
      <c r="LL123" s="214"/>
      <c r="LM123" s="214"/>
      <c r="LN123" s="214"/>
      <c r="LO123" s="214"/>
      <c r="LP123" s="214"/>
      <c r="LQ123" s="214"/>
      <c r="LR123" s="214"/>
      <c r="LS123" s="214"/>
      <c r="LT123" s="214"/>
      <c r="LU123" s="214"/>
      <c r="LV123" s="214"/>
      <c r="LW123" s="214"/>
      <c r="LX123" s="214"/>
      <c r="LY123" s="214"/>
      <c r="LZ123" s="214"/>
      <c r="MA123" s="214"/>
      <c r="MB123" s="214"/>
      <c r="MC123" s="214"/>
      <c r="MD123" s="214"/>
      <c r="ME123" s="214"/>
      <c r="MF123" s="214"/>
      <c r="MG123" s="214"/>
      <c r="MH123" s="214"/>
      <c r="MI123" s="214"/>
      <c r="MJ123" s="214"/>
      <c r="MK123" s="214"/>
      <c r="ML123" s="214"/>
      <c r="MM123" s="214"/>
      <c r="MN123" s="214"/>
      <c r="MO123" s="214"/>
      <c r="MP123" s="214"/>
      <c r="MQ123" s="214"/>
      <c r="MR123" s="214"/>
      <c r="MS123" s="214"/>
      <c r="MT123" s="214"/>
      <c r="MU123" s="214"/>
      <c r="MV123" s="214"/>
      <c r="MW123" s="214"/>
      <c r="MX123" s="214"/>
      <c r="MY123" s="214"/>
      <c r="MZ123" s="214"/>
      <c r="NA123" s="214"/>
      <c r="NB123" s="214"/>
      <c r="NC123" s="214"/>
      <c r="ND123" s="214"/>
      <c r="NE123" s="214"/>
      <c r="NF123" s="214"/>
      <c r="NG123" s="214"/>
      <c r="NH123" s="214"/>
      <c r="NI123" s="214"/>
      <c r="NJ123" s="214"/>
      <c r="NK123" s="214"/>
      <c r="NL123" s="214"/>
      <c r="NM123" s="214"/>
      <c r="NN123" s="214"/>
      <c r="NO123" s="214"/>
      <c r="NP123" s="214"/>
      <c r="NQ123" s="214"/>
      <c r="NR123" s="214"/>
      <c r="NS123" s="214"/>
      <c r="NT123" s="214"/>
      <c r="NU123" s="214"/>
      <c r="NV123" s="214"/>
      <c r="NW123" s="214"/>
      <c r="NX123" s="214"/>
      <c r="NY123" s="214"/>
      <c r="NZ123" s="214"/>
      <c r="OA123" s="214"/>
      <c r="OB123" s="214"/>
      <c r="OC123" s="214"/>
      <c r="OD123" s="214"/>
      <c r="OE123" s="214"/>
      <c r="OF123" s="214"/>
      <c r="OG123" s="214"/>
      <c r="OH123" s="214"/>
      <c r="OI123" s="214"/>
      <c r="OJ123" s="214"/>
      <c r="OK123" s="214"/>
      <c r="OL123" s="214"/>
      <c r="OM123" s="214"/>
      <c r="ON123" s="214"/>
      <c r="OO123" s="214"/>
      <c r="OP123" s="214"/>
      <c r="OQ123" s="214"/>
      <c r="OR123" s="214"/>
      <c r="OS123" s="214"/>
      <c r="OT123" s="214"/>
      <c r="OU123" s="214"/>
      <c r="OV123" s="214"/>
      <c r="OW123" s="214"/>
      <c r="OX123" s="214"/>
      <c r="OY123" s="214"/>
      <c r="OZ123" s="214"/>
      <c r="PA123" s="214"/>
      <c r="PB123" s="214"/>
      <c r="PC123" s="214"/>
      <c r="PD123" s="214"/>
      <c r="PE123" s="214"/>
      <c r="PF123" s="214"/>
      <c r="PG123" s="214"/>
      <c r="PH123" s="214"/>
      <c r="PI123" s="214"/>
      <c r="PJ123" s="214"/>
      <c r="PK123" s="214"/>
      <c r="PL123" s="214"/>
      <c r="PM123" s="214"/>
      <c r="PN123" s="214"/>
      <c r="PO123" s="214"/>
      <c r="PP123" s="214"/>
      <c r="PQ123" s="214"/>
      <c r="PR123" s="214"/>
      <c r="PS123" s="214"/>
      <c r="PT123" s="214"/>
      <c r="PU123" s="214"/>
      <c r="PV123" s="214"/>
      <c r="PW123" s="214"/>
      <c r="PX123" s="214"/>
      <c r="PY123" s="214"/>
      <c r="PZ123" s="214"/>
      <c r="QA123" s="214"/>
      <c r="QB123" s="214"/>
      <c r="QC123" s="214"/>
      <c r="QD123" s="214"/>
      <c r="QE123" s="214"/>
      <c r="QF123" s="214"/>
      <c r="QG123" s="214"/>
      <c r="QH123" s="214"/>
      <c r="QI123" s="214"/>
      <c r="QJ123" s="214"/>
      <c r="QK123" s="214"/>
      <c r="QL123" s="214"/>
      <c r="QM123" s="214"/>
      <c r="QN123" s="214"/>
      <c r="QO123" s="214"/>
      <c r="QP123" s="214"/>
      <c r="QQ123" s="214"/>
      <c r="QR123" s="214"/>
      <c r="QS123" s="214"/>
      <c r="QT123" s="214"/>
      <c r="QU123" s="214"/>
      <c r="QV123" s="214"/>
      <c r="QW123" s="214"/>
      <c r="QX123" s="214"/>
      <c r="QY123" s="214"/>
      <c r="QZ123" s="214"/>
      <c r="RA123" s="214"/>
      <c r="RB123" s="214"/>
      <c r="RC123" s="214"/>
      <c r="RD123" s="214"/>
      <c r="RE123" s="214"/>
      <c r="RF123" s="214"/>
      <c r="RG123" s="214"/>
      <c r="RH123" s="214"/>
      <c r="RI123" s="214"/>
      <c r="RJ123" s="214"/>
      <c r="RK123" s="214"/>
      <c r="RL123" s="214"/>
      <c r="RM123" s="214"/>
      <c r="RN123" s="214"/>
      <c r="RO123" s="214"/>
      <c r="RP123" s="214"/>
      <c r="RQ123" s="214"/>
      <c r="RR123" s="214"/>
      <c r="RS123" s="214"/>
      <c r="RT123" s="214"/>
      <c r="RU123" s="214"/>
      <c r="RV123" s="214"/>
      <c r="RW123" s="214"/>
      <c r="RX123" s="214"/>
      <c r="RY123" s="214"/>
      <c r="RZ123" s="214"/>
      <c r="SA123" s="214"/>
      <c r="SB123" s="214"/>
      <c r="SC123" s="214"/>
      <c r="SD123" s="214"/>
      <c r="SE123" s="214"/>
      <c r="SF123" s="214"/>
      <c r="SG123" s="214"/>
      <c r="SH123" s="214"/>
      <c r="SI123" s="214"/>
      <c r="SJ123" s="214"/>
      <c r="SK123" s="214"/>
      <c r="SL123" s="214"/>
      <c r="SM123" s="214"/>
      <c r="SN123" s="214"/>
      <c r="SO123" s="214"/>
      <c r="SP123" s="214"/>
      <c r="SQ123" s="214"/>
      <c r="SR123" s="214"/>
      <c r="SS123" s="214"/>
      <c r="ST123" s="214"/>
      <c r="SU123" s="214"/>
      <c r="SV123" s="214"/>
      <c r="SW123" s="214"/>
      <c r="SX123" s="214"/>
      <c r="SY123" s="214"/>
      <c r="SZ123" s="214"/>
      <c r="TA123" s="214"/>
      <c r="TB123" s="214"/>
      <c r="TC123" s="214"/>
      <c r="TD123" s="214"/>
      <c r="TE123" s="214"/>
      <c r="TF123" s="214"/>
      <c r="TG123" s="214"/>
      <c r="TH123" s="214"/>
      <c r="TI123" s="214"/>
      <c r="TJ123" s="214"/>
      <c r="TK123" s="214"/>
      <c r="TL123" s="214"/>
      <c r="TM123" s="214"/>
      <c r="TN123" s="214"/>
      <c r="TO123" s="214"/>
      <c r="TP123" s="214"/>
      <c r="TQ123" s="214"/>
      <c r="TR123" s="214"/>
      <c r="TS123" s="214"/>
      <c r="TT123" s="214"/>
      <c r="TU123" s="214"/>
      <c r="TV123" s="214"/>
      <c r="TW123" s="214"/>
      <c r="TX123" s="214"/>
      <c r="TY123" s="214"/>
      <c r="TZ123" s="214"/>
      <c r="UA123" s="214"/>
      <c r="UB123" s="214"/>
      <c r="UC123" s="214"/>
      <c r="UD123" s="214"/>
      <c r="UE123" s="214"/>
      <c r="UF123" s="214"/>
      <c r="UG123" s="214"/>
      <c r="UH123" s="214"/>
      <c r="UI123" s="214"/>
      <c r="UJ123" s="214"/>
      <c r="UK123" s="214"/>
      <c r="UL123" s="214"/>
      <c r="UM123" s="214"/>
      <c r="UN123" s="214"/>
      <c r="UO123" s="214"/>
      <c r="UP123" s="214"/>
      <c r="UQ123" s="214"/>
      <c r="UR123" s="214"/>
      <c r="US123" s="214"/>
      <c r="UT123" s="214"/>
      <c r="UU123" s="214"/>
      <c r="UV123" s="214"/>
      <c r="UW123" s="214"/>
      <c r="UX123" s="214"/>
      <c r="UY123" s="214"/>
      <c r="UZ123" s="214"/>
      <c r="VA123" s="214"/>
      <c r="VB123" s="214"/>
      <c r="VC123" s="214"/>
      <c r="VD123" s="214"/>
      <c r="VE123" s="214"/>
      <c r="VF123" s="214"/>
      <c r="VG123" s="214"/>
      <c r="VH123" s="214"/>
      <c r="VI123" s="214"/>
      <c r="VJ123" s="214"/>
      <c r="VK123" s="214"/>
      <c r="VL123" s="214"/>
      <c r="VM123" s="214"/>
      <c r="VN123" s="214"/>
      <c r="VO123" s="214"/>
      <c r="VP123" s="214"/>
      <c r="VQ123" s="214"/>
      <c r="VR123" s="214"/>
      <c r="VS123" s="214"/>
      <c r="VT123" s="214"/>
      <c r="VU123" s="214"/>
      <c r="VV123" s="214"/>
      <c r="VW123" s="214"/>
      <c r="VX123" s="214"/>
      <c r="VY123" s="214"/>
      <c r="VZ123" s="214"/>
      <c r="WA123" s="214"/>
      <c r="WB123" s="214"/>
      <c r="WC123" s="214"/>
      <c r="WD123" s="214"/>
      <c r="WE123" s="214"/>
      <c r="WF123" s="214"/>
      <c r="WG123" s="214"/>
      <c r="WH123" s="214"/>
      <c r="WI123" s="214"/>
      <c r="WJ123" s="214"/>
      <c r="WK123" s="214"/>
      <c r="WL123" s="214"/>
      <c r="WM123" s="214"/>
      <c r="WN123" s="214"/>
      <c r="WO123" s="214"/>
      <c r="WP123" s="214"/>
      <c r="WQ123" s="214"/>
      <c r="WR123" s="214"/>
      <c r="WS123" s="214"/>
      <c r="WT123" s="214"/>
      <c r="WU123" s="214"/>
      <c r="WV123" s="214"/>
      <c r="WW123" s="214"/>
      <c r="WX123" s="214"/>
      <c r="WY123" s="214"/>
      <c r="WZ123" s="214"/>
      <c r="XA123" s="214"/>
      <c r="XB123" s="214"/>
      <c r="XC123" s="214"/>
      <c r="XD123" s="214"/>
      <c r="XE123" s="214"/>
      <c r="XF123" s="214"/>
      <c r="XG123" s="214"/>
      <c r="XH123" s="214"/>
      <c r="XI123" s="214"/>
      <c r="XJ123" s="214"/>
      <c r="XK123" s="214"/>
      <c r="XL123" s="214"/>
      <c r="XM123" s="214"/>
      <c r="XN123" s="214"/>
      <c r="XO123" s="214"/>
      <c r="XP123" s="214"/>
      <c r="XQ123" s="214"/>
      <c r="XR123" s="214"/>
      <c r="XS123" s="214"/>
      <c r="XT123" s="214"/>
      <c r="XU123" s="214"/>
      <c r="XV123" s="214"/>
      <c r="XW123" s="214"/>
      <c r="XX123" s="214"/>
      <c r="XY123" s="214"/>
      <c r="XZ123" s="214"/>
      <c r="YA123" s="214"/>
      <c r="YB123" s="214"/>
      <c r="YC123" s="214"/>
      <c r="YD123" s="214"/>
      <c r="YE123" s="214"/>
      <c r="YF123" s="214"/>
      <c r="YG123" s="214"/>
      <c r="YH123" s="214"/>
      <c r="YI123" s="214"/>
      <c r="YJ123" s="214"/>
      <c r="YK123" s="214"/>
      <c r="YL123" s="214"/>
      <c r="YM123" s="214"/>
      <c r="YN123" s="214"/>
      <c r="YO123" s="214"/>
      <c r="YP123" s="214"/>
      <c r="YQ123" s="214"/>
      <c r="YR123" s="214"/>
      <c r="YS123" s="214"/>
      <c r="YT123" s="214"/>
      <c r="YU123" s="214"/>
      <c r="YV123" s="214"/>
      <c r="YW123" s="214"/>
      <c r="YX123" s="214"/>
      <c r="YY123" s="214"/>
      <c r="YZ123" s="214"/>
      <c r="ZA123" s="214"/>
      <c r="ZB123" s="214"/>
      <c r="ZC123" s="214"/>
      <c r="ZD123" s="214"/>
      <c r="ZE123" s="214"/>
      <c r="ZF123" s="214"/>
      <c r="ZG123" s="214"/>
      <c r="ZH123" s="214"/>
      <c r="ZI123" s="214"/>
      <c r="ZJ123" s="214"/>
      <c r="ZK123" s="214"/>
      <c r="ZL123" s="214"/>
      <c r="ZM123" s="214"/>
      <c r="ZN123" s="214"/>
      <c r="ZO123" s="214"/>
      <c r="ZP123" s="214"/>
      <c r="ZQ123" s="214"/>
      <c r="ZR123" s="214"/>
      <c r="ZS123" s="214"/>
      <c r="ZT123" s="214"/>
      <c r="ZU123" s="214"/>
      <c r="ZV123" s="214"/>
      <c r="ZW123" s="214"/>
      <c r="ZX123" s="214"/>
      <c r="ZY123" s="214"/>
      <c r="ZZ123" s="214"/>
      <c r="AAA123" s="214"/>
      <c r="AAB123" s="214"/>
      <c r="AAC123" s="214"/>
      <c r="AAD123" s="214"/>
      <c r="AAE123" s="214"/>
      <c r="AAF123" s="214"/>
      <c r="AAG123" s="214"/>
      <c r="AAH123" s="214"/>
      <c r="AAI123" s="214"/>
      <c r="AAJ123" s="214"/>
      <c r="AAK123" s="214"/>
      <c r="AAL123" s="214"/>
      <c r="AAM123" s="214"/>
      <c r="AAN123" s="214"/>
      <c r="AAO123" s="214"/>
      <c r="AAP123" s="214"/>
      <c r="AAQ123" s="214"/>
      <c r="AAR123" s="214"/>
      <c r="AAS123" s="214"/>
      <c r="AAT123" s="214"/>
      <c r="AAU123" s="214"/>
      <c r="AAV123" s="214"/>
      <c r="AAW123" s="214"/>
      <c r="AAX123" s="214"/>
      <c r="AAY123" s="214"/>
      <c r="AAZ123" s="214"/>
      <c r="ABA123" s="214"/>
      <c r="ABB123" s="214"/>
      <c r="ABC123" s="214"/>
      <c r="ABD123" s="214"/>
      <c r="ABE123" s="214"/>
      <c r="ABF123" s="214"/>
      <c r="ABG123" s="214"/>
      <c r="ABH123" s="214"/>
      <c r="ABI123" s="214"/>
      <c r="ABJ123" s="214"/>
      <c r="ABK123" s="214"/>
      <c r="ABL123" s="214"/>
      <c r="ABM123" s="214"/>
      <c r="ABN123" s="214"/>
      <c r="ABO123" s="214"/>
      <c r="ABP123" s="214"/>
      <c r="ABQ123" s="214"/>
      <c r="ABR123" s="214"/>
      <c r="ABS123" s="214"/>
      <c r="ABT123" s="214"/>
      <c r="ABU123" s="214"/>
      <c r="ABV123" s="214"/>
      <c r="ABW123" s="214"/>
      <c r="ABX123" s="214"/>
      <c r="ABY123" s="214"/>
      <c r="ABZ123" s="214"/>
      <c r="ACA123" s="214"/>
      <c r="ACB123" s="214"/>
      <c r="ACC123" s="214"/>
      <c r="ACD123" s="214"/>
      <c r="ACE123" s="214"/>
      <c r="ACF123" s="214"/>
      <c r="ACG123" s="214"/>
      <c r="ACH123" s="214"/>
      <c r="ACI123" s="214"/>
      <c r="ACJ123" s="214"/>
      <c r="ACK123" s="214"/>
      <c r="ACL123" s="214"/>
      <c r="ACM123" s="214"/>
      <c r="ACN123" s="214"/>
      <c r="ACO123" s="214"/>
      <c r="ACP123" s="214"/>
      <c r="ACQ123" s="214"/>
      <c r="ACR123" s="214"/>
      <c r="ACS123" s="214"/>
      <c r="ACT123" s="214"/>
      <c r="ACU123" s="214"/>
      <c r="ACV123" s="214"/>
      <c r="ACW123" s="214"/>
      <c r="ACX123" s="214"/>
      <c r="ACY123" s="214"/>
      <c r="ACZ123" s="214"/>
      <c r="ADA123" s="214"/>
      <c r="ADB123" s="214"/>
      <c r="ADC123" s="214"/>
      <c r="ADD123" s="214"/>
      <c r="ADE123" s="214"/>
      <c r="ADF123" s="214"/>
      <c r="ADG123" s="214"/>
      <c r="ADH123" s="214"/>
      <c r="ADI123" s="214"/>
      <c r="ADJ123" s="214"/>
      <c r="ADK123" s="214"/>
      <c r="ADL123" s="214"/>
      <c r="ADM123" s="214"/>
      <c r="ADN123" s="214"/>
      <c r="ADO123" s="214"/>
      <c r="ADP123" s="214"/>
      <c r="ADQ123" s="214"/>
      <c r="ADR123" s="214"/>
      <c r="ADS123" s="214"/>
      <c r="ADT123" s="214"/>
      <c r="ADU123" s="214"/>
      <c r="ADV123" s="214"/>
      <c r="ADW123" s="214"/>
      <c r="ADX123" s="214"/>
      <c r="ADY123" s="214"/>
      <c r="ADZ123" s="214"/>
      <c r="AEA123" s="214"/>
      <c r="AEB123" s="214"/>
      <c r="AEC123" s="214"/>
      <c r="AED123" s="214"/>
      <c r="AEE123" s="214"/>
      <c r="AEF123" s="214"/>
      <c r="AEG123" s="214"/>
      <c r="AEH123" s="214"/>
      <c r="AEI123" s="214"/>
      <c r="AEJ123" s="214"/>
      <c r="AEK123" s="214"/>
      <c r="AEL123" s="214"/>
      <c r="AEM123" s="214"/>
      <c r="AEN123" s="214"/>
      <c r="AEO123" s="214"/>
      <c r="AEP123" s="214"/>
      <c r="AEQ123" s="214"/>
      <c r="AER123" s="214"/>
      <c r="AES123" s="214"/>
      <c r="AET123" s="214"/>
      <c r="AEU123" s="214"/>
      <c r="AEV123" s="214"/>
      <c r="AEW123" s="214"/>
      <c r="AEX123" s="214"/>
      <c r="AEY123" s="214"/>
      <c r="AEZ123" s="214"/>
      <c r="AFA123" s="214"/>
      <c r="AFB123" s="214"/>
      <c r="AFC123" s="214"/>
      <c r="AFD123" s="214"/>
      <c r="AFE123" s="214"/>
      <c r="AFF123" s="214"/>
      <c r="AFG123" s="214"/>
      <c r="AFH123" s="214"/>
      <c r="AFI123" s="214"/>
      <c r="AFJ123" s="214"/>
      <c r="AFK123" s="214"/>
      <c r="AFL123" s="214"/>
      <c r="AFM123" s="214"/>
      <c r="AFN123" s="214"/>
      <c r="AFO123" s="214"/>
      <c r="AFP123" s="214"/>
      <c r="AFQ123" s="214"/>
      <c r="AFR123" s="214"/>
      <c r="AFS123" s="214"/>
      <c r="AFT123" s="214"/>
      <c r="AFU123" s="214"/>
      <c r="AFV123" s="214"/>
      <c r="AFW123" s="214"/>
      <c r="AFX123" s="214"/>
      <c r="AFY123" s="214"/>
      <c r="AFZ123" s="214"/>
      <c r="AGA123" s="214"/>
      <c r="AGB123" s="214"/>
      <c r="AGC123" s="214"/>
      <c r="AGD123" s="214"/>
      <c r="AGE123" s="214"/>
      <c r="AGF123" s="214"/>
      <c r="AGG123" s="214"/>
      <c r="AGH123" s="214"/>
      <c r="AGI123" s="214"/>
      <c r="AGJ123" s="214"/>
      <c r="AGK123" s="214"/>
      <c r="AGL123" s="214"/>
      <c r="AGM123" s="214"/>
      <c r="AGN123" s="214"/>
      <c r="AGO123" s="214"/>
      <c r="AGP123" s="214"/>
      <c r="AGQ123" s="214"/>
      <c r="AGR123" s="214"/>
      <c r="AGS123" s="214"/>
      <c r="AGT123" s="214"/>
      <c r="AGU123" s="214"/>
      <c r="AGV123" s="214"/>
      <c r="AGW123" s="214"/>
      <c r="AGX123" s="214"/>
      <c r="AGY123" s="214"/>
      <c r="AGZ123" s="214"/>
      <c r="AHA123" s="214"/>
      <c r="AHB123" s="214"/>
      <c r="AHC123" s="214"/>
      <c r="AHD123" s="214"/>
      <c r="AHE123" s="214"/>
      <c r="AHF123" s="214"/>
      <c r="AHG123" s="214"/>
      <c r="AHH123" s="214"/>
      <c r="AHI123" s="214"/>
      <c r="AHJ123" s="214"/>
      <c r="AHK123" s="214"/>
      <c r="AHL123" s="214"/>
      <c r="AHM123" s="214"/>
      <c r="AHN123" s="214"/>
      <c r="AHO123" s="214"/>
      <c r="AHP123" s="214"/>
      <c r="AHQ123" s="214"/>
      <c r="AHR123" s="214"/>
      <c r="AHS123" s="214"/>
      <c r="AHT123" s="214"/>
      <c r="AHU123" s="214"/>
      <c r="AHV123" s="214"/>
      <c r="AHW123" s="214"/>
      <c r="AHX123" s="214"/>
      <c r="AHY123" s="214"/>
      <c r="AHZ123" s="214"/>
      <c r="AIA123" s="214"/>
      <c r="AIB123" s="214"/>
      <c r="AIC123" s="214"/>
      <c r="AID123" s="214"/>
      <c r="AIE123" s="214"/>
      <c r="AIF123" s="214"/>
      <c r="AIG123" s="214"/>
      <c r="AIH123" s="214"/>
      <c r="AII123" s="214"/>
      <c r="AIJ123" s="214"/>
      <c r="AIK123" s="214"/>
      <c r="AIL123" s="214"/>
      <c r="AIM123" s="214"/>
      <c r="AIN123" s="214"/>
      <c r="AIO123" s="214"/>
      <c r="AIP123" s="214"/>
      <c r="AIQ123" s="214"/>
      <c r="AIR123" s="214"/>
      <c r="AIS123" s="214"/>
      <c r="AIT123" s="214"/>
      <c r="AIU123" s="214"/>
      <c r="AIV123" s="214"/>
      <c r="AIW123" s="214"/>
      <c r="AIX123" s="214"/>
      <c r="AIY123" s="214"/>
      <c r="AIZ123" s="214"/>
      <c r="AJA123" s="214"/>
      <c r="AJB123" s="214"/>
      <c r="AJC123" s="214"/>
      <c r="AJD123" s="214"/>
      <c r="AJE123" s="214"/>
      <c r="AJF123" s="214"/>
      <c r="AJG123" s="214"/>
      <c r="AJH123" s="214"/>
      <c r="AJI123" s="214"/>
      <c r="AJJ123" s="214"/>
      <c r="AJK123" s="214"/>
      <c r="AJL123" s="214"/>
      <c r="AJM123" s="214"/>
      <c r="AJN123" s="214"/>
      <c r="AJO123" s="214"/>
      <c r="AJP123" s="214"/>
      <c r="AJQ123" s="214"/>
      <c r="AJR123" s="214"/>
      <c r="AJS123" s="214"/>
      <c r="AJT123" s="214"/>
      <c r="AJU123" s="214"/>
      <c r="AJV123" s="214"/>
      <c r="AJW123" s="214"/>
      <c r="AJX123" s="214"/>
      <c r="AJY123" s="214"/>
      <c r="AJZ123" s="214"/>
      <c r="AKA123" s="214"/>
      <c r="AKB123" s="214"/>
      <c r="AKC123" s="214"/>
      <c r="AKD123" s="214"/>
      <c r="AKE123" s="214"/>
      <c r="AKF123" s="214"/>
      <c r="AKG123" s="214"/>
      <c r="AKH123" s="214"/>
      <c r="AKI123" s="214"/>
      <c r="AKJ123" s="214"/>
      <c r="AKK123" s="214"/>
      <c r="AKL123" s="214"/>
      <c r="AKM123" s="214"/>
      <c r="AKN123" s="214"/>
      <c r="AKO123" s="214"/>
      <c r="AKP123" s="214"/>
      <c r="AKQ123" s="214"/>
      <c r="AKR123" s="214"/>
      <c r="AKS123" s="214"/>
      <c r="AKT123" s="214"/>
      <c r="AKU123" s="214"/>
      <c r="AKV123" s="214"/>
      <c r="AKW123" s="214"/>
      <c r="AKX123" s="214"/>
      <c r="AKY123" s="214"/>
      <c r="AKZ123" s="214"/>
      <c r="ALA123" s="214"/>
      <c r="ALB123" s="214"/>
      <c r="ALC123" s="214"/>
      <c r="ALD123" s="214"/>
      <c r="ALE123" s="214"/>
      <c r="ALF123" s="214"/>
      <c r="ALG123" s="214"/>
      <c r="ALH123" s="214"/>
      <c r="ALI123" s="214"/>
      <c r="ALJ123" s="214"/>
      <c r="ALK123" s="214"/>
      <c r="ALL123" s="214"/>
      <c r="ALM123" s="214"/>
      <c r="ALN123" s="214"/>
      <c r="ALO123" s="214"/>
      <c r="ALP123" s="214"/>
      <c r="ALQ123" s="214"/>
      <c r="ALR123" s="214"/>
      <c r="ALS123" s="214"/>
      <c r="ALT123" s="214"/>
      <c r="ALU123" s="214"/>
      <c r="ALV123" s="214"/>
      <c r="ALW123" s="214"/>
      <c r="ALX123" s="214"/>
      <c r="ALY123" s="214"/>
      <c r="ALZ123" s="214"/>
      <c r="AMA123" s="214"/>
      <c r="AMB123" s="214"/>
      <c r="AMC123" s="214"/>
      <c r="AMD123" s="214"/>
      <c r="AME123" s="214"/>
      <c r="AMF123" s="214"/>
      <c r="AMG123" s="214"/>
      <c r="AMH123" s="214"/>
      <c r="AMI123" s="214"/>
      <c r="AMJ123" s="214"/>
      <c r="AMK123" s="214"/>
      <c r="AML123" s="214"/>
      <c r="AMM123" s="214"/>
      <c r="AMN123" s="214"/>
      <c r="AMO123" s="214"/>
      <c r="AMP123" s="214"/>
      <c r="AMQ123" s="214"/>
      <c r="AMR123" s="214"/>
      <c r="AMS123" s="214"/>
      <c r="AMT123" s="214"/>
      <c r="AMU123" s="214"/>
      <c r="AMV123" s="214"/>
      <c r="AMW123" s="214"/>
      <c r="AMX123" s="214"/>
      <c r="AMY123" s="214"/>
      <c r="AMZ123" s="214"/>
      <c r="ANA123" s="214"/>
      <c r="ANB123" s="214"/>
      <c r="ANC123" s="214"/>
      <c r="AND123" s="214"/>
      <c r="ANE123" s="214"/>
      <c r="ANF123" s="214"/>
      <c r="ANG123" s="214"/>
      <c r="ANH123" s="214"/>
      <c r="ANI123" s="214"/>
      <c r="ANJ123" s="214"/>
      <c r="ANK123" s="214"/>
      <c r="ANL123" s="214"/>
      <c r="ANM123" s="214"/>
      <c r="ANN123" s="214"/>
      <c r="ANO123" s="214"/>
      <c r="ANP123" s="214"/>
      <c r="ANQ123" s="214"/>
      <c r="ANR123" s="214"/>
      <c r="ANS123" s="214"/>
      <c r="ANT123" s="214"/>
      <c r="ANU123" s="214"/>
      <c r="ANV123" s="214"/>
      <c r="ANW123" s="214"/>
      <c r="ANX123" s="214"/>
      <c r="ANY123" s="214"/>
      <c r="ANZ123" s="214"/>
      <c r="AOA123" s="214"/>
      <c r="AOB123" s="214"/>
      <c r="AOC123" s="214"/>
      <c r="AOD123" s="214"/>
      <c r="AOE123" s="214"/>
      <c r="AOF123" s="214"/>
      <c r="AOG123" s="214"/>
      <c r="AOH123" s="214"/>
      <c r="AOI123" s="214"/>
      <c r="AOJ123" s="214"/>
      <c r="AOK123" s="214"/>
      <c r="AOL123" s="214"/>
      <c r="AOM123" s="214"/>
      <c r="AON123" s="214"/>
      <c r="AOO123" s="214"/>
      <c r="AOP123" s="214"/>
      <c r="AOQ123" s="214"/>
      <c r="AOR123" s="214"/>
      <c r="AOS123" s="214"/>
      <c r="AOT123" s="214"/>
      <c r="AOU123" s="214"/>
      <c r="AOV123" s="214"/>
      <c r="AOW123" s="214"/>
      <c r="AOX123" s="214"/>
      <c r="AOY123" s="214"/>
      <c r="AOZ123" s="214"/>
      <c r="APA123" s="214"/>
      <c r="APB123" s="214"/>
      <c r="APC123" s="214"/>
      <c r="APD123" s="214"/>
      <c r="APE123" s="214"/>
      <c r="APF123" s="214"/>
      <c r="APG123" s="214"/>
      <c r="APH123" s="214"/>
      <c r="API123" s="214"/>
      <c r="APJ123" s="214"/>
      <c r="APK123" s="214"/>
      <c r="APL123" s="214"/>
      <c r="APM123" s="214"/>
      <c r="APN123" s="214"/>
      <c r="APO123" s="214"/>
      <c r="APP123" s="214"/>
      <c r="APQ123" s="214"/>
      <c r="APR123" s="214"/>
      <c r="APS123" s="214"/>
      <c r="APT123" s="214"/>
      <c r="APU123" s="214"/>
      <c r="APV123" s="214"/>
      <c r="APW123" s="214"/>
      <c r="APX123" s="214"/>
      <c r="APY123" s="214"/>
      <c r="APZ123" s="214"/>
      <c r="AQA123" s="214"/>
      <c r="AQB123" s="214"/>
      <c r="AQC123" s="214"/>
      <c r="AQD123" s="214"/>
      <c r="AQE123" s="214"/>
      <c r="AQF123" s="214"/>
      <c r="AQG123" s="214"/>
      <c r="AQH123" s="214"/>
      <c r="AQI123" s="214"/>
      <c r="AQJ123" s="214"/>
      <c r="AQK123" s="214"/>
      <c r="AQL123" s="214"/>
      <c r="AQM123" s="214"/>
      <c r="AQN123" s="214"/>
      <c r="AQO123" s="214"/>
      <c r="AQP123" s="214"/>
      <c r="AQQ123" s="214"/>
      <c r="AQR123" s="214"/>
      <c r="AQS123" s="214"/>
      <c r="AQT123" s="214"/>
      <c r="AQU123" s="214"/>
      <c r="AQV123" s="214"/>
      <c r="AQW123" s="214"/>
      <c r="AQX123" s="214"/>
      <c r="AQY123" s="214"/>
      <c r="AQZ123" s="214"/>
      <c r="ARA123" s="214"/>
      <c r="ARB123" s="214"/>
      <c r="ARC123" s="214"/>
      <c r="ARD123" s="214"/>
      <c r="ARE123" s="214"/>
      <c r="ARF123" s="214"/>
      <c r="ARG123" s="214"/>
      <c r="ARH123" s="214"/>
      <c r="ARI123" s="214"/>
      <c r="ARJ123" s="214"/>
      <c r="ARK123" s="214"/>
      <c r="ARL123" s="214"/>
      <c r="ARM123" s="214"/>
      <c r="ARN123" s="214"/>
      <c r="ARO123" s="214"/>
      <c r="ARP123" s="214"/>
      <c r="ARQ123" s="214"/>
      <c r="ARR123" s="214"/>
      <c r="ARS123" s="214"/>
      <c r="ART123" s="214"/>
      <c r="ARU123" s="214"/>
      <c r="ARV123" s="214"/>
      <c r="ARW123" s="214"/>
      <c r="ARX123" s="214"/>
      <c r="ARY123" s="214"/>
      <c r="ARZ123" s="214"/>
      <c r="ASA123" s="214"/>
      <c r="ASB123" s="214"/>
      <c r="ASC123" s="214"/>
      <c r="ASD123" s="214"/>
      <c r="ASE123" s="214"/>
      <c r="ASF123" s="214"/>
      <c r="ASG123" s="214"/>
      <c r="ASH123" s="214"/>
      <c r="ASI123" s="214"/>
      <c r="ASJ123" s="214"/>
      <c r="ASK123" s="214"/>
      <c r="ASL123" s="214"/>
      <c r="ASM123" s="214"/>
      <c r="ASN123" s="214"/>
      <c r="ASO123" s="214"/>
      <c r="ASP123" s="214"/>
      <c r="ASQ123" s="214"/>
      <c r="ASR123" s="214"/>
      <c r="ASS123" s="214"/>
      <c r="AST123" s="214"/>
      <c r="ASU123" s="214"/>
      <c r="ASV123" s="214"/>
      <c r="ASW123" s="214"/>
      <c r="ASX123" s="214"/>
      <c r="ASY123" s="214"/>
      <c r="ASZ123" s="214"/>
      <c r="ATA123" s="214"/>
      <c r="ATB123" s="214"/>
      <c r="ATC123" s="214"/>
      <c r="ATD123" s="214"/>
      <c r="ATE123" s="214"/>
      <c r="ATF123" s="214"/>
      <c r="ATG123" s="214"/>
      <c r="ATH123" s="214"/>
      <c r="ATI123" s="214"/>
      <c r="ATJ123" s="214"/>
      <c r="ATK123" s="214"/>
      <c r="ATL123" s="214"/>
      <c r="ATM123" s="214"/>
      <c r="ATN123" s="214"/>
      <c r="ATO123" s="214"/>
      <c r="ATP123" s="214"/>
      <c r="ATQ123" s="214"/>
      <c r="ATR123" s="214"/>
      <c r="ATS123" s="214"/>
      <c r="ATT123" s="214"/>
      <c r="ATU123" s="214"/>
      <c r="ATV123" s="214"/>
      <c r="ATW123" s="214"/>
      <c r="ATX123" s="214"/>
      <c r="ATY123" s="214"/>
      <c r="ATZ123" s="214"/>
      <c r="AUA123" s="214"/>
      <c r="AUB123" s="214"/>
      <c r="AUC123" s="214"/>
      <c r="AUD123" s="214"/>
      <c r="AUE123" s="214"/>
      <c r="AUF123" s="214"/>
      <c r="AUG123" s="214"/>
      <c r="AUH123" s="214"/>
      <c r="AUI123" s="214"/>
      <c r="AUJ123" s="214"/>
      <c r="AUK123" s="214"/>
      <c r="AUL123" s="214"/>
      <c r="AUM123" s="214"/>
      <c r="AUN123" s="214"/>
      <c r="AUO123" s="214"/>
      <c r="AUP123" s="214"/>
      <c r="AUQ123" s="214"/>
      <c r="AUR123" s="214"/>
      <c r="AUS123" s="214"/>
      <c r="AUT123" s="214"/>
      <c r="AUU123" s="214"/>
      <c r="AUV123" s="214"/>
      <c r="AUW123" s="214"/>
      <c r="AUX123" s="214"/>
      <c r="AUY123" s="214"/>
      <c r="AUZ123" s="214"/>
      <c r="AVA123" s="214"/>
      <c r="AVB123" s="214"/>
      <c r="AVC123" s="214"/>
      <c r="AVD123" s="214"/>
      <c r="AVE123" s="214"/>
      <c r="AVF123" s="214"/>
      <c r="AVG123" s="214"/>
      <c r="AVH123" s="214"/>
      <c r="AVI123" s="214"/>
      <c r="AVJ123" s="214"/>
      <c r="AVK123" s="214"/>
      <c r="AVL123" s="214"/>
      <c r="AVM123" s="214"/>
      <c r="AVN123" s="214"/>
      <c r="AVO123" s="214"/>
      <c r="AVP123" s="214"/>
      <c r="AVQ123" s="214"/>
      <c r="AVR123" s="214"/>
      <c r="AVS123" s="214"/>
      <c r="AVT123" s="214"/>
      <c r="AVU123" s="214"/>
      <c r="AVV123" s="214"/>
      <c r="AVW123" s="214"/>
      <c r="AVX123" s="214"/>
      <c r="AVY123" s="214"/>
      <c r="AVZ123" s="214"/>
      <c r="AWA123" s="214"/>
      <c r="AWB123" s="214"/>
      <c r="AWC123" s="214"/>
      <c r="AWD123" s="214"/>
      <c r="AWE123" s="214"/>
      <c r="AWF123" s="214"/>
      <c r="AWG123" s="214"/>
      <c r="AWH123" s="214"/>
      <c r="AWI123" s="214"/>
      <c r="AWJ123" s="214"/>
      <c r="AWK123" s="214"/>
      <c r="AWL123" s="214"/>
      <c r="AWM123" s="214"/>
      <c r="AWN123" s="214"/>
      <c r="AWO123" s="214"/>
      <c r="AWP123" s="214"/>
      <c r="AWQ123" s="214"/>
      <c r="AWR123" s="214"/>
      <c r="AWS123" s="214"/>
      <c r="AWT123" s="214"/>
      <c r="AWU123" s="214"/>
      <c r="AWV123" s="214"/>
      <c r="AWW123" s="214"/>
      <c r="AWX123" s="214"/>
      <c r="AWY123" s="214"/>
      <c r="AWZ123" s="214"/>
      <c r="AXA123" s="214"/>
      <c r="AXB123" s="214"/>
      <c r="AXC123" s="214"/>
      <c r="AXD123" s="214"/>
      <c r="AXE123" s="214"/>
      <c r="AXF123" s="214"/>
      <c r="AXG123" s="214"/>
      <c r="AXH123" s="214"/>
      <c r="AXI123" s="214"/>
      <c r="AXJ123" s="214"/>
      <c r="AXK123" s="214"/>
      <c r="AXL123" s="214"/>
      <c r="AXM123" s="214"/>
      <c r="AXN123" s="214"/>
      <c r="AXO123" s="214"/>
      <c r="AXP123" s="214"/>
      <c r="AXQ123" s="214"/>
      <c r="AXR123" s="214"/>
      <c r="AXS123" s="214"/>
      <c r="AXT123" s="214"/>
      <c r="AXU123" s="214"/>
      <c r="AXV123" s="214"/>
      <c r="AXW123" s="214"/>
      <c r="AXX123" s="214"/>
      <c r="AXY123" s="214"/>
      <c r="AXZ123" s="214"/>
      <c r="AYA123" s="214"/>
      <c r="AYB123" s="214"/>
      <c r="AYC123" s="214"/>
      <c r="AYD123" s="214"/>
      <c r="AYE123" s="214"/>
      <c r="AYF123" s="214"/>
      <c r="AYG123" s="214"/>
      <c r="AYH123" s="214"/>
      <c r="AYI123" s="214"/>
      <c r="AYJ123" s="214"/>
      <c r="AYK123" s="214"/>
      <c r="AYL123" s="214"/>
      <c r="AYM123" s="214"/>
      <c r="AYN123" s="214"/>
      <c r="AYO123" s="214"/>
      <c r="AYP123" s="214"/>
      <c r="AYQ123" s="214"/>
      <c r="AYR123" s="214"/>
      <c r="AYS123" s="214"/>
      <c r="AYT123" s="214"/>
      <c r="AYU123" s="214"/>
      <c r="AYV123" s="214"/>
      <c r="AYW123" s="214"/>
      <c r="AYX123" s="214"/>
      <c r="AYY123" s="214"/>
      <c r="AYZ123" s="214"/>
      <c r="AZA123" s="214"/>
      <c r="AZB123" s="214"/>
      <c r="AZC123" s="214"/>
      <c r="AZD123" s="214"/>
      <c r="AZE123" s="214"/>
      <c r="AZF123" s="214"/>
      <c r="AZG123" s="214"/>
      <c r="AZH123" s="214"/>
      <c r="AZI123" s="214"/>
      <c r="AZJ123" s="214"/>
      <c r="AZK123" s="214"/>
      <c r="AZL123" s="214"/>
      <c r="AZM123" s="214"/>
      <c r="AZN123" s="214"/>
      <c r="AZO123" s="214"/>
      <c r="AZP123" s="214"/>
      <c r="AZQ123" s="214"/>
      <c r="AZR123" s="214"/>
      <c r="AZS123" s="214"/>
      <c r="AZT123" s="214"/>
      <c r="AZU123" s="214"/>
      <c r="AZV123" s="214"/>
      <c r="AZW123" s="214"/>
      <c r="AZX123" s="214"/>
      <c r="AZY123" s="214"/>
      <c r="AZZ123" s="214"/>
      <c r="BAA123" s="214"/>
      <c r="BAB123" s="214"/>
      <c r="BAC123" s="214"/>
      <c r="BAD123" s="214"/>
      <c r="BAE123" s="214"/>
      <c r="BAF123" s="214"/>
      <c r="BAG123" s="214"/>
      <c r="BAH123" s="214"/>
      <c r="BAI123" s="214"/>
      <c r="BAJ123" s="214"/>
      <c r="BAK123" s="214"/>
      <c r="BAL123" s="214"/>
      <c r="BAM123" s="214"/>
      <c r="BAN123" s="214"/>
      <c r="BAO123" s="214"/>
      <c r="BAP123" s="214"/>
      <c r="BAQ123" s="214"/>
      <c r="BAR123" s="214"/>
      <c r="BAS123" s="214"/>
      <c r="BAT123" s="214"/>
      <c r="BAU123" s="214"/>
      <c r="BAV123" s="214"/>
      <c r="BAW123" s="214"/>
      <c r="BAX123" s="214"/>
      <c r="BAY123" s="214"/>
      <c r="BAZ123" s="214"/>
      <c r="BBA123" s="214"/>
      <c r="BBB123" s="214"/>
      <c r="BBC123" s="214"/>
      <c r="BBD123" s="214"/>
      <c r="BBE123" s="214"/>
      <c r="BBF123" s="214"/>
      <c r="BBG123" s="214"/>
      <c r="BBH123" s="214"/>
      <c r="BBI123" s="214"/>
      <c r="BBJ123" s="214"/>
      <c r="BBK123" s="214"/>
      <c r="BBL123" s="214"/>
      <c r="BBM123" s="214"/>
      <c r="BBN123" s="214"/>
      <c r="BBO123" s="214"/>
      <c r="BBP123" s="214"/>
      <c r="BBQ123" s="214"/>
      <c r="BBR123" s="214"/>
      <c r="BBS123" s="214"/>
      <c r="BBT123" s="214"/>
      <c r="BBU123" s="214"/>
      <c r="BBV123" s="214"/>
      <c r="BBW123" s="214"/>
      <c r="BBX123" s="214"/>
      <c r="BBY123" s="214"/>
      <c r="BBZ123" s="214"/>
      <c r="BCA123" s="214"/>
      <c r="BCB123" s="214"/>
      <c r="BCC123" s="214"/>
      <c r="BCD123" s="214"/>
      <c r="BCE123" s="214"/>
      <c r="BCF123" s="214"/>
      <c r="BCG123" s="214"/>
      <c r="BCH123" s="214"/>
      <c r="BCI123" s="214"/>
      <c r="BCJ123" s="214"/>
      <c r="BCK123" s="214"/>
      <c r="BCL123" s="214"/>
      <c r="BCM123" s="214"/>
      <c r="BCN123" s="214"/>
      <c r="BCO123" s="214"/>
      <c r="BCP123" s="214"/>
      <c r="BCQ123" s="214"/>
      <c r="BCR123" s="214"/>
      <c r="BCS123" s="214"/>
      <c r="BCT123" s="214"/>
      <c r="BCU123" s="214"/>
      <c r="BCV123" s="214"/>
      <c r="BCW123" s="214"/>
      <c r="BCX123" s="214"/>
      <c r="BCY123" s="214"/>
      <c r="BCZ123" s="214"/>
      <c r="BDA123" s="214"/>
      <c r="BDB123" s="214"/>
      <c r="BDC123" s="214"/>
      <c r="BDD123" s="214"/>
      <c r="BDE123" s="214"/>
      <c r="BDF123" s="214"/>
      <c r="BDG123" s="214"/>
      <c r="BDH123" s="214"/>
      <c r="BDI123" s="214"/>
      <c r="BDJ123" s="214"/>
      <c r="BDK123" s="214"/>
      <c r="BDL123" s="214"/>
      <c r="BDM123" s="214"/>
      <c r="BDN123" s="214"/>
      <c r="BDO123" s="214"/>
      <c r="BDP123" s="214"/>
      <c r="BDQ123" s="214"/>
      <c r="BDR123" s="214"/>
      <c r="BDS123" s="214"/>
      <c r="BDT123" s="214"/>
      <c r="BDU123" s="214"/>
      <c r="BDV123" s="214"/>
      <c r="BDW123" s="214"/>
      <c r="BDX123" s="214"/>
      <c r="BDY123" s="214"/>
      <c r="BDZ123" s="214"/>
      <c r="BEA123" s="214"/>
      <c r="BEB123" s="214"/>
      <c r="BEC123" s="214"/>
      <c r="BED123" s="214"/>
      <c r="BEE123" s="214"/>
      <c r="BEF123" s="214"/>
      <c r="BEG123" s="214"/>
      <c r="BEH123" s="214"/>
      <c r="BEI123" s="214"/>
      <c r="BEJ123" s="214"/>
      <c r="BEK123" s="214"/>
      <c r="BEL123" s="214"/>
      <c r="BEM123" s="214"/>
      <c r="BEN123" s="214"/>
      <c r="BEO123" s="214"/>
      <c r="BEP123" s="214"/>
      <c r="BEQ123" s="214"/>
      <c r="BER123" s="214"/>
      <c r="BES123" s="214"/>
      <c r="BET123" s="214"/>
      <c r="BEU123" s="214"/>
      <c r="BEV123" s="214"/>
      <c r="BEW123" s="214"/>
      <c r="BEX123" s="214"/>
      <c r="BEY123" s="214"/>
      <c r="BEZ123" s="214"/>
      <c r="BFA123" s="214"/>
      <c r="BFB123" s="214"/>
      <c r="BFC123" s="214"/>
      <c r="BFD123" s="214"/>
      <c r="BFE123" s="214"/>
      <c r="BFF123" s="214"/>
      <c r="BFG123" s="214"/>
      <c r="BFH123" s="214"/>
      <c r="BFI123" s="214"/>
      <c r="BFJ123" s="214"/>
      <c r="BFK123" s="214"/>
      <c r="BFL123" s="214"/>
      <c r="BFM123" s="214"/>
      <c r="BFN123" s="214"/>
      <c r="BFO123" s="214"/>
      <c r="BFP123" s="214"/>
      <c r="BFQ123" s="214"/>
      <c r="BFR123" s="214"/>
      <c r="BFS123" s="214"/>
      <c r="BFT123" s="214"/>
      <c r="BFU123" s="214"/>
      <c r="BFV123" s="214"/>
      <c r="BFW123" s="214"/>
      <c r="BFX123" s="214"/>
      <c r="BFY123" s="214"/>
      <c r="BFZ123" s="214"/>
      <c r="BGA123" s="214"/>
      <c r="BGB123" s="214"/>
      <c r="BGC123" s="214"/>
      <c r="BGD123" s="214"/>
      <c r="BGE123" s="214"/>
      <c r="BGF123" s="214"/>
      <c r="BGG123" s="214"/>
      <c r="BGH123" s="214"/>
      <c r="BGI123" s="214"/>
      <c r="BGJ123" s="214"/>
      <c r="BGK123" s="214"/>
      <c r="BGL123" s="214"/>
      <c r="BGM123" s="214"/>
      <c r="BGN123" s="214"/>
      <c r="BGO123" s="214"/>
      <c r="BGP123" s="214"/>
      <c r="BGQ123" s="214"/>
      <c r="BGR123" s="214"/>
      <c r="BGS123" s="214"/>
      <c r="BGT123" s="214"/>
      <c r="BGU123" s="214"/>
      <c r="BGV123" s="214"/>
      <c r="BGW123" s="214"/>
      <c r="BGX123" s="214"/>
      <c r="BGY123" s="214"/>
      <c r="BGZ123" s="214"/>
      <c r="BHA123" s="214"/>
      <c r="BHB123" s="214"/>
      <c r="BHC123" s="214"/>
      <c r="BHD123" s="214"/>
      <c r="BHE123" s="214"/>
      <c r="BHF123" s="214"/>
      <c r="BHG123" s="214"/>
      <c r="BHH123" s="214"/>
      <c r="BHI123" s="214"/>
      <c r="BHJ123" s="214"/>
      <c r="BHK123" s="214"/>
      <c r="BHL123" s="214"/>
      <c r="BHM123" s="214"/>
      <c r="BHN123" s="214"/>
      <c r="BHO123" s="214"/>
      <c r="BHP123" s="214"/>
      <c r="BHQ123" s="214"/>
      <c r="BHR123" s="214"/>
      <c r="BHS123" s="214"/>
      <c r="BHT123" s="214"/>
      <c r="BHU123" s="214"/>
      <c r="BHV123" s="214"/>
      <c r="BHW123" s="214"/>
    </row>
    <row r="124" spans="1:1583" s="217" customFormat="1" ht="14.25" customHeight="1" thickBot="1">
      <c r="A124" s="247"/>
      <c r="B124" s="255" t="s">
        <v>153</v>
      </c>
      <c r="C124" s="255" t="s">
        <v>153</v>
      </c>
      <c r="D124" s="426" t="s">
        <v>655</v>
      </c>
      <c r="E124" s="59" t="s">
        <v>149</v>
      </c>
      <c r="F124" s="141">
        <v>1600</v>
      </c>
      <c r="G124" s="60" t="s">
        <v>774</v>
      </c>
      <c r="H124" s="473">
        <f t="shared" si="25"/>
        <v>0</v>
      </c>
      <c r="I124" s="93"/>
      <c r="J124" s="255"/>
      <c r="K124" s="93"/>
      <c r="L124" s="93"/>
      <c r="M124" s="93"/>
      <c r="N124" s="93"/>
      <c r="O124" s="93"/>
      <c r="P124" s="93"/>
      <c r="Q124" s="93"/>
      <c r="R124" s="93"/>
      <c r="S124" s="93"/>
      <c r="T124" s="93"/>
      <c r="U124" s="93"/>
      <c r="V124" s="93"/>
      <c r="W124" s="93"/>
      <c r="X124" s="93"/>
      <c r="Y124" s="93"/>
      <c r="Z124" s="93"/>
      <c r="AA124" s="93"/>
      <c r="AB124" s="93"/>
      <c r="AC124" s="93"/>
      <c r="AD124" s="93"/>
      <c r="AE124" s="93"/>
      <c r="AF124" s="93"/>
      <c r="AG124" s="93"/>
      <c r="AH124" s="93"/>
      <c r="AI124" s="93"/>
      <c r="AJ124" s="93"/>
      <c r="AK124" s="93"/>
      <c r="AL124" s="93"/>
      <c r="AM124" s="93"/>
      <c r="AN124" s="93"/>
      <c r="AO124" s="214"/>
      <c r="AP124" s="214"/>
      <c r="AQ124" s="214"/>
      <c r="AR124" s="214"/>
      <c r="AS124" s="214"/>
      <c r="AT124" s="214"/>
      <c r="AU124" s="214"/>
      <c r="AV124" s="214"/>
      <c r="AW124" s="214"/>
      <c r="AX124" s="214"/>
      <c r="AY124" s="214"/>
      <c r="AZ124" s="214"/>
      <c r="BA124" s="214"/>
      <c r="BB124" s="214"/>
      <c r="BC124" s="214"/>
      <c r="BD124" s="214"/>
      <c r="BE124" s="214"/>
      <c r="BF124" s="214"/>
      <c r="BG124" s="214"/>
      <c r="BH124" s="214"/>
      <c r="BI124" s="214"/>
      <c r="BJ124" s="214"/>
      <c r="BK124" s="214"/>
      <c r="BL124" s="214"/>
      <c r="BM124" s="214"/>
      <c r="BN124" s="214"/>
      <c r="BO124" s="214"/>
      <c r="BP124" s="214"/>
      <c r="BQ124" s="214"/>
      <c r="BR124" s="214"/>
      <c r="BS124" s="214"/>
      <c r="BT124" s="214"/>
      <c r="BU124" s="214"/>
      <c r="BV124" s="214"/>
      <c r="BW124" s="214"/>
      <c r="BX124" s="214"/>
      <c r="BY124" s="214"/>
      <c r="BZ124" s="214"/>
      <c r="CA124" s="214"/>
      <c r="CB124" s="214"/>
      <c r="CC124" s="214"/>
      <c r="CD124" s="214"/>
      <c r="CE124" s="214"/>
      <c r="CF124" s="214"/>
      <c r="CG124" s="214"/>
      <c r="CH124" s="214"/>
      <c r="CI124" s="214"/>
      <c r="CJ124" s="214"/>
      <c r="CK124" s="214"/>
      <c r="CL124" s="214"/>
      <c r="CM124" s="214"/>
      <c r="CN124" s="214"/>
      <c r="CO124" s="214"/>
      <c r="CP124" s="214"/>
      <c r="CQ124" s="214"/>
      <c r="CR124" s="214"/>
      <c r="CS124" s="214"/>
      <c r="CT124" s="214"/>
      <c r="CU124" s="214"/>
      <c r="CV124" s="214"/>
      <c r="CW124" s="214"/>
      <c r="CX124" s="214"/>
      <c r="CY124" s="214"/>
      <c r="CZ124" s="214"/>
      <c r="DA124" s="214"/>
      <c r="DB124" s="214"/>
      <c r="DC124" s="214"/>
      <c r="DD124" s="214"/>
      <c r="DE124" s="214"/>
      <c r="DF124" s="214"/>
      <c r="DG124" s="214"/>
      <c r="DH124" s="214"/>
      <c r="DI124" s="214"/>
      <c r="DJ124" s="214"/>
      <c r="DK124" s="214"/>
      <c r="DL124" s="214"/>
      <c r="DM124" s="214"/>
      <c r="DN124" s="214"/>
      <c r="DO124" s="214"/>
      <c r="DP124" s="214"/>
      <c r="DQ124" s="214"/>
      <c r="DR124" s="214"/>
      <c r="DS124" s="214"/>
      <c r="DT124" s="214"/>
      <c r="DU124" s="214"/>
      <c r="DV124" s="214"/>
      <c r="DW124" s="214"/>
      <c r="DX124" s="214"/>
      <c r="DY124" s="214"/>
      <c r="DZ124" s="214"/>
      <c r="EA124" s="214"/>
      <c r="EB124" s="214"/>
      <c r="EC124" s="214"/>
      <c r="ED124" s="214"/>
      <c r="EE124" s="214"/>
      <c r="EF124" s="214"/>
      <c r="EG124" s="214"/>
      <c r="EH124" s="214"/>
      <c r="EI124" s="214"/>
      <c r="EJ124" s="214"/>
      <c r="EK124" s="214"/>
      <c r="EL124" s="214"/>
      <c r="EM124" s="214"/>
      <c r="EN124" s="214"/>
      <c r="EO124" s="214"/>
      <c r="EP124" s="214"/>
      <c r="EQ124" s="214"/>
      <c r="ER124" s="214"/>
      <c r="ES124" s="214"/>
      <c r="ET124" s="214"/>
      <c r="EU124" s="214"/>
      <c r="EV124" s="214"/>
      <c r="EW124" s="214"/>
      <c r="EX124" s="214"/>
      <c r="EY124" s="214"/>
      <c r="EZ124" s="214"/>
      <c r="FA124" s="214"/>
      <c r="FB124" s="214"/>
      <c r="FC124" s="214"/>
      <c r="FD124" s="214"/>
      <c r="FE124" s="214"/>
      <c r="FF124" s="214"/>
      <c r="FG124" s="214"/>
      <c r="FH124" s="214"/>
      <c r="FI124" s="214"/>
      <c r="FJ124" s="214"/>
      <c r="FK124" s="214"/>
      <c r="FL124" s="214"/>
      <c r="FM124" s="214"/>
      <c r="FN124" s="214"/>
      <c r="FO124" s="214"/>
      <c r="FP124" s="214"/>
      <c r="FQ124" s="214"/>
      <c r="FR124" s="214"/>
      <c r="FS124" s="214"/>
      <c r="FT124" s="214"/>
      <c r="FU124" s="214"/>
      <c r="FV124" s="214"/>
      <c r="FW124" s="214"/>
      <c r="FX124" s="214"/>
      <c r="FY124" s="214"/>
      <c r="FZ124" s="214"/>
      <c r="GA124" s="214"/>
      <c r="GB124" s="214"/>
      <c r="GC124" s="214"/>
      <c r="GD124" s="214"/>
      <c r="GE124" s="214"/>
      <c r="GF124" s="214"/>
      <c r="GG124" s="214"/>
      <c r="GH124" s="214"/>
      <c r="GI124" s="214"/>
      <c r="GJ124" s="214"/>
      <c r="GK124" s="214"/>
      <c r="GL124" s="214"/>
      <c r="GM124" s="214"/>
      <c r="GN124" s="214"/>
      <c r="GO124" s="214"/>
      <c r="GP124" s="214"/>
      <c r="GQ124" s="214"/>
      <c r="GR124" s="214"/>
      <c r="GS124" s="214"/>
      <c r="GT124" s="214"/>
      <c r="GU124" s="214"/>
      <c r="GV124" s="214"/>
      <c r="GW124" s="214"/>
      <c r="GX124" s="214"/>
      <c r="GY124" s="214"/>
      <c r="GZ124" s="214"/>
      <c r="HA124" s="214"/>
      <c r="HB124" s="214"/>
      <c r="HC124" s="214"/>
      <c r="HD124" s="214"/>
      <c r="HE124" s="214"/>
      <c r="HF124" s="214"/>
      <c r="HG124" s="214"/>
      <c r="HH124" s="214"/>
      <c r="HI124" s="214"/>
      <c r="HJ124" s="214"/>
      <c r="HK124" s="214"/>
      <c r="HL124" s="214"/>
      <c r="HM124" s="214"/>
      <c r="HN124" s="214"/>
      <c r="HO124" s="214"/>
      <c r="HP124" s="214"/>
      <c r="HQ124" s="214"/>
      <c r="HR124" s="214"/>
      <c r="HS124" s="214"/>
      <c r="HT124" s="214"/>
      <c r="HU124" s="214"/>
      <c r="HV124" s="214"/>
      <c r="HW124" s="214"/>
      <c r="HX124" s="214"/>
      <c r="HY124" s="214"/>
      <c r="HZ124" s="214"/>
      <c r="IA124" s="214"/>
      <c r="IB124" s="214"/>
      <c r="IC124" s="214"/>
      <c r="ID124" s="214"/>
      <c r="IE124" s="214"/>
      <c r="IF124" s="214"/>
      <c r="IG124" s="214"/>
      <c r="IH124" s="214"/>
      <c r="II124" s="214"/>
      <c r="IJ124" s="214"/>
      <c r="IK124" s="214"/>
      <c r="IL124" s="214"/>
      <c r="IM124" s="214"/>
      <c r="IN124" s="214"/>
      <c r="IO124" s="214"/>
      <c r="IP124" s="214"/>
      <c r="IQ124" s="214"/>
      <c r="IR124" s="214"/>
      <c r="IS124" s="214"/>
      <c r="IT124" s="214"/>
      <c r="IU124" s="214"/>
      <c r="IV124" s="214"/>
      <c r="IW124" s="214"/>
      <c r="IX124" s="214"/>
      <c r="IY124" s="214"/>
      <c r="IZ124" s="214"/>
      <c r="JA124" s="214"/>
      <c r="JB124" s="214"/>
      <c r="JC124" s="214"/>
      <c r="JD124" s="214"/>
      <c r="JE124" s="214"/>
      <c r="JF124" s="214"/>
      <c r="JG124" s="214"/>
      <c r="JH124" s="214"/>
      <c r="JI124" s="214"/>
      <c r="JJ124" s="214"/>
      <c r="JK124" s="214"/>
      <c r="JL124" s="214"/>
      <c r="JM124" s="214"/>
      <c r="JN124" s="214"/>
      <c r="JO124" s="214"/>
      <c r="JP124" s="214"/>
      <c r="JQ124" s="214"/>
      <c r="JR124" s="214"/>
      <c r="JS124" s="214"/>
      <c r="JT124" s="214"/>
      <c r="JU124" s="214"/>
      <c r="JV124" s="214"/>
      <c r="JW124" s="214"/>
      <c r="JX124" s="214"/>
      <c r="JY124" s="214"/>
      <c r="JZ124" s="214"/>
      <c r="KA124" s="214"/>
      <c r="KB124" s="214"/>
      <c r="KC124" s="214"/>
      <c r="KD124" s="214"/>
      <c r="KE124" s="214"/>
      <c r="KF124" s="214"/>
      <c r="KG124" s="214"/>
      <c r="KH124" s="214"/>
      <c r="KI124" s="214"/>
      <c r="KJ124" s="214"/>
      <c r="KK124" s="214"/>
      <c r="KL124" s="214"/>
      <c r="KM124" s="214"/>
      <c r="KN124" s="214"/>
      <c r="KO124" s="214"/>
      <c r="KP124" s="214"/>
      <c r="KQ124" s="214"/>
      <c r="KR124" s="214"/>
      <c r="KS124" s="214"/>
      <c r="KT124" s="214"/>
      <c r="KU124" s="214"/>
      <c r="KV124" s="214"/>
      <c r="KW124" s="214"/>
      <c r="KX124" s="214"/>
      <c r="KY124" s="214"/>
      <c r="KZ124" s="214"/>
      <c r="LA124" s="214"/>
      <c r="LB124" s="214"/>
      <c r="LC124" s="214"/>
      <c r="LD124" s="214"/>
      <c r="LE124" s="214"/>
      <c r="LF124" s="214"/>
      <c r="LG124" s="214"/>
      <c r="LH124" s="214"/>
      <c r="LI124" s="214"/>
      <c r="LJ124" s="214"/>
      <c r="LK124" s="214"/>
      <c r="LL124" s="214"/>
      <c r="LM124" s="214"/>
      <c r="LN124" s="214"/>
      <c r="LO124" s="214"/>
      <c r="LP124" s="214"/>
      <c r="LQ124" s="214"/>
      <c r="LR124" s="214"/>
      <c r="LS124" s="214"/>
      <c r="LT124" s="214"/>
      <c r="LU124" s="214"/>
      <c r="LV124" s="214"/>
      <c r="LW124" s="214"/>
      <c r="LX124" s="214"/>
      <c r="LY124" s="214"/>
      <c r="LZ124" s="214"/>
      <c r="MA124" s="214"/>
      <c r="MB124" s="214"/>
      <c r="MC124" s="214"/>
      <c r="MD124" s="214"/>
      <c r="ME124" s="214"/>
      <c r="MF124" s="214"/>
      <c r="MG124" s="214"/>
      <c r="MH124" s="214"/>
      <c r="MI124" s="214"/>
      <c r="MJ124" s="214"/>
      <c r="MK124" s="214"/>
      <c r="ML124" s="214"/>
      <c r="MM124" s="214"/>
      <c r="MN124" s="214"/>
      <c r="MO124" s="214"/>
      <c r="MP124" s="214"/>
      <c r="MQ124" s="214"/>
      <c r="MR124" s="214"/>
      <c r="MS124" s="214"/>
      <c r="MT124" s="214"/>
      <c r="MU124" s="214"/>
      <c r="MV124" s="214"/>
      <c r="MW124" s="214"/>
      <c r="MX124" s="214"/>
      <c r="MY124" s="214"/>
      <c r="MZ124" s="214"/>
      <c r="NA124" s="214"/>
      <c r="NB124" s="214"/>
      <c r="NC124" s="214"/>
      <c r="ND124" s="214"/>
      <c r="NE124" s="214"/>
      <c r="NF124" s="214"/>
      <c r="NG124" s="214"/>
      <c r="NH124" s="214"/>
      <c r="NI124" s="214"/>
      <c r="NJ124" s="214"/>
      <c r="NK124" s="214"/>
      <c r="NL124" s="214"/>
      <c r="NM124" s="214"/>
      <c r="NN124" s="214"/>
      <c r="NO124" s="214"/>
      <c r="NP124" s="214"/>
      <c r="NQ124" s="214"/>
      <c r="NR124" s="214"/>
      <c r="NS124" s="214"/>
      <c r="NT124" s="214"/>
      <c r="NU124" s="214"/>
      <c r="NV124" s="214"/>
      <c r="NW124" s="214"/>
      <c r="NX124" s="214"/>
      <c r="NY124" s="214"/>
      <c r="NZ124" s="214"/>
      <c r="OA124" s="214"/>
      <c r="OB124" s="214"/>
      <c r="OC124" s="214"/>
      <c r="OD124" s="214"/>
      <c r="OE124" s="214"/>
      <c r="OF124" s="214"/>
      <c r="OG124" s="214"/>
      <c r="OH124" s="214"/>
      <c r="OI124" s="214"/>
      <c r="OJ124" s="214"/>
      <c r="OK124" s="214"/>
      <c r="OL124" s="214"/>
      <c r="OM124" s="214"/>
      <c r="ON124" s="214"/>
      <c r="OO124" s="214"/>
      <c r="OP124" s="214"/>
      <c r="OQ124" s="214"/>
      <c r="OR124" s="214"/>
      <c r="OS124" s="214"/>
      <c r="OT124" s="214"/>
      <c r="OU124" s="214"/>
      <c r="OV124" s="214"/>
      <c r="OW124" s="214"/>
      <c r="OX124" s="214"/>
      <c r="OY124" s="214"/>
      <c r="OZ124" s="214"/>
      <c r="PA124" s="214"/>
      <c r="PB124" s="214"/>
      <c r="PC124" s="214"/>
      <c r="PD124" s="214"/>
      <c r="PE124" s="214"/>
      <c r="PF124" s="214"/>
      <c r="PG124" s="214"/>
      <c r="PH124" s="214"/>
      <c r="PI124" s="214"/>
      <c r="PJ124" s="214"/>
      <c r="PK124" s="214"/>
      <c r="PL124" s="214"/>
      <c r="PM124" s="214"/>
      <c r="PN124" s="214"/>
      <c r="PO124" s="214"/>
      <c r="PP124" s="214"/>
      <c r="PQ124" s="214"/>
      <c r="PR124" s="214"/>
      <c r="PS124" s="214"/>
      <c r="PT124" s="214"/>
      <c r="PU124" s="214"/>
      <c r="PV124" s="214"/>
      <c r="PW124" s="214"/>
      <c r="PX124" s="214"/>
      <c r="PY124" s="214"/>
      <c r="PZ124" s="214"/>
      <c r="QA124" s="214"/>
      <c r="QB124" s="214"/>
      <c r="QC124" s="214"/>
      <c r="QD124" s="214"/>
      <c r="QE124" s="214"/>
      <c r="QF124" s="214"/>
      <c r="QG124" s="214"/>
      <c r="QH124" s="214"/>
      <c r="QI124" s="214"/>
      <c r="QJ124" s="214"/>
      <c r="QK124" s="214"/>
      <c r="QL124" s="214"/>
      <c r="QM124" s="214"/>
      <c r="QN124" s="214"/>
      <c r="QO124" s="214"/>
      <c r="QP124" s="214"/>
      <c r="QQ124" s="214"/>
      <c r="QR124" s="214"/>
      <c r="QS124" s="214"/>
      <c r="QT124" s="214"/>
      <c r="QU124" s="214"/>
      <c r="QV124" s="214"/>
      <c r="QW124" s="214"/>
      <c r="QX124" s="214"/>
      <c r="QY124" s="214"/>
      <c r="QZ124" s="214"/>
      <c r="RA124" s="214"/>
      <c r="RB124" s="214"/>
      <c r="RC124" s="214"/>
      <c r="RD124" s="214"/>
      <c r="RE124" s="214"/>
      <c r="RF124" s="214"/>
      <c r="RG124" s="214"/>
      <c r="RH124" s="214"/>
      <c r="RI124" s="214"/>
      <c r="RJ124" s="214"/>
      <c r="RK124" s="214"/>
      <c r="RL124" s="214"/>
      <c r="RM124" s="214"/>
      <c r="RN124" s="214"/>
      <c r="RO124" s="214"/>
      <c r="RP124" s="214"/>
      <c r="RQ124" s="214"/>
      <c r="RR124" s="214"/>
      <c r="RS124" s="214"/>
      <c r="RT124" s="214"/>
      <c r="RU124" s="214"/>
      <c r="RV124" s="214"/>
      <c r="RW124" s="214"/>
      <c r="RX124" s="214"/>
      <c r="RY124" s="214"/>
      <c r="RZ124" s="214"/>
      <c r="SA124" s="214"/>
      <c r="SB124" s="214"/>
      <c r="SC124" s="214"/>
      <c r="SD124" s="214"/>
      <c r="SE124" s="214"/>
      <c r="SF124" s="214"/>
      <c r="SG124" s="214"/>
      <c r="SH124" s="214"/>
      <c r="SI124" s="214"/>
      <c r="SJ124" s="214"/>
      <c r="SK124" s="214"/>
      <c r="SL124" s="214"/>
      <c r="SM124" s="214"/>
      <c r="SN124" s="214"/>
      <c r="SO124" s="214"/>
      <c r="SP124" s="214"/>
      <c r="SQ124" s="214"/>
      <c r="SR124" s="214"/>
      <c r="SS124" s="214"/>
      <c r="ST124" s="214"/>
      <c r="SU124" s="214"/>
      <c r="SV124" s="214"/>
      <c r="SW124" s="214"/>
      <c r="SX124" s="214"/>
      <c r="SY124" s="214"/>
      <c r="SZ124" s="214"/>
      <c r="TA124" s="214"/>
      <c r="TB124" s="214"/>
      <c r="TC124" s="214"/>
      <c r="TD124" s="214"/>
      <c r="TE124" s="214"/>
      <c r="TF124" s="214"/>
      <c r="TG124" s="214"/>
      <c r="TH124" s="214"/>
      <c r="TI124" s="214"/>
      <c r="TJ124" s="214"/>
      <c r="TK124" s="214"/>
      <c r="TL124" s="214"/>
      <c r="TM124" s="214"/>
      <c r="TN124" s="214"/>
      <c r="TO124" s="214"/>
      <c r="TP124" s="214"/>
      <c r="TQ124" s="214"/>
      <c r="TR124" s="214"/>
      <c r="TS124" s="214"/>
      <c r="TT124" s="214"/>
      <c r="TU124" s="214"/>
      <c r="TV124" s="214"/>
      <c r="TW124" s="214"/>
      <c r="TX124" s="214"/>
      <c r="TY124" s="214"/>
      <c r="TZ124" s="214"/>
      <c r="UA124" s="214"/>
      <c r="UB124" s="214"/>
      <c r="UC124" s="214"/>
      <c r="UD124" s="214"/>
      <c r="UE124" s="214"/>
      <c r="UF124" s="214"/>
      <c r="UG124" s="214"/>
      <c r="UH124" s="214"/>
      <c r="UI124" s="214"/>
      <c r="UJ124" s="214"/>
      <c r="UK124" s="214"/>
      <c r="UL124" s="214"/>
      <c r="UM124" s="214"/>
      <c r="UN124" s="214"/>
      <c r="UO124" s="214"/>
      <c r="UP124" s="214"/>
      <c r="UQ124" s="214"/>
      <c r="UR124" s="214"/>
      <c r="US124" s="214"/>
      <c r="UT124" s="214"/>
      <c r="UU124" s="214"/>
      <c r="UV124" s="214"/>
      <c r="UW124" s="214"/>
      <c r="UX124" s="214"/>
      <c r="UY124" s="214"/>
      <c r="UZ124" s="214"/>
      <c r="VA124" s="214"/>
      <c r="VB124" s="214"/>
      <c r="VC124" s="214"/>
      <c r="VD124" s="214"/>
      <c r="VE124" s="214"/>
      <c r="VF124" s="214"/>
      <c r="VG124" s="214"/>
      <c r="VH124" s="214"/>
      <c r="VI124" s="214"/>
      <c r="VJ124" s="214"/>
      <c r="VK124" s="214"/>
      <c r="VL124" s="214"/>
      <c r="VM124" s="214"/>
      <c r="VN124" s="214"/>
      <c r="VO124" s="214"/>
      <c r="VP124" s="214"/>
      <c r="VQ124" s="214"/>
      <c r="VR124" s="214"/>
      <c r="VS124" s="214"/>
      <c r="VT124" s="214"/>
      <c r="VU124" s="214"/>
      <c r="VV124" s="214"/>
      <c r="VW124" s="214"/>
      <c r="VX124" s="214"/>
      <c r="VY124" s="214"/>
      <c r="VZ124" s="214"/>
      <c r="WA124" s="214"/>
      <c r="WB124" s="214"/>
      <c r="WC124" s="214"/>
      <c r="WD124" s="214"/>
      <c r="WE124" s="214"/>
      <c r="WF124" s="214"/>
      <c r="WG124" s="214"/>
      <c r="WH124" s="214"/>
      <c r="WI124" s="214"/>
      <c r="WJ124" s="214"/>
      <c r="WK124" s="214"/>
      <c r="WL124" s="214"/>
      <c r="WM124" s="214"/>
      <c r="WN124" s="214"/>
      <c r="WO124" s="214"/>
      <c r="WP124" s="214"/>
      <c r="WQ124" s="214"/>
      <c r="WR124" s="214"/>
      <c r="WS124" s="214"/>
      <c r="WT124" s="214"/>
      <c r="WU124" s="214"/>
      <c r="WV124" s="214"/>
      <c r="WW124" s="214"/>
      <c r="WX124" s="214"/>
      <c r="WY124" s="214"/>
      <c r="WZ124" s="214"/>
      <c r="XA124" s="214"/>
      <c r="XB124" s="214"/>
      <c r="XC124" s="214"/>
      <c r="XD124" s="214"/>
      <c r="XE124" s="214"/>
      <c r="XF124" s="214"/>
      <c r="XG124" s="214"/>
      <c r="XH124" s="214"/>
      <c r="XI124" s="214"/>
      <c r="XJ124" s="214"/>
      <c r="XK124" s="214"/>
      <c r="XL124" s="214"/>
      <c r="XM124" s="214"/>
      <c r="XN124" s="214"/>
      <c r="XO124" s="214"/>
      <c r="XP124" s="214"/>
      <c r="XQ124" s="214"/>
      <c r="XR124" s="214"/>
      <c r="XS124" s="214"/>
      <c r="XT124" s="214"/>
      <c r="XU124" s="214"/>
      <c r="XV124" s="214"/>
      <c r="XW124" s="214"/>
      <c r="XX124" s="214"/>
      <c r="XY124" s="214"/>
      <c r="XZ124" s="214"/>
      <c r="YA124" s="214"/>
      <c r="YB124" s="214"/>
      <c r="YC124" s="214"/>
      <c r="YD124" s="214"/>
      <c r="YE124" s="214"/>
      <c r="YF124" s="214"/>
      <c r="YG124" s="214"/>
      <c r="YH124" s="214"/>
      <c r="YI124" s="214"/>
      <c r="YJ124" s="214"/>
      <c r="YK124" s="214"/>
      <c r="YL124" s="214"/>
      <c r="YM124" s="214"/>
      <c r="YN124" s="214"/>
      <c r="YO124" s="214"/>
      <c r="YP124" s="214"/>
      <c r="YQ124" s="214"/>
      <c r="YR124" s="214"/>
      <c r="YS124" s="214"/>
      <c r="YT124" s="214"/>
      <c r="YU124" s="214"/>
      <c r="YV124" s="214"/>
      <c r="YW124" s="214"/>
      <c r="YX124" s="214"/>
      <c r="YY124" s="214"/>
      <c r="YZ124" s="214"/>
      <c r="ZA124" s="214"/>
      <c r="ZB124" s="214"/>
      <c r="ZC124" s="214"/>
      <c r="ZD124" s="214"/>
      <c r="ZE124" s="214"/>
      <c r="ZF124" s="214"/>
      <c r="ZG124" s="214"/>
      <c r="ZH124" s="214"/>
      <c r="ZI124" s="214"/>
      <c r="ZJ124" s="214"/>
      <c r="ZK124" s="214"/>
      <c r="ZL124" s="214"/>
      <c r="ZM124" s="214"/>
      <c r="ZN124" s="214"/>
      <c r="ZO124" s="214"/>
      <c r="ZP124" s="214"/>
      <c r="ZQ124" s="214"/>
      <c r="ZR124" s="214"/>
      <c r="ZS124" s="214"/>
      <c r="ZT124" s="214"/>
      <c r="ZU124" s="214"/>
      <c r="ZV124" s="214"/>
      <c r="ZW124" s="214"/>
      <c r="ZX124" s="214"/>
      <c r="ZY124" s="214"/>
      <c r="ZZ124" s="214"/>
      <c r="AAA124" s="214"/>
      <c r="AAB124" s="214"/>
      <c r="AAC124" s="214"/>
      <c r="AAD124" s="214"/>
      <c r="AAE124" s="214"/>
      <c r="AAF124" s="214"/>
      <c r="AAG124" s="214"/>
      <c r="AAH124" s="214"/>
      <c r="AAI124" s="214"/>
      <c r="AAJ124" s="214"/>
      <c r="AAK124" s="214"/>
      <c r="AAL124" s="214"/>
      <c r="AAM124" s="214"/>
      <c r="AAN124" s="214"/>
      <c r="AAO124" s="214"/>
      <c r="AAP124" s="214"/>
      <c r="AAQ124" s="214"/>
      <c r="AAR124" s="214"/>
      <c r="AAS124" s="214"/>
      <c r="AAT124" s="214"/>
      <c r="AAU124" s="214"/>
      <c r="AAV124" s="214"/>
      <c r="AAW124" s="214"/>
      <c r="AAX124" s="214"/>
      <c r="AAY124" s="214"/>
      <c r="AAZ124" s="214"/>
      <c r="ABA124" s="214"/>
      <c r="ABB124" s="214"/>
      <c r="ABC124" s="214"/>
      <c r="ABD124" s="214"/>
      <c r="ABE124" s="214"/>
      <c r="ABF124" s="214"/>
      <c r="ABG124" s="214"/>
      <c r="ABH124" s="214"/>
      <c r="ABI124" s="214"/>
      <c r="ABJ124" s="214"/>
      <c r="ABK124" s="214"/>
      <c r="ABL124" s="214"/>
      <c r="ABM124" s="214"/>
      <c r="ABN124" s="214"/>
      <c r="ABO124" s="214"/>
      <c r="ABP124" s="214"/>
      <c r="ABQ124" s="214"/>
      <c r="ABR124" s="214"/>
      <c r="ABS124" s="214"/>
      <c r="ABT124" s="214"/>
      <c r="ABU124" s="214"/>
      <c r="ABV124" s="214"/>
      <c r="ABW124" s="214"/>
      <c r="ABX124" s="214"/>
      <c r="ABY124" s="214"/>
      <c r="ABZ124" s="214"/>
      <c r="ACA124" s="214"/>
      <c r="ACB124" s="214"/>
      <c r="ACC124" s="214"/>
      <c r="ACD124" s="214"/>
      <c r="ACE124" s="214"/>
      <c r="ACF124" s="214"/>
      <c r="ACG124" s="214"/>
      <c r="ACH124" s="214"/>
      <c r="ACI124" s="214"/>
      <c r="ACJ124" s="214"/>
      <c r="ACK124" s="214"/>
      <c r="ACL124" s="214"/>
      <c r="ACM124" s="214"/>
      <c r="ACN124" s="214"/>
      <c r="ACO124" s="214"/>
      <c r="ACP124" s="214"/>
      <c r="ACQ124" s="214"/>
      <c r="ACR124" s="214"/>
      <c r="ACS124" s="214"/>
      <c r="ACT124" s="214"/>
      <c r="ACU124" s="214"/>
      <c r="ACV124" s="214"/>
      <c r="ACW124" s="214"/>
      <c r="ACX124" s="214"/>
      <c r="ACY124" s="214"/>
      <c r="ACZ124" s="214"/>
      <c r="ADA124" s="214"/>
      <c r="ADB124" s="214"/>
      <c r="ADC124" s="214"/>
      <c r="ADD124" s="214"/>
      <c r="ADE124" s="214"/>
      <c r="ADF124" s="214"/>
      <c r="ADG124" s="214"/>
      <c r="ADH124" s="214"/>
      <c r="ADI124" s="214"/>
      <c r="ADJ124" s="214"/>
      <c r="ADK124" s="214"/>
      <c r="ADL124" s="214"/>
      <c r="ADM124" s="214"/>
      <c r="ADN124" s="214"/>
      <c r="ADO124" s="214"/>
      <c r="ADP124" s="214"/>
      <c r="ADQ124" s="214"/>
      <c r="ADR124" s="214"/>
      <c r="ADS124" s="214"/>
      <c r="ADT124" s="214"/>
      <c r="ADU124" s="214"/>
      <c r="ADV124" s="214"/>
      <c r="ADW124" s="214"/>
      <c r="ADX124" s="214"/>
      <c r="ADY124" s="214"/>
      <c r="ADZ124" s="214"/>
      <c r="AEA124" s="214"/>
      <c r="AEB124" s="214"/>
      <c r="AEC124" s="214"/>
      <c r="AED124" s="214"/>
      <c r="AEE124" s="214"/>
      <c r="AEF124" s="214"/>
      <c r="AEG124" s="214"/>
      <c r="AEH124" s="214"/>
      <c r="AEI124" s="214"/>
      <c r="AEJ124" s="214"/>
      <c r="AEK124" s="214"/>
      <c r="AEL124" s="214"/>
      <c r="AEM124" s="214"/>
      <c r="AEN124" s="214"/>
      <c r="AEO124" s="214"/>
      <c r="AEP124" s="214"/>
      <c r="AEQ124" s="214"/>
      <c r="AER124" s="214"/>
      <c r="AES124" s="214"/>
      <c r="AET124" s="214"/>
      <c r="AEU124" s="214"/>
      <c r="AEV124" s="214"/>
      <c r="AEW124" s="214"/>
      <c r="AEX124" s="214"/>
      <c r="AEY124" s="214"/>
      <c r="AEZ124" s="214"/>
      <c r="AFA124" s="214"/>
      <c r="AFB124" s="214"/>
      <c r="AFC124" s="214"/>
      <c r="AFD124" s="214"/>
      <c r="AFE124" s="214"/>
      <c r="AFF124" s="214"/>
      <c r="AFG124" s="214"/>
      <c r="AFH124" s="214"/>
      <c r="AFI124" s="214"/>
      <c r="AFJ124" s="214"/>
      <c r="AFK124" s="214"/>
      <c r="AFL124" s="214"/>
      <c r="AFM124" s="214"/>
      <c r="AFN124" s="214"/>
      <c r="AFO124" s="214"/>
      <c r="AFP124" s="214"/>
      <c r="AFQ124" s="214"/>
      <c r="AFR124" s="214"/>
      <c r="AFS124" s="214"/>
      <c r="AFT124" s="214"/>
      <c r="AFU124" s="214"/>
      <c r="AFV124" s="214"/>
      <c r="AFW124" s="214"/>
      <c r="AFX124" s="214"/>
      <c r="AFY124" s="214"/>
      <c r="AFZ124" s="214"/>
      <c r="AGA124" s="214"/>
      <c r="AGB124" s="214"/>
      <c r="AGC124" s="214"/>
      <c r="AGD124" s="214"/>
      <c r="AGE124" s="214"/>
      <c r="AGF124" s="214"/>
      <c r="AGG124" s="214"/>
      <c r="AGH124" s="214"/>
      <c r="AGI124" s="214"/>
      <c r="AGJ124" s="214"/>
      <c r="AGK124" s="214"/>
      <c r="AGL124" s="214"/>
      <c r="AGM124" s="214"/>
      <c r="AGN124" s="214"/>
      <c r="AGO124" s="214"/>
      <c r="AGP124" s="214"/>
      <c r="AGQ124" s="214"/>
      <c r="AGR124" s="214"/>
      <c r="AGS124" s="214"/>
      <c r="AGT124" s="214"/>
      <c r="AGU124" s="214"/>
      <c r="AGV124" s="214"/>
      <c r="AGW124" s="214"/>
      <c r="AGX124" s="214"/>
      <c r="AGY124" s="214"/>
      <c r="AGZ124" s="214"/>
      <c r="AHA124" s="214"/>
      <c r="AHB124" s="214"/>
      <c r="AHC124" s="214"/>
      <c r="AHD124" s="214"/>
      <c r="AHE124" s="214"/>
      <c r="AHF124" s="214"/>
      <c r="AHG124" s="214"/>
      <c r="AHH124" s="214"/>
      <c r="AHI124" s="214"/>
      <c r="AHJ124" s="214"/>
      <c r="AHK124" s="214"/>
      <c r="AHL124" s="214"/>
      <c r="AHM124" s="214"/>
      <c r="AHN124" s="214"/>
      <c r="AHO124" s="214"/>
      <c r="AHP124" s="214"/>
      <c r="AHQ124" s="214"/>
      <c r="AHR124" s="214"/>
      <c r="AHS124" s="214"/>
      <c r="AHT124" s="214"/>
      <c r="AHU124" s="214"/>
      <c r="AHV124" s="214"/>
      <c r="AHW124" s="214"/>
      <c r="AHX124" s="214"/>
      <c r="AHY124" s="214"/>
      <c r="AHZ124" s="214"/>
      <c r="AIA124" s="214"/>
      <c r="AIB124" s="214"/>
      <c r="AIC124" s="214"/>
      <c r="AID124" s="214"/>
      <c r="AIE124" s="214"/>
      <c r="AIF124" s="214"/>
      <c r="AIG124" s="214"/>
      <c r="AIH124" s="214"/>
      <c r="AII124" s="214"/>
      <c r="AIJ124" s="214"/>
      <c r="AIK124" s="214"/>
      <c r="AIL124" s="214"/>
      <c r="AIM124" s="214"/>
      <c r="AIN124" s="214"/>
      <c r="AIO124" s="214"/>
      <c r="AIP124" s="214"/>
      <c r="AIQ124" s="214"/>
      <c r="AIR124" s="214"/>
      <c r="AIS124" s="214"/>
      <c r="AIT124" s="214"/>
      <c r="AIU124" s="214"/>
      <c r="AIV124" s="214"/>
      <c r="AIW124" s="214"/>
      <c r="AIX124" s="214"/>
      <c r="AIY124" s="214"/>
      <c r="AIZ124" s="214"/>
      <c r="AJA124" s="214"/>
      <c r="AJB124" s="214"/>
      <c r="AJC124" s="214"/>
      <c r="AJD124" s="214"/>
      <c r="AJE124" s="214"/>
      <c r="AJF124" s="214"/>
      <c r="AJG124" s="214"/>
      <c r="AJH124" s="214"/>
      <c r="AJI124" s="214"/>
      <c r="AJJ124" s="214"/>
      <c r="AJK124" s="214"/>
      <c r="AJL124" s="214"/>
      <c r="AJM124" s="214"/>
      <c r="AJN124" s="214"/>
      <c r="AJO124" s="214"/>
      <c r="AJP124" s="214"/>
      <c r="AJQ124" s="214"/>
      <c r="AJR124" s="214"/>
      <c r="AJS124" s="214"/>
      <c r="AJT124" s="214"/>
      <c r="AJU124" s="214"/>
      <c r="AJV124" s="214"/>
      <c r="AJW124" s="214"/>
      <c r="AJX124" s="214"/>
      <c r="AJY124" s="214"/>
      <c r="AJZ124" s="214"/>
      <c r="AKA124" s="214"/>
      <c r="AKB124" s="214"/>
      <c r="AKC124" s="214"/>
      <c r="AKD124" s="214"/>
      <c r="AKE124" s="214"/>
      <c r="AKF124" s="214"/>
      <c r="AKG124" s="214"/>
      <c r="AKH124" s="214"/>
      <c r="AKI124" s="214"/>
      <c r="AKJ124" s="214"/>
      <c r="AKK124" s="214"/>
      <c r="AKL124" s="214"/>
      <c r="AKM124" s="214"/>
      <c r="AKN124" s="214"/>
      <c r="AKO124" s="214"/>
      <c r="AKP124" s="214"/>
      <c r="AKQ124" s="214"/>
      <c r="AKR124" s="214"/>
      <c r="AKS124" s="214"/>
      <c r="AKT124" s="214"/>
      <c r="AKU124" s="214"/>
      <c r="AKV124" s="214"/>
      <c r="AKW124" s="214"/>
      <c r="AKX124" s="214"/>
      <c r="AKY124" s="214"/>
      <c r="AKZ124" s="214"/>
      <c r="ALA124" s="214"/>
      <c r="ALB124" s="214"/>
      <c r="ALC124" s="214"/>
      <c r="ALD124" s="214"/>
      <c r="ALE124" s="214"/>
      <c r="ALF124" s="214"/>
      <c r="ALG124" s="214"/>
      <c r="ALH124" s="214"/>
      <c r="ALI124" s="214"/>
      <c r="ALJ124" s="214"/>
      <c r="ALK124" s="214"/>
      <c r="ALL124" s="214"/>
      <c r="ALM124" s="214"/>
      <c r="ALN124" s="214"/>
      <c r="ALO124" s="214"/>
      <c r="ALP124" s="214"/>
      <c r="ALQ124" s="214"/>
      <c r="ALR124" s="214"/>
      <c r="ALS124" s="214"/>
      <c r="ALT124" s="214"/>
      <c r="ALU124" s="214"/>
      <c r="ALV124" s="214"/>
      <c r="ALW124" s="214"/>
      <c r="ALX124" s="214"/>
      <c r="ALY124" s="214"/>
      <c r="ALZ124" s="214"/>
      <c r="AMA124" s="214"/>
      <c r="AMB124" s="214"/>
      <c r="AMC124" s="214"/>
      <c r="AMD124" s="214"/>
      <c r="AME124" s="214"/>
      <c r="AMF124" s="214"/>
      <c r="AMG124" s="214"/>
      <c r="AMH124" s="214"/>
      <c r="AMI124" s="214"/>
      <c r="AMJ124" s="214"/>
      <c r="AMK124" s="214"/>
      <c r="AML124" s="214"/>
      <c r="AMM124" s="214"/>
      <c r="AMN124" s="214"/>
      <c r="AMO124" s="214"/>
      <c r="AMP124" s="214"/>
      <c r="AMQ124" s="214"/>
      <c r="AMR124" s="214"/>
      <c r="AMS124" s="214"/>
      <c r="AMT124" s="214"/>
      <c r="AMU124" s="214"/>
      <c r="AMV124" s="214"/>
      <c r="AMW124" s="214"/>
      <c r="AMX124" s="214"/>
      <c r="AMY124" s="214"/>
      <c r="AMZ124" s="214"/>
      <c r="ANA124" s="214"/>
      <c r="ANB124" s="214"/>
      <c r="ANC124" s="214"/>
      <c r="AND124" s="214"/>
      <c r="ANE124" s="214"/>
      <c r="ANF124" s="214"/>
      <c r="ANG124" s="214"/>
      <c r="ANH124" s="214"/>
      <c r="ANI124" s="214"/>
      <c r="ANJ124" s="214"/>
      <c r="ANK124" s="214"/>
      <c r="ANL124" s="214"/>
      <c r="ANM124" s="214"/>
      <c r="ANN124" s="214"/>
      <c r="ANO124" s="214"/>
      <c r="ANP124" s="214"/>
      <c r="ANQ124" s="214"/>
      <c r="ANR124" s="214"/>
      <c r="ANS124" s="214"/>
      <c r="ANT124" s="214"/>
      <c r="ANU124" s="214"/>
      <c r="ANV124" s="214"/>
      <c r="ANW124" s="214"/>
      <c r="ANX124" s="214"/>
      <c r="ANY124" s="214"/>
      <c r="ANZ124" s="214"/>
      <c r="AOA124" s="214"/>
      <c r="AOB124" s="214"/>
      <c r="AOC124" s="214"/>
      <c r="AOD124" s="214"/>
      <c r="AOE124" s="214"/>
      <c r="AOF124" s="214"/>
      <c r="AOG124" s="214"/>
      <c r="AOH124" s="214"/>
      <c r="AOI124" s="214"/>
      <c r="AOJ124" s="214"/>
      <c r="AOK124" s="214"/>
      <c r="AOL124" s="214"/>
      <c r="AOM124" s="214"/>
      <c r="AON124" s="214"/>
      <c r="AOO124" s="214"/>
      <c r="AOP124" s="214"/>
      <c r="AOQ124" s="214"/>
      <c r="AOR124" s="214"/>
      <c r="AOS124" s="214"/>
      <c r="AOT124" s="214"/>
      <c r="AOU124" s="214"/>
      <c r="AOV124" s="214"/>
      <c r="AOW124" s="214"/>
      <c r="AOX124" s="214"/>
      <c r="AOY124" s="214"/>
      <c r="AOZ124" s="214"/>
      <c r="APA124" s="214"/>
      <c r="APB124" s="214"/>
      <c r="APC124" s="214"/>
      <c r="APD124" s="214"/>
      <c r="APE124" s="214"/>
      <c r="APF124" s="214"/>
      <c r="APG124" s="214"/>
      <c r="APH124" s="214"/>
      <c r="API124" s="214"/>
      <c r="APJ124" s="214"/>
      <c r="APK124" s="214"/>
      <c r="APL124" s="214"/>
      <c r="APM124" s="214"/>
      <c r="APN124" s="214"/>
      <c r="APO124" s="214"/>
      <c r="APP124" s="214"/>
      <c r="APQ124" s="214"/>
      <c r="APR124" s="214"/>
      <c r="APS124" s="214"/>
      <c r="APT124" s="214"/>
      <c r="APU124" s="214"/>
      <c r="APV124" s="214"/>
      <c r="APW124" s="214"/>
      <c r="APX124" s="214"/>
      <c r="APY124" s="214"/>
      <c r="APZ124" s="214"/>
      <c r="AQA124" s="214"/>
      <c r="AQB124" s="214"/>
      <c r="AQC124" s="214"/>
      <c r="AQD124" s="214"/>
      <c r="AQE124" s="214"/>
      <c r="AQF124" s="214"/>
      <c r="AQG124" s="214"/>
      <c r="AQH124" s="214"/>
      <c r="AQI124" s="214"/>
      <c r="AQJ124" s="214"/>
      <c r="AQK124" s="214"/>
      <c r="AQL124" s="214"/>
      <c r="AQM124" s="214"/>
      <c r="AQN124" s="214"/>
      <c r="AQO124" s="214"/>
      <c r="AQP124" s="214"/>
      <c r="AQQ124" s="214"/>
      <c r="AQR124" s="214"/>
      <c r="AQS124" s="214"/>
      <c r="AQT124" s="214"/>
      <c r="AQU124" s="214"/>
      <c r="AQV124" s="214"/>
      <c r="AQW124" s="214"/>
      <c r="AQX124" s="214"/>
      <c r="AQY124" s="214"/>
      <c r="AQZ124" s="214"/>
      <c r="ARA124" s="214"/>
      <c r="ARB124" s="214"/>
      <c r="ARC124" s="214"/>
      <c r="ARD124" s="214"/>
      <c r="ARE124" s="214"/>
      <c r="ARF124" s="214"/>
      <c r="ARG124" s="214"/>
      <c r="ARH124" s="214"/>
      <c r="ARI124" s="214"/>
      <c r="ARJ124" s="214"/>
      <c r="ARK124" s="214"/>
      <c r="ARL124" s="214"/>
      <c r="ARM124" s="214"/>
      <c r="ARN124" s="214"/>
      <c r="ARO124" s="214"/>
      <c r="ARP124" s="214"/>
      <c r="ARQ124" s="214"/>
      <c r="ARR124" s="214"/>
      <c r="ARS124" s="214"/>
      <c r="ART124" s="214"/>
      <c r="ARU124" s="214"/>
      <c r="ARV124" s="214"/>
      <c r="ARW124" s="214"/>
      <c r="ARX124" s="214"/>
      <c r="ARY124" s="214"/>
      <c r="ARZ124" s="214"/>
      <c r="ASA124" s="214"/>
      <c r="ASB124" s="214"/>
      <c r="ASC124" s="214"/>
      <c r="ASD124" s="214"/>
      <c r="ASE124" s="214"/>
      <c r="ASF124" s="214"/>
      <c r="ASG124" s="214"/>
      <c r="ASH124" s="214"/>
      <c r="ASI124" s="214"/>
      <c r="ASJ124" s="214"/>
      <c r="ASK124" s="214"/>
      <c r="ASL124" s="214"/>
      <c r="ASM124" s="214"/>
      <c r="ASN124" s="214"/>
      <c r="ASO124" s="214"/>
      <c r="ASP124" s="214"/>
      <c r="ASQ124" s="214"/>
      <c r="ASR124" s="214"/>
      <c r="ASS124" s="214"/>
      <c r="AST124" s="214"/>
      <c r="ASU124" s="214"/>
      <c r="ASV124" s="214"/>
      <c r="ASW124" s="214"/>
      <c r="ASX124" s="214"/>
      <c r="ASY124" s="214"/>
      <c r="ASZ124" s="214"/>
      <c r="ATA124" s="214"/>
      <c r="ATB124" s="214"/>
      <c r="ATC124" s="214"/>
      <c r="ATD124" s="214"/>
      <c r="ATE124" s="214"/>
      <c r="ATF124" s="214"/>
      <c r="ATG124" s="214"/>
      <c r="ATH124" s="214"/>
      <c r="ATI124" s="214"/>
      <c r="ATJ124" s="214"/>
      <c r="ATK124" s="214"/>
      <c r="ATL124" s="214"/>
      <c r="ATM124" s="214"/>
      <c r="ATN124" s="214"/>
      <c r="ATO124" s="214"/>
      <c r="ATP124" s="214"/>
      <c r="ATQ124" s="214"/>
      <c r="ATR124" s="214"/>
      <c r="ATS124" s="214"/>
      <c r="ATT124" s="214"/>
      <c r="ATU124" s="214"/>
      <c r="ATV124" s="214"/>
      <c r="ATW124" s="214"/>
      <c r="ATX124" s="214"/>
      <c r="ATY124" s="214"/>
      <c r="ATZ124" s="214"/>
      <c r="AUA124" s="214"/>
      <c r="AUB124" s="214"/>
      <c r="AUC124" s="214"/>
      <c r="AUD124" s="214"/>
      <c r="AUE124" s="214"/>
      <c r="AUF124" s="214"/>
      <c r="AUG124" s="214"/>
      <c r="AUH124" s="214"/>
      <c r="AUI124" s="214"/>
      <c r="AUJ124" s="214"/>
      <c r="AUK124" s="214"/>
      <c r="AUL124" s="214"/>
      <c r="AUM124" s="214"/>
      <c r="AUN124" s="214"/>
      <c r="AUO124" s="214"/>
      <c r="AUP124" s="214"/>
      <c r="AUQ124" s="214"/>
      <c r="AUR124" s="214"/>
      <c r="AUS124" s="214"/>
      <c r="AUT124" s="214"/>
      <c r="AUU124" s="214"/>
      <c r="AUV124" s="214"/>
      <c r="AUW124" s="214"/>
      <c r="AUX124" s="214"/>
      <c r="AUY124" s="214"/>
      <c r="AUZ124" s="214"/>
      <c r="AVA124" s="214"/>
      <c r="AVB124" s="214"/>
      <c r="AVC124" s="214"/>
      <c r="AVD124" s="214"/>
      <c r="AVE124" s="214"/>
      <c r="AVF124" s="214"/>
      <c r="AVG124" s="214"/>
      <c r="AVH124" s="214"/>
      <c r="AVI124" s="214"/>
      <c r="AVJ124" s="214"/>
      <c r="AVK124" s="214"/>
      <c r="AVL124" s="214"/>
      <c r="AVM124" s="214"/>
      <c r="AVN124" s="214"/>
      <c r="AVO124" s="214"/>
      <c r="AVP124" s="214"/>
      <c r="AVQ124" s="214"/>
      <c r="AVR124" s="214"/>
      <c r="AVS124" s="214"/>
      <c r="AVT124" s="214"/>
      <c r="AVU124" s="214"/>
      <c r="AVV124" s="214"/>
      <c r="AVW124" s="214"/>
      <c r="AVX124" s="214"/>
      <c r="AVY124" s="214"/>
      <c r="AVZ124" s="214"/>
      <c r="AWA124" s="214"/>
      <c r="AWB124" s="214"/>
      <c r="AWC124" s="214"/>
      <c r="AWD124" s="214"/>
      <c r="AWE124" s="214"/>
      <c r="AWF124" s="214"/>
      <c r="AWG124" s="214"/>
      <c r="AWH124" s="214"/>
      <c r="AWI124" s="214"/>
      <c r="AWJ124" s="214"/>
      <c r="AWK124" s="214"/>
      <c r="AWL124" s="214"/>
      <c r="AWM124" s="214"/>
      <c r="AWN124" s="214"/>
      <c r="AWO124" s="214"/>
      <c r="AWP124" s="214"/>
      <c r="AWQ124" s="214"/>
      <c r="AWR124" s="214"/>
      <c r="AWS124" s="214"/>
      <c r="AWT124" s="214"/>
      <c r="AWU124" s="214"/>
      <c r="AWV124" s="214"/>
      <c r="AWW124" s="214"/>
      <c r="AWX124" s="214"/>
      <c r="AWY124" s="214"/>
      <c r="AWZ124" s="214"/>
      <c r="AXA124" s="214"/>
      <c r="AXB124" s="214"/>
      <c r="AXC124" s="214"/>
      <c r="AXD124" s="214"/>
      <c r="AXE124" s="214"/>
      <c r="AXF124" s="214"/>
      <c r="AXG124" s="214"/>
      <c r="AXH124" s="214"/>
      <c r="AXI124" s="214"/>
      <c r="AXJ124" s="214"/>
      <c r="AXK124" s="214"/>
      <c r="AXL124" s="214"/>
      <c r="AXM124" s="214"/>
      <c r="AXN124" s="214"/>
      <c r="AXO124" s="214"/>
      <c r="AXP124" s="214"/>
      <c r="AXQ124" s="214"/>
      <c r="AXR124" s="214"/>
      <c r="AXS124" s="214"/>
      <c r="AXT124" s="214"/>
      <c r="AXU124" s="214"/>
      <c r="AXV124" s="214"/>
      <c r="AXW124" s="214"/>
      <c r="AXX124" s="214"/>
      <c r="AXY124" s="214"/>
      <c r="AXZ124" s="214"/>
      <c r="AYA124" s="214"/>
      <c r="AYB124" s="214"/>
      <c r="AYC124" s="214"/>
      <c r="AYD124" s="214"/>
      <c r="AYE124" s="214"/>
      <c r="AYF124" s="214"/>
      <c r="AYG124" s="214"/>
      <c r="AYH124" s="214"/>
      <c r="AYI124" s="214"/>
      <c r="AYJ124" s="214"/>
      <c r="AYK124" s="214"/>
      <c r="AYL124" s="214"/>
      <c r="AYM124" s="214"/>
      <c r="AYN124" s="214"/>
      <c r="AYO124" s="214"/>
      <c r="AYP124" s="214"/>
      <c r="AYQ124" s="214"/>
      <c r="AYR124" s="214"/>
      <c r="AYS124" s="214"/>
      <c r="AYT124" s="214"/>
      <c r="AYU124" s="214"/>
      <c r="AYV124" s="214"/>
      <c r="AYW124" s="214"/>
      <c r="AYX124" s="214"/>
      <c r="AYY124" s="214"/>
      <c r="AYZ124" s="214"/>
      <c r="AZA124" s="214"/>
      <c r="AZB124" s="214"/>
      <c r="AZC124" s="214"/>
      <c r="AZD124" s="214"/>
      <c r="AZE124" s="214"/>
      <c r="AZF124" s="214"/>
      <c r="AZG124" s="214"/>
      <c r="AZH124" s="214"/>
      <c r="AZI124" s="214"/>
      <c r="AZJ124" s="214"/>
      <c r="AZK124" s="214"/>
      <c r="AZL124" s="214"/>
      <c r="AZM124" s="214"/>
      <c r="AZN124" s="214"/>
      <c r="AZO124" s="214"/>
      <c r="AZP124" s="214"/>
      <c r="AZQ124" s="214"/>
      <c r="AZR124" s="214"/>
      <c r="AZS124" s="214"/>
      <c r="AZT124" s="214"/>
      <c r="AZU124" s="214"/>
      <c r="AZV124" s="214"/>
      <c r="AZW124" s="214"/>
      <c r="AZX124" s="214"/>
      <c r="AZY124" s="214"/>
      <c r="AZZ124" s="214"/>
      <c r="BAA124" s="214"/>
      <c r="BAB124" s="214"/>
      <c r="BAC124" s="214"/>
      <c r="BAD124" s="214"/>
      <c r="BAE124" s="214"/>
      <c r="BAF124" s="214"/>
      <c r="BAG124" s="214"/>
      <c r="BAH124" s="214"/>
      <c r="BAI124" s="214"/>
      <c r="BAJ124" s="214"/>
      <c r="BAK124" s="214"/>
      <c r="BAL124" s="214"/>
      <c r="BAM124" s="214"/>
      <c r="BAN124" s="214"/>
      <c r="BAO124" s="214"/>
      <c r="BAP124" s="214"/>
      <c r="BAQ124" s="214"/>
      <c r="BAR124" s="214"/>
      <c r="BAS124" s="214"/>
      <c r="BAT124" s="214"/>
      <c r="BAU124" s="214"/>
      <c r="BAV124" s="214"/>
      <c r="BAW124" s="214"/>
      <c r="BAX124" s="214"/>
      <c r="BAY124" s="214"/>
      <c r="BAZ124" s="214"/>
      <c r="BBA124" s="214"/>
      <c r="BBB124" s="214"/>
      <c r="BBC124" s="214"/>
      <c r="BBD124" s="214"/>
      <c r="BBE124" s="214"/>
      <c r="BBF124" s="214"/>
      <c r="BBG124" s="214"/>
      <c r="BBH124" s="214"/>
      <c r="BBI124" s="214"/>
      <c r="BBJ124" s="214"/>
      <c r="BBK124" s="214"/>
      <c r="BBL124" s="214"/>
      <c r="BBM124" s="214"/>
      <c r="BBN124" s="214"/>
      <c r="BBO124" s="214"/>
      <c r="BBP124" s="214"/>
      <c r="BBQ124" s="214"/>
      <c r="BBR124" s="214"/>
      <c r="BBS124" s="214"/>
      <c r="BBT124" s="214"/>
      <c r="BBU124" s="214"/>
      <c r="BBV124" s="214"/>
      <c r="BBW124" s="214"/>
      <c r="BBX124" s="214"/>
      <c r="BBY124" s="214"/>
      <c r="BBZ124" s="214"/>
      <c r="BCA124" s="214"/>
      <c r="BCB124" s="214"/>
      <c r="BCC124" s="214"/>
      <c r="BCD124" s="214"/>
      <c r="BCE124" s="214"/>
      <c r="BCF124" s="214"/>
      <c r="BCG124" s="214"/>
      <c r="BCH124" s="214"/>
      <c r="BCI124" s="214"/>
      <c r="BCJ124" s="214"/>
      <c r="BCK124" s="214"/>
      <c r="BCL124" s="214"/>
      <c r="BCM124" s="214"/>
      <c r="BCN124" s="214"/>
      <c r="BCO124" s="214"/>
      <c r="BCP124" s="214"/>
      <c r="BCQ124" s="214"/>
      <c r="BCR124" s="214"/>
      <c r="BCS124" s="214"/>
      <c r="BCT124" s="214"/>
      <c r="BCU124" s="214"/>
      <c r="BCV124" s="214"/>
      <c r="BCW124" s="214"/>
      <c r="BCX124" s="214"/>
      <c r="BCY124" s="214"/>
      <c r="BCZ124" s="214"/>
      <c r="BDA124" s="214"/>
      <c r="BDB124" s="214"/>
      <c r="BDC124" s="214"/>
      <c r="BDD124" s="214"/>
      <c r="BDE124" s="214"/>
      <c r="BDF124" s="214"/>
      <c r="BDG124" s="214"/>
      <c r="BDH124" s="214"/>
      <c r="BDI124" s="214"/>
      <c r="BDJ124" s="214"/>
      <c r="BDK124" s="214"/>
      <c r="BDL124" s="214"/>
      <c r="BDM124" s="214"/>
      <c r="BDN124" s="214"/>
      <c r="BDO124" s="214"/>
      <c r="BDP124" s="214"/>
      <c r="BDQ124" s="214"/>
      <c r="BDR124" s="214"/>
      <c r="BDS124" s="214"/>
      <c r="BDT124" s="214"/>
      <c r="BDU124" s="214"/>
      <c r="BDV124" s="214"/>
      <c r="BDW124" s="214"/>
      <c r="BDX124" s="214"/>
      <c r="BDY124" s="214"/>
      <c r="BDZ124" s="214"/>
      <c r="BEA124" s="214"/>
      <c r="BEB124" s="214"/>
      <c r="BEC124" s="214"/>
      <c r="BED124" s="214"/>
      <c r="BEE124" s="214"/>
      <c r="BEF124" s="214"/>
      <c r="BEG124" s="214"/>
      <c r="BEH124" s="214"/>
      <c r="BEI124" s="214"/>
      <c r="BEJ124" s="214"/>
      <c r="BEK124" s="214"/>
      <c r="BEL124" s="214"/>
      <c r="BEM124" s="214"/>
      <c r="BEN124" s="214"/>
      <c r="BEO124" s="214"/>
      <c r="BEP124" s="214"/>
      <c r="BEQ124" s="214"/>
      <c r="BER124" s="214"/>
      <c r="BES124" s="214"/>
      <c r="BET124" s="214"/>
      <c r="BEU124" s="214"/>
      <c r="BEV124" s="214"/>
      <c r="BEW124" s="214"/>
      <c r="BEX124" s="214"/>
      <c r="BEY124" s="214"/>
      <c r="BEZ124" s="214"/>
      <c r="BFA124" s="214"/>
      <c r="BFB124" s="214"/>
      <c r="BFC124" s="214"/>
      <c r="BFD124" s="214"/>
      <c r="BFE124" s="214"/>
      <c r="BFF124" s="214"/>
      <c r="BFG124" s="214"/>
      <c r="BFH124" s="214"/>
      <c r="BFI124" s="214"/>
      <c r="BFJ124" s="214"/>
      <c r="BFK124" s="214"/>
      <c r="BFL124" s="214"/>
      <c r="BFM124" s="214"/>
      <c r="BFN124" s="214"/>
      <c r="BFO124" s="214"/>
      <c r="BFP124" s="214"/>
      <c r="BFQ124" s="214"/>
      <c r="BFR124" s="214"/>
      <c r="BFS124" s="214"/>
      <c r="BFT124" s="214"/>
      <c r="BFU124" s="214"/>
      <c r="BFV124" s="214"/>
      <c r="BFW124" s="214"/>
      <c r="BFX124" s="214"/>
      <c r="BFY124" s="214"/>
      <c r="BFZ124" s="214"/>
      <c r="BGA124" s="214"/>
      <c r="BGB124" s="214"/>
      <c r="BGC124" s="214"/>
      <c r="BGD124" s="214"/>
      <c r="BGE124" s="214"/>
      <c r="BGF124" s="214"/>
      <c r="BGG124" s="214"/>
      <c r="BGH124" s="214"/>
      <c r="BGI124" s="214"/>
      <c r="BGJ124" s="214"/>
      <c r="BGK124" s="214"/>
      <c r="BGL124" s="214"/>
      <c r="BGM124" s="214"/>
      <c r="BGN124" s="214"/>
      <c r="BGO124" s="214"/>
      <c r="BGP124" s="214"/>
      <c r="BGQ124" s="214"/>
      <c r="BGR124" s="214"/>
      <c r="BGS124" s="214"/>
      <c r="BGT124" s="214"/>
      <c r="BGU124" s="214"/>
      <c r="BGV124" s="214"/>
      <c r="BGW124" s="214"/>
      <c r="BGX124" s="214"/>
      <c r="BGY124" s="214"/>
      <c r="BGZ124" s="214"/>
      <c r="BHA124" s="214"/>
      <c r="BHB124" s="214"/>
      <c r="BHC124" s="214"/>
      <c r="BHD124" s="214"/>
      <c r="BHE124" s="214"/>
      <c r="BHF124" s="214"/>
      <c r="BHG124" s="214"/>
      <c r="BHH124" s="214"/>
      <c r="BHI124" s="214"/>
      <c r="BHJ124" s="214"/>
      <c r="BHK124" s="214"/>
      <c r="BHL124" s="214"/>
      <c r="BHM124" s="214"/>
      <c r="BHN124" s="214"/>
      <c r="BHO124" s="214"/>
      <c r="BHP124" s="214"/>
      <c r="BHQ124" s="214"/>
      <c r="BHR124" s="214"/>
      <c r="BHS124" s="214"/>
      <c r="BHT124" s="214"/>
      <c r="BHU124" s="214"/>
      <c r="BHV124" s="214"/>
      <c r="BHW124" s="214"/>
    </row>
    <row r="125" spans="1:1583" s="217" customFormat="1" ht="14.25" customHeight="1" thickBot="1">
      <c r="A125" s="247"/>
      <c r="B125" s="255" t="s">
        <v>154</v>
      </c>
      <c r="C125" s="255" t="s">
        <v>154</v>
      </c>
      <c r="D125" s="426" t="s">
        <v>656</v>
      </c>
      <c r="E125" s="59" t="s">
        <v>149</v>
      </c>
      <c r="F125" s="141">
        <v>1600</v>
      </c>
      <c r="G125" s="60" t="s">
        <v>775</v>
      </c>
      <c r="H125" s="473">
        <f t="shared" si="25"/>
        <v>0</v>
      </c>
      <c r="I125" s="93"/>
      <c r="J125" s="255"/>
      <c r="K125" s="93"/>
      <c r="L125" s="93"/>
      <c r="M125" s="93"/>
      <c r="N125" s="93"/>
      <c r="O125" s="93"/>
      <c r="P125" s="93"/>
      <c r="Q125" s="93"/>
      <c r="R125" s="93"/>
      <c r="S125" s="93"/>
      <c r="T125" s="93"/>
      <c r="U125" s="93"/>
      <c r="V125" s="93"/>
      <c r="W125" s="93"/>
      <c r="X125" s="93"/>
      <c r="Y125" s="93"/>
      <c r="Z125" s="93"/>
      <c r="AA125" s="93"/>
      <c r="AB125" s="93"/>
      <c r="AC125" s="93"/>
      <c r="AD125" s="93"/>
      <c r="AE125" s="93"/>
      <c r="AF125" s="93"/>
      <c r="AG125" s="93"/>
      <c r="AH125" s="93"/>
      <c r="AI125" s="93"/>
      <c r="AJ125" s="93"/>
      <c r="AK125" s="93"/>
      <c r="AL125" s="93"/>
      <c r="AM125" s="93"/>
      <c r="AN125" s="93"/>
      <c r="AO125" s="214"/>
      <c r="AP125" s="214"/>
      <c r="AQ125" s="214"/>
      <c r="AR125" s="214"/>
      <c r="AS125" s="214"/>
      <c r="AT125" s="214"/>
      <c r="AU125" s="214"/>
      <c r="AV125" s="214"/>
      <c r="AW125" s="214"/>
      <c r="AX125" s="214"/>
      <c r="AY125" s="214"/>
      <c r="AZ125" s="214"/>
      <c r="BA125" s="214"/>
      <c r="BB125" s="214"/>
      <c r="BC125" s="214"/>
      <c r="BD125" s="214"/>
      <c r="BE125" s="214"/>
      <c r="BF125" s="214"/>
      <c r="BG125" s="214"/>
      <c r="BH125" s="214"/>
      <c r="BI125" s="214"/>
      <c r="BJ125" s="214"/>
      <c r="BK125" s="214"/>
      <c r="BL125" s="214"/>
      <c r="BM125" s="214"/>
      <c r="BN125" s="214"/>
      <c r="BO125" s="214"/>
      <c r="BP125" s="214"/>
      <c r="BQ125" s="214"/>
      <c r="BR125" s="214"/>
      <c r="BS125" s="214"/>
      <c r="BT125" s="214"/>
      <c r="BU125" s="214"/>
      <c r="BV125" s="214"/>
      <c r="BW125" s="214"/>
      <c r="BX125" s="214"/>
      <c r="BY125" s="214"/>
      <c r="BZ125" s="214"/>
      <c r="CA125" s="214"/>
      <c r="CB125" s="214"/>
      <c r="CC125" s="214"/>
      <c r="CD125" s="214"/>
      <c r="CE125" s="214"/>
      <c r="CF125" s="214"/>
      <c r="CG125" s="214"/>
      <c r="CH125" s="214"/>
      <c r="CI125" s="214"/>
      <c r="CJ125" s="214"/>
      <c r="CK125" s="214"/>
      <c r="CL125" s="214"/>
      <c r="CM125" s="214"/>
      <c r="CN125" s="214"/>
      <c r="CO125" s="214"/>
      <c r="CP125" s="214"/>
      <c r="CQ125" s="214"/>
      <c r="CR125" s="214"/>
      <c r="CS125" s="214"/>
      <c r="CT125" s="214"/>
      <c r="CU125" s="214"/>
      <c r="CV125" s="214"/>
      <c r="CW125" s="214"/>
      <c r="CX125" s="214"/>
      <c r="CY125" s="214"/>
      <c r="CZ125" s="214"/>
      <c r="DA125" s="214"/>
      <c r="DB125" s="214"/>
      <c r="DC125" s="214"/>
      <c r="DD125" s="214"/>
      <c r="DE125" s="214"/>
      <c r="DF125" s="214"/>
      <c r="DG125" s="214"/>
      <c r="DH125" s="214"/>
      <c r="DI125" s="214"/>
      <c r="DJ125" s="214"/>
      <c r="DK125" s="214"/>
      <c r="DL125" s="214"/>
      <c r="DM125" s="214"/>
      <c r="DN125" s="214"/>
      <c r="DO125" s="214"/>
      <c r="DP125" s="214"/>
      <c r="DQ125" s="214"/>
      <c r="DR125" s="214"/>
      <c r="DS125" s="214"/>
      <c r="DT125" s="214"/>
      <c r="DU125" s="214"/>
      <c r="DV125" s="214"/>
      <c r="DW125" s="214"/>
      <c r="DX125" s="214"/>
      <c r="DY125" s="214"/>
      <c r="DZ125" s="214"/>
      <c r="EA125" s="214"/>
      <c r="EB125" s="214"/>
      <c r="EC125" s="214"/>
      <c r="ED125" s="214"/>
      <c r="EE125" s="214"/>
      <c r="EF125" s="214"/>
      <c r="EG125" s="214"/>
      <c r="EH125" s="214"/>
      <c r="EI125" s="214"/>
      <c r="EJ125" s="214"/>
      <c r="EK125" s="214"/>
      <c r="EL125" s="214"/>
      <c r="EM125" s="214"/>
      <c r="EN125" s="214"/>
      <c r="EO125" s="214"/>
      <c r="EP125" s="214"/>
      <c r="EQ125" s="214"/>
      <c r="ER125" s="214"/>
      <c r="ES125" s="214"/>
      <c r="ET125" s="214"/>
      <c r="EU125" s="214"/>
      <c r="EV125" s="214"/>
      <c r="EW125" s="214"/>
      <c r="EX125" s="214"/>
      <c r="EY125" s="214"/>
      <c r="EZ125" s="214"/>
      <c r="FA125" s="214"/>
      <c r="FB125" s="214"/>
      <c r="FC125" s="214"/>
      <c r="FD125" s="214"/>
      <c r="FE125" s="214"/>
      <c r="FF125" s="214"/>
      <c r="FG125" s="214"/>
      <c r="FH125" s="214"/>
      <c r="FI125" s="214"/>
      <c r="FJ125" s="214"/>
      <c r="FK125" s="214"/>
      <c r="FL125" s="214"/>
      <c r="FM125" s="214"/>
      <c r="FN125" s="214"/>
      <c r="FO125" s="214"/>
      <c r="FP125" s="214"/>
      <c r="FQ125" s="214"/>
      <c r="FR125" s="214"/>
      <c r="FS125" s="214"/>
      <c r="FT125" s="214"/>
      <c r="FU125" s="214"/>
      <c r="FV125" s="214"/>
      <c r="FW125" s="214"/>
      <c r="FX125" s="214"/>
      <c r="FY125" s="214"/>
      <c r="FZ125" s="214"/>
      <c r="GA125" s="214"/>
      <c r="GB125" s="214"/>
      <c r="GC125" s="214"/>
      <c r="GD125" s="214"/>
      <c r="GE125" s="214"/>
      <c r="GF125" s="214"/>
      <c r="GG125" s="214"/>
      <c r="GH125" s="214"/>
      <c r="GI125" s="214"/>
      <c r="GJ125" s="214"/>
      <c r="GK125" s="214"/>
      <c r="GL125" s="214"/>
      <c r="GM125" s="214"/>
      <c r="GN125" s="214"/>
      <c r="GO125" s="214"/>
      <c r="GP125" s="214"/>
      <c r="GQ125" s="214"/>
      <c r="GR125" s="214"/>
      <c r="GS125" s="214"/>
      <c r="GT125" s="214"/>
      <c r="GU125" s="214"/>
      <c r="GV125" s="214"/>
      <c r="GW125" s="214"/>
      <c r="GX125" s="214"/>
      <c r="GY125" s="214"/>
      <c r="GZ125" s="214"/>
      <c r="HA125" s="214"/>
      <c r="HB125" s="214"/>
      <c r="HC125" s="214"/>
      <c r="HD125" s="214"/>
      <c r="HE125" s="214"/>
      <c r="HF125" s="214"/>
      <c r="HG125" s="214"/>
      <c r="HH125" s="214"/>
      <c r="HI125" s="214"/>
      <c r="HJ125" s="214"/>
      <c r="HK125" s="214"/>
      <c r="HL125" s="214"/>
      <c r="HM125" s="214"/>
      <c r="HN125" s="214"/>
      <c r="HO125" s="214"/>
      <c r="HP125" s="214"/>
      <c r="HQ125" s="214"/>
      <c r="HR125" s="214"/>
      <c r="HS125" s="214"/>
      <c r="HT125" s="214"/>
      <c r="HU125" s="214"/>
      <c r="HV125" s="214"/>
      <c r="HW125" s="214"/>
      <c r="HX125" s="214"/>
      <c r="HY125" s="214"/>
      <c r="HZ125" s="214"/>
      <c r="IA125" s="214"/>
      <c r="IB125" s="214"/>
      <c r="IC125" s="214"/>
      <c r="ID125" s="214"/>
      <c r="IE125" s="214"/>
      <c r="IF125" s="214"/>
      <c r="IG125" s="214"/>
      <c r="IH125" s="214"/>
      <c r="II125" s="214"/>
      <c r="IJ125" s="214"/>
      <c r="IK125" s="214"/>
      <c r="IL125" s="214"/>
      <c r="IM125" s="214"/>
      <c r="IN125" s="214"/>
      <c r="IO125" s="214"/>
      <c r="IP125" s="214"/>
      <c r="IQ125" s="214"/>
      <c r="IR125" s="214"/>
      <c r="IS125" s="214"/>
      <c r="IT125" s="214"/>
      <c r="IU125" s="214"/>
      <c r="IV125" s="214"/>
      <c r="IW125" s="214"/>
      <c r="IX125" s="214"/>
      <c r="IY125" s="214"/>
      <c r="IZ125" s="214"/>
      <c r="JA125" s="214"/>
      <c r="JB125" s="214"/>
      <c r="JC125" s="214"/>
      <c r="JD125" s="214"/>
      <c r="JE125" s="214"/>
      <c r="JF125" s="214"/>
      <c r="JG125" s="214"/>
      <c r="JH125" s="214"/>
      <c r="JI125" s="214"/>
      <c r="JJ125" s="214"/>
      <c r="JK125" s="214"/>
      <c r="JL125" s="214"/>
      <c r="JM125" s="214"/>
      <c r="JN125" s="214"/>
      <c r="JO125" s="214"/>
      <c r="JP125" s="214"/>
      <c r="JQ125" s="214"/>
      <c r="JR125" s="214"/>
      <c r="JS125" s="214"/>
      <c r="JT125" s="214"/>
      <c r="JU125" s="214"/>
      <c r="JV125" s="214"/>
      <c r="JW125" s="214"/>
      <c r="JX125" s="214"/>
      <c r="JY125" s="214"/>
      <c r="JZ125" s="214"/>
      <c r="KA125" s="214"/>
      <c r="KB125" s="214"/>
      <c r="KC125" s="214"/>
      <c r="KD125" s="214"/>
      <c r="KE125" s="214"/>
      <c r="KF125" s="214"/>
      <c r="KG125" s="214"/>
      <c r="KH125" s="214"/>
      <c r="KI125" s="214"/>
      <c r="KJ125" s="214"/>
      <c r="KK125" s="214"/>
      <c r="KL125" s="214"/>
      <c r="KM125" s="214"/>
      <c r="KN125" s="214"/>
      <c r="KO125" s="214"/>
      <c r="KP125" s="214"/>
      <c r="KQ125" s="214"/>
      <c r="KR125" s="214"/>
      <c r="KS125" s="214"/>
      <c r="KT125" s="214"/>
      <c r="KU125" s="214"/>
      <c r="KV125" s="214"/>
      <c r="KW125" s="214"/>
      <c r="KX125" s="214"/>
      <c r="KY125" s="214"/>
      <c r="KZ125" s="214"/>
      <c r="LA125" s="214"/>
      <c r="LB125" s="214"/>
      <c r="LC125" s="214"/>
      <c r="LD125" s="214"/>
      <c r="LE125" s="214"/>
      <c r="LF125" s="214"/>
      <c r="LG125" s="214"/>
      <c r="LH125" s="214"/>
      <c r="LI125" s="214"/>
      <c r="LJ125" s="214"/>
      <c r="LK125" s="214"/>
      <c r="LL125" s="214"/>
      <c r="LM125" s="214"/>
      <c r="LN125" s="214"/>
      <c r="LO125" s="214"/>
      <c r="LP125" s="214"/>
      <c r="LQ125" s="214"/>
      <c r="LR125" s="214"/>
      <c r="LS125" s="214"/>
      <c r="LT125" s="214"/>
      <c r="LU125" s="214"/>
      <c r="LV125" s="214"/>
      <c r="LW125" s="214"/>
      <c r="LX125" s="214"/>
      <c r="LY125" s="214"/>
      <c r="LZ125" s="214"/>
      <c r="MA125" s="214"/>
      <c r="MB125" s="214"/>
      <c r="MC125" s="214"/>
      <c r="MD125" s="214"/>
      <c r="ME125" s="214"/>
      <c r="MF125" s="214"/>
      <c r="MG125" s="214"/>
      <c r="MH125" s="214"/>
      <c r="MI125" s="214"/>
      <c r="MJ125" s="214"/>
      <c r="MK125" s="214"/>
      <c r="ML125" s="214"/>
      <c r="MM125" s="214"/>
      <c r="MN125" s="214"/>
      <c r="MO125" s="214"/>
      <c r="MP125" s="214"/>
      <c r="MQ125" s="214"/>
      <c r="MR125" s="214"/>
      <c r="MS125" s="214"/>
      <c r="MT125" s="214"/>
      <c r="MU125" s="214"/>
      <c r="MV125" s="214"/>
      <c r="MW125" s="214"/>
      <c r="MX125" s="214"/>
      <c r="MY125" s="214"/>
      <c r="MZ125" s="214"/>
      <c r="NA125" s="214"/>
      <c r="NB125" s="214"/>
      <c r="NC125" s="214"/>
      <c r="ND125" s="214"/>
      <c r="NE125" s="214"/>
      <c r="NF125" s="214"/>
      <c r="NG125" s="214"/>
      <c r="NH125" s="214"/>
      <c r="NI125" s="214"/>
      <c r="NJ125" s="214"/>
      <c r="NK125" s="214"/>
      <c r="NL125" s="214"/>
      <c r="NM125" s="214"/>
      <c r="NN125" s="214"/>
      <c r="NO125" s="214"/>
      <c r="NP125" s="214"/>
      <c r="NQ125" s="214"/>
      <c r="NR125" s="214"/>
      <c r="NS125" s="214"/>
      <c r="NT125" s="214"/>
      <c r="NU125" s="214"/>
      <c r="NV125" s="214"/>
      <c r="NW125" s="214"/>
      <c r="NX125" s="214"/>
      <c r="NY125" s="214"/>
      <c r="NZ125" s="214"/>
      <c r="OA125" s="214"/>
      <c r="OB125" s="214"/>
      <c r="OC125" s="214"/>
      <c r="OD125" s="214"/>
      <c r="OE125" s="214"/>
      <c r="OF125" s="214"/>
      <c r="OG125" s="214"/>
      <c r="OH125" s="214"/>
      <c r="OI125" s="214"/>
      <c r="OJ125" s="214"/>
      <c r="OK125" s="214"/>
      <c r="OL125" s="214"/>
      <c r="OM125" s="214"/>
      <c r="ON125" s="214"/>
      <c r="OO125" s="214"/>
      <c r="OP125" s="214"/>
      <c r="OQ125" s="214"/>
      <c r="OR125" s="214"/>
      <c r="OS125" s="214"/>
      <c r="OT125" s="214"/>
      <c r="OU125" s="214"/>
      <c r="OV125" s="214"/>
      <c r="OW125" s="214"/>
      <c r="OX125" s="214"/>
      <c r="OY125" s="214"/>
      <c r="OZ125" s="214"/>
      <c r="PA125" s="214"/>
      <c r="PB125" s="214"/>
      <c r="PC125" s="214"/>
      <c r="PD125" s="214"/>
      <c r="PE125" s="214"/>
      <c r="PF125" s="214"/>
      <c r="PG125" s="214"/>
      <c r="PH125" s="214"/>
      <c r="PI125" s="214"/>
      <c r="PJ125" s="214"/>
      <c r="PK125" s="214"/>
      <c r="PL125" s="214"/>
      <c r="PM125" s="214"/>
      <c r="PN125" s="214"/>
      <c r="PO125" s="214"/>
      <c r="PP125" s="214"/>
      <c r="PQ125" s="214"/>
      <c r="PR125" s="214"/>
      <c r="PS125" s="214"/>
      <c r="PT125" s="214"/>
      <c r="PU125" s="214"/>
      <c r="PV125" s="214"/>
      <c r="PW125" s="214"/>
      <c r="PX125" s="214"/>
      <c r="PY125" s="214"/>
      <c r="PZ125" s="214"/>
      <c r="QA125" s="214"/>
      <c r="QB125" s="214"/>
      <c r="QC125" s="214"/>
      <c r="QD125" s="214"/>
      <c r="QE125" s="214"/>
      <c r="QF125" s="214"/>
      <c r="QG125" s="214"/>
      <c r="QH125" s="214"/>
      <c r="QI125" s="214"/>
      <c r="QJ125" s="214"/>
      <c r="QK125" s="214"/>
      <c r="QL125" s="214"/>
      <c r="QM125" s="214"/>
      <c r="QN125" s="214"/>
      <c r="QO125" s="214"/>
      <c r="QP125" s="214"/>
      <c r="QQ125" s="214"/>
      <c r="QR125" s="214"/>
      <c r="QS125" s="214"/>
      <c r="QT125" s="214"/>
      <c r="QU125" s="214"/>
      <c r="QV125" s="214"/>
      <c r="QW125" s="214"/>
      <c r="QX125" s="214"/>
      <c r="QY125" s="214"/>
      <c r="QZ125" s="214"/>
      <c r="RA125" s="214"/>
      <c r="RB125" s="214"/>
      <c r="RC125" s="214"/>
      <c r="RD125" s="214"/>
      <c r="RE125" s="214"/>
      <c r="RF125" s="214"/>
      <c r="RG125" s="214"/>
      <c r="RH125" s="214"/>
      <c r="RI125" s="214"/>
      <c r="RJ125" s="214"/>
      <c r="RK125" s="214"/>
      <c r="RL125" s="214"/>
      <c r="RM125" s="214"/>
      <c r="RN125" s="214"/>
      <c r="RO125" s="214"/>
      <c r="RP125" s="214"/>
      <c r="RQ125" s="214"/>
      <c r="RR125" s="214"/>
      <c r="RS125" s="214"/>
      <c r="RT125" s="214"/>
      <c r="RU125" s="214"/>
      <c r="RV125" s="214"/>
      <c r="RW125" s="214"/>
      <c r="RX125" s="214"/>
      <c r="RY125" s="214"/>
      <c r="RZ125" s="214"/>
      <c r="SA125" s="214"/>
      <c r="SB125" s="214"/>
      <c r="SC125" s="214"/>
      <c r="SD125" s="214"/>
      <c r="SE125" s="214"/>
      <c r="SF125" s="214"/>
      <c r="SG125" s="214"/>
      <c r="SH125" s="214"/>
      <c r="SI125" s="214"/>
      <c r="SJ125" s="214"/>
      <c r="SK125" s="214"/>
      <c r="SL125" s="214"/>
      <c r="SM125" s="214"/>
      <c r="SN125" s="214"/>
      <c r="SO125" s="214"/>
      <c r="SP125" s="214"/>
      <c r="SQ125" s="214"/>
      <c r="SR125" s="214"/>
      <c r="SS125" s="214"/>
      <c r="ST125" s="214"/>
      <c r="SU125" s="214"/>
      <c r="SV125" s="214"/>
      <c r="SW125" s="214"/>
      <c r="SX125" s="214"/>
      <c r="SY125" s="214"/>
      <c r="SZ125" s="214"/>
      <c r="TA125" s="214"/>
      <c r="TB125" s="214"/>
      <c r="TC125" s="214"/>
      <c r="TD125" s="214"/>
      <c r="TE125" s="214"/>
      <c r="TF125" s="214"/>
      <c r="TG125" s="214"/>
      <c r="TH125" s="214"/>
      <c r="TI125" s="214"/>
      <c r="TJ125" s="214"/>
      <c r="TK125" s="214"/>
      <c r="TL125" s="214"/>
      <c r="TM125" s="214"/>
      <c r="TN125" s="214"/>
      <c r="TO125" s="214"/>
      <c r="TP125" s="214"/>
      <c r="TQ125" s="214"/>
      <c r="TR125" s="214"/>
      <c r="TS125" s="214"/>
      <c r="TT125" s="214"/>
      <c r="TU125" s="214"/>
      <c r="TV125" s="214"/>
      <c r="TW125" s="214"/>
      <c r="TX125" s="214"/>
      <c r="TY125" s="214"/>
      <c r="TZ125" s="214"/>
      <c r="UA125" s="214"/>
      <c r="UB125" s="214"/>
      <c r="UC125" s="214"/>
      <c r="UD125" s="214"/>
      <c r="UE125" s="214"/>
      <c r="UF125" s="214"/>
      <c r="UG125" s="214"/>
      <c r="UH125" s="214"/>
      <c r="UI125" s="214"/>
      <c r="UJ125" s="214"/>
      <c r="UK125" s="214"/>
      <c r="UL125" s="214"/>
      <c r="UM125" s="214"/>
      <c r="UN125" s="214"/>
      <c r="UO125" s="214"/>
      <c r="UP125" s="214"/>
      <c r="UQ125" s="214"/>
      <c r="UR125" s="214"/>
      <c r="US125" s="214"/>
      <c r="UT125" s="214"/>
      <c r="UU125" s="214"/>
      <c r="UV125" s="214"/>
      <c r="UW125" s="214"/>
      <c r="UX125" s="214"/>
      <c r="UY125" s="214"/>
      <c r="UZ125" s="214"/>
      <c r="VA125" s="214"/>
      <c r="VB125" s="214"/>
      <c r="VC125" s="214"/>
      <c r="VD125" s="214"/>
      <c r="VE125" s="214"/>
      <c r="VF125" s="214"/>
      <c r="VG125" s="214"/>
      <c r="VH125" s="214"/>
      <c r="VI125" s="214"/>
      <c r="VJ125" s="214"/>
      <c r="VK125" s="214"/>
      <c r="VL125" s="214"/>
      <c r="VM125" s="214"/>
      <c r="VN125" s="214"/>
      <c r="VO125" s="214"/>
      <c r="VP125" s="214"/>
      <c r="VQ125" s="214"/>
      <c r="VR125" s="214"/>
      <c r="VS125" s="214"/>
      <c r="VT125" s="214"/>
      <c r="VU125" s="214"/>
      <c r="VV125" s="214"/>
      <c r="VW125" s="214"/>
      <c r="VX125" s="214"/>
      <c r="VY125" s="214"/>
      <c r="VZ125" s="214"/>
      <c r="WA125" s="214"/>
      <c r="WB125" s="214"/>
      <c r="WC125" s="214"/>
      <c r="WD125" s="214"/>
      <c r="WE125" s="214"/>
      <c r="WF125" s="214"/>
      <c r="WG125" s="214"/>
      <c r="WH125" s="214"/>
      <c r="WI125" s="214"/>
      <c r="WJ125" s="214"/>
      <c r="WK125" s="214"/>
      <c r="WL125" s="214"/>
      <c r="WM125" s="214"/>
      <c r="WN125" s="214"/>
      <c r="WO125" s="214"/>
      <c r="WP125" s="214"/>
      <c r="WQ125" s="214"/>
      <c r="WR125" s="214"/>
      <c r="WS125" s="214"/>
      <c r="WT125" s="214"/>
      <c r="WU125" s="214"/>
      <c r="WV125" s="214"/>
      <c r="WW125" s="214"/>
      <c r="WX125" s="214"/>
      <c r="WY125" s="214"/>
      <c r="WZ125" s="214"/>
      <c r="XA125" s="214"/>
      <c r="XB125" s="214"/>
      <c r="XC125" s="214"/>
      <c r="XD125" s="214"/>
      <c r="XE125" s="214"/>
      <c r="XF125" s="214"/>
      <c r="XG125" s="214"/>
      <c r="XH125" s="214"/>
      <c r="XI125" s="214"/>
      <c r="XJ125" s="214"/>
      <c r="XK125" s="214"/>
      <c r="XL125" s="214"/>
      <c r="XM125" s="214"/>
      <c r="XN125" s="214"/>
      <c r="XO125" s="214"/>
      <c r="XP125" s="214"/>
      <c r="XQ125" s="214"/>
      <c r="XR125" s="214"/>
      <c r="XS125" s="214"/>
      <c r="XT125" s="214"/>
      <c r="XU125" s="214"/>
      <c r="XV125" s="214"/>
      <c r="XW125" s="214"/>
      <c r="XX125" s="214"/>
      <c r="XY125" s="214"/>
      <c r="XZ125" s="214"/>
      <c r="YA125" s="214"/>
      <c r="YB125" s="214"/>
      <c r="YC125" s="214"/>
      <c r="YD125" s="214"/>
      <c r="YE125" s="214"/>
      <c r="YF125" s="214"/>
      <c r="YG125" s="214"/>
      <c r="YH125" s="214"/>
      <c r="YI125" s="214"/>
      <c r="YJ125" s="214"/>
      <c r="YK125" s="214"/>
      <c r="YL125" s="214"/>
      <c r="YM125" s="214"/>
      <c r="YN125" s="214"/>
      <c r="YO125" s="214"/>
      <c r="YP125" s="214"/>
      <c r="YQ125" s="214"/>
      <c r="YR125" s="214"/>
      <c r="YS125" s="214"/>
      <c r="YT125" s="214"/>
      <c r="YU125" s="214"/>
      <c r="YV125" s="214"/>
      <c r="YW125" s="214"/>
      <c r="YX125" s="214"/>
      <c r="YY125" s="214"/>
      <c r="YZ125" s="214"/>
      <c r="ZA125" s="214"/>
      <c r="ZB125" s="214"/>
      <c r="ZC125" s="214"/>
      <c r="ZD125" s="214"/>
      <c r="ZE125" s="214"/>
      <c r="ZF125" s="214"/>
      <c r="ZG125" s="214"/>
      <c r="ZH125" s="214"/>
      <c r="ZI125" s="214"/>
      <c r="ZJ125" s="214"/>
      <c r="ZK125" s="214"/>
      <c r="ZL125" s="214"/>
      <c r="ZM125" s="214"/>
      <c r="ZN125" s="214"/>
      <c r="ZO125" s="214"/>
      <c r="ZP125" s="214"/>
      <c r="ZQ125" s="214"/>
      <c r="ZR125" s="214"/>
      <c r="ZS125" s="214"/>
      <c r="ZT125" s="214"/>
      <c r="ZU125" s="214"/>
      <c r="ZV125" s="214"/>
      <c r="ZW125" s="214"/>
      <c r="ZX125" s="214"/>
      <c r="ZY125" s="214"/>
      <c r="ZZ125" s="214"/>
      <c r="AAA125" s="214"/>
      <c r="AAB125" s="214"/>
      <c r="AAC125" s="214"/>
      <c r="AAD125" s="214"/>
      <c r="AAE125" s="214"/>
      <c r="AAF125" s="214"/>
      <c r="AAG125" s="214"/>
      <c r="AAH125" s="214"/>
      <c r="AAI125" s="214"/>
      <c r="AAJ125" s="214"/>
      <c r="AAK125" s="214"/>
      <c r="AAL125" s="214"/>
      <c r="AAM125" s="214"/>
      <c r="AAN125" s="214"/>
      <c r="AAO125" s="214"/>
      <c r="AAP125" s="214"/>
      <c r="AAQ125" s="214"/>
      <c r="AAR125" s="214"/>
      <c r="AAS125" s="214"/>
      <c r="AAT125" s="214"/>
      <c r="AAU125" s="214"/>
      <c r="AAV125" s="214"/>
      <c r="AAW125" s="214"/>
      <c r="AAX125" s="214"/>
      <c r="AAY125" s="214"/>
      <c r="AAZ125" s="214"/>
      <c r="ABA125" s="214"/>
      <c r="ABB125" s="214"/>
      <c r="ABC125" s="214"/>
      <c r="ABD125" s="214"/>
      <c r="ABE125" s="214"/>
      <c r="ABF125" s="214"/>
      <c r="ABG125" s="214"/>
      <c r="ABH125" s="214"/>
      <c r="ABI125" s="214"/>
      <c r="ABJ125" s="214"/>
      <c r="ABK125" s="214"/>
      <c r="ABL125" s="214"/>
      <c r="ABM125" s="214"/>
      <c r="ABN125" s="214"/>
      <c r="ABO125" s="214"/>
      <c r="ABP125" s="214"/>
      <c r="ABQ125" s="214"/>
      <c r="ABR125" s="214"/>
      <c r="ABS125" s="214"/>
      <c r="ABT125" s="214"/>
      <c r="ABU125" s="214"/>
      <c r="ABV125" s="214"/>
      <c r="ABW125" s="214"/>
      <c r="ABX125" s="214"/>
      <c r="ABY125" s="214"/>
      <c r="ABZ125" s="214"/>
      <c r="ACA125" s="214"/>
      <c r="ACB125" s="214"/>
      <c r="ACC125" s="214"/>
      <c r="ACD125" s="214"/>
      <c r="ACE125" s="214"/>
      <c r="ACF125" s="214"/>
      <c r="ACG125" s="214"/>
      <c r="ACH125" s="214"/>
      <c r="ACI125" s="214"/>
      <c r="ACJ125" s="214"/>
      <c r="ACK125" s="214"/>
      <c r="ACL125" s="214"/>
      <c r="ACM125" s="214"/>
      <c r="ACN125" s="214"/>
      <c r="ACO125" s="214"/>
      <c r="ACP125" s="214"/>
      <c r="ACQ125" s="214"/>
      <c r="ACR125" s="214"/>
      <c r="ACS125" s="214"/>
      <c r="ACT125" s="214"/>
      <c r="ACU125" s="214"/>
      <c r="ACV125" s="214"/>
      <c r="ACW125" s="214"/>
      <c r="ACX125" s="214"/>
      <c r="ACY125" s="214"/>
      <c r="ACZ125" s="214"/>
      <c r="ADA125" s="214"/>
      <c r="ADB125" s="214"/>
      <c r="ADC125" s="214"/>
      <c r="ADD125" s="214"/>
      <c r="ADE125" s="214"/>
      <c r="ADF125" s="214"/>
      <c r="ADG125" s="214"/>
      <c r="ADH125" s="214"/>
      <c r="ADI125" s="214"/>
      <c r="ADJ125" s="214"/>
      <c r="ADK125" s="214"/>
      <c r="ADL125" s="214"/>
      <c r="ADM125" s="214"/>
      <c r="ADN125" s="214"/>
      <c r="ADO125" s="214"/>
      <c r="ADP125" s="214"/>
      <c r="ADQ125" s="214"/>
      <c r="ADR125" s="214"/>
      <c r="ADS125" s="214"/>
      <c r="ADT125" s="214"/>
      <c r="ADU125" s="214"/>
      <c r="ADV125" s="214"/>
      <c r="ADW125" s="214"/>
      <c r="ADX125" s="214"/>
      <c r="ADY125" s="214"/>
      <c r="ADZ125" s="214"/>
      <c r="AEA125" s="214"/>
      <c r="AEB125" s="214"/>
      <c r="AEC125" s="214"/>
      <c r="AED125" s="214"/>
      <c r="AEE125" s="214"/>
      <c r="AEF125" s="214"/>
      <c r="AEG125" s="214"/>
      <c r="AEH125" s="214"/>
      <c r="AEI125" s="214"/>
      <c r="AEJ125" s="214"/>
      <c r="AEK125" s="214"/>
      <c r="AEL125" s="214"/>
      <c r="AEM125" s="214"/>
      <c r="AEN125" s="214"/>
      <c r="AEO125" s="214"/>
      <c r="AEP125" s="214"/>
      <c r="AEQ125" s="214"/>
      <c r="AER125" s="214"/>
      <c r="AES125" s="214"/>
      <c r="AET125" s="214"/>
      <c r="AEU125" s="214"/>
      <c r="AEV125" s="214"/>
      <c r="AEW125" s="214"/>
      <c r="AEX125" s="214"/>
      <c r="AEY125" s="214"/>
      <c r="AEZ125" s="214"/>
      <c r="AFA125" s="214"/>
      <c r="AFB125" s="214"/>
      <c r="AFC125" s="214"/>
      <c r="AFD125" s="214"/>
      <c r="AFE125" s="214"/>
      <c r="AFF125" s="214"/>
      <c r="AFG125" s="214"/>
      <c r="AFH125" s="214"/>
      <c r="AFI125" s="214"/>
      <c r="AFJ125" s="214"/>
      <c r="AFK125" s="214"/>
      <c r="AFL125" s="214"/>
      <c r="AFM125" s="214"/>
      <c r="AFN125" s="214"/>
      <c r="AFO125" s="214"/>
      <c r="AFP125" s="214"/>
      <c r="AFQ125" s="214"/>
      <c r="AFR125" s="214"/>
      <c r="AFS125" s="214"/>
      <c r="AFT125" s="214"/>
      <c r="AFU125" s="214"/>
      <c r="AFV125" s="214"/>
      <c r="AFW125" s="214"/>
      <c r="AFX125" s="214"/>
      <c r="AFY125" s="214"/>
      <c r="AFZ125" s="214"/>
      <c r="AGA125" s="214"/>
      <c r="AGB125" s="214"/>
      <c r="AGC125" s="214"/>
      <c r="AGD125" s="214"/>
      <c r="AGE125" s="214"/>
      <c r="AGF125" s="214"/>
      <c r="AGG125" s="214"/>
      <c r="AGH125" s="214"/>
      <c r="AGI125" s="214"/>
      <c r="AGJ125" s="214"/>
      <c r="AGK125" s="214"/>
      <c r="AGL125" s="214"/>
      <c r="AGM125" s="214"/>
      <c r="AGN125" s="214"/>
      <c r="AGO125" s="214"/>
      <c r="AGP125" s="214"/>
      <c r="AGQ125" s="214"/>
      <c r="AGR125" s="214"/>
      <c r="AGS125" s="214"/>
      <c r="AGT125" s="214"/>
      <c r="AGU125" s="214"/>
      <c r="AGV125" s="214"/>
      <c r="AGW125" s="214"/>
      <c r="AGX125" s="214"/>
      <c r="AGY125" s="214"/>
      <c r="AGZ125" s="214"/>
      <c r="AHA125" s="214"/>
      <c r="AHB125" s="214"/>
      <c r="AHC125" s="214"/>
      <c r="AHD125" s="214"/>
      <c r="AHE125" s="214"/>
      <c r="AHF125" s="214"/>
      <c r="AHG125" s="214"/>
      <c r="AHH125" s="214"/>
      <c r="AHI125" s="214"/>
      <c r="AHJ125" s="214"/>
      <c r="AHK125" s="214"/>
      <c r="AHL125" s="214"/>
      <c r="AHM125" s="214"/>
      <c r="AHN125" s="214"/>
      <c r="AHO125" s="214"/>
      <c r="AHP125" s="214"/>
      <c r="AHQ125" s="214"/>
      <c r="AHR125" s="214"/>
      <c r="AHS125" s="214"/>
      <c r="AHT125" s="214"/>
      <c r="AHU125" s="214"/>
      <c r="AHV125" s="214"/>
      <c r="AHW125" s="214"/>
      <c r="AHX125" s="214"/>
      <c r="AHY125" s="214"/>
      <c r="AHZ125" s="214"/>
      <c r="AIA125" s="214"/>
      <c r="AIB125" s="214"/>
      <c r="AIC125" s="214"/>
      <c r="AID125" s="214"/>
      <c r="AIE125" s="214"/>
      <c r="AIF125" s="214"/>
      <c r="AIG125" s="214"/>
      <c r="AIH125" s="214"/>
      <c r="AII125" s="214"/>
      <c r="AIJ125" s="214"/>
      <c r="AIK125" s="214"/>
      <c r="AIL125" s="214"/>
      <c r="AIM125" s="214"/>
      <c r="AIN125" s="214"/>
      <c r="AIO125" s="214"/>
      <c r="AIP125" s="214"/>
      <c r="AIQ125" s="214"/>
      <c r="AIR125" s="214"/>
      <c r="AIS125" s="214"/>
      <c r="AIT125" s="214"/>
      <c r="AIU125" s="214"/>
      <c r="AIV125" s="214"/>
      <c r="AIW125" s="214"/>
      <c r="AIX125" s="214"/>
      <c r="AIY125" s="214"/>
      <c r="AIZ125" s="214"/>
      <c r="AJA125" s="214"/>
      <c r="AJB125" s="214"/>
      <c r="AJC125" s="214"/>
      <c r="AJD125" s="214"/>
      <c r="AJE125" s="214"/>
      <c r="AJF125" s="214"/>
      <c r="AJG125" s="214"/>
      <c r="AJH125" s="214"/>
      <c r="AJI125" s="214"/>
      <c r="AJJ125" s="214"/>
      <c r="AJK125" s="214"/>
      <c r="AJL125" s="214"/>
      <c r="AJM125" s="214"/>
      <c r="AJN125" s="214"/>
      <c r="AJO125" s="214"/>
      <c r="AJP125" s="214"/>
      <c r="AJQ125" s="214"/>
      <c r="AJR125" s="214"/>
      <c r="AJS125" s="214"/>
      <c r="AJT125" s="214"/>
      <c r="AJU125" s="214"/>
      <c r="AJV125" s="214"/>
      <c r="AJW125" s="214"/>
      <c r="AJX125" s="214"/>
      <c r="AJY125" s="214"/>
      <c r="AJZ125" s="214"/>
      <c r="AKA125" s="214"/>
      <c r="AKB125" s="214"/>
      <c r="AKC125" s="214"/>
      <c r="AKD125" s="214"/>
      <c r="AKE125" s="214"/>
      <c r="AKF125" s="214"/>
      <c r="AKG125" s="214"/>
      <c r="AKH125" s="214"/>
      <c r="AKI125" s="214"/>
      <c r="AKJ125" s="214"/>
      <c r="AKK125" s="214"/>
      <c r="AKL125" s="214"/>
      <c r="AKM125" s="214"/>
      <c r="AKN125" s="214"/>
      <c r="AKO125" s="214"/>
      <c r="AKP125" s="214"/>
      <c r="AKQ125" s="214"/>
      <c r="AKR125" s="214"/>
      <c r="AKS125" s="214"/>
      <c r="AKT125" s="214"/>
      <c r="AKU125" s="214"/>
      <c r="AKV125" s="214"/>
      <c r="AKW125" s="214"/>
      <c r="AKX125" s="214"/>
      <c r="AKY125" s="214"/>
      <c r="AKZ125" s="214"/>
      <c r="ALA125" s="214"/>
      <c r="ALB125" s="214"/>
      <c r="ALC125" s="214"/>
      <c r="ALD125" s="214"/>
      <c r="ALE125" s="214"/>
      <c r="ALF125" s="214"/>
      <c r="ALG125" s="214"/>
      <c r="ALH125" s="214"/>
      <c r="ALI125" s="214"/>
      <c r="ALJ125" s="214"/>
      <c r="ALK125" s="214"/>
      <c r="ALL125" s="214"/>
      <c r="ALM125" s="214"/>
      <c r="ALN125" s="214"/>
      <c r="ALO125" s="214"/>
      <c r="ALP125" s="214"/>
      <c r="ALQ125" s="214"/>
      <c r="ALR125" s="214"/>
      <c r="ALS125" s="214"/>
      <c r="ALT125" s="214"/>
      <c r="ALU125" s="214"/>
      <c r="ALV125" s="214"/>
      <c r="ALW125" s="214"/>
      <c r="ALX125" s="214"/>
      <c r="ALY125" s="214"/>
      <c r="ALZ125" s="214"/>
      <c r="AMA125" s="214"/>
      <c r="AMB125" s="214"/>
      <c r="AMC125" s="214"/>
      <c r="AMD125" s="214"/>
      <c r="AME125" s="214"/>
      <c r="AMF125" s="214"/>
      <c r="AMG125" s="214"/>
      <c r="AMH125" s="214"/>
      <c r="AMI125" s="214"/>
      <c r="AMJ125" s="214"/>
      <c r="AMK125" s="214"/>
      <c r="AML125" s="214"/>
      <c r="AMM125" s="214"/>
      <c r="AMN125" s="214"/>
      <c r="AMO125" s="214"/>
      <c r="AMP125" s="214"/>
      <c r="AMQ125" s="214"/>
      <c r="AMR125" s="214"/>
      <c r="AMS125" s="214"/>
      <c r="AMT125" s="214"/>
      <c r="AMU125" s="214"/>
      <c r="AMV125" s="214"/>
      <c r="AMW125" s="214"/>
      <c r="AMX125" s="214"/>
      <c r="AMY125" s="214"/>
      <c r="AMZ125" s="214"/>
      <c r="ANA125" s="214"/>
      <c r="ANB125" s="214"/>
      <c r="ANC125" s="214"/>
      <c r="AND125" s="214"/>
      <c r="ANE125" s="214"/>
      <c r="ANF125" s="214"/>
      <c r="ANG125" s="214"/>
      <c r="ANH125" s="214"/>
      <c r="ANI125" s="214"/>
      <c r="ANJ125" s="214"/>
      <c r="ANK125" s="214"/>
      <c r="ANL125" s="214"/>
      <c r="ANM125" s="214"/>
      <c r="ANN125" s="214"/>
      <c r="ANO125" s="214"/>
      <c r="ANP125" s="214"/>
      <c r="ANQ125" s="214"/>
      <c r="ANR125" s="214"/>
      <c r="ANS125" s="214"/>
      <c r="ANT125" s="214"/>
      <c r="ANU125" s="214"/>
      <c r="ANV125" s="214"/>
      <c r="ANW125" s="214"/>
      <c r="ANX125" s="214"/>
      <c r="ANY125" s="214"/>
      <c r="ANZ125" s="214"/>
      <c r="AOA125" s="214"/>
      <c r="AOB125" s="214"/>
      <c r="AOC125" s="214"/>
      <c r="AOD125" s="214"/>
      <c r="AOE125" s="214"/>
      <c r="AOF125" s="214"/>
      <c r="AOG125" s="214"/>
      <c r="AOH125" s="214"/>
      <c r="AOI125" s="214"/>
      <c r="AOJ125" s="214"/>
      <c r="AOK125" s="214"/>
      <c r="AOL125" s="214"/>
      <c r="AOM125" s="214"/>
      <c r="AON125" s="214"/>
      <c r="AOO125" s="214"/>
      <c r="AOP125" s="214"/>
      <c r="AOQ125" s="214"/>
      <c r="AOR125" s="214"/>
      <c r="AOS125" s="214"/>
      <c r="AOT125" s="214"/>
      <c r="AOU125" s="214"/>
      <c r="AOV125" s="214"/>
      <c r="AOW125" s="214"/>
      <c r="AOX125" s="214"/>
      <c r="AOY125" s="214"/>
      <c r="AOZ125" s="214"/>
      <c r="APA125" s="214"/>
      <c r="APB125" s="214"/>
      <c r="APC125" s="214"/>
      <c r="APD125" s="214"/>
      <c r="APE125" s="214"/>
      <c r="APF125" s="214"/>
      <c r="APG125" s="214"/>
      <c r="APH125" s="214"/>
      <c r="API125" s="214"/>
      <c r="APJ125" s="214"/>
      <c r="APK125" s="214"/>
      <c r="APL125" s="214"/>
      <c r="APM125" s="214"/>
      <c r="APN125" s="214"/>
      <c r="APO125" s="214"/>
      <c r="APP125" s="214"/>
      <c r="APQ125" s="214"/>
      <c r="APR125" s="214"/>
      <c r="APS125" s="214"/>
      <c r="APT125" s="214"/>
      <c r="APU125" s="214"/>
      <c r="APV125" s="214"/>
      <c r="APW125" s="214"/>
      <c r="APX125" s="214"/>
      <c r="APY125" s="214"/>
      <c r="APZ125" s="214"/>
      <c r="AQA125" s="214"/>
      <c r="AQB125" s="214"/>
      <c r="AQC125" s="214"/>
      <c r="AQD125" s="214"/>
      <c r="AQE125" s="214"/>
      <c r="AQF125" s="214"/>
      <c r="AQG125" s="214"/>
      <c r="AQH125" s="214"/>
      <c r="AQI125" s="214"/>
      <c r="AQJ125" s="214"/>
      <c r="AQK125" s="214"/>
      <c r="AQL125" s="214"/>
      <c r="AQM125" s="214"/>
      <c r="AQN125" s="214"/>
      <c r="AQO125" s="214"/>
      <c r="AQP125" s="214"/>
      <c r="AQQ125" s="214"/>
      <c r="AQR125" s="214"/>
      <c r="AQS125" s="214"/>
      <c r="AQT125" s="214"/>
      <c r="AQU125" s="214"/>
      <c r="AQV125" s="214"/>
      <c r="AQW125" s="214"/>
      <c r="AQX125" s="214"/>
      <c r="AQY125" s="214"/>
      <c r="AQZ125" s="214"/>
      <c r="ARA125" s="214"/>
      <c r="ARB125" s="214"/>
      <c r="ARC125" s="214"/>
      <c r="ARD125" s="214"/>
      <c r="ARE125" s="214"/>
      <c r="ARF125" s="214"/>
      <c r="ARG125" s="214"/>
      <c r="ARH125" s="214"/>
      <c r="ARI125" s="214"/>
      <c r="ARJ125" s="214"/>
      <c r="ARK125" s="214"/>
      <c r="ARL125" s="214"/>
      <c r="ARM125" s="214"/>
      <c r="ARN125" s="214"/>
      <c r="ARO125" s="214"/>
      <c r="ARP125" s="214"/>
      <c r="ARQ125" s="214"/>
      <c r="ARR125" s="214"/>
      <c r="ARS125" s="214"/>
      <c r="ART125" s="214"/>
      <c r="ARU125" s="214"/>
      <c r="ARV125" s="214"/>
      <c r="ARW125" s="214"/>
      <c r="ARX125" s="214"/>
      <c r="ARY125" s="214"/>
      <c r="ARZ125" s="214"/>
      <c r="ASA125" s="214"/>
      <c r="ASB125" s="214"/>
      <c r="ASC125" s="214"/>
      <c r="ASD125" s="214"/>
      <c r="ASE125" s="214"/>
      <c r="ASF125" s="214"/>
      <c r="ASG125" s="214"/>
      <c r="ASH125" s="214"/>
      <c r="ASI125" s="214"/>
      <c r="ASJ125" s="214"/>
      <c r="ASK125" s="214"/>
      <c r="ASL125" s="214"/>
      <c r="ASM125" s="214"/>
      <c r="ASN125" s="214"/>
      <c r="ASO125" s="214"/>
      <c r="ASP125" s="214"/>
      <c r="ASQ125" s="214"/>
      <c r="ASR125" s="214"/>
      <c r="ASS125" s="214"/>
      <c r="AST125" s="214"/>
      <c r="ASU125" s="214"/>
      <c r="ASV125" s="214"/>
      <c r="ASW125" s="214"/>
      <c r="ASX125" s="214"/>
      <c r="ASY125" s="214"/>
      <c r="ASZ125" s="214"/>
      <c r="ATA125" s="214"/>
      <c r="ATB125" s="214"/>
      <c r="ATC125" s="214"/>
      <c r="ATD125" s="214"/>
      <c r="ATE125" s="214"/>
      <c r="ATF125" s="214"/>
      <c r="ATG125" s="214"/>
      <c r="ATH125" s="214"/>
      <c r="ATI125" s="214"/>
      <c r="ATJ125" s="214"/>
      <c r="ATK125" s="214"/>
      <c r="ATL125" s="214"/>
      <c r="ATM125" s="214"/>
      <c r="ATN125" s="214"/>
      <c r="ATO125" s="214"/>
      <c r="ATP125" s="214"/>
      <c r="ATQ125" s="214"/>
      <c r="ATR125" s="214"/>
      <c r="ATS125" s="214"/>
      <c r="ATT125" s="214"/>
      <c r="ATU125" s="214"/>
      <c r="ATV125" s="214"/>
      <c r="ATW125" s="214"/>
      <c r="ATX125" s="214"/>
      <c r="ATY125" s="214"/>
      <c r="ATZ125" s="214"/>
      <c r="AUA125" s="214"/>
      <c r="AUB125" s="214"/>
      <c r="AUC125" s="214"/>
      <c r="AUD125" s="214"/>
      <c r="AUE125" s="214"/>
      <c r="AUF125" s="214"/>
      <c r="AUG125" s="214"/>
      <c r="AUH125" s="214"/>
      <c r="AUI125" s="214"/>
      <c r="AUJ125" s="214"/>
      <c r="AUK125" s="214"/>
      <c r="AUL125" s="214"/>
      <c r="AUM125" s="214"/>
      <c r="AUN125" s="214"/>
      <c r="AUO125" s="214"/>
      <c r="AUP125" s="214"/>
      <c r="AUQ125" s="214"/>
      <c r="AUR125" s="214"/>
      <c r="AUS125" s="214"/>
      <c r="AUT125" s="214"/>
      <c r="AUU125" s="214"/>
      <c r="AUV125" s="214"/>
      <c r="AUW125" s="214"/>
      <c r="AUX125" s="214"/>
      <c r="AUY125" s="214"/>
      <c r="AUZ125" s="214"/>
      <c r="AVA125" s="214"/>
      <c r="AVB125" s="214"/>
      <c r="AVC125" s="214"/>
      <c r="AVD125" s="214"/>
      <c r="AVE125" s="214"/>
      <c r="AVF125" s="214"/>
      <c r="AVG125" s="214"/>
      <c r="AVH125" s="214"/>
      <c r="AVI125" s="214"/>
      <c r="AVJ125" s="214"/>
      <c r="AVK125" s="214"/>
      <c r="AVL125" s="214"/>
      <c r="AVM125" s="214"/>
      <c r="AVN125" s="214"/>
      <c r="AVO125" s="214"/>
      <c r="AVP125" s="214"/>
      <c r="AVQ125" s="214"/>
      <c r="AVR125" s="214"/>
      <c r="AVS125" s="214"/>
      <c r="AVT125" s="214"/>
      <c r="AVU125" s="214"/>
      <c r="AVV125" s="214"/>
      <c r="AVW125" s="214"/>
      <c r="AVX125" s="214"/>
      <c r="AVY125" s="214"/>
      <c r="AVZ125" s="214"/>
      <c r="AWA125" s="214"/>
      <c r="AWB125" s="214"/>
      <c r="AWC125" s="214"/>
      <c r="AWD125" s="214"/>
      <c r="AWE125" s="214"/>
      <c r="AWF125" s="214"/>
      <c r="AWG125" s="214"/>
      <c r="AWH125" s="214"/>
      <c r="AWI125" s="214"/>
      <c r="AWJ125" s="214"/>
      <c r="AWK125" s="214"/>
      <c r="AWL125" s="214"/>
      <c r="AWM125" s="214"/>
      <c r="AWN125" s="214"/>
      <c r="AWO125" s="214"/>
      <c r="AWP125" s="214"/>
      <c r="AWQ125" s="214"/>
      <c r="AWR125" s="214"/>
      <c r="AWS125" s="214"/>
      <c r="AWT125" s="214"/>
      <c r="AWU125" s="214"/>
      <c r="AWV125" s="214"/>
      <c r="AWW125" s="214"/>
      <c r="AWX125" s="214"/>
      <c r="AWY125" s="214"/>
      <c r="AWZ125" s="214"/>
      <c r="AXA125" s="214"/>
      <c r="AXB125" s="214"/>
      <c r="AXC125" s="214"/>
      <c r="AXD125" s="214"/>
      <c r="AXE125" s="214"/>
      <c r="AXF125" s="214"/>
      <c r="AXG125" s="214"/>
      <c r="AXH125" s="214"/>
      <c r="AXI125" s="214"/>
      <c r="AXJ125" s="214"/>
      <c r="AXK125" s="214"/>
      <c r="AXL125" s="214"/>
      <c r="AXM125" s="214"/>
      <c r="AXN125" s="214"/>
      <c r="AXO125" s="214"/>
      <c r="AXP125" s="214"/>
      <c r="AXQ125" s="214"/>
      <c r="AXR125" s="214"/>
      <c r="AXS125" s="214"/>
      <c r="AXT125" s="214"/>
      <c r="AXU125" s="214"/>
      <c r="AXV125" s="214"/>
      <c r="AXW125" s="214"/>
      <c r="AXX125" s="214"/>
      <c r="AXY125" s="214"/>
      <c r="AXZ125" s="214"/>
      <c r="AYA125" s="214"/>
      <c r="AYB125" s="214"/>
      <c r="AYC125" s="214"/>
      <c r="AYD125" s="214"/>
      <c r="AYE125" s="214"/>
      <c r="AYF125" s="214"/>
      <c r="AYG125" s="214"/>
      <c r="AYH125" s="214"/>
      <c r="AYI125" s="214"/>
      <c r="AYJ125" s="214"/>
      <c r="AYK125" s="214"/>
      <c r="AYL125" s="214"/>
      <c r="AYM125" s="214"/>
      <c r="AYN125" s="214"/>
      <c r="AYO125" s="214"/>
      <c r="AYP125" s="214"/>
      <c r="AYQ125" s="214"/>
      <c r="AYR125" s="214"/>
      <c r="AYS125" s="214"/>
      <c r="AYT125" s="214"/>
      <c r="AYU125" s="214"/>
      <c r="AYV125" s="214"/>
      <c r="AYW125" s="214"/>
      <c r="AYX125" s="214"/>
      <c r="AYY125" s="214"/>
      <c r="AYZ125" s="214"/>
      <c r="AZA125" s="214"/>
      <c r="AZB125" s="214"/>
      <c r="AZC125" s="214"/>
      <c r="AZD125" s="214"/>
      <c r="AZE125" s="214"/>
      <c r="AZF125" s="214"/>
      <c r="AZG125" s="214"/>
      <c r="AZH125" s="214"/>
      <c r="AZI125" s="214"/>
      <c r="AZJ125" s="214"/>
      <c r="AZK125" s="214"/>
      <c r="AZL125" s="214"/>
      <c r="AZM125" s="214"/>
      <c r="AZN125" s="214"/>
      <c r="AZO125" s="214"/>
      <c r="AZP125" s="214"/>
      <c r="AZQ125" s="214"/>
      <c r="AZR125" s="214"/>
      <c r="AZS125" s="214"/>
      <c r="AZT125" s="214"/>
      <c r="AZU125" s="214"/>
      <c r="AZV125" s="214"/>
      <c r="AZW125" s="214"/>
      <c r="AZX125" s="214"/>
      <c r="AZY125" s="214"/>
      <c r="AZZ125" s="214"/>
      <c r="BAA125" s="214"/>
      <c r="BAB125" s="214"/>
      <c r="BAC125" s="214"/>
      <c r="BAD125" s="214"/>
      <c r="BAE125" s="214"/>
      <c r="BAF125" s="214"/>
      <c r="BAG125" s="214"/>
      <c r="BAH125" s="214"/>
      <c r="BAI125" s="214"/>
      <c r="BAJ125" s="214"/>
      <c r="BAK125" s="214"/>
      <c r="BAL125" s="214"/>
      <c r="BAM125" s="214"/>
      <c r="BAN125" s="214"/>
      <c r="BAO125" s="214"/>
      <c r="BAP125" s="214"/>
      <c r="BAQ125" s="214"/>
      <c r="BAR125" s="214"/>
      <c r="BAS125" s="214"/>
      <c r="BAT125" s="214"/>
      <c r="BAU125" s="214"/>
      <c r="BAV125" s="214"/>
      <c r="BAW125" s="214"/>
      <c r="BAX125" s="214"/>
      <c r="BAY125" s="214"/>
      <c r="BAZ125" s="214"/>
      <c r="BBA125" s="214"/>
      <c r="BBB125" s="214"/>
      <c r="BBC125" s="214"/>
      <c r="BBD125" s="214"/>
      <c r="BBE125" s="214"/>
      <c r="BBF125" s="214"/>
      <c r="BBG125" s="214"/>
      <c r="BBH125" s="214"/>
      <c r="BBI125" s="214"/>
      <c r="BBJ125" s="214"/>
      <c r="BBK125" s="214"/>
      <c r="BBL125" s="214"/>
      <c r="BBM125" s="214"/>
      <c r="BBN125" s="214"/>
      <c r="BBO125" s="214"/>
      <c r="BBP125" s="214"/>
      <c r="BBQ125" s="214"/>
      <c r="BBR125" s="214"/>
      <c r="BBS125" s="214"/>
      <c r="BBT125" s="214"/>
      <c r="BBU125" s="214"/>
      <c r="BBV125" s="214"/>
      <c r="BBW125" s="214"/>
      <c r="BBX125" s="214"/>
      <c r="BBY125" s="214"/>
      <c r="BBZ125" s="214"/>
      <c r="BCA125" s="214"/>
      <c r="BCB125" s="214"/>
      <c r="BCC125" s="214"/>
      <c r="BCD125" s="214"/>
      <c r="BCE125" s="214"/>
      <c r="BCF125" s="214"/>
      <c r="BCG125" s="214"/>
      <c r="BCH125" s="214"/>
      <c r="BCI125" s="214"/>
      <c r="BCJ125" s="214"/>
      <c r="BCK125" s="214"/>
      <c r="BCL125" s="214"/>
      <c r="BCM125" s="214"/>
      <c r="BCN125" s="214"/>
      <c r="BCO125" s="214"/>
      <c r="BCP125" s="214"/>
      <c r="BCQ125" s="214"/>
      <c r="BCR125" s="214"/>
      <c r="BCS125" s="214"/>
      <c r="BCT125" s="214"/>
      <c r="BCU125" s="214"/>
      <c r="BCV125" s="214"/>
      <c r="BCW125" s="214"/>
      <c r="BCX125" s="214"/>
      <c r="BCY125" s="214"/>
      <c r="BCZ125" s="214"/>
      <c r="BDA125" s="214"/>
      <c r="BDB125" s="214"/>
      <c r="BDC125" s="214"/>
      <c r="BDD125" s="214"/>
      <c r="BDE125" s="214"/>
      <c r="BDF125" s="214"/>
      <c r="BDG125" s="214"/>
      <c r="BDH125" s="214"/>
      <c r="BDI125" s="214"/>
      <c r="BDJ125" s="214"/>
      <c r="BDK125" s="214"/>
      <c r="BDL125" s="214"/>
      <c r="BDM125" s="214"/>
      <c r="BDN125" s="214"/>
      <c r="BDO125" s="214"/>
      <c r="BDP125" s="214"/>
      <c r="BDQ125" s="214"/>
      <c r="BDR125" s="214"/>
      <c r="BDS125" s="214"/>
      <c r="BDT125" s="214"/>
      <c r="BDU125" s="214"/>
      <c r="BDV125" s="214"/>
      <c r="BDW125" s="214"/>
      <c r="BDX125" s="214"/>
      <c r="BDY125" s="214"/>
      <c r="BDZ125" s="214"/>
      <c r="BEA125" s="214"/>
      <c r="BEB125" s="214"/>
      <c r="BEC125" s="214"/>
      <c r="BED125" s="214"/>
      <c r="BEE125" s="214"/>
      <c r="BEF125" s="214"/>
      <c r="BEG125" s="214"/>
      <c r="BEH125" s="214"/>
      <c r="BEI125" s="214"/>
      <c r="BEJ125" s="214"/>
      <c r="BEK125" s="214"/>
      <c r="BEL125" s="214"/>
      <c r="BEM125" s="214"/>
      <c r="BEN125" s="214"/>
      <c r="BEO125" s="214"/>
      <c r="BEP125" s="214"/>
      <c r="BEQ125" s="214"/>
      <c r="BER125" s="214"/>
      <c r="BES125" s="214"/>
      <c r="BET125" s="214"/>
      <c r="BEU125" s="214"/>
      <c r="BEV125" s="214"/>
      <c r="BEW125" s="214"/>
      <c r="BEX125" s="214"/>
      <c r="BEY125" s="214"/>
      <c r="BEZ125" s="214"/>
      <c r="BFA125" s="214"/>
      <c r="BFB125" s="214"/>
      <c r="BFC125" s="214"/>
      <c r="BFD125" s="214"/>
      <c r="BFE125" s="214"/>
      <c r="BFF125" s="214"/>
      <c r="BFG125" s="214"/>
      <c r="BFH125" s="214"/>
      <c r="BFI125" s="214"/>
      <c r="BFJ125" s="214"/>
      <c r="BFK125" s="214"/>
      <c r="BFL125" s="214"/>
      <c r="BFM125" s="214"/>
      <c r="BFN125" s="214"/>
      <c r="BFO125" s="214"/>
      <c r="BFP125" s="214"/>
      <c r="BFQ125" s="214"/>
      <c r="BFR125" s="214"/>
      <c r="BFS125" s="214"/>
      <c r="BFT125" s="214"/>
      <c r="BFU125" s="214"/>
      <c r="BFV125" s="214"/>
      <c r="BFW125" s="214"/>
      <c r="BFX125" s="214"/>
      <c r="BFY125" s="214"/>
      <c r="BFZ125" s="214"/>
      <c r="BGA125" s="214"/>
      <c r="BGB125" s="214"/>
      <c r="BGC125" s="214"/>
      <c r="BGD125" s="214"/>
      <c r="BGE125" s="214"/>
      <c r="BGF125" s="214"/>
      <c r="BGG125" s="214"/>
      <c r="BGH125" s="214"/>
      <c r="BGI125" s="214"/>
      <c r="BGJ125" s="214"/>
      <c r="BGK125" s="214"/>
      <c r="BGL125" s="214"/>
      <c r="BGM125" s="214"/>
      <c r="BGN125" s="214"/>
      <c r="BGO125" s="214"/>
      <c r="BGP125" s="214"/>
      <c r="BGQ125" s="214"/>
      <c r="BGR125" s="214"/>
      <c r="BGS125" s="214"/>
      <c r="BGT125" s="214"/>
      <c r="BGU125" s="214"/>
      <c r="BGV125" s="214"/>
      <c r="BGW125" s="214"/>
      <c r="BGX125" s="214"/>
      <c r="BGY125" s="214"/>
      <c r="BGZ125" s="214"/>
      <c r="BHA125" s="214"/>
      <c r="BHB125" s="214"/>
      <c r="BHC125" s="214"/>
      <c r="BHD125" s="214"/>
      <c r="BHE125" s="214"/>
      <c r="BHF125" s="214"/>
      <c r="BHG125" s="214"/>
      <c r="BHH125" s="214"/>
      <c r="BHI125" s="214"/>
      <c r="BHJ125" s="214"/>
      <c r="BHK125" s="214"/>
      <c r="BHL125" s="214"/>
      <c r="BHM125" s="214"/>
      <c r="BHN125" s="214"/>
      <c r="BHO125" s="214"/>
      <c r="BHP125" s="214"/>
      <c r="BHQ125" s="214"/>
      <c r="BHR125" s="214"/>
      <c r="BHS125" s="214"/>
      <c r="BHT125" s="214"/>
      <c r="BHU125" s="214"/>
      <c r="BHV125" s="214"/>
      <c r="BHW125" s="214"/>
    </row>
    <row r="126" spans="1:1583" s="217" customFormat="1" ht="14.25" customHeight="1">
      <c r="A126" s="247"/>
      <c r="B126" s="255" t="s">
        <v>155</v>
      </c>
      <c r="C126" s="255" t="s">
        <v>155</v>
      </c>
      <c r="D126" s="426" t="s">
        <v>657</v>
      </c>
      <c r="E126" s="59" t="s">
        <v>149</v>
      </c>
      <c r="F126" s="141">
        <v>7000</v>
      </c>
      <c r="G126" s="60" t="s">
        <v>776</v>
      </c>
      <c r="H126" s="473">
        <f t="shared" si="25"/>
        <v>0</v>
      </c>
      <c r="I126" s="93"/>
      <c r="J126" s="255"/>
      <c r="K126" s="93"/>
      <c r="L126" s="93"/>
      <c r="M126" s="93"/>
      <c r="N126" s="93"/>
      <c r="O126" s="93"/>
      <c r="P126" s="93"/>
      <c r="Q126" s="93"/>
      <c r="R126" s="93"/>
      <c r="S126" s="93"/>
      <c r="T126" s="93"/>
      <c r="U126" s="93"/>
      <c r="V126" s="93"/>
      <c r="W126" s="93"/>
      <c r="X126" s="93"/>
      <c r="Y126" s="93"/>
      <c r="Z126" s="93"/>
      <c r="AA126" s="93"/>
      <c r="AB126" s="93"/>
      <c r="AC126" s="93"/>
      <c r="AD126" s="93"/>
      <c r="AE126" s="93"/>
      <c r="AF126" s="93"/>
      <c r="AG126" s="93"/>
      <c r="AH126" s="93"/>
      <c r="AI126" s="93"/>
      <c r="AJ126" s="93"/>
      <c r="AK126" s="93"/>
      <c r="AL126" s="93"/>
      <c r="AM126" s="93"/>
      <c r="AN126" s="93"/>
      <c r="AO126" s="214"/>
      <c r="AP126" s="214"/>
      <c r="AQ126" s="214"/>
      <c r="AR126" s="214"/>
      <c r="AS126" s="214"/>
      <c r="AT126" s="214"/>
      <c r="AU126" s="214"/>
      <c r="AV126" s="214"/>
      <c r="AW126" s="214"/>
      <c r="AX126" s="214"/>
      <c r="AY126" s="214"/>
      <c r="AZ126" s="214"/>
      <c r="BA126" s="214"/>
      <c r="BB126" s="214"/>
      <c r="BC126" s="214"/>
      <c r="BD126" s="214"/>
      <c r="BE126" s="214"/>
      <c r="BF126" s="214"/>
      <c r="BG126" s="214"/>
      <c r="BH126" s="214"/>
      <c r="BI126" s="214"/>
      <c r="BJ126" s="214"/>
      <c r="BK126" s="214"/>
      <c r="BL126" s="214"/>
      <c r="BM126" s="214"/>
      <c r="BN126" s="214"/>
      <c r="BO126" s="214"/>
      <c r="BP126" s="214"/>
      <c r="BQ126" s="214"/>
      <c r="BR126" s="214"/>
      <c r="BS126" s="214"/>
      <c r="BT126" s="214"/>
      <c r="BU126" s="214"/>
      <c r="BV126" s="214"/>
      <c r="BW126" s="214"/>
      <c r="BX126" s="214"/>
      <c r="BY126" s="214"/>
      <c r="BZ126" s="214"/>
      <c r="CA126" s="214"/>
      <c r="CB126" s="214"/>
      <c r="CC126" s="214"/>
      <c r="CD126" s="214"/>
      <c r="CE126" s="214"/>
      <c r="CF126" s="214"/>
      <c r="CG126" s="214"/>
      <c r="CH126" s="214"/>
      <c r="CI126" s="214"/>
      <c r="CJ126" s="214"/>
      <c r="CK126" s="214"/>
      <c r="CL126" s="214"/>
      <c r="CM126" s="214"/>
      <c r="CN126" s="214"/>
      <c r="CO126" s="214"/>
      <c r="CP126" s="214"/>
      <c r="CQ126" s="214"/>
      <c r="CR126" s="214"/>
      <c r="CS126" s="214"/>
      <c r="CT126" s="214"/>
      <c r="CU126" s="214"/>
      <c r="CV126" s="214"/>
      <c r="CW126" s="214"/>
      <c r="CX126" s="214"/>
      <c r="CY126" s="214"/>
      <c r="CZ126" s="214"/>
      <c r="DA126" s="214"/>
      <c r="DB126" s="214"/>
      <c r="DC126" s="214"/>
      <c r="DD126" s="214"/>
      <c r="DE126" s="214"/>
      <c r="DF126" s="214"/>
      <c r="DG126" s="214"/>
      <c r="DH126" s="214"/>
      <c r="DI126" s="214"/>
      <c r="DJ126" s="214"/>
      <c r="DK126" s="214"/>
      <c r="DL126" s="214"/>
      <c r="DM126" s="214"/>
      <c r="DN126" s="214"/>
      <c r="DO126" s="214"/>
      <c r="DP126" s="214"/>
      <c r="DQ126" s="214"/>
      <c r="DR126" s="214"/>
      <c r="DS126" s="214"/>
      <c r="DT126" s="214"/>
      <c r="DU126" s="214"/>
      <c r="DV126" s="214"/>
      <c r="DW126" s="214"/>
      <c r="DX126" s="214"/>
      <c r="DY126" s="214"/>
      <c r="DZ126" s="214"/>
      <c r="EA126" s="214"/>
      <c r="EB126" s="214"/>
      <c r="EC126" s="214"/>
      <c r="ED126" s="214"/>
      <c r="EE126" s="214"/>
      <c r="EF126" s="214"/>
      <c r="EG126" s="214"/>
      <c r="EH126" s="214"/>
      <c r="EI126" s="214"/>
      <c r="EJ126" s="214"/>
      <c r="EK126" s="214"/>
      <c r="EL126" s="214"/>
      <c r="EM126" s="214"/>
      <c r="EN126" s="214"/>
      <c r="EO126" s="214"/>
      <c r="EP126" s="214"/>
      <c r="EQ126" s="214"/>
      <c r="ER126" s="214"/>
      <c r="ES126" s="214"/>
      <c r="ET126" s="214"/>
      <c r="EU126" s="214"/>
      <c r="EV126" s="214"/>
      <c r="EW126" s="214"/>
      <c r="EX126" s="214"/>
      <c r="EY126" s="214"/>
      <c r="EZ126" s="214"/>
      <c r="FA126" s="214"/>
      <c r="FB126" s="214"/>
      <c r="FC126" s="214"/>
      <c r="FD126" s="214"/>
      <c r="FE126" s="214"/>
      <c r="FF126" s="214"/>
      <c r="FG126" s="214"/>
      <c r="FH126" s="214"/>
      <c r="FI126" s="214"/>
      <c r="FJ126" s="214"/>
      <c r="FK126" s="214"/>
      <c r="FL126" s="214"/>
      <c r="FM126" s="214"/>
      <c r="FN126" s="214"/>
      <c r="FO126" s="214"/>
      <c r="FP126" s="214"/>
      <c r="FQ126" s="214"/>
      <c r="FR126" s="214"/>
      <c r="FS126" s="214"/>
      <c r="FT126" s="214"/>
      <c r="FU126" s="214"/>
      <c r="FV126" s="214"/>
      <c r="FW126" s="214"/>
      <c r="FX126" s="214"/>
      <c r="FY126" s="214"/>
      <c r="FZ126" s="214"/>
      <c r="GA126" s="214"/>
      <c r="GB126" s="214"/>
      <c r="GC126" s="214"/>
      <c r="GD126" s="214"/>
      <c r="GE126" s="214"/>
      <c r="GF126" s="214"/>
      <c r="GG126" s="214"/>
      <c r="GH126" s="214"/>
      <c r="GI126" s="214"/>
      <c r="GJ126" s="214"/>
      <c r="GK126" s="214"/>
      <c r="GL126" s="214"/>
      <c r="GM126" s="214"/>
      <c r="GN126" s="214"/>
      <c r="GO126" s="214"/>
      <c r="GP126" s="214"/>
      <c r="GQ126" s="214"/>
      <c r="GR126" s="214"/>
      <c r="GS126" s="214"/>
      <c r="GT126" s="214"/>
      <c r="GU126" s="214"/>
      <c r="GV126" s="214"/>
      <c r="GW126" s="214"/>
      <c r="GX126" s="214"/>
      <c r="GY126" s="214"/>
      <c r="GZ126" s="214"/>
      <c r="HA126" s="214"/>
      <c r="HB126" s="214"/>
      <c r="HC126" s="214"/>
      <c r="HD126" s="214"/>
      <c r="HE126" s="214"/>
      <c r="HF126" s="214"/>
      <c r="HG126" s="214"/>
      <c r="HH126" s="214"/>
      <c r="HI126" s="214"/>
      <c r="HJ126" s="214"/>
      <c r="HK126" s="214"/>
      <c r="HL126" s="214"/>
      <c r="HM126" s="214"/>
      <c r="HN126" s="214"/>
      <c r="HO126" s="214"/>
      <c r="HP126" s="214"/>
      <c r="HQ126" s="214"/>
      <c r="HR126" s="214"/>
      <c r="HS126" s="214"/>
      <c r="HT126" s="214"/>
      <c r="HU126" s="214"/>
      <c r="HV126" s="214"/>
      <c r="HW126" s="214"/>
      <c r="HX126" s="214"/>
      <c r="HY126" s="214"/>
      <c r="HZ126" s="214"/>
      <c r="IA126" s="214"/>
      <c r="IB126" s="214"/>
      <c r="IC126" s="214"/>
      <c r="ID126" s="214"/>
      <c r="IE126" s="214"/>
      <c r="IF126" s="214"/>
      <c r="IG126" s="214"/>
      <c r="IH126" s="214"/>
      <c r="II126" s="214"/>
      <c r="IJ126" s="214"/>
      <c r="IK126" s="214"/>
      <c r="IL126" s="214"/>
      <c r="IM126" s="214"/>
      <c r="IN126" s="214"/>
      <c r="IO126" s="214"/>
      <c r="IP126" s="214"/>
      <c r="IQ126" s="214"/>
      <c r="IR126" s="214"/>
      <c r="IS126" s="214"/>
      <c r="IT126" s="214"/>
      <c r="IU126" s="214"/>
      <c r="IV126" s="214"/>
      <c r="IW126" s="214"/>
      <c r="IX126" s="214"/>
      <c r="IY126" s="214"/>
      <c r="IZ126" s="214"/>
      <c r="JA126" s="214"/>
      <c r="JB126" s="214"/>
      <c r="JC126" s="214"/>
      <c r="JD126" s="214"/>
      <c r="JE126" s="214"/>
      <c r="JF126" s="214"/>
      <c r="JG126" s="214"/>
      <c r="JH126" s="214"/>
      <c r="JI126" s="214"/>
      <c r="JJ126" s="214"/>
      <c r="JK126" s="214"/>
      <c r="JL126" s="214"/>
      <c r="JM126" s="214"/>
      <c r="JN126" s="214"/>
      <c r="JO126" s="214"/>
      <c r="JP126" s="214"/>
      <c r="JQ126" s="214"/>
      <c r="JR126" s="214"/>
      <c r="JS126" s="214"/>
      <c r="JT126" s="214"/>
      <c r="JU126" s="214"/>
      <c r="JV126" s="214"/>
      <c r="JW126" s="214"/>
      <c r="JX126" s="214"/>
      <c r="JY126" s="214"/>
      <c r="JZ126" s="214"/>
      <c r="KA126" s="214"/>
      <c r="KB126" s="214"/>
      <c r="KC126" s="214"/>
      <c r="KD126" s="214"/>
      <c r="KE126" s="214"/>
      <c r="KF126" s="214"/>
      <c r="KG126" s="214"/>
      <c r="KH126" s="214"/>
      <c r="KI126" s="214"/>
      <c r="KJ126" s="214"/>
      <c r="KK126" s="214"/>
      <c r="KL126" s="214"/>
      <c r="KM126" s="214"/>
      <c r="KN126" s="214"/>
      <c r="KO126" s="214"/>
      <c r="KP126" s="214"/>
      <c r="KQ126" s="214"/>
      <c r="KR126" s="214"/>
      <c r="KS126" s="214"/>
      <c r="KT126" s="214"/>
      <c r="KU126" s="214"/>
      <c r="KV126" s="214"/>
      <c r="KW126" s="214"/>
      <c r="KX126" s="214"/>
      <c r="KY126" s="214"/>
      <c r="KZ126" s="214"/>
      <c r="LA126" s="214"/>
      <c r="LB126" s="214"/>
      <c r="LC126" s="214"/>
      <c r="LD126" s="214"/>
      <c r="LE126" s="214"/>
      <c r="LF126" s="214"/>
      <c r="LG126" s="214"/>
      <c r="LH126" s="214"/>
      <c r="LI126" s="214"/>
      <c r="LJ126" s="214"/>
      <c r="LK126" s="214"/>
      <c r="LL126" s="214"/>
      <c r="LM126" s="214"/>
      <c r="LN126" s="214"/>
      <c r="LO126" s="214"/>
      <c r="LP126" s="214"/>
      <c r="LQ126" s="214"/>
      <c r="LR126" s="214"/>
      <c r="LS126" s="214"/>
      <c r="LT126" s="214"/>
      <c r="LU126" s="214"/>
      <c r="LV126" s="214"/>
      <c r="LW126" s="214"/>
      <c r="LX126" s="214"/>
      <c r="LY126" s="214"/>
      <c r="LZ126" s="214"/>
      <c r="MA126" s="214"/>
      <c r="MB126" s="214"/>
      <c r="MC126" s="214"/>
      <c r="MD126" s="214"/>
      <c r="ME126" s="214"/>
      <c r="MF126" s="214"/>
      <c r="MG126" s="214"/>
      <c r="MH126" s="214"/>
      <c r="MI126" s="214"/>
      <c r="MJ126" s="214"/>
      <c r="MK126" s="214"/>
      <c r="ML126" s="214"/>
      <c r="MM126" s="214"/>
      <c r="MN126" s="214"/>
      <c r="MO126" s="214"/>
      <c r="MP126" s="214"/>
      <c r="MQ126" s="214"/>
      <c r="MR126" s="214"/>
      <c r="MS126" s="214"/>
      <c r="MT126" s="214"/>
      <c r="MU126" s="214"/>
      <c r="MV126" s="214"/>
      <c r="MW126" s="214"/>
      <c r="MX126" s="214"/>
      <c r="MY126" s="214"/>
      <c r="MZ126" s="214"/>
      <c r="NA126" s="214"/>
      <c r="NB126" s="214"/>
      <c r="NC126" s="214"/>
      <c r="ND126" s="214"/>
      <c r="NE126" s="214"/>
      <c r="NF126" s="214"/>
      <c r="NG126" s="214"/>
      <c r="NH126" s="214"/>
      <c r="NI126" s="214"/>
      <c r="NJ126" s="214"/>
      <c r="NK126" s="214"/>
      <c r="NL126" s="214"/>
      <c r="NM126" s="214"/>
      <c r="NN126" s="214"/>
      <c r="NO126" s="214"/>
      <c r="NP126" s="214"/>
      <c r="NQ126" s="214"/>
      <c r="NR126" s="214"/>
      <c r="NS126" s="214"/>
      <c r="NT126" s="214"/>
      <c r="NU126" s="214"/>
      <c r="NV126" s="214"/>
      <c r="NW126" s="214"/>
      <c r="NX126" s="214"/>
      <c r="NY126" s="214"/>
      <c r="NZ126" s="214"/>
      <c r="OA126" s="214"/>
      <c r="OB126" s="214"/>
      <c r="OC126" s="214"/>
      <c r="OD126" s="214"/>
      <c r="OE126" s="214"/>
      <c r="OF126" s="214"/>
      <c r="OG126" s="214"/>
      <c r="OH126" s="214"/>
      <c r="OI126" s="214"/>
      <c r="OJ126" s="214"/>
      <c r="OK126" s="214"/>
      <c r="OL126" s="214"/>
      <c r="OM126" s="214"/>
      <c r="ON126" s="214"/>
      <c r="OO126" s="214"/>
      <c r="OP126" s="214"/>
      <c r="OQ126" s="214"/>
      <c r="OR126" s="214"/>
      <c r="OS126" s="214"/>
      <c r="OT126" s="214"/>
      <c r="OU126" s="214"/>
      <c r="OV126" s="214"/>
      <c r="OW126" s="214"/>
      <c r="OX126" s="214"/>
      <c r="OY126" s="214"/>
      <c r="OZ126" s="214"/>
      <c r="PA126" s="214"/>
      <c r="PB126" s="214"/>
      <c r="PC126" s="214"/>
      <c r="PD126" s="214"/>
      <c r="PE126" s="214"/>
      <c r="PF126" s="214"/>
      <c r="PG126" s="214"/>
      <c r="PH126" s="214"/>
      <c r="PI126" s="214"/>
      <c r="PJ126" s="214"/>
      <c r="PK126" s="214"/>
      <c r="PL126" s="214"/>
      <c r="PM126" s="214"/>
      <c r="PN126" s="214"/>
      <c r="PO126" s="214"/>
      <c r="PP126" s="214"/>
      <c r="PQ126" s="214"/>
      <c r="PR126" s="214"/>
      <c r="PS126" s="214"/>
      <c r="PT126" s="214"/>
      <c r="PU126" s="214"/>
      <c r="PV126" s="214"/>
      <c r="PW126" s="214"/>
      <c r="PX126" s="214"/>
      <c r="PY126" s="214"/>
      <c r="PZ126" s="214"/>
      <c r="QA126" s="214"/>
      <c r="QB126" s="214"/>
      <c r="QC126" s="214"/>
      <c r="QD126" s="214"/>
      <c r="QE126" s="214"/>
      <c r="QF126" s="214"/>
      <c r="QG126" s="214"/>
      <c r="QH126" s="214"/>
      <c r="QI126" s="214"/>
      <c r="QJ126" s="214"/>
      <c r="QK126" s="214"/>
      <c r="QL126" s="214"/>
      <c r="QM126" s="214"/>
      <c r="QN126" s="214"/>
      <c r="QO126" s="214"/>
      <c r="QP126" s="214"/>
      <c r="QQ126" s="214"/>
      <c r="QR126" s="214"/>
      <c r="QS126" s="214"/>
      <c r="QT126" s="214"/>
      <c r="QU126" s="214"/>
      <c r="QV126" s="214"/>
      <c r="QW126" s="214"/>
      <c r="QX126" s="214"/>
      <c r="QY126" s="214"/>
      <c r="QZ126" s="214"/>
      <c r="RA126" s="214"/>
      <c r="RB126" s="214"/>
      <c r="RC126" s="214"/>
      <c r="RD126" s="214"/>
      <c r="RE126" s="214"/>
      <c r="RF126" s="214"/>
      <c r="RG126" s="214"/>
      <c r="RH126" s="214"/>
      <c r="RI126" s="214"/>
      <c r="RJ126" s="214"/>
      <c r="RK126" s="214"/>
      <c r="RL126" s="214"/>
      <c r="RM126" s="214"/>
      <c r="RN126" s="214"/>
      <c r="RO126" s="214"/>
      <c r="RP126" s="214"/>
      <c r="RQ126" s="214"/>
      <c r="RR126" s="214"/>
      <c r="RS126" s="214"/>
      <c r="RT126" s="214"/>
      <c r="RU126" s="214"/>
      <c r="RV126" s="214"/>
      <c r="RW126" s="214"/>
      <c r="RX126" s="214"/>
      <c r="RY126" s="214"/>
      <c r="RZ126" s="214"/>
      <c r="SA126" s="214"/>
      <c r="SB126" s="214"/>
      <c r="SC126" s="214"/>
      <c r="SD126" s="214"/>
      <c r="SE126" s="214"/>
      <c r="SF126" s="214"/>
      <c r="SG126" s="214"/>
      <c r="SH126" s="214"/>
      <c r="SI126" s="214"/>
      <c r="SJ126" s="214"/>
      <c r="SK126" s="214"/>
      <c r="SL126" s="214"/>
      <c r="SM126" s="214"/>
      <c r="SN126" s="214"/>
      <c r="SO126" s="214"/>
      <c r="SP126" s="214"/>
      <c r="SQ126" s="214"/>
      <c r="SR126" s="214"/>
      <c r="SS126" s="214"/>
      <c r="ST126" s="214"/>
      <c r="SU126" s="214"/>
      <c r="SV126" s="214"/>
      <c r="SW126" s="214"/>
      <c r="SX126" s="214"/>
      <c r="SY126" s="214"/>
      <c r="SZ126" s="214"/>
      <c r="TA126" s="214"/>
      <c r="TB126" s="214"/>
      <c r="TC126" s="214"/>
      <c r="TD126" s="214"/>
      <c r="TE126" s="214"/>
      <c r="TF126" s="214"/>
      <c r="TG126" s="214"/>
      <c r="TH126" s="214"/>
      <c r="TI126" s="214"/>
      <c r="TJ126" s="214"/>
      <c r="TK126" s="214"/>
      <c r="TL126" s="214"/>
      <c r="TM126" s="214"/>
      <c r="TN126" s="214"/>
      <c r="TO126" s="214"/>
      <c r="TP126" s="214"/>
      <c r="TQ126" s="214"/>
      <c r="TR126" s="214"/>
      <c r="TS126" s="214"/>
      <c r="TT126" s="214"/>
      <c r="TU126" s="214"/>
      <c r="TV126" s="214"/>
      <c r="TW126" s="214"/>
      <c r="TX126" s="214"/>
      <c r="TY126" s="214"/>
      <c r="TZ126" s="214"/>
      <c r="UA126" s="214"/>
      <c r="UB126" s="214"/>
      <c r="UC126" s="214"/>
      <c r="UD126" s="214"/>
      <c r="UE126" s="214"/>
      <c r="UF126" s="214"/>
      <c r="UG126" s="214"/>
      <c r="UH126" s="214"/>
      <c r="UI126" s="214"/>
      <c r="UJ126" s="214"/>
      <c r="UK126" s="214"/>
      <c r="UL126" s="214"/>
      <c r="UM126" s="214"/>
      <c r="UN126" s="214"/>
      <c r="UO126" s="214"/>
      <c r="UP126" s="214"/>
      <c r="UQ126" s="214"/>
      <c r="UR126" s="214"/>
      <c r="US126" s="214"/>
      <c r="UT126" s="214"/>
      <c r="UU126" s="214"/>
      <c r="UV126" s="214"/>
      <c r="UW126" s="214"/>
      <c r="UX126" s="214"/>
      <c r="UY126" s="214"/>
      <c r="UZ126" s="214"/>
      <c r="VA126" s="214"/>
      <c r="VB126" s="214"/>
      <c r="VC126" s="214"/>
      <c r="VD126" s="214"/>
      <c r="VE126" s="214"/>
      <c r="VF126" s="214"/>
      <c r="VG126" s="214"/>
      <c r="VH126" s="214"/>
      <c r="VI126" s="214"/>
      <c r="VJ126" s="214"/>
      <c r="VK126" s="214"/>
      <c r="VL126" s="214"/>
      <c r="VM126" s="214"/>
      <c r="VN126" s="214"/>
      <c r="VO126" s="214"/>
      <c r="VP126" s="214"/>
      <c r="VQ126" s="214"/>
      <c r="VR126" s="214"/>
      <c r="VS126" s="214"/>
      <c r="VT126" s="214"/>
      <c r="VU126" s="214"/>
      <c r="VV126" s="214"/>
      <c r="VW126" s="214"/>
      <c r="VX126" s="214"/>
      <c r="VY126" s="214"/>
      <c r="VZ126" s="214"/>
      <c r="WA126" s="214"/>
      <c r="WB126" s="214"/>
      <c r="WC126" s="214"/>
      <c r="WD126" s="214"/>
      <c r="WE126" s="214"/>
      <c r="WF126" s="214"/>
      <c r="WG126" s="214"/>
      <c r="WH126" s="214"/>
      <c r="WI126" s="214"/>
      <c r="WJ126" s="214"/>
      <c r="WK126" s="214"/>
      <c r="WL126" s="214"/>
      <c r="WM126" s="214"/>
      <c r="WN126" s="214"/>
      <c r="WO126" s="214"/>
      <c r="WP126" s="214"/>
      <c r="WQ126" s="214"/>
      <c r="WR126" s="214"/>
      <c r="WS126" s="214"/>
      <c r="WT126" s="214"/>
      <c r="WU126" s="214"/>
      <c r="WV126" s="214"/>
      <c r="WW126" s="214"/>
      <c r="WX126" s="214"/>
      <c r="WY126" s="214"/>
      <c r="WZ126" s="214"/>
      <c r="XA126" s="214"/>
      <c r="XB126" s="214"/>
      <c r="XC126" s="214"/>
      <c r="XD126" s="214"/>
      <c r="XE126" s="214"/>
      <c r="XF126" s="214"/>
      <c r="XG126" s="214"/>
      <c r="XH126" s="214"/>
      <c r="XI126" s="214"/>
      <c r="XJ126" s="214"/>
      <c r="XK126" s="214"/>
      <c r="XL126" s="214"/>
      <c r="XM126" s="214"/>
      <c r="XN126" s="214"/>
      <c r="XO126" s="214"/>
      <c r="XP126" s="214"/>
      <c r="XQ126" s="214"/>
      <c r="XR126" s="214"/>
      <c r="XS126" s="214"/>
      <c r="XT126" s="214"/>
      <c r="XU126" s="214"/>
      <c r="XV126" s="214"/>
      <c r="XW126" s="214"/>
      <c r="XX126" s="214"/>
      <c r="XY126" s="214"/>
      <c r="XZ126" s="214"/>
      <c r="YA126" s="214"/>
      <c r="YB126" s="214"/>
      <c r="YC126" s="214"/>
      <c r="YD126" s="214"/>
      <c r="YE126" s="214"/>
      <c r="YF126" s="214"/>
      <c r="YG126" s="214"/>
      <c r="YH126" s="214"/>
      <c r="YI126" s="214"/>
      <c r="YJ126" s="214"/>
      <c r="YK126" s="214"/>
      <c r="YL126" s="214"/>
      <c r="YM126" s="214"/>
      <c r="YN126" s="214"/>
      <c r="YO126" s="214"/>
      <c r="YP126" s="214"/>
      <c r="YQ126" s="214"/>
      <c r="YR126" s="214"/>
      <c r="YS126" s="214"/>
      <c r="YT126" s="214"/>
      <c r="YU126" s="214"/>
      <c r="YV126" s="214"/>
      <c r="YW126" s="214"/>
      <c r="YX126" s="214"/>
      <c r="YY126" s="214"/>
      <c r="YZ126" s="214"/>
      <c r="ZA126" s="214"/>
      <c r="ZB126" s="214"/>
      <c r="ZC126" s="214"/>
      <c r="ZD126" s="214"/>
      <c r="ZE126" s="214"/>
      <c r="ZF126" s="214"/>
      <c r="ZG126" s="214"/>
      <c r="ZH126" s="214"/>
      <c r="ZI126" s="214"/>
      <c r="ZJ126" s="214"/>
      <c r="ZK126" s="214"/>
      <c r="ZL126" s="214"/>
      <c r="ZM126" s="214"/>
      <c r="ZN126" s="214"/>
      <c r="ZO126" s="214"/>
      <c r="ZP126" s="214"/>
      <c r="ZQ126" s="214"/>
      <c r="ZR126" s="214"/>
      <c r="ZS126" s="214"/>
      <c r="ZT126" s="214"/>
      <c r="ZU126" s="214"/>
      <c r="ZV126" s="214"/>
      <c r="ZW126" s="214"/>
      <c r="ZX126" s="214"/>
      <c r="ZY126" s="214"/>
      <c r="ZZ126" s="214"/>
      <c r="AAA126" s="214"/>
      <c r="AAB126" s="214"/>
      <c r="AAC126" s="214"/>
      <c r="AAD126" s="214"/>
      <c r="AAE126" s="214"/>
      <c r="AAF126" s="214"/>
      <c r="AAG126" s="214"/>
      <c r="AAH126" s="214"/>
      <c r="AAI126" s="214"/>
      <c r="AAJ126" s="214"/>
      <c r="AAK126" s="214"/>
      <c r="AAL126" s="214"/>
      <c r="AAM126" s="214"/>
      <c r="AAN126" s="214"/>
      <c r="AAO126" s="214"/>
      <c r="AAP126" s="214"/>
      <c r="AAQ126" s="214"/>
      <c r="AAR126" s="214"/>
      <c r="AAS126" s="214"/>
      <c r="AAT126" s="214"/>
      <c r="AAU126" s="214"/>
      <c r="AAV126" s="214"/>
      <c r="AAW126" s="214"/>
      <c r="AAX126" s="214"/>
      <c r="AAY126" s="214"/>
      <c r="AAZ126" s="214"/>
      <c r="ABA126" s="214"/>
      <c r="ABB126" s="214"/>
      <c r="ABC126" s="214"/>
      <c r="ABD126" s="214"/>
      <c r="ABE126" s="214"/>
      <c r="ABF126" s="214"/>
      <c r="ABG126" s="214"/>
      <c r="ABH126" s="214"/>
      <c r="ABI126" s="214"/>
      <c r="ABJ126" s="214"/>
      <c r="ABK126" s="214"/>
      <c r="ABL126" s="214"/>
      <c r="ABM126" s="214"/>
      <c r="ABN126" s="214"/>
      <c r="ABO126" s="214"/>
      <c r="ABP126" s="214"/>
      <c r="ABQ126" s="214"/>
      <c r="ABR126" s="214"/>
      <c r="ABS126" s="214"/>
      <c r="ABT126" s="214"/>
      <c r="ABU126" s="214"/>
      <c r="ABV126" s="214"/>
      <c r="ABW126" s="214"/>
      <c r="ABX126" s="214"/>
      <c r="ABY126" s="214"/>
      <c r="ABZ126" s="214"/>
      <c r="ACA126" s="214"/>
      <c r="ACB126" s="214"/>
      <c r="ACC126" s="214"/>
      <c r="ACD126" s="214"/>
      <c r="ACE126" s="214"/>
      <c r="ACF126" s="214"/>
      <c r="ACG126" s="214"/>
      <c r="ACH126" s="214"/>
      <c r="ACI126" s="214"/>
      <c r="ACJ126" s="214"/>
      <c r="ACK126" s="214"/>
      <c r="ACL126" s="214"/>
      <c r="ACM126" s="214"/>
      <c r="ACN126" s="214"/>
      <c r="ACO126" s="214"/>
      <c r="ACP126" s="214"/>
      <c r="ACQ126" s="214"/>
      <c r="ACR126" s="214"/>
      <c r="ACS126" s="214"/>
      <c r="ACT126" s="214"/>
      <c r="ACU126" s="214"/>
      <c r="ACV126" s="214"/>
      <c r="ACW126" s="214"/>
      <c r="ACX126" s="214"/>
      <c r="ACY126" s="214"/>
      <c r="ACZ126" s="214"/>
      <c r="ADA126" s="214"/>
      <c r="ADB126" s="214"/>
      <c r="ADC126" s="214"/>
      <c r="ADD126" s="214"/>
      <c r="ADE126" s="214"/>
      <c r="ADF126" s="214"/>
      <c r="ADG126" s="214"/>
      <c r="ADH126" s="214"/>
      <c r="ADI126" s="214"/>
      <c r="ADJ126" s="214"/>
      <c r="ADK126" s="214"/>
      <c r="ADL126" s="214"/>
      <c r="ADM126" s="214"/>
      <c r="ADN126" s="214"/>
      <c r="ADO126" s="214"/>
      <c r="ADP126" s="214"/>
      <c r="ADQ126" s="214"/>
      <c r="ADR126" s="214"/>
      <c r="ADS126" s="214"/>
      <c r="ADT126" s="214"/>
      <c r="ADU126" s="214"/>
      <c r="ADV126" s="214"/>
      <c r="ADW126" s="214"/>
      <c r="ADX126" s="214"/>
      <c r="ADY126" s="214"/>
      <c r="ADZ126" s="214"/>
      <c r="AEA126" s="214"/>
      <c r="AEB126" s="214"/>
      <c r="AEC126" s="214"/>
      <c r="AED126" s="214"/>
      <c r="AEE126" s="214"/>
      <c r="AEF126" s="214"/>
      <c r="AEG126" s="214"/>
      <c r="AEH126" s="214"/>
      <c r="AEI126" s="214"/>
      <c r="AEJ126" s="214"/>
      <c r="AEK126" s="214"/>
      <c r="AEL126" s="214"/>
      <c r="AEM126" s="214"/>
      <c r="AEN126" s="214"/>
      <c r="AEO126" s="214"/>
      <c r="AEP126" s="214"/>
      <c r="AEQ126" s="214"/>
      <c r="AER126" s="214"/>
      <c r="AES126" s="214"/>
      <c r="AET126" s="214"/>
      <c r="AEU126" s="214"/>
      <c r="AEV126" s="214"/>
      <c r="AEW126" s="214"/>
      <c r="AEX126" s="214"/>
      <c r="AEY126" s="214"/>
      <c r="AEZ126" s="214"/>
      <c r="AFA126" s="214"/>
      <c r="AFB126" s="214"/>
      <c r="AFC126" s="214"/>
      <c r="AFD126" s="214"/>
      <c r="AFE126" s="214"/>
      <c r="AFF126" s="214"/>
      <c r="AFG126" s="214"/>
      <c r="AFH126" s="214"/>
      <c r="AFI126" s="214"/>
      <c r="AFJ126" s="214"/>
      <c r="AFK126" s="214"/>
      <c r="AFL126" s="214"/>
      <c r="AFM126" s="214"/>
      <c r="AFN126" s="214"/>
      <c r="AFO126" s="214"/>
      <c r="AFP126" s="214"/>
      <c r="AFQ126" s="214"/>
      <c r="AFR126" s="214"/>
      <c r="AFS126" s="214"/>
      <c r="AFT126" s="214"/>
      <c r="AFU126" s="214"/>
      <c r="AFV126" s="214"/>
      <c r="AFW126" s="214"/>
      <c r="AFX126" s="214"/>
      <c r="AFY126" s="214"/>
      <c r="AFZ126" s="214"/>
      <c r="AGA126" s="214"/>
      <c r="AGB126" s="214"/>
      <c r="AGC126" s="214"/>
      <c r="AGD126" s="214"/>
      <c r="AGE126" s="214"/>
      <c r="AGF126" s="214"/>
      <c r="AGG126" s="214"/>
      <c r="AGH126" s="214"/>
      <c r="AGI126" s="214"/>
      <c r="AGJ126" s="214"/>
      <c r="AGK126" s="214"/>
      <c r="AGL126" s="214"/>
      <c r="AGM126" s="214"/>
      <c r="AGN126" s="214"/>
      <c r="AGO126" s="214"/>
      <c r="AGP126" s="214"/>
      <c r="AGQ126" s="214"/>
      <c r="AGR126" s="214"/>
      <c r="AGS126" s="214"/>
      <c r="AGT126" s="214"/>
      <c r="AGU126" s="214"/>
      <c r="AGV126" s="214"/>
      <c r="AGW126" s="214"/>
      <c r="AGX126" s="214"/>
      <c r="AGY126" s="214"/>
      <c r="AGZ126" s="214"/>
      <c r="AHA126" s="214"/>
      <c r="AHB126" s="214"/>
      <c r="AHC126" s="214"/>
      <c r="AHD126" s="214"/>
      <c r="AHE126" s="214"/>
      <c r="AHF126" s="214"/>
      <c r="AHG126" s="214"/>
      <c r="AHH126" s="214"/>
      <c r="AHI126" s="214"/>
      <c r="AHJ126" s="214"/>
      <c r="AHK126" s="214"/>
      <c r="AHL126" s="214"/>
      <c r="AHM126" s="214"/>
      <c r="AHN126" s="214"/>
      <c r="AHO126" s="214"/>
      <c r="AHP126" s="214"/>
      <c r="AHQ126" s="214"/>
      <c r="AHR126" s="214"/>
      <c r="AHS126" s="214"/>
      <c r="AHT126" s="214"/>
      <c r="AHU126" s="214"/>
      <c r="AHV126" s="214"/>
      <c r="AHW126" s="214"/>
      <c r="AHX126" s="214"/>
      <c r="AHY126" s="214"/>
      <c r="AHZ126" s="214"/>
      <c r="AIA126" s="214"/>
      <c r="AIB126" s="214"/>
      <c r="AIC126" s="214"/>
      <c r="AID126" s="214"/>
      <c r="AIE126" s="214"/>
      <c r="AIF126" s="214"/>
      <c r="AIG126" s="214"/>
      <c r="AIH126" s="214"/>
      <c r="AII126" s="214"/>
      <c r="AIJ126" s="214"/>
      <c r="AIK126" s="214"/>
      <c r="AIL126" s="214"/>
      <c r="AIM126" s="214"/>
      <c r="AIN126" s="214"/>
      <c r="AIO126" s="214"/>
      <c r="AIP126" s="214"/>
      <c r="AIQ126" s="214"/>
      <c r="AIR126" s="214"/>
      <c r="AIS126" s="214"/>
      <c r="AIT126" s="214"/>
      <c r="AIU126" s="214"/>
      <c r="AIV126" s="214"/>
      <c r="AIW126" s="214"/>
      <c r="AIX126" s="214"/>
      <c r="AIY126" s="214"/>
      <c r="AIZ126" s="214"/>
      <c r="AJA126" s="214"/>
      <c r="AJB126" s="214"/>
      <c r="AJC126" s="214"/>
      <c r="AJD126" s="214"/>
      <c r="AJE126" s="214"/>
      <c r="AJF126" s="214"/>
      <c r="AJG126" s="214"/>
      <c r="AJH126" s="214"/>
      <c r="AJI126" s="214"/>
      <c r="AJJ126" s="214"/>
      <c r="AJK126" s="214"/>
      <c r="AJL126" s="214"/>
      <c r="AJM126" s="214"/>
      <c r="AJN126" s="214"/>
      <c r="AJO126" s="214"/>
      <c r="AJP126" s="214"/>
      <c r="AJQ126" s="214"/>
      <c r="AJR126" s="214"/>
      <c r="AJS126" s="214"/>
      <c r="AJT126" s="214"/>
      <c r="AJU126" s="214"/>
      <c r="AJV126" s="214"/>
      <c r="AJW126" s="214"/>
      <c r="AJX126" s="214"/>
      <c r="AJY126" s="214"/>
      <c r="AJZ126" s="214"/>
      <c r="AKA126" s="214"/>
      <c r="AKB126" s="214"/>
      <c r="AKC126" s="214"/>
      <c r="AKD126" s="214"/>
      <c r="AKE126" s="214"/>
      <c r="AKF126" s="214"/>
      <c r="AKG126" s="214"/>
      <c r="AKH126" s="214"/>
      <c r="AKI126" s="214"/>
      <c r="AKJ126" s="214"/>
      <c r="AKK126" s="214"/>
      <c r="AKL126" s="214"/>
      <c r="AKM126" s="214"/>
      <c r="AKN126" s="214"/>
      <c r="AKO126" s="214"/>
      <c r="AKP126" s="214"/>
      <c r="AKQ126" s="214"/>
      <c r="AKR126" s="214"/>
      <c r="AKS126" s="214"/>
      <c r="AKT126" s="214"/>
      <c r="AKU126" s="214"/>
      <c r="AKV126" s="214"/>
      <c r="AKW126" s="214"/>
      <c r="AKX126" s="214"/>
      <c r="AKY126" s="214"/>
      <c r="AKZ126" s="214"/>
      <c r="ALA126" s="214"/>
      <c r="ALB126" s="214"/>
      <c r="ALC126" s="214"/>
      <c r="ALD126" s="214"/>
      <c r="ALE126" s="214"/>
      <c r="ALF126" s="214"/>
      <c r="ALG126" s="214"/>
      <c r="ALH126" s="214"/>
      <c r="ALI126" s="214"/>
      <c r="ALJ126" s="214"/>
      <c r="ALK126" s="214"/>
      <c r="ALL126" s="214"/>
      <c r="ALM126" s="214"/>
      <c r="ALN126" s="214"/>
      <c r="ALO126" s="214"/>
      <c r="ALP126" s="214"/>
      <c r="ALQ126" s="214"/>
      <c r="ALR126" s="214"/>
      <c r="ALS126" s="214"/>
      <c r="ALT126" s="214"/>
      <c r="ALU126" s="214"/>
      <c r="ALV126" s="214"/>
      <c r="ALW126" s="214"/>
      <c r="ALX126" s="214"/>
      <c r="ALY126" s="214"/>
      <c r="ALZ126" s="214"/>
      <c r="AMA126" s="214"/>
      <c r="AMB126" s="214"/>
      <c r="AMC126" s="214"/>
      <c r="AMD126" s="214"/>
      <c r="AME126" s="214"/>
      <c r="AMF126" s="214"/>
      <c r="AMG126" s="214"/>
      <c r="AMH126" s="214"/>
      <c r="AMI126" s="214"/>
      <c r="AMJ126" s="214"/>
      <c r="AMK126" s="214"/>
      <c r="AML126" s="214"/>
      <c r="AMM126" s="214"/>
      <c r="AMN126" s="214"/>
      <c r="AMO126" s="214"/>
      <c r="AMP126" s="214"/>
      <c r="AMQ126" s="214"/>
      <c r="AMR126" s="214"/>
      <c r="AMS126" s="214"/>
      <c r="AMT126" s="214"/>
      <c r="AMU126" s="214"/>
      <c r="AMV126" s="214"/>
      <c r="AMW126" s="214"/>
      <c r="AMX126" s="214"/>
      <c r="AMY126" s="214"/>
      <c r="AMZ126" s="214"/>
      <c r="ANA126" s="214"/>
      <c r="ANB126" s="214"/>
      <c r="ANC126" s="214"/>
      <c r="AND126" s="214"/>
      <c r="ANE126" s="214"/>
      <c r="ANF126" s="214"/>
      <c r="ANG126" s="214"/>
      <c r="ANH126" s="214"/>
      <c r="ANI126" s="214"/>
      <c r="ANJ126" s="214"/>
      <c r="ANK126" s="214"/>
      <c r="ANL126" s="214"/>
      <c r="ANM126" s="214"/>
      <c r="ANN126" s="214"/>
      <c r="ANO126" s="214"/>
      <c r="ANP126" s="214"/>
      <c r="ANQ126" s="214"/>
      <c r="ANR126" s="214"/>
      <c r="ANS126" s="214"/>
      <c r="ANT126" s="214"/>
      <c r="ANU126" s="214"/>
      <c r="ANV126" s="214"/>
      <c r="ANW126" s="214"/>
      <c r="ANX126" s="214"/>
      <c r="ANY126" s="214"/>
      <c r="ANZ126" s="214"/>
      <c r="AOA126" s="214"/>
      <c r="AOB126" s="214"/>
      <c r="AOC126" s="214"/>
      <c r="AOD126" s="214"/>
      <c r="AOE126" s="214"/>
      <c r="AOF126" s="214"/>
      <c r="AOG126" s="214"/>
      <c r="AOH126" s="214"/>
      <c r="AOI126" s="214"/>
      <c r="AOJ126" s="214"/>
      <c r="AOK126" s="214"/>
      <c r="AOL126" s="214"/>
      <c r="AOM126" s="214"/>
      <c r="AON126" s="214"/>
      <c r="AOO126" s="214"/>
      <c r="AOP126" s="214"/>
      <c r="AOQ126" s="214"/>
      <c r="AOR126" s="214"/>
      <c r="AOS126" s="214"/>
      <c r="AOT126" s="214"/>
      <c r="AOU126" s="214"/>
      <c r="AOV126" s="214"/>
      <c r="AOW126" s="214"/>
      <c r="AOX126" s="214"/>
      <c r="AOY126" s="214"/>
      <c r="AOZ126" s="214"/>
      <c r="APA126" s="214"/>
      <c r="APB126" s="214"/>
      <c r="APC126" s="214"/>
      <c r="APD126" s="214"/>
      <c r="APE126" s="214"/>
      <c r="APF126" s="214"/>
      <c r="APG126" s="214"/>
      <c r="APH126" s="214"/>
      <c r="API126" s="214"/>
      <c r="APJ126" s="214"/>
      <c r="APK126" s="214"/>
      <c r="APL126" s="214"/>
      <c r="APM126" s="214"/>
      <c r="APN126" s="214"/>
      <c r="APO126" s="214"/>
      <c r="APP126" s="214"/>
      <c r="APQ126" s="214"/>
      <c r="APR126" s="214"/>
      <c r="APS126" s="214"/>
      <c r="APT126" s="214"/>
      <c r="APU126" s="214"/>
      <c r="APV126" s="214"/>
      <c r="APW126" s="214"/>
      <c r="APX126" s="214"/>
      <c r="APY126" s="214"/>
      <c r="APZ126" s="214"/>
      <c r="AQA126" s="214"/>
      <c r="AQB126" s="214"/>
      <c r="AQC126" s="214"/>
      <c r="AQD126" s="214"/>
      <c r="AQE126" s="214"/>
      <c r="AQF126" s="214"/>
      <c r="AQG126" s="214"/>
      <c r="AQH126" s="214"/>
      <c r="AQI126" s="214"/>
      <c r="AQJ126" s="214"/>
      <c r="AQK126" s="214"/>
      <c r="AQL126" s="214"/>
      <c r="AQM126" s="214"/>
      <c r="AQN126" s="214"/>
      <c r="AQO126" s="214"/>
      <c r="AQP126" s="214"/>
      <c r="AQQ126" s="214"/>
      <c r="AQR126" s="214"/>
      <c r="AQS126" s="214"/>
      <c r="AQT126" s="214"/>
      <c r="AQU126" s="214"/>
      <c r="AQV126" s="214"/>
      <c r="AQW126" s="214"/>
      <c r="AQX126" s="214"/>
      <c r="AQY126" s="214"/>
      <c r="AQZ126" s="214"/>
      <c r="ARA126" s="214"/>
      <c r="ARB126" s="214"/>
      <c r="ARC126" s="214"/>
      <c r="ARD126" s="214"/>
      <c r="ARE126" s="214"/>
      <c r="ARF126" s="214"/>
      <c r="ARG126" s="214"/>
      <c r="ARH126" s="214"/>
      <c r="ARI126" s="214"/>
      <c r="ARJ126" s="214"/>
      <c r="ARK126" s="214"/>
      <c r="ARL126" s="214"/>
      <c r="ARM126" s="214"/>
      <c r="ARN126" s="214"/>
      <c r="ARO126" s="214"/>
      <c r="ARP126" s="214"/>
      <c r="ARQ126" s="214"/>
      <c r="ARR126" s="214"/>
      <c r="ARS126" s="214"/>
      <c r="ART126" s="214"/>
      <c r="ARU126" s="214"/>
      <c r="ARV126" s="214"/>
      <c r="ARW126" s="214"/>
      <c r="ARX126" s="214"/>
      <c r="ARY126" s="214"/>
      <c r="ARZ126" s="214"/>
      <c r="ASA126" s="214"/>
      <c r="ASB126" s="214"/>
      <c r="ASC126" s="214"/>
      <c r="ASD126" s="214"/>
      <c r="ASE126" s="214"/>
      <c r="ASF126" s="214"/>
      <c r="ASG126" s="214"/>
      <c r="ASH126" s="214"/>
      <c r="ASI126" s="214"/>
      <c r="ASJ126" s="214"/>
      <c r="ASK126" s="214"/>
      <c r="ASL126" s="214"/>
      <c r="ASM126" s="214"/>
      <c r="ASN126" s="214"/>
      <c r="ASO126" s="214"/>
      <c r="ASP126" s="214"/>
      <c r="ASQ126" s="214"/>
      <c r="ASR126" s="214"/>
      <c r="ASS126" s="214"/>
      <c r="AST126" s="214"/>
      <c r="ASU126" s="214"/>
      <c r="ASV126" s="214"/>
      <c r="ASW126" s="214"/>
      <c r="ASX126" s="214"/>
      <c r="ASY126" s="214"/>
      <c r="ASZ126" s="214"/>
      <c r="ATA126" s="214"/>
      <c r="ATB126" s="214"/>
      <c r="ATC126" s="214"/>
      <c r="ATD126" s="214"/>
      <c r="ATE126" s="214"/>
      <c r="ATF126" s="214"/>
      <c r="ATG126" s="214"/>
      <c r="ATH126" s="214"/>
      <c r="ATI126" s="214"/>
      <c r="ATJ126" s="214"/>
      <c r="ATK126" s="214"/>
      <c r="ATL126" s="214"/>
      <c r="ATM126" s="214"/>
      <c r="ATN126" s="214"/>
      <c r="ATO126" s="214"/>
      <c r="ATP126" s="214"/>
      <c r="ATQ126" s="214"/>
      <c r="ATR126" s="214"/>
      <c r="ATS126" s="214"/>
      <c r="ATT126" s="214"/>
      <c r="ATU126" s="214"/>
      <c r="ATV126" s="214"/>
      <c r="ATW126" s="214"/>
      <c r="ATX126" s="214"/>
      <c r="ATY126" s="214"/>
      <c r="ATZ126" s="214"/>
      <c r="AUA126" s="214"/>
      <c r="AUB126" s="214"/>
      <c r="AUC126" s="214"/>
      <c r="AUD126" s="214"/>
      <c r="AUE126" s="214"/>
      <c r="AUF126" s="214"/>
      <c r="AUG126" s="214"/>
      <c r="AUH126" s="214"/>
      <c r="AUI126" s="214"/>
      <c r="AUJ126" s="214"/>
      <c r="AUK126" s="214"/>
      <c r="AUL126" s="214"/>
      <c r="AUM126" s="214"/>
      <c r="AUN126" s="214"/>
      <c r="AUO126" s="214"/>
      <c r="AUP126" s="214"/>
      <c r="AUQ126" s="214"/>
      <c r="AUR126" s="214"/>
      <c r="AUS126" s="214"/>
      <c r="AUT126" s="214"/>
      <c r="AUU126" s="214"/>
      <c r="AUV126" s="214"/>
      <c r="AUW126" s="214"/>
      <c r="AUX126" s="214"/>
      <c r="AUY126" s="214"/>
      <c r="AUZ126" s="214"/>
      <c r="AVA126" s="214"/>
      <c r="AVB126" s="214"/>
      <c r="AVC126" s="214"/>
      <c r="AVD126" s="214"/>
      <c r="AVE126" s="214"/>
      <c r="AVF126" s="214"/>
      <c r="AVG126" s="214"/>
      <c r="AVH126" s="214"/>
      <c r="AVI126" s="214"/>
      <c r="AVJ126" s="214"/>
      <c r="AVK126" s="214"/>
      <c r="AVL126" s="214"/>
      <c r="AVM126" s="214"/>
      <c r="AVN126" s="214"/>
      <c r="AVO126" s="214"/>
      <c r="AVP126" s="214"/>
      <c r="AVQ126" s="214"/>
      <c r="AVR126" s="214"/>
      <c r="AVS126" s="214"/>
      <c r="AVT126" s="214"/>
      <c r="AVU126" s="214"/>
      <c r="AVV126" s="214"/>
      <c r="AVW126" s="214"/>
      <c r="AVX126" s="214"/>
      <c r="AVY126" s="214"/>
      <c r="AVZ126" s="214"/>
      <c r="AWA126" s="214"/>
      <c r="AWB126" s="214"/>
      <c r="AWC126" s="214"/>
      <c r="AWD126" s="214"/>
      <c r="AWE126" s="214"/>
      <c r="AWF126" s="214"/>
      <c r="AWG126" s="214"/>
      <c r="AWH126" s="214"/>
      <c r="AWI126" s="214"/>
      <c r="AWJ126" s="214"/>
      <c r="AWK126" s="214"/>
      <c r="AWL126" s="214"/>
      <c r="AWM126" s="214"/>
      <c r="AWN126" s="214"/>
      <c r="AWO126" s="214"/>
      <c r="AWP126" s="214"/>
      <c r="AWQ126" s="214"/>
      <c r="AWR126" s="214"/>
      <c r="AWS126" s="214"/>
      <c r="AWT126" s="214"/>
      <c r="AWU126" s="214"/>
      <c r="AWV126" s="214"/>
      <c r="AWW126" s="214"/>
      <c r="AWX126" s="214"/>
      <c r="AWY126" s="214"/>
      <c r="AWZ126" s="214"/>
      <c r="AXA126" s="214"/>
      <c r="AXB126" s="214"/>
      <c r="AXC126" s="214"/>
      <c r="AXD126" s="214"/>
      <c r="AXE126" s="214"/>
      <c r="AXF126" s="214"/>
      <c r="AXG126" s="214"/>
      <c r="AXH126" s="214"/>
      <c r="AXI126" s="214"/>
      <c r="AXJ126" s="214"/>
      <c r="AXK126" s="214"/>
      <c r="AXL126" s="214"/>
      <c r="AXM126" s="214"/>
      <c r="AXN126" s="214"/>
      <c r="AXO126" s="214"/>
      <c r="AXP126" s="214"/>
      <c r="AXQ126" s="214"/>
      <c r="AXR126" s="214"/>
      <c r="AXS126" s="214"/>
      <c r="AXT126" s="214"/>
      <c r="AXU126" s="214"/>
      <c r="AXV126" s="214"/>
      <c r="AXW126" s="214"/>
      <c r="AXX126" s="214"/>
      <c r="AXY126" s="214"/>
      <c r="AXZ126" s="214"/>
      <c r="AYA126" s="214"/>
      <c r="AYB126" s="214"/>
      <c r="AYC126" s="214"/>
      <c r="AYD126" s="214"/>
      <c r="AYE126" s="214"/>
      <c r="AYF126" s="214"/>
      <c r="AYG126" s="214"/>
      <c r="AYH126" s="214"/>
      <c r="AYI126" s="214"/>
      <c r="AYJ126" s="214"/>
      <c r="AYK126" s="214"/>
      <c r="AYL126" s="214"/>
      <c r="AYM126" s="214"/>
      <c r="AYN126" s="214"/>
      <c r="AYO126" s="214"/>
      <c r="AYP126" s="214"/>
      <c r="AYQ126" s="214"/>
      <c r="AYR126" s="214"/>
      <c r="AYS126" s="214"/>
      <c r="AYT126" s="214"/>
      <c r="AYU126" s="214"/>
      <c r="AYV126" s="214"/>
      <c r="AYW126" s="214"/>
      <c r="AYX126" s="214"/>
      <c r="AYY126" s="214"/>
      <c r="AYZ126" s="214"/>
      <c r="AZA126" s="214"/>
      <c r="AZB126" s="214"/>
      <c r="AZC126" s="214"/>
      <c r="AZD126" s="214"/>
      <c r="AZE126" s="214"/>
      <c r="AZF126" s="214"/>
      <c r="AZG126" s="214"/>
      <c r="AZH126" s="214"/>
      <c r="AZI126" s="214"/>
      <c r="AZJ126" s="214"/>
      <c r="AZK126" s="214"/>
      <c r="AZL126" s="214"/>
      <c r="AZM126" s="214"/>
      <c r="AZN126" s="214"/>
      <c r="AZO126" s="214"/>
      <c r="AZP126" s="214"/>
      <c r="AZQ126" s="214"/>
      <c r="AZR126" s="214"/>
      <c r="AZS126" s="214"/>
      <c r="AZT126" s="214"/>
      <c r="AZU126" s="214"/>
      <c r="AZV126" s="214"/>
      <c r="AZW126" s="214"/>
      <c r="AZX126" s="214"/>
      <c r="AZY126" s="214"/>
      <c r="AZZ126" s="214"/>
      <c r="BAA126" s="214"/>
      <c r="BAB126" s="214"/>
      <c r="BAC126" s="214"/>
      <c r="BAD126" s="214"/>
      <c r="BAE126" s="214"/>
      <c r="BAF126" s="214"/>
      <c r="BAG126" s="214"/>
      <c r="BAH126" s="214"/>
      <c r="BAI126" s="214"/>
      <c r="BAJ126" s="214"/>
      <c r="BAK126" s="214"/>
      <c r="BAL126" s="214"/>
      <c r="BAM126" s="214"/>
      <c r="BAN126" s="214"/>
      <c r="BAO126" s="214"/>
      <c r="BAP126" s="214"/>
      <c r="BAQ126" s="214"/>
      <c r="BAR126" s="214"/>
      <c r="BAS126" s="214"/>
      <c r="BAT126" s="214"/>
      <c r="BAU126" s="214"/>
      <c r="BAV126" s="214"/>
      <c r="BAW126" s="214"/>
      <c r="BAX126" s="214"/>
      <c r="BAY126" s="214"/>
      <c r="BAZ126" s="214"/>
      <c r="BBA126" s="214"/>
      <c r="BBB126" s="214"/>
      <c r="BBC126" s="214"/>
      <c r="BBD126" s="214"/>
      <c r="BBE126" s="214"/>
      <c r="BBF126" s="214"/>
      <c r="BBG126" s="214"/>
      <c r="BBH126" s="214"/>
      <c r="BBI126" s="214"/>
      <c r="BBJ126" s="214"/>
      <c r="BBK126" s="214"/>
      <c r="BBL126" s="214"/>
      <c r="BBM126" s="214"/>
      <c r="BBN126" s="214"/>
      <c r="BBO126" s="214"/>
      <c r="BBP126" s="214"/>
      <c r="BBQ126" s="214"/>
      <c r="BBR126" s="214"/>
      <c r="BBS126" s="214"/>
      <c r="BBT126" s="214"/>
      <c r="BBU126" s="214"/>
      <c r="BBV126" s="214"/>
      <c r="BBW126" s="214"/>
      <c r="BBX126" s="214"/>
      <c r="BBY126" s="214"/>
      <c r="BBZ126" s="214"/>
      <c r="BCA126" s="214"/>
      <c r="BCB126" s="214"/>
      <c r="BCC126" s="214"/>
      <c r="BCD126" s="214"/>
      <c r="BCE126" s="214"/>
      <c r="BCF126" s="214"/>
      <c r="BCG126" s="214"/>
      <c r="BCH126" s="214"/>
      <c r="BCI126" s="214"/>
      <c r="BCJ126" s="214"/>
      <c r="BCK126" s="214"/>
      <c r="BCL126" s="214"/>
      <c r="BCM126" s="214"/>
      <c r="BCN126" s="214"/>
      <c r="BCO126" s="214"/>
      <c r="BCP126" s="214"/>
      <c r="BCQ126" s="214"/>
      <c r="BCR126" s="214"/>
      <c r="BCS126" s="214"/>
      <c r="BCT126" s="214"/>
      <c r="BCU126" s="214"/>
      <c r="BCV126" s="214"/>
      <c r="BCW126" s="214"/>
      <c r="BCX126" s="214"/>
      <c r="BCY126" s="214"/>
      <c r="BCZ126" s="214"/>
      <c r="BDA126" s="214"/>
      <c r="BDB126" s="214"/>
      <c r="BDC126" s="214"/>
      <c r="BDD126" s="214"/>
      <c r="BDE126" s="214"/>
      <c r="BDF126" s="214"/>
      <c r="BDG126" s="214"/>
      <c r="BDH126" s="214"/>
      <c r="BDI126" s="214"/>
      <c r="BDJ126" s="214"/>
      <c r="BDK126" s="214"/>
      <c r="BDL126" s="214"/>
      <c r="BDM126" s="214"/>
      <c r="BDN126" s="214"/>
      <c r="BDO126" s="214"/>
      <c r="BDP126" s="214"/>
      <c r="BDQ126" s="214"/>
      <c r="BDR126" s="214"/>
      <c r="BDS126" s="214"/>
      <c r="BDT126" s="214"/>
      <c r="BDU126" s="214"/>
      <c r="BDV126" s="214"/>
      <c r="BDW126" s="214"/>
      <c r="BDX126" s="214"/>
      <c r="BDY126" s="214"/>
      <c r="BDZ126" s="214"/>
      <c r="BEA126" s="214"/>
      <c r="BEB126" s="214"/>
      <c r="BEC126" s="214"/>
      <c r="BED126" s="214"/>
      <c r="BEE126" s="214"/>
      <c r="BEF126" s="214"/>
      <c r="BEG126" s="214"/>
      <c r="BEH126" s="214"/>
      <c r="BEI126" s="214"/>
      <c r="BEJ126" s="214"/>
      <c r="BEK126" s="214"/>
      <c r="BEL126" s="214"/>
      <c r="BEM126" s="214"/>
      <c r="BEN126" s="214"/>
      <c r="BEO126" s="214"/>
      <c r="BEP126" s="214"/>
      <c r="BEQ126" s="214"/>
      <c r="BER126" s="214"/>
      <c r="BES126" s="214"/>
      <c r="BET126" s="214"/>
      <c r="BEU126" s="214"/>
      <c r="BEV126" s="214"/>
      <c r="BEW126" s="214"/>
      <c r="BEX126" s="214"/>
      <c r="BEY126" s="214"/>
      <c r="BEZ126" s="214"/>
      <c r="BFA126" s="214"/>
      <c r="BFB126" s="214"/>
      <c r="BFC126" s="214"/>
      <c r="BFD126" s="214"/>
      <c r="BFE126" s="214"/>
      <c r="BFF126" s="214"/>
      <c r="BFG126" s="214"/>
      <c r="BFH126" s="214"/>
      <c r="BFI126" s="214"/>
      <c r="BFJ126" s="214"/>
      <c r="BFK126" s="214"/>
      <c r="BFL126" s="214"/>
      <c r="BFM126" s="214"/>
      <c r="BFN126" s="214"/>
      <c r="BFO126" s="214"/>
      <c r="BFP126" s="214"/>
      <c r="BFQ126" s="214"/>
      <c r="BFR126" s="214"/>
      <c r="BFS126" s="214"/>
      <c r="BFT126" s="214"/>
      <c r="BFU126" s="214"/>
      <c r="BFV126" s="214"/>
      <c r="BFW126" s="214"/>
      <c r="BFX126" s="214"/>
      <c r="BFY126" s="214"/>
      <c r="BFZ126" s="214"/>
      <c r="BGA126" s="214"/>
      <c r="BGB126" s="214"/>
      <c r="BGC126" s="214"/>
      <c r="BGD126" s="214"/>
      <c r="BGE126" s="214"/>
      <c r="BGF126" s="214"/>
      <c r="BGG126" s="214"/>
      <c r="BGH126" s="214"/>
      <c r="BGI126" s="214"/>
      <c r="BGJ126" s="214"/>
      <c r="BGK126" s="214"/>
      <c r="BGL126" s="214"/>
      <c r="BGM126" s="214"/>
      <c r="BGN126" s="214"/>
      <c r="BGO126" s="214"/>
      <c r="BGP126" s="214"/>
      <c r="BGQ126" s="214"/>
      <c r="BGR126" s="214"/>
      <c r="BGS126" s="214"/>
      <c r="BGT126" s="214"/>
      <c r="BGU126" s="214"/>
      <c r="BGV126" s="214"/>
      <c r="BGW126" s="214"/>
      <c r="BGX126" s="214"/>
      <c r="BGY126" s="214"/>
      <c r="BGZ126" s="214"/>
      <c r="BHA126" s="214"/>
      <c r="BHB126" s="214"/>
      <c r="BHC126" s="214"/>
      <c r="BHD126" s="214"/>
      <c r="BHE126" s="214"/>
      <c r="BHF126" s="214"/>
      <c r="BHG126" s="214"/>
      <c r="BHH126" s="214"/>
      <c r="BHI126" s="214"/>
      <c r="BHJ126" s="214"/>
      <c r="BHK126" s="214"/>
      <c r="BHL126" s="214"/>
      <c r="BHM126" s="214"/>
      <c r="BHN126" s="214"/>
      <c r="BHO126" s="214"/>
      <c r="BHP126" s="214"/>
      <c r="BHQ126" s="214"/>
      <c r="BHR126" s="214"/>
      <c r="BHS126" s="214"/>
      <c r="BHT126" s="214"/>
      <c r="BHU126" s="214"/>
      <c r="BHV126" s="214"/>
      <c r="BHW126" s="214"/>
    </row>
    <row r="127" spans="1:1583" s="219" customFormat="1" ht="15" customHeight="1" thickBot="1">
      <c r="A127" s="248"/>
      <c r="B127" s="257" t="s">
        <v>156</v>
      </c>
      <c r="C127" s="257" t="s">
        <v>156</v>
      </c>
      <c r="D127" s="200" t="s">
        <v>658</v>
      </c>
      <c r="E127" s="443" t="s">
        <v>149</v>
      </c>
      <c r="F127" s="139">
        <v>1158.1500000000001</v>
      </c>
      <c r="G127" s="60" t="s">
        <v>777</v>
      </c>
      <c r="H127" s="473">
        <f t="shared" si="25"/>
        <v>0</v>
      </c>
      <c r="I127" s="151"/>
      <c r="J127" s="255"/>
      <c r="K127" s="151"/>
      <c r="L127" s="151"/>
      <c r="M127" s="151"/>
      <c r="N127" s="151"/>
      <c r="O127" s="151"/>
      <c r="P127" s="151"/>
      <c r="Q127" s="151"/>
      <c r="R127" s="151"/>
      <c r="S127" s="151"/>
      <c r="T127" s="151"/>
      <c r="U127" s="151"/>
      <c r="V127" s="151"/>
      <c r="W127" s="151"/>
      <c r="X127" s="151"/>
      <c r="Y127" s="151"/>
      <c r="Z127" s="151"/>
      <c r="AA127" s="151"/>
      <c r="AB127" s="151"/>
      <c r="AC127" s="151"/>
      <c r="AD127" s="151"/>
      <c r="AE127" s="151"/>
      <c r="AF127" s="151"/>
      <c r="AG127" s="151"/>
      <c r="AH127" s="151"/>
      <c r="AI127" s="151"/>
      <c r="AJ127" s="151"/>
      <c r="AK127" s="151"/>
      <c r="AL127" s="151"/>
      <c r="AM127" s="151"/>
      <c r="AN127" s="151"/>
      <c r="AO127" s="218"/>
      <c r="AP127" s="218"/>
      <c r="AQ127" s="218"/>
      <c r="AR127" s="218"/>
      <c r="AS127" s="218"/>
      <c r="AT127" s="218"/>
      <c r="AU127" s="218"/>
      <c r="AV127" s="218"/>
      <c r="AW127" s="218"/>
      <c r="AX127" s="218"/>
      <c r="AY127" s="218"/>
      <c r="AZ127" s="218"/>
      <c r="BA127" s="218"/>
      <c r="BB127" s="218"/>
      <c r="BC127" s="218"/>
      <c r="BD127" s="218"/>
      <c r="BE127" s="218"/>
      <c r="BF127" s="218"/>
      <c r="BG127" s="218"/>
      <c r="BH127" s="218"/>
      <c r="BI127" s="218"/>
      <c r="BJ127" s="218"/>
      <c r="BK127" s="218"/>
      <c r="BL127" s="218"/>
      <c r="BM127" s="218"/>
      <c r="BN127" s="218"/>
      <c r="BO127" s="218"/>
      <c r="BP127" s="218"/>
      <c r="BQ127" s="218"/>
      <c r="BR127" s="218"/>
      <c r="BS127" s="218"/>
      <c r="BT127" s="218"/>
      <c r="BU127" s="218"/>
      <c r="BV127" s="218"/>
      <c r="BW127" s="218"/>
      <c r="BX127" s="218"/>
      <c r="BY127" s="218"/>
      <c r="BZ127" s="218"/>
      <c r="CA127" s="218"/>
      <c r="CB127" s="218"/>
      <c r="CC127" s="218"/>
      <c r="CD127" s="218"/>
      <c r="CE127" s="218"/>
      <c r="CF127" s="218"/>
      <c r="CG127" s="218"/>
      <c r="CH127" s="218"/>
      <c r="CI127" s="218"/>
      <c r="CJ127" s="218"/>
      <c r="CK127" s="218"/>
      <c r="CL127" s="218"/>
      <c r="CM127" s="218"/>
      <c r="CN127" s="218"/>
      <c r="CO127" s="218"/>
      <c r="CP127" s="218"/>
      <c r="CQ127" s="218"/>
      <c r="CR127" s="218"/>
      <c r="CS127" s="218"/>
      <c r="CT127" s="218"/>
      <c r="CU127" s="218"/>
      <c r="CV127" s="218"/>
      <c r="CW127" s="218"/>
      <c r="CX127" s="218"/>
      <c r="CY127" s="218"/>
      <c r="CZ127" s="218"/>
      <c r="DA127" s="218"/>
      <c r="DB127" s="218"/>
      <c r="DC127" s="218"/>
      <c r="DD127" s="218"/>
      <c r="DE127" s="218"/>
      <c r="DF127" s="218"/>
      <c r="DG127" s="218"/>
      <c r="DH127" s="218"/>
      <c r="DI127" s="218"/>
      <c r="DJ127" s="218"/>
      <c r="DK127" s="218"/>
      <c r="DL127" s="218"/>
      <c r="DM127" s="218"/>
      <c r="DN127" s="218"/>
      <c r="DO127" s="218"/>
      <c r="DP127" s="218"/>
      <c r="DQ127" s="218"/>
      <c r="DR127" s="218"/>
      <c r="DS127" s="218"/>
      <c r="DT127" s="218"/>
      <c r="DU127" s="218"/>
      <c r="DV127" s="218"/>
      <c r="DW127" s="218"/>
      <c r="DX127" s="218"/>
      <c r="DY127" s="218"/>
      <c r="DZ127" s="218"/>
      <c r="EA127" s="218"/>
      <c r="EB127" s="218"/>
      <c r="EC127" s="218"/>
      <c r="ED127" s="218"/>
      <c r="EE127" s="218"/>
      <c r="EF127" s="218"/>
      <c r="EG127" s="218"/>
      <c r="EH127" s="218"/>
      <c r="EI127" s="218"/>
      <c r="EJ127" s="218"/>
      <c r="EK127" s="218"/>
      <c r="EL127" s="218"/>
      <c r="EM127" s="218"/>
      <c r="EN127" s="218"/>
      <c r="EO127" s="218"/>
      <c r="EP127" s="218"/>
      <c r="EQ127" s="218"/>
      <c r="ER127" s="218"/>
      <c r="ES127" s="218"/>
      <c r="ET127" s="218"/>
      <c r="EU127" s="218"/>
      <c r="EV127" s="218"/>
      <c r="EW127" s="218"/>
      <c r="EX127" s="218"/>
      <c r="EY127" s="218"/>
      <c r="EZ127" s="218"/>
      <c r="FA127" s="218"/>
      <c r="FB127" s="218"/>
      <c r="FC127" s="218"/>
      <c r="FD127" s="218"/>
      <c r="FE127" s="218"/>
      <c r="FF127" s="218"/>
      <c r="FG127" s="218"/>
      <c r="FH127" s="218"/>
      <c r="FI127" s="218"/>
      <c r="FJ127" s="218"/>
      <c r="FK127" s="218"/>
      <c r="FL127" s="218"/>
      <c r="FM127" s="218"/>
      <c r="FN127" s="218"/>
      <c r="FO127" s="218"/>
      <c r="FP127" s="218"/>
      <c r="FQ127" s="218"/>
      <c r="FR127" s="218"/>
      <c r="FS127" s="218"/>
      <c r="FT127" s="218"/>
      <c r="FU127" s="218"/>
      <c r="FV127" s="218"/>
      <c r="FW127" s="218"/>
      <c r="FX127" s="218"/>
      <c r="FY127" s="218"/>
      <c r="FZ127" s="218"/>
      <c r="GA127" s="218"/>
      <c r="GB127" s="218"/>
      <c r="GC127" s="218"/>
      <c r="GD127" s="218"/>
      <c r="GE127" s="218"/>
      <c r="GF127" s="218"/>
      <c r="GG127" s="218"/>
      <c r="GH127" s="218"/>
      <c r="GI127" s="218"/>
      <c r="GJ127" s="218"/>
      <c r="GK127" s="218"/>
      <c r="GL127" s="218"/>
      <c r="GM127" s="218"/>
      <c r="GN127" s="218"/>
      <c r="GO127" s="218"/>
      <c r="GP127" s="218"/>
      <c r="GQ127" s="218"/>
      <c r="GR127" s="218"/>
      <c r="GS127" s="218"/>
      <c r="GT127" s="218"/>
      <c r="GU127" s="218"/>
      <c r="GV127" s="218"/>
      <c r="GW127" s="218"/>
      <c r="GX127" s="218"/>
      <c r="GY127" s="218"/>
      <c r="GZ127" s="218"/>
      <c r="HA127" s="218"/>
      <c r="HB127" s="218"/>
      <c r="HC127" s="218"/>
      <c r="HD127" s="218"/>
      <c r="HE127" s="218"/>
      <c r="HF127" s="218"/>
      <c r="HG127" s="218"/>
      <c r="HH127" s="218"/>
      <c r="HI127" s="218"/>
      <c r="HJ127" s="218"/>
      <c r="HK127" s="218"/>
      <c r="HL127" s="218"/>
      <c r="HM127" s="218"/>
      <c r="HN127" s="218"/>
      <c r="HO127" s="218"/>
      <c r="HP127" s="218"/>
      <c r="HQ127" s="218"/>
      <c r="HR127" s="218"/>
      <c r="HS127" s="218"/>
      <c r="HT127" s="218"/>
      <c r="HU127" s="218"/>
      <c r="HV127" s="218"/>
      <c r="HW127" s="218"/>
      <c r="HX127" s="218"/>
      <c r="HY127" s="218"/>
      <c r="HZ127" s="218"/>
      <c r="IA127" s="218"/>
      <c r="IB127" s="218"/>
      <c r="IC127" s="218"/>
      <c r="ID127" s="218"/>
      <c r="IE127" s="218"/>
      <c r="IF127" s="218"/>
      <c r="IG127" s="218"/>
      <c r="IH127" s="218"/>
      <c r="II127" s="218"/>
      <c r="IJ127" s="218"/>
      <c r="IK127" s="218"/>
      <c r="IL127" s="218"/>
      <c r="IM127" s="218"/>
      <c r="IN127" s="218"/>
      <c r="IO127" s="218"/>
      <c r="IP127" s="218"/>
      <c r="IQ127" s="218"/>
      <c r="IR127" s="218"/>
      <c r="IS127" s="218"/>
      <c r="IT127" s="218"/>
      <c r="IU127" s="218"/>
      <c r="IV127" s="218"/>
      <c r="IW127" s="218"/>
      <c r="IX127" s="218"/>
      <c r="IY127" s="218"/>
      <c r="IZ127" s="218"/>
      <c r="JA127" s="218"/>
      <c r="JB127" s="218"/>
      <c r="JC127" s="218"/>
      <c r="JD127" s="218"/>
      <c r="JE127" s="218"/>
      <c r="JF127" s="218"/>
      <c r="JG127" s="218"/>
      <c r="JH127" s="218"/>
      <c r="JI127" s="218"/>
      <c r="JJ127" s="218"/>
      <c r="JK127" s="218"/>
      <c r="JL127" s="218"/>
      <c r="JM127" s="218"/>
      <c r="JN127" s="218"/>
      <c r="JO127" s="218"/>
      <c r="JP127" s="218"/>
      <c r="JQ127" s="218"/>
      <c r="JR127" s="218"/>
      <c r="JS127" s="218"/>
      <c r="JT127" s="218"/>
      <c r="JU127" s="218"/>
      <c r="JV127" s="218"/>
      <c r="JW127" s="218"/>
      <c r="JX127" s="218"/>
      <c r="JY127" s="218"/>
      <c r="JZ127" s="218"/>
      <c r="KA127" s="218"/>
      <c r="KB127" s="218"/>
      <c r="KC127" s="218"/>
      <c r="KD127" s="218"/>
      <c r="KE127" s="218"/>
      <c r="KF127" s="218"/>
      <c r="KG127" s="218"/>
      <c r="KH127" s="218"/>
      <c r="KI127" s="218"/>
      <c r="KJ127" s="218"/>
      <c r="KK127" s="218"/>
      <c r="KL127" s="218"/>
      <c r="KM127" s="218"/>
      <c r="KN127" s="218"/>
      <c r="KO127" s="218"/>
      <c r="KP127" s="218"/>
      <c r="KQ127" s="218"/>
      <c r="KR127" s="218"/>
      <c r="KS127" s="218"/>
      <c r="KT127" s="218"/>
      <c r="KU127" s="218"/>
      <c r="KV127" s="218"/>
      <c r="KW127" s="218"/>
      <c r="KX127" s="218"/>
      <c r="KY127" s="218"/>
      <c r="KZ127" s="218"/>
      <c r="LA127" s="218"/>
      <c r="LB127" s="218"/>
      <c r="LC127" s="218"/>
      <c r="LD127" s="218"/>
      <c r="LE127" s="218"/>
      <c r="LF127" s="218"/>
      <c r="LG127" s="218"/>
      <c r="LH127" s="218"/>
      <c r="LI127" s="218"/>
      <c r="LJ127" s="218"/>
      <c r="LK127" s="218"/>
      <c r="LL127" s="218"/>
      <c r="LM127" s="218"/>
      <c r="LN127" s="218"/>
      <c r="LO127" s="218"/>
      <c r="LP127" s="218"/>
      <c r="LQ127" s="218"/>
      <c r="LR127" s="218"/>
      <c r="LS127" s="218"/>
      <c r="LT127" s="218"/>
      <c r="LU127" s="218"/>
      <c r="LV127" s="218"/>
      <c r="LW127" s="218"/>
      <c r="LX127" s="218"/>
      <c r="LY127" s="218"/>
      <c r="LZ127" s="218"/>
      <c r="MA127" s="218"/>
      <c r="MB127" s="218"/>
      <c r="MC127" s="218"/>
      <c r="MD127" s="218"/>
      <c r="ME127" s="218"/>
      <c r="MF127" s="218"/>
      <c r="MG127" s="218"/>
      <c r="MH127" s="218"/>
      <c r="MI127" s="218"/>
      <c r="MJ127" s="218"/>
      <c r="MK127" s="218"/>
      <c r="ML127" s="218"/>
      <c r="MM127" s="218"/>
      <c r="MN127" s="218"/>
      <c r="MO127" s="218"/>
      <c r="MP127" s="218"/>
      <c r="MQ127" s="218"/>
      <c r="MR127" s="218"/>
      <c r="MS127" s="218"/>
      <c r="MT127" s="218"/>
      <c r="MU127" s="218"/>
      <c r="MV127" s="218"/>
      <c r="MW127" s="218"/>
      <c r="MX127" s="218"/>
      <c r="MY127" s="218"/>
      <c r="MZ127" s="218"/>
      <c r="NA127" s="218"/>
      <c r="NB127" s="218"/>
      <c r="NC127" s="218"/>
      <c r="ND127" s="218"/>
      <c r="NE127" s="218"/>
      <c r="NF127" s="218"/>
      <c r="NG127" s="218"/>
      <c r="NH127" s="218"/>
      <c r="NI127" s="218"/>
      <c r="NJ127" s="218"/>
      <c r="NK127" s="218"/>
      <c r="NL127" s="218"/>
      <c r="NM127" s="218"/>
      <c r="NN127" s="218"/>
      <c r="NO127" s="218"/>
      <c r="NP127" s="218"/>
      <c r="NQ127" s="218"/>
      <c r="NR127" s="218"/>
      <c r="NS127" s="218"/>
      <c r="NT127" s="218"/>
      <c r="NU127" s="218"/>
      <c r="NV127" s="218"/>
      <c r="NW127" s="218"/>
      <c r="NX127" s="218"/>
      <c r="NY127" s="218"/>
      <c r="NZ127" s="218"/>
      <c r="OA127" s="218"/>
      <c r="OB127" s="218"/>
      <c r="OC127" s="218"/>
      <c r="OD127" s="218"/>
      <c r="OE127" s="218"/>
      <c r="OF127" s="218"/>
      <c r="OG127" s="218"/>
      <c r="OH127" s="218"/>
      <c r="OI127" s="218"/>
      <c r="OJ127" s="218"/>
      <c r="OK127" s="218"/>
      <c r="OL127" s="218"/>
      <c r="OM127" s="218"/>
      <c r="ON127" s="218"/>
      <c r="OO127" s="218"/>
      <c r="OP127" s="218"/>
      <c r="OQ127" s="218"/>
      <c r="OR127" s="218"/>
      <c r="OS127" s="218"/>
      <c r="OT127" s="218"/>
      <c r="OU127" s="218"/>
      <c r="OV127" s="218"/>
      <c r="OW127" s="218"/>
      <c r="OX127" s="218"/>
      <c r="OY127" s="218"/>
      <c r="OZ127" s="218"/>
      <c r="PA127" s="218"/>
      <c r="PB127" s="218"/>
      <c r="PC127" s="218"/>
      <c r="PD127" s="218"/>
      <c r="PE127" s="218"/>
      <c r="PF127" s="218"/>
      <c r="PG127" s="218"/>
      <c r="PH127" s="218"/>
      <c r="PI127" s="218"/>
      <c r="PJ127" s="218"/>
      <c r="PK127" s="218"/>
      <c r="PL127" s="218"/>
      <c r="PM127" s="218"/>
      <c r="PN127" s="218"/>
      <c r="PO127" s="218"/>
      <c r="PP127" s="218"/>
      <c r="PQ127" s="218"/>
      <c r="PR127" s="218"/>
      <c r="PS127" s="218"/>
      <c r="PT127" s="218"/>
      <c r="PU127" s="218"/>
      <c r="PV127" s="218"/>
      <c r="PW127" s="218"/>
      <c r="PX127" s="218"/>
      <c r="PY127" s="218"/>
      <c r="PZ127" s="218"/>
      <c r="QA127" s="218"/>
      <c r="QB127" s="218"/>
      <c r="QC127" s="218"/>
      <c r="QD127" s="218"/>
      <c r="QE127" s="218"/>
      <c r="QF127" s="218"/>
      <c r="QG127" s="218"/>
      <c r="QH127" s="218"/>
      <c r="QI127" s="218"/>
      <c r="QJ127" s="218"/>
      <c r="QK127" s="218"/>
      <c r="QL127" s="218"/>
      <c r="QM127" s="218"/>
      <c r="QN127" s="218"/>
      <c r="QO127" s="218"/>
      <c r="QP127" s="218"/>
      <c r="QQ127" s="218"/>
      <c r="QR127" s="218"/>
      <c r="QS127" s="218"/>
      <c r="QT127" s="218"/>
      <c r="QU127" s="218"/>
      <c r="QV127" s="218"/>
      <c r="QW127" s="218"/>
      <c r="QX127" s="218"/>
      <c r="QY127" s="218"/>
      <c r="QZ127" s="218"/>
      <c r="RA127" s="218"/>
      <c r="RB127" s="218"/>
      <c r="RC127" s="218"/>
      <c r="RD127" s="218"/>
      <c r="RE127" s="218"/>
      <c r="RF127" s="218"/>
      <c r="RG127" s="218"/>
      <c r="RH127" s="218"/>
      <c r="RI127" s="218"/>
      <c r="RJ127" s="218"/>
      <c r="RK127" s="218"/>
      <c r="RL127" s="218"/>
      <c r="RM127" s="218"/>
      <c r="RN127" s="218"/>
      <c r="RO127" s="218"/>
      <c r="RP127" s="218"/>
      <c r="RQ127" s="218"/>
      <c r="RR127" s="218"/>
      <c r="RS127" s="218"/>
      <c r="RT127" s="218"/>
      <c r="RU127" s="218"/>
      <c r="RV127" s="218"/>
      <c r="RW127" s="218"/>
      <c r="RX127" s="218"/>
      <c r="RY127" s="218"/>
      <c r="RZ127" s="218"/>
      <c r="SA127" s="218"/>
      <c r="SB127" s="218"/>
      <c r="SC127" s="218"/>
      <c r="SD127" s="218"/>
      <c r="SE127" s="218"/>
      <c r="SF127" s="218"/>
      <c r="SG127" s="218"/>
      <c r="SH127" s="218"/>
      <c r="SI127" s="218"/>
      <c r="SJ127" s="218"/>
      <c r="SK127" s="218"/>
      <c r="SL127" s="218"/>
      <c r="SM127" s="218"/>
      <c r="SN127" s="218"/>
      <c r="SO127" s="218"/>
      <c r="SP127" s="218"/>
      <c r="SQ127" s="218"/>
      <c r="SR127" s="218"/>
      <c r="SS127" s="218"/>
      <c r="ST127" s="218"/>
      <c r="SU127" s="218"/>
      <c r="SV127" s="218"/>
      <c r="SW127" s="218"/>
      <c r="SX127" s="218"/>
      <c r="SY127" s="218"/>
      <c r="SZ127" s="218"/>
      <c r="TA127" s="218"/>
      <c r="TB127" s="218"/>
      <c r="TC127" s="218"/>
      <c r="TD127" s="218"/>
      <c r="TE127" s="218"/>
      <c r="TF127" s="218"/>
      <c r="TG127" s="218"/>
      <c r="TH127" s="218"/>
      <c r="TI127" s="218"/>
      <c r="TJ127" s="218"/>
      <c r="TK127" s="218"/>
      <c r="TL127" s="218"/>
      <c r="TM127" s="218"/>
      <c r="TN127" s="218"/>
      <c r="TO127" s="218"/>
      <c r="TP127" s="218"/>
      <c r="TQ127" s="218"/>
      <c r="TR127" s="218"/>
      <c r="TS127" s="218"/>
      <c r="TT127" s="218"/>
      <c r="TU127" s="218"/>
      <c r="TV127" s="218"/>
      <c r="TW127" s="218"/>
      <c r="TX127" s="218"/>
      <c r="TY127" s="218"/>
      <c r="TZ127" s="218"/>
      <c r="UA127" s="218"/>
      <c r="UB127" s="218"/>
      <c r="UC127" s="218"/>
      <c r="UD127" s="218"/>
      <c r="UE127" s="218"/>
      <c r="UF127" s="218"/>
      <c r="UG127" s="218"/>
      <c r="UH127" s="218"/>
      <c r="UI127" s="218"/>
      <c r="UJ127" s="218"/>
      <c r="UK127" s="218"/>
      <c r="UL127" s="218"/>
      <c r="UM127" s="218"/>
      <c r="UN127" s="218"/>
      <c r="UO127" s="218"/>
      <c r="UP127" s="218"/>
      <c r="UQ127" s="218"/>
      <c r="UR127" s="218"/>
      <c r="US127" s="218"/>
      <c r="UT127" s="218"/>
      <c r="UU127" s="218"/>
      <c r="UV127" s="218"/>
      <c r="UW127" s="218"/>
      <c r="UX127" s="218"/>
      <c r="UY127" s="218"/>
      <c r="UZ127" s="218"/>
      <c r="VA127" s="218"/>
      <c r="VB127" s="218"/>
      <c r="VC127" s="218"/>
      <c r="VD127" s="218"/>
      <c r="VE127" s="218"/>
      <c r="VF127" s="218"/>
      <c r="VG127" s="218"/>
      <c r="VH127" s="218"/>
      <c r="VI127" s="218"/>
      <c r="VJ127" s="218"/>
      <c r="VK127" s="218"/>
      <c r="VL127" s="218"/>
      <c r="VM127" s="218"/>
      <c r="VN127" s="218"/>
      <c r="VO127" s="218"/>
      <c r="VP127" s="218"/>
      <c r="VQ127" s="218"/>
      <c r="VR127" s="218"/>
      <c r="VS127" s="218"/>
      <c r="VT127" s="218"/>
      <c r="VU127" s="218"/>
      <c r="VV127" s="218"/>
      <c r="VW127" s="218"/>
      <c r="VX127" s="218"/>
      <c r="VY127" s="218"/>
      <c r="VZ127" s="218"/>
      <c r="WA127" s="218"/>
      <c r="WB127" s="218"/>
      <c r="WC127" s="218"/>
      <c r="WD127" s="218"/>
      <c r="WE127" s="218"/>
      <c r="WF127" s="218"/>
      <c r="WG127" s="218"/>
      <c r="WH127" s="218"/>
      <c r="WI127" s="218"/>
      <c r="WJ127" s="218"/>
      <c r="WK127" s="218"/>
      <c r="WL127" s="218"/>
      <c r="WM127" s="218"/>
      <c r="WN127" s="218"/>
      <c r="WO127" s="218"/>
      <c r="WP127" s="218"/>
      <c r="WQ127" s="218"/>
      <c r="WR127" s="218"/>
      <c r="WS127" s="218"/>
      <c r="WT127" s="218"/>
      <c r="WU127" s="218"/>
      <c r="WV127" s="218"/>
      <c r="WW127" s="218"/>
      <c r="WX127" s="218"/>
      <c r="WY127" s="218"/>
      <c r="WZ127" s="218"/>
      <c r="XA127" s="218"/>
      <c r="XB127" s="218"/>
      <c r="XC127" s="218"/>
      <c r="XD127" s="218"/>
      <c r="XE127" s="218"/>
      <c r="XF127" s="218"/>
      <c r="XG127" s="218"/>
      <c r="XH127" s="218"/>
      <c r="XI127" s="218"/>
      <c r="XJ127" s="218"/>
      <c r="XK127" s="218"/>
      <c r="XL127" s="218"/>
      <c r="XM127" s="218"/>
      <c r="XN127" s="218"/>
      <c r="XO127" s="218"/>
      <c r="XP127" s="218"/>
      <c r="XQ127" s="218"/>
      <c r="XR127" s="218"/>
      <c r="XS127" s="218"/>
      <c r="XT127" s="218"/>
      <c r="XU127" s="218"/>
      <c r="XV127" s="218"/>
      <c r="XW127" s="218"/>
      <c r="XX127" s="218"/>
      <c r="XY127" s="218"/>
      <c r="XZ127" s="218"/>
      <c r="YA127" s="218"/>
      <c r="YB127" s="218"/>
      <c r="YC127" s="218"/>
      <c r="YD127" s="218"/>
      <c r="YE127" s="218"/>
      <c r="YF127" s="218"/>
      <c r="YG127" s="218"/>
      <c r="YH127" s="218"/>
      <c r="YI127" s="218"/>
      <c r="YJ127" s="218"/>
      <c r="YK127" s="218"/>
      <c r="YL127" s="218"/>
      <c r="YM127" s="218"/>
      <c r="YN127" s="218"/>
      <c r="YO127" s="218"/>
      <c r="YP127" s="218"/>
      <c r="YQ127" s="218"/>
      <c r="YR127" s="218"/>
      <c r="YS127" s="218"/>
      <c r="YT127" s="218"/>
      <c r="YU127" s="218"/>
      <c r="YV127" s="218"/>
      <c r="YW127" s="218"/>
      <c r="YX127" s="218"/>
      <c r="YY127" s="218"/>
      <c r="YZ127" s="218"/>
      <c r="ZA127" s="218"/>
      <c r="ZB127" s="218"/>
      <c r="ZC127" s="218"/>
      <c r="ZD127" s="218"/>
      <c r="ZE127" s="218"/>
      <c r="ZF127" s="218"/>
      <c r="ZG127" s="218"/>
      <c r="ZH127" s="218"/>
      <c r="ZI127" s="218"/>
      <c r="ZJ127" s="218"/>
      <c r="ZK127" s="218"/>
      <c r="ZL127" s="218"/>
      <c r="ZM127" s="218"/>
      <c r="ZN127" s="218"/>
      <c r="ZO127" s="218"/>
      <c r="ZP127" s="218"/>
      <c r="ZQ127" s="218"/>
      <c r="ZR127" s="218"/>
      <c r="ZS127" s="218"/>
      <c r="ZT127" s="218"/>
      <c r="ZU127" s="218"/>
      <c r="ZV127" s="218"/>
      <c r="ZW127" s="218"/>
      <c r="ZX127" s="218"/>
      <c r="ZY127" s="218"/>
      <c r="ZZ127" s="218"/>
      <c r="AAA127" s="218"/>
      <c r="AAB127" s="218"/>
      <c r="AAC127" s="218"/>
      <c r="AAD127" s="218"/>
      <c r="AAE127" s="218"/>
      <c r="AAF127" s="218"/>
      <c r="AAG127" s="218"/>
      <c r="AAH127" s="218"/>
      <c r="AAI127" s="218"/>
      <c r="AAJ127" s="218"/>
      <c r="AAK127" s="218"/>
      <c r="AAL127" s="218"/>
      <c r="AAM127" s="218"/>
      <c r="AAN127" s="218"/>
      <c r="AAO127" s="218"/>
      <c r="AAP127" s="218"/>
      <c r="AAQ127" s="218"/>
      <c r="AAR127" s="218"/>
      <c r="AAS127" s="218"/>
      <c r="AAT127" s="218"/>
      <c r="AAU127" s="218"/>
      <c r="AAV127" s="218"/>
      <c r="AAW127" s="218"/>
      <c r="AAX127" s="218"/>
      <c r="AAY127" s="218"/>
      <c r="AAZ127" s="218"/>
      <c r="ABA127" s="218"/>
      <c r="ABB127" s="218"/>
      <c r="ABC127" s="218"/>
      <c r="ABD127" s="218"/>
      <c r="ABE127" s="218"/>
      <c r="ABF127" s="218"/>
      <c r="ABG127" s="218"/>
      <c r="ABH127" s="218"/>
      <c r="ABI127" s="218"/>
      <c r="ABJ127" s="218"/>
      <c r="ABK127" s="218"/>
      <c r="ABL127" s="218"/>
      <c r="ABM127" s="218"/>
      <c r="ABN127" s="218"/>
      <c r="ABO127" s="218"/>
      <c r="ABP127" s="218"/>
      <c r="ABQ127" s="218"/>
      <c r="ABR127" s="218"/>
      <c r="ABS127" s="218"/>
      <c r="ABT127" s="218"/>
      <c r="ABU127" s="218"/>
      <c r="ABV127" s="218"/>
      <c r="ABW127" s="218"/>
      <c r="ABX127" s="218"/>
      <c r="ABY127" s="218"/>
      <c r="ABZ127" s="218"/>
      <c r="ACA127" s="218"/>
      <c r="ACB127" s="218"/>
      <c r="ACC127" s="218"/>
      <c r="ACD127" s="218"/>
      <c r="ACE127" s="218"/>
      <c r="ACF127" s="218"/>
      <c r="ACG127" s="218"/>
      <c r="ACH127" s="218"/>
      <c r="ACI127" s="218"/>
      <c r="ACJ127" s="218"/>
      <c r="ACK127" s="218"/>
      <c r="ACL127" s="218"/>
      <c r="ACM127" s="218"/>
      <c r="ACN127" s="218"/>
      <c r="ACO127" s="218"/>
      <c r="ACP127" s="218"/>
      <c r="ACQ127" s="218"/>
      <c r="ACR127" s="218"/>
      <c r="ACS127" s="218"/>
      <c r="ACT127" s="218"/>
      <c r="ACU127" s="218"/>
      <c r="ACV127" s="218"/>
      <c r="ACW127" s="218"/>
      <c r="ACX127" s="218"/>
      <c r="ACY127" s="218"/>
      <c r="ACZ127" s="218"/>
      <c r="ADA127" s="218"/>
      <c r="ADB127" s="218"/>
      <c r="ADC127" s="218"/>
      <c r="ADD127" s="218"/>
      <c r="ADE127" s="218"/>
      <c r="ADF127" s="218"/>
      <c r="ADG127" s="218"/>
      <c r="ADH127" s="218"/>
      <c r="ADI127" s="218"/>
      <c r="ADJ127" s="218"/>
      <c r="ADK127" s="218"/>
      <c r="ADL127" s="218"/>
      <c r="ADM127" s="218"/>
      <c r="ADN127" s="218"/>
      <c r="ADO127" s="218"/>
      <c r="ADP127" s="218"/>
      <c r="ADQ127" s="218"/>
      <c r="ADR127" s="218"/>
      <c r="ADS127" s="218"/>
      <c r="ADT127" s="218"/>
      <c r="ADU127" s="218"/>
      <c r="ADV127" s="218"/>
      <c r="ADW127" s="218"/>
      <c r="ADX127" s="218"/>
      <c r="ADY127" s="218"/>
      <c r="ADZ127" s="218"/>
      <c r="AEA127" s="218"/>
      <c r="AEB127" s="218"/>
      <c r="AEC127" s="218"/>
      <c r="AED127" s="218"/>
      <c r="AEE127" s="218"/>
      <c r="AEF127" s="218"/>
      <c r="AEG127" s="218"/>
      <c r="AEH127" s="218"/>
      <c r="AEI127" s="218"/>
      <c r="AEJ127" s="218"/>
      <c r="AEK127" s="218"/>
      <c r="AEL127" s="218"/>
      <c r="AEM127" s="218"/>
      <c r="AEN127" s="218"/>
      <c r="AEO127" s="218"/>
      <c r="AEP127" s="218"/>
      <c r="AEQ127" s="218"/>
      <c r="AER127" s="218"/>
      <c r="AES127" s="218"/>
      <c r="AET127" s="218"/>
      <c r="AEU127" s="218"/>
      <c r="AEV127" s="218"/>
      <c r="AEW127" s="218"/>
      <c r="AEX127" s="218"/>
      <c r="AEY127" s="218"/>
      <c r="AEZ127" s="218"/>
      <c r="AFA127" s="218"/>
      <c r="AFB127" s="218"/>
      <c r="AFC127" s="218"/>
      <c r="AFD127" s="218"/>
      <c r="AFE127" s="218"/>
      <c r="AFF127" s="218"/>
      <c r="AFG127" s="218"/>
      <c r="AFH127" s="218"/>
      <c r="AFI127" s="218"/>
      <c r="AFJ127" s="218"/>
      <c r="AFK127" s="218"/>
      <c r="AFL127" s="218"/>
      <c r="AFM127" s="218"/>
      <c r="AFN127" s="218"/>
      <c r="AFO127" s="218"/>
      <c r="AFP127" s="218"/>
      <c r="AFQ127" s="218"/>
      <c r="AFR127" s="218"/>
      <c r="AFS127" s="218"/>
      <c r="AFT127" s="218"/>
      <c r="AFU127" s="218"/>
      <c r="AFV127" s="218"/>
      <c r="AFW127" s="218"/>
      <c r="AFX127" s="218"/>
      <c r="AFY127" s="218"/>
      <c r="AFZ127" s="218"/>
      <c r="AGA127" s="218"/>
      <c r="AGB127" s="218"/>
      <c r="AGC127" s="218"/>
      <c r="AGD127" s="218"/>
      <c r="AGE127" s="218"/>
      <c r="AGF127" s="218"/>
      <c r="AGG127" s="218"/>
      <c r="AGH127" s="218"/>
      <c r="AGI127" s="218"/>
      <c r="AGJ127" s="218"/>
      <c r="AGK127" s="218"/>
      <c r="AGL127" s="218"/>
      <c r="AGM127" s="218"/>
      <c r="AGN127" s="218"/>
      <c r="AGO127" s="218"/>
      <c r="AGP127" s="218"/>
      <c r="AGQ127" s="218"/>
      <c r="AGR127" s="218"/>
      <c r="AGS127" s="218"/>
      <c r="AGT127" s="218"/>
      <c r="AGU127" s="218"/>
      <c r="AGV127" s="218"/>
      <c r="AGW127" s="218"/>
      <c r="AGX127" s="218"/>
      <c r="AGY127" s="218"/>
      <c r="AGZ127" s="218"/>
      <c r="AHA127" s="218"/>
      <c r="AHB127" s="218"/>
      <c r="AHC127" s="218"/>
      <c r="AHD127" s="218"/>
      <c r="AHE127" s="218"/>
      <c r="AHF127" s="218"/>
      <c r="AHG127" s="218"/>
      <c r="AHH127" s="218"/>
      <c r="AHI127" s="218"/>
      <c r="AHJ127" s="218"/>
      <c r="AHK127" s="218"/>
      <c r="AHL127" s="218"/>
      <c r="AHM127" s="218"/>
      <c r="AHN127" s="218"/>
      <c r="AHO127" s="218"/>
      <c r="AHP127" s="218"/>
      <c r="AHQ127" s="218"/>
      <c r="AHR127" s="218"/>
      <c r="AHS127" s="218"/>
      <c r="AHT127" s="218"/>
      <c r="AHU127" s="218"/>
      <c r="AHV127" s="218"/>
      <c r="AHW127" s="218"/>
      <c r="AHX127" s="218"/>
      <c r="AHY127" s="218"/>
      <c r="AHZ127" s="218"/>
      <c r="AIA127" s="218"/>
      <c r="AIB127" s="218"/>
      <c r="AIC127" s="218"/>
      <c r="AID127" s="218"/>
      <c r="AIE127" s="218"/>
      <c r="AIF127" s="218"/>
      <c r="AIG127" s="218"/>
      <c r="AIH127" s="218"/>
      <c r="AII127" s="218"/>
      <c r="AIJ127" s="218"/>
      <c r="AIK127" s="218"/>
      <c r="AIL127" s="218"/>
      <c r="AIM127" s="218"/>
      <c r="AIN127" s="218"/>
      <c r="AIO127" s="218"/>
      <c r="AIP127" s="218"/>
      <c r="AIQ127" s="218"/>
      <c r="AIR127" s="218"/>
      <c r="AIS127" s="218"/>
      <c r="AIT127" s="218"/>
      <c r="AIU127" s="218"/>
      <c r="AIV127" s="218"/>
      <c r="AIW127" s="218"/>
      <c r="AIX127" s="218"/>
      <c r="AIY127" s="218"/>
      <c r="AIZ127" s="218"/>
      <c r="AJA127" s="218"/>
      <c r="AJB127" s="218"/>
      <c r="AJC127" s="218"/>
      <c r="AJD127" s="218"/>
      <c r="AJE127" s="218"/>
      <c r="AJF127" s="218"/>
      <c r="AJG127" s="218"/>
      <c r="AJH127" s="218"/>
      <c r="AJI127" s="218"/>
      <c r="AJJ127" s="218"/>
      <c r="AJK127" s="218"/>
      <c r="AJL127" s="218"/>
      <c r="AJM127" s="218"/>
      <c r="AJN127" s="218"/>
      <c r="AJO127" s="218"/>
      <c r="AJP127" s="218"/>
      <c r="AJQ127" s="218"/>
      <c r="AJR127" s="218"/>
      <c r="AJS127" s="218"/>
      <c r="AJT127" s="218"/>
      <c r="AJU127" s="218"/>
      <c r="AJV127" s="218"/>
      <c r="AJW127" s="218"/>
      <c r="AJX127" s="218"/>
      <c r="AJY127" s="218"/>
      <c r="AJZ127" s="218"/>
      <c r="AKA127" s="218"/>
      <c r="AKB127" s="218"/>
      <c r="AKC127" s="218"/>
      <c r="AKD127" s="218"/>
      <c r="AKE127" s="218"/>
      <c r="AKF127" s="218"/>
      <c r="AKG127" s="218"/>
      <c r="AKH127" s="218"/>
      <c r="AKI127" s="218"/>
      <c r="AKJ127" s="218"/>
      <c r="AKK127" s="218"/>
      <c r="AKL127" s="218"/>
      <c r="AKM127" s="218"/>
      <c r="AKN127" s="218"/>
      <c r="AKO127" s="218"/>
      <c r="AKP127" s="218"/>
      <c r="AKQ127" s="218"/>
      <c r="AKR127" s="218"/>
      <c r="AKS127" s="218"/>
      <c r="AKT127" s="218"/>
      <c r="AKU127" s="218"/>
      <c r="AKV127" s="218"/>
      <c r="AKW127" s="218"/>
      <c r="AKX127" s="218"/>
      <c r="AKY127" s="218"/>
      <c r="AKZ127" s="218"/>
      <c r="ALA127" s="218"/>
      <c r="ALB127" s="218"/>
      <c r="ALC127" s="218"/>
      <c r="ALD127" s="218"/>
      <c r="ALE127" s="218"/>
      <c r="ALF127" s="218"/>
      <c r="ALG127" s="218"/>
      <c r="ALH127" s="218"/>
      <c r="ALI127" s="218"/>
      <c r="ALJ127" s="218"/>
      <c r="ALK127" s="218"/>
      <c r="ALL127" s="218"/>
      <c r="ALM127" s="218"/>
      <c r="ALN127" s="218"/>
      <c r="ALO127" s="218"/>
      <c r="ALP127" s="218"/>
      <c r="ALQ127" s="218"/>
      <c r="ALR127" s="218"/>
      <c r="ALS127" s="218"/>
      <c r="ALT127" s="218"/>
      <c r="ALU127" s="218"/>
      <c r="ALV127" s="218"/>
      <c r="ALW127" s="218"/>
      <c r="ALX127" s="218"/>
      <c r="ALY127" s="218"/>
      <c r="ALZ127" s="218"/>
      <c r="AMA127" s="218"/>
      <c r="AMB127" s="218"/>
      <c r="AMC127" s="218"/>
      <c r="AMD127" s="218"/>
      <c r="AME127" s="218"/>
      <c r="AMF127" s="218"/>
      <c r="AMG127" s="218"/>
      <c r="AMH127" s="218"/>
      <c r="AMI127" s="218"/>
      <c r="AMJ127" s="218"/>
      <c r="AMK127" s="218"/>
      <c r="AML127" s="218"/>
      <c r="AMM127" s="218"/>
      <c r="AMN127" s="218"/>
      <c r="AMO127" s="218"/>
      <c r="AMP127" s="218"/>
      <c r="AMQ127" s="218"/>
      <c r="AMR127" s="218"/>
      <c r="AMS127" s="218"/>
      <c r="AMT127" s="218"/>
      <c r="AMU127" s="218"/>
      <c r="AMV127" s="218"/>
      <c r="AMW127" s="218"/>
      <c r="AMX127" s="218"/>
      <c r="AMY127" s="218"/>
      <c r="AMZ127" s="218"/>
      <c r="ANA127" s="218"/>
      <c r="ANB127" s="218"/>
      <c r="ANC127" s="218"/>
      <c r="AND127" s="218"/>
      <c r="ANE127" s="218"/>
      <c r="ANF127" s="218"/>
      <c r="ANG127" s="218"/>
      <c r="ANH127" s="218"/>
      <c r="ANI127" s="218"/>
      <c r="ANJ127" s="218"/>
      <c r="ANK127" s="218"/>
      <c r="ANL127" s="218"/>
      <c r="ANM127" s="218"/>
      <c r="ANN127" s="218"/>
      <c r="ANO127" s="218"/>
      <c r="ANP127" s="218"/>
      <c r="ANQ127" s="218"/>
      <c r="ANR127" s="218"/>
      <c r="ANS127" s="218"/>
      <c r="ANT127" s="218"/>
      <c r="ANU127" s="218"/>
      <c r="ANV127" s="218"/>
      <c r="ANW127" s="218"/>
      <c r="ANX127" s="218"/>
      <c r="ANY127" s="218"/>
      <c r="ANZ127" s="218"/>
      <c r="AOA127" s="218"/>
      <c r="AOB127" s="218"/>
      <c r="AOC127" s="218"/>
      <c r="AOD127" s="218"/>
      <c r="AOE127" s="218"/>
      <c r="AOF127" s="218"/>
      <c r="AOG127" s="218"/>
      <c r="AOH127" s="218"/>
      <c r="AOI127" s="218"/>
      <c r="AOJ127" s="218"/>
      <c r="AOK127" s="218"/>
      <c r="AOL127" s="218"/>
      <c r="AOM127" s="218"/>
      <c r="AON127" s="218"/>
      <c r="AOO127" s="218"/>
      <c r="AOP127" s="218"/>
      <c r="AOQ127" s="218"/>
      <c r="AOR127" s="218"/>
      <c r="AOS127" s="218"/>
      <c r="AOT127" s="218"/>
      <c r="AOU127" s="218"/>
      <c r="AOV127" s="218"/>
      <c r="AOW127" s="218"/>
      <c r="AOX127" s="218"/>
      <c r="AOY127" s="218"/>
      <c r="AOZ127" s="218"/>
      <c r="APA127" s="218"/>
      <c r="APB127" s="218"/>
      <c r="APC127" s="218"/>
      <c r="APD127" s="218"/>
      <c r="APE127" s="218"/>
      <c r="APF127" s="218"/>
      <c r="APG127" s="218"/>
      <c r="APH127" s="218"/>
      <c r="API127" s="218"/>
      <c r="APJ127" s="218"/>
      <c r="APK127" s="218"/>
      <c r="APL127" s="218"/>
      <c r="APM127" s="218"/>
      <c r="APN127" s="218"/>
      <c r="APO127" s="218"/>
      <c r="APP127" s="218"/>
      <c r="APQ127" s="218"/>
      <c r="APR127" s="218"/>
      <c r="APS127" s="218"/>
      <c r="APT127" s="218"/>
      <c r="APU127" s="218"/>
      <c r="APV127" s="218"/>
      <c r="APW127" s="218"/>
      <c r="APX127" s="218"/>
      <c r="APY127" s="218"/>
      <c r="APZ127" s="218"/>
      <c r="AQA127" s="218"/>
      <c r="AQB127" s="218"/>
      <c r="AQC127" s="218"/>
      <c r="AQD127" s="218"/>
      <c r="AQE127" s="218"/>
      <c r="AQF127" s="218"/>
      <c r="AQG127" s="218"/>
      <c r="AQH127" s="218"/>
      <c r="AQI127" s="218"/>
      <c r="AQJ127" s="218"/>
      <c r="AQK127" s="218"/>
      <c r="AQL127" s="218"/>
      <c r="AQM127" s="218"/>
      <c r="AQN127" s="218"/>
      <c r="AQO127" s="218"/>
      <c r="AQP127" s="218"/>
      <c r="AQQ127" s="218"/>
      <c r="AQR127" s="218"/>
      <c r="AQS127" s="218"/>
      <c r="AQT127" s="218"/>
      <c r="AQU127" s="218"/>
      <c r="AQV127" s="218"/>
      <c r="AQW127" s="218"/>
      <c r="AQX127" s="218"/>
      <c r="AQY127" s="218"/>
      <c r="AQZ127" s="218"/>
      <c r="ARA127" s="218"/>
      <c r="ARB127" s="218"/>
      <c r="ARC127" s="218"/>
      <c r="ARD127" s="218"/>
      <c r="ARE127" s="218"/>
      <c r="ARF127" s="218"/>
      <c r="ARG127" s="218"/>
      <c r="ARH127" s="218"/>
      <c r="ARI127" s="218"/>
      <c r="ARJ127" s="218"/>
      <c r="ARK127" s="218"/>
      <c r="ARL127" s="218"/>
      <c r="ARM127" s="218"/>
      <c r="ARN127" s="218"/>
      <c r="ARO127" s="218"/>
      <c r="ARP127" s="218"/>
      <c r="ARQ127" s="218"/>
      <c r="ARR127" s="218"/>
      <c r="ARS127" s="218"/>
      <c r="ART127" s="218"/>
      <c r="ARU127" s="218"/>
      <c r="ARV127" s="218"/>
      <c r="ARW127" s="218"/>
      <c r="ARX127" s="218"/>
      <c r="ARY127" s="218"/>
      <c r="ARZ127" s="218"/>
      <c r="ASA127" s="218"/>
      <c r="ASB127" s="218"/>
      <c r="ASC127" s="218"/>
      <c r="ASD127" s="218"/>
      <c r="ASE127" s="218"/>
      <c r="ASF127" s="218"/>
      <c r="ASG127" s="218"/>
      <c r="ASH127" s="218"/>
      <c r="ASI127" s="218"/>
      <c r="ASJ127" s="218"/>
      <c r="ASK127" s="218"/>
      <c r="ASL127" s="218"/>
      <c r="ASM127" s="218"/>
      <c r="ASN127" s="218"/>
      <c r="ASO127" s="218"/>
      <c r="ASP127" s="218"/>
      <c r="ASQ127" s="218"/>
      <c r="ASR127" s="218"/>
      <c r="ASS127" s="218"/>
      <c r="AST127" s="218"/>
      <c r="ASU127" s="218"/>
      <c r="ASV127" s="218"/>
      <c r="ASW127" s="218"/>
      <c r="ASX127" s="218"/>
      <c r="ASY127" s="218"/>
      <c r="ASZ127" s="218"/>
      <c r="ATA127" s="218"/>
      <c r="ATB127" s="218"/>
      <c r="ATC127" s="218"/>
      <c r="ATD127" s="218"/>
      <c r="ATE127" s="218"/>
      <c r="ATF127" s="218"/>
      <c r="ATG127" s="218"/>
      <c r="ATH127" s="218"/>
      <c r="ATI127" s="218"/>
      <c r="ATJ127" s="218"/>
      <c r="ATK127" s="218"/>
      <c r="ATL127" s="218"/>
      <c r="ATM127" s="218"/>
      <c r="ATN127" s="218"/>
      <c r="ATO127" s="218"/>
      <c r="ATP127" s="218"/>
      <c r="ATQ127" s="218"/>
      <c r="ATR127" s="218"/>
      <c r="ATS127" s="218"/>
      <c r="ATT127" s="218"/>
      <c r="ATU127" s="218"/>
      <c r="ATV127" s="218"/>
      <c r="ATW127" s="218"/>
      <c r="ATX127" s="218"/>
      <c r="ATY127" s="218"/>
      <c r="ATZ127" s="218"/>
      <c r="AUA127" s="218"/>
      <c r="AUB127" s="218"/>
      <c r="AUC127" s="218"/>
      <c r="AUD127" s="218"/>
      <c r="AUE127" s="218"/>
      <c r="AUF127" s="218"/>
      <c r="AUG127" s="218"/>
      <c r="AUH127" s="218"/>
      <c r="AUI127" s="218"/>
      <c r="AUJ127" s="218"/>
      <c r="AUK127" s="218"/>
      <c r="AUL127" s="218"/>
      <c r="AUM127" s="218"/>
      <c r="AUN127" s="218"/>
      <c r="AUO127" s="218"/>
      <c r="AUP127" s="218"/>
      <c r="AUQ127" s="218"/>
      <c r="AUR127" s="218"/>
      <c r="AUS127" s="218"/>
      <c r="AUT127" s="218"/>
      <c r="AUU127" s="218"/>
      <c r="AUV127" s="218"/>
      <c r="AUW127" s="218"/>
      <c r="AUX127" s="218"/>
      <c r="AUY127" s="218"/>
      <c r="AUZ127" s="218"/>
      <c r="AVA127" s="218"/>
      <c r="AVB127" s="218"/>
      <c r="AVC127" s="218"/>
      <c r="AVD127" s="218"/>
      <c r="AVE127" s="218"/>
      <c r="AVF127" s="218"/>
      <c r="AVG127" s="218"/>
      <c r="AVH127" s="218"/>
      <c r="AVI127" s="218"/>
      <c r="AVJ127" s="218"/>
      <c r="AVK127" s="218"/>
      <c r="AVL127" s="218"/>
      <c r="AVM127" s="218"/>
      <c r="AVN127" s="218"/>
      <c r="AVO127" s="218"/>
      <c r="AVP127" s="218"/>
      <c r="AVQ127" s="218"/>
      <c r="AVR127" s="218"/>
      <c r="AVS127" s="218"/>
      <c r="AVT127" s="218"/>
      <c r="AVU127" s="218"/>
      <c r="AVV127" s="218"/>
      <c r="AVW127" s="218"/>
      <c r="AVX127" s="218"/>
      <c r="AVY127" s="218"/>
      <c r="AVZ127" s="218"/>
      <c r="AWA127" s="218"/>
      <c r="AWB127" s="218"/>
      <c r="AWC127" s="218"/>
      <c r="AWD127" s="218"/>
      <c r="AWE127" s="218"/>
      <c r="AWF127" s="218"/>
      <c r="AWG127" s="218"/>
      <c r="AWH127" s="218"/>
      <c r="AWI127" s="218"/>
      <c r="AWJ127" s="218"/>
      <c r="AWK127" s="218"/>
      <c r="AWL127" s="218"/>
      <c r="AWM127" s="218"/>
      <c r="AWN127" s="218"/>
      <c r="AWO127" s="218"/>
      <c r="AWP127" s="218"/>
      <c r="AWQ127" s="218"/>
      <c r="AWR127" s="218"/>
      <c r="AWS127" s="218"/>
      <c r="AWT127" s="218"/>
      <c r="AWU127" s="218"/>
      <c r="AWV127" s="218"/>
      <c r="AWW127" s="218"/>
      <c r="AWX127" s="218"/>
      <c r="AWY127" s="218"/>
      <c r="AWZ127" s="218"/>
      <c r="AXA127" s="218"/>
      <c r="AXB127" s="218"/>
      <c r="AXC127" s="218"/>
      <c r="AXD127" s="218"/>
      <c r="AXE127" s="218"/>
      <c r="AXF127" s="218"/>
      <c r="AXG127" s="218"/>
      <c r="AXH127" s="218"/>
      <c r="AXI127" s="218"/>
      <c r="AXJ127" s="218"/>
      <c r="AXK127" s="218"/>
      <c r="AXL127" s="218"/>
      <c r="AXM127" s="218"/>
      <c r="AXN127" s="218"/>
      <c r="AXO127" s="218"/>
      <c r="AXP127" s="218"/>
      <c r="AXQ127" s="218"/>
      <c r="AXR127" s="218"/>
      <c r="AXS127" s="218"/>
      <c r="AXT127" s="218"/>
      <c r="AXU127" s="218"/>
      <c r="AXV127" s="218"/>
      <c r="AXW127" s="218"/>
      <c r="AXX127" s="218"/>
      <c r="AXY127" s="218"/>
      <c r="AXZ127" s="218"/>
      <c r="AYA127" s="218"/>
      <c r="AYB127" s="218"/>
      <c r="AYC127" s="218"/>
      <c r="AYD127" s="218"/>
      <c r="AYE127" s="218"/>
      <c r="AYF127" s="218"/>
      <c r="AYG127" s="218"/>
      <c r="AYH127" s="218"/>
      <c r="AYI127" s="218"/>
      <c r="AYJ127" s="218"/>
      <c r="AYK127" s="218"/>
      <c r="AYL127" s="218"/>
      <c r="AYM127" s="218"/>
      <c r="AYN127" s="218"/>
      <c r="AYO127" s="218"/>
      <c r="AYP127" s="218"/>
      <c r="AYQ127" s="218"/>
      <c r="AYR127" s="218"/>
      <c r="AYS127" s="218"/>
      <c r="AYT127" s="218"/>
      <c r="AYU127" s="218"/>
      <c r="AYV127" s="218"/>
      <c r="AYW127" s="218"/>
      <c r="AYX127" s="218"/>
      <c r="AYY127" s="218"/>
      <c r="AYZ127" s="218"/>
      <c r="AZA127" s="218"/>
      <c r="AZB127" s="218"/>
      <c r="AZC127" s="218"/>
      <c r="AZD127" s="218"/>
      <c r="AZE127" s="218"/>
      <c r="AZF127" s="218"/>
      <c r="AZG127" s="218"/>
      <c r="AZH127" s="218"/>
      <c r="AZI127" s="218"/>
      <c r="AZJ127" s="218"/>
      <c r="AZK127" s="218"/>
      <c r="AZL127" s="218"/>
      <c r="AZM127" s="218"/>
      <c r="AZN127" s="218"/>
      <c r="AZO127" s="218"/>
      <c r="AZP127" s="218"/>
      <c r="AZQ127" s="218"/>
      <c r="AZR127" s="218"/>
      <c r="AZS127" s="218"/>
      <c r="AZT127" s="218"/>
      <c r="AZU127" s="218"/>
      <c r="AZV127" s="218"/>
      <c r="AZW127" s="218"/>
      <c r="AZX127" s="218"/>
      <c r="AZY127" s="218"/>
      <c r="AZZ127" s="218"/>
      <c r="BAA127" s="218"/>
      <c r="BAB127" s="218"/>
      <c r="BAC127" s="218"/>
      <c r="BAD127" s="218"/>
      <c r="BAE127" s="218"/>
      <c r="BAF127" s="218"/>
      <c r="BAG127" s="218"/>
      <c r="BAH127" s="218"/>
      <c r="BAI127" s="218"/>
      <c r="BAJ127" s="218"/>
      <c r="BAK127" s="218"/>
      <c r="BAL127" s="218"/>
      <c r="BAM127" s="218"/>
      <c r="BAN127" s="218"/>
      <c r="BAO127" s="218"/>
      <c r="BAP127" s="218"/>
      <c r="BAQ127" s="218"/>
      <c r="BAR127" s="218"/>
      <c r="BAS127" s="218"/>
      <c r="BAT127" s="218"/>
      <c r="BAU127" s="218"/>
      <c r="BAV127" s="218"/>
      <c r="BAW127" s="218"/>
      <c r="BAX127" s="218"/>
      <c r="BAY127" s="218"/>
      <c r="BAZ127" s="218"/>
      <c r="BBA127" s="218"/>
      <c r="BBB127" s="218"/>
      <c r="BBC127" s="218"/>
      <c r="BBD127" s="218"/>
      <c r="BBE127" s="218"/>
      <c r="BBF127" s="218"/>
      <c r="BBG127" s="218"/>
      <c r="BBH127" s="218"/>
      <c r="BBI127" s="218"/>
      <c r="BBJ127" s="218"/>
      <c r="BBK127" s="218"/>
      <c r="BBL127" s="218"/>
      <c r="BBM127" s="218"/>
      <c r="BBN127" s="218"/>
      <c r="BBO127" s="218"/>
      <c r="BBP127" s="218"/>
      <c r="BBQ127" s="218"/>
      <c r="BBR127" s="218"/>
      <c r="BBS127" s="218"/>
      <c r="BBT127" s="218"/>
      <c r="BBU127" s="218"/>
      <c r="BBV127" s="218"/>
      <c r="BBW127" s="218"/>
      <c r="BBX127" s="218"/>
      <c r="BBY127" s="218"/>
      <c r="BBZ127" s="218"/>
      <c r="BCA127" s="218"/>
      <c r="BCB127" s="218"/>
      <c r="BCC127" s="218"/>
      <c r="BCD127" s="218"/>
      <c r="BCE127" s="218"/>
      <c r="BCF127" s="218"/>
      <c r="BCG127" s="218"/>
      <c r="BCH127" s="218"/>
      <c r="BCI127" s="218"/>
      <c r="BCJ127" s="218"/>
      <c r="BCK127" s="218"/>
      <c r="BCL127" s="218"/>
      <c r="BCM127" s="218"/>
      <c r="BCN127" s="218"/>
      <c r="BCO127" s="218"/>
      <c r="BCP127" s="218"/>
      <c r="BCQ127" s="218"/>
      <c r="BCR127" s="218"/>
      <c r="BCS127" s="218"/>
      <c r="BCT127" s="218"/>
      <c r="BCU127" s="218"/>
      <c r="BCV127" s="218"/>
      <c r="BCW127" s="218"/>
      <c r="BCX127" s="218"/>
      <c r="BCY127" s="218"/>
      <c r="BCZ127" s="218"/>
      <c r="BDA127" s="218"/>
      <c r="BDB127" s="218"/>
      <c r="BDC127" s="218"/>
      <c r="BDD127" s="218"/>
      <c r="BDE127" s="218"/>
      <c r="BDF127" s="218"/>
      <c r="BDG127" s="218"/>
      <c r="BDH127" s="218"/>
      <c r="BDI127" s="218"/>
      <c r="BDJ127" s="218"/>
      <c r="BDK127" s="218"/>
      <c r="BDL127" s="218"/>
      <c r="BDM127" s="218"/>
      <c r="BDN127" s="218"/>
      <c r="BDO127" s="218"/>
      <c r="BDP127" s="218"/>
      <c r="BDQ127" s="218"/>
      <c r="BDR127" s="218"/>
      <c r="BDS127" s="218"/>
      <c r="BDT127" s="218"/>
      <c r="BDU127" s="218"/>
      <c r="BDV127" s="218"/>
      <c r="BDW127" s="218"/>
      <c r="BDX127" s="218"/>
      <c r="BDY127" s="218"/>
      <c r="BDZ127" s="218"/>
      <c r="BEA127" s="218"/>
      <c r="BEB127" s="218"/>
      <c r="BEC127" s="218"/>
      <c r="BED127" s="218"/>
      <c r="BEE127" s="218"/>
      <c r="BEF127" s="218"/>
      <c r="BEG127" s="218"/>
      <c r="BEH127" s="218"/>
      <c r="BEI127" s="218"/>
      <c r="BEJ127" s="218"/>
      <c r="BEK127" s="218"/>
      <c r="BEL127" s="218"/>
      <c r="BEM127" s="218"/>
      <c r="BEN127" s="218"/>
      <c r="BEO127" s="218"/>
      <c r="BEP127" s="218"/>
      <c r="BEQ127" s="218"/>
      <c r="BER127" s="218"/>
      <c r="BES127" s="218"/>
      <c r="BET127" s="218"/>
      <c r="BEU127" s="218"/>
      <c r="BEV127" s="218"/>
      <c r="BEW127" s="218"/>
      <c r="BEX127" s="218"/>
      <c r="BEY127" s="218"/>
      <c r="BEZ127" s="218"/>
      <c r="BFA127" s="218"/>
      <c r="BFB127" s="218"/>
      <c r="BFC127" s="218"/>
      <c r="BFD127" s="218"/>
      <c r="BFE127" s="218"/>
      <c r="BFF127" s="218"/>
      <c r="BFG127" s="218"/>
      <c r="BFH127" s="218"/>
      <c r="BFI127" s="218"/>
      <c r="BFJ127" s="218"/>
      <c r="BFK127" s="218"/>
      <c r="BFL127" s="218"/>
      <c r="BFM127" s="218"/>
      <c r="BFN127" s="218"/>
      <c r="BFO127" s="218"/>
      <c r="BFP127" s="218"/>
      <c r="BFQ127" s="218"/>
      <c r="BFR127" s="218"/>
      <c r="BFS127" s="218"/>
      <c r="BFT127" s="218"/>
      <c r="BFU127" s="218"/>
      <c r="BFV127" s="218"/>
      <c r="BFW127" s="218"/>
      <c r="BFX127" s="218"/>
      <c r="BFY127" s="218"/>
      <c r="BFZ127" s="218"/>
      <c r="BGA127" s="218"/>
      <c r="BGB127" s="218"/>
      <c r="BGC127" s="218"/>
      <c r="BGD127" s="218"/>
      <c r="BGE127" s="218"/>
      <c r="BGF127" s="218"/>
      <c r="BGG127" s="218"/>
      <c r="BGH127" s="218"/>
      <c r="BGI127" s="218"/>
      <c r="BGJ127" s="218"/>
      <c r="BGK127" s="218"/>
      <c r="BGL127" s="218"/>
      <c r="BGM127" s="218"/>
      <c r="BGN127" s="218"/>
      <c r="BGO127" s="218"/>
      <c r="BGP127" s="218"/>
      <c r="BGQ127" s="218"/>
      <c r="BGR127" s="218"/>
      <c r="BGS127" s="218"/>
      <c r="BGT127" s="218"/>
      <c r="BGU127" s="218"/>
      <c r="BGV127" s="218"/>
      <c r="BGW127" s="218"/>
      <c r="BGX127" s="218"/>
      <c r="BGY127" s="218"/>
      <c r="BGZ127" s="218"/>
      <c r="BHA127" s="218"/>
      <c r="BHB127" s="218"/>
      <c r="BHC127" s="218"/>
      <c r="BHD127" s="218"/>
      <c r="BHE127" s="218"/>
      <c r="BHF127" s="218"/>
      <c r="BHG127" s="218"/>
      <c r="BHH127" s="218"/>
      <c r="BHI127" s="218"/>
      <c r="BHJ127" s="218"/>
      <c r="BHK127" s="218"/>
      <c r="BHL127" s="218"/>
      <c r="BHM127" s="218"/>
      <c r="BHN127" s="218"/>
      <c r="BHO127" s="218"/>
      <c r="BHP127" s="218"/>
      <c r="BHQ127" s="218"/>
      <c r="BHR127" s="218"/>
      <c r="BHS127" s="218"/>
      <c r="BHT127" s="218"/>
      <c r="BHU127" s="218"/>
      <c r="BHV127" s="218"/>
      <c r="BHW127" s="218"/>
    </row>
    <row r="128" spans="1:1583" s="215" customFormat="1">
      <c r="A128" s="160" t="s">
        <v>157</v>
      </c>
      <c r="B128" s="196"/>
      <c r="C128" s="196"/>
      <c r="D128" s="441" t="s">
        <v>788</v>
      </c>
      <c r="E128" s="59" t="s">
        <v>158</v>
      </c>
      <c r="F128" s="126"/>
      <c r="G128" s="60" t="s">
        <v>778</v>
      </c>
      <c r="H128" s="474">
        <f t="shared" si="25"/>
        <v>8578.32</v>
      </c>
      <c r="I128" s="147">
        <f>(18.83-7.3)*24</f>
        <v>276.71999999999991</v>
      </c>
      <c r="J128" s="255"/>
      <c r="K128" s="147">
        <f t="shared" ref="K128:AN128" si="29">(18.83-7.3)*24</f>
        <v>276.71999999999991</v>
      </c>
      <c r="L128" s="147">
        <f t="shared" si="29"/>
        <v>276.71999999999991</v>
      </c>
      <c r="M128" s="147">
        <f t="shared" si="29"/>
        <v>276.71999999999991</v>
      </c>
      <c r="N128" s="147">
        <f t="shared" si="29"/>
        <v>276.71999999999991</v>
      </c>
      <c r="O128" s="147">
        <f t="shared" si="29"/>
        <v>276.71999999999991</v>
      </c>
      <c r="P128" s="147">
        <f t="shared" si="29"/>
        <v>276.71999999999991</v>
      </c>
      <c r="Q128" s="147">
        <f t="shared" si="29"/>
        <v>276.71999999999991</v>
      </c>
      <c r="R128" s="147">
        <f t="shared" si="29"/>
        <v>276.71999999999991</v>
      </c>
      <c r="S128" s="147">
        <f t="shared" si="29"/>
        <v>276.71999999999991</v>
      </c>
      <c r="T128" s="147">
        <f t="shared" si="29"/>
        <v>276.71999999999991</v>
      </c>
      <c r="U128" s="147">
        <f t="shared" si="29"/>
        <v>276.71999999999991</v>
      </c>
      <c r="V128" s="147">
        <f t="shared" si="29"/>
        <v>276.71999999999991</v>
      </c>
      <c r="W128" s="147">
        <f t="shared" si="29"/>
        <v>276.71999999999991</v>
      </c>
      <c r="X128" s="147">
        <f t="shared" si="29"/>
        <v>276.71999999999991</v>
      </c>
      <c r="Y128" s="147">
        <f t="shared" si="29"/>
        <v>276.71999999999991</v>
      </c>
      <c r="Z128" s="147">
        <f t="shared" si="29"/>
        <v>276.71999999999991</v>
      </c>
      <c r="AA128" s="147">
        <f t="shared" si="29"/>
        <v>276.71999999999991</v>
      </c>
      <c r="AB128" s="147">
        <f t="shared" si="29"/>
        <v>276.71999999999991</v>
      </c>
      <c r="AC128" s="147">
        <f t="shared" si="29"/>
        <v>276.71999999999991</v>
      </c>
      <c r="AD128" s="147">
        <f t="shared" si="29"/>
        <v>276.71999999999991</v>
      </c>
      <c r="AE128" s="147">
        <f t="shared" si="29"/>
        <v>276.71999999999991</v>
      </c>
      <c r="AF128" s="147">
        <f t="shared" si="29"/>
        <v>276.71999999999991</v>
      </c>
      <c r="AG128" s="147">
        <f t="shared" si="29"/>
        <v>276.71999999999991</v>
      </c>
      <c r="AH128" s="147">
        <f t="shared" si="29"/>
        <v>276.71999999999991</v>
      </c>
      <c r="AI128" s="147">
        <f t="shared" si="29"/>
        <v>276.71999999999991</v>
      </c>
      <c r="AJ128" s="147">
        <f t="shared" si="29"/>
        <v>276.71999999999991</v>
      </c>
      <c r="AK128" s="147">
        <f t="shared" si="29"/>
        <v>276.71999999999991</v>
      </c>
      <c r="AL128" s="147">
        <f t="shared" si="29"/>
        <v>276.71999999999991</v>
      </c>
      <c r="AM128" s="147">
        <f t="shared" si="29"/>
        <v>276.71999999999991</v>
      </c>
      <c r="AN128" s="147">
        <f t="shared" si="29"/>
        <v>276.71999999999991</v>
      </c>
    </row>
    <row r="129" spans="1:40">
      <c r="A129" s="121" t="s">
        <v>407</v>
      </c>
      <c r="B129" s="197"/>
      <c r="C129" s="197"/>
      <c r="D129" s="441" t="s">
        <v>789</v>
      </c>
      <c r="E129" s="59" t="s">
        <v>158</v>
      </c>
      <c r="F129" s="128"/>
      <c r="G129" s="60" t="s">
        <v>779</v>
      </c>
      <c r="H129" s="474">
        <f>SUM(I129:AN129)</f>
        <v>14009.52</v>
      </c>
      <c r="I129" s="96">
        <f>(11.5+7.33)*24</f>
        <v>451.91999999999996</v>
      </c>
      <c r="K129" s="96">
        <f t="shared" ref="K129:AN129" si="30">(11.5+7.33)*24</f>
        <v>451.91999999999996</v>
      </c>
      <c r="L129" s="96">
        <f t="shared" si="30"/>
        <v>451.91999999999996</v>
      </c>
      <c r="M129" s="96">
        <f t="shared" si="30"/>
        <v>451.91999999999996</v>
      </c>
      <c r="N129" s="96">
        <f t="shared" si="30"/>
        <v>451.91999999999996</v>
      </c>
      <c r="O129" s="96">
        <f t="shared" si="30"/>
        <v>451.91999999999996</v>
      </c>
      <c r="P129" s="96">
        <f t="shared" si="30"/>
        <v>451.91999999999996</v>
      </c>
      <c r="Q129" s="96">
        <f t="shared" si="30"/>
        <v>451.91999999999996</v>
      </c>
      <c r="R129" s="96">
        <f t="shared" si="30"/>
        <v>451.91999999999996</v>
      </c>
      <c r="S129" s="96">
        <f t="shared" si="30"/>
        <v>451.91999999999996</v>
      </c>
      <c r="T129" s="96">
        <f t="shared" si="30"/>
        <v>451.91999999999996</v>
      </c>
      <c r="U129" s="96">
        <f t="shared" si="30"/>
        <v>451.91999999999996</v>
      </c>
      <c r="V129" s="96">
        <f t="shared" si="30"/>
        <v>451.91999999999996</v>
      </c>
      <c r="W129" s="96">
        <f t="shared" si="30"/>
        <v>451.91999999999996</v>
      </c>
      <c r="X129" s="96">
        <f t="shared" si="30"/>
        <v>451.91999999999996</v>
      </c>
      <c r="Y129" s="96">
        <f t="shared" si="30"/>
        <v>451.91999999999996</v>
      </c>
      <c r="Z129" s="96">
        <f t="shared" si="30"/>
        <v>451.91999999999996</v>
      </c>
      <c r="AA129" s="96">
        <f t="shared" si="30"/>
        <v>451.91999999999996</v>
      </c>
      <c r="AB129" s="96">
        <f t="shared" si="30"/>
        <v>451.91999999999996</v>
      </c>
      <c r="AC129" s="96">
        <f t="shared" si="30"/>
        <v>451.91999999999996</v>
      </c>
      <c r="AD129" s="96">
        <f t="shared" si="30"/>
        <v>451.91999999999996</v>
      </c>
      <c r="AE129" s="96">
        <f t="shared" si="30"/>
        <v>451.91999999999996</v>
      </c>
      <c r="AF129" s="96">
        <f t="shared" si="30"/>
        <v>451.91999999999996</v>
      </c>
      <c r="AG129" s="96">
        <f t="shared" si="30"/>
        <v>451.91999999999996</v>
      </c>
      <c r="AH129" s="96">
        <f t="shared" si="30"/>
        <v>451.91999999999996</v>
      </c>
      <c r="AI129" s="96">
        <f t="shared" si="30"/>
        <v>451.91999999999996</v>
      </c>
      <c r="AJ129" s="96">
        <f t="shared" si="30"/>
        <v>451.91999999999996</v>
      </c>
      <c r="AK129" s="96">
        <f t="shared" si="30"/>
        <v>451.91999999999996</v>
      </c>
      <c r="AL129" s="96">
        <f t="shared" si="30"/>
        <v>451.91999999999996</v>
      </c>
      <c r="AM129" s="96">
        <f t="shared" si="30"/>
        <v>451.91999999999996</v>
      </c>
      <c r="AN129" s="96">
        <f t="shared" si="30"/>
        <v>451.91999999999996</v>
      </c>
    </row>
    <row r="130" spans="1:40">
      <c r="A130" s="121" t="s">
        <v>159</v>
      </c>
      <c r="B130" s="197"/>
      <c r="C130" s="197"/>
      <c r="D130" s="441" t="s">
        <v>790</v>
      </c>
      <c r="E130" s="59" t="s">
        <v>160</v>
      </c>
      <c r="F130" s="128"/>
      <c r="G130" s="60" t="s">
        <v>780</v>
      </c>
      <c r="H130" s="475"/>
      <c r="I130" s="93"/>
      <c r="K130" s="93"/>
      <c r="L130" s="93"/>
      <c r="M130" s="93"/>
      <c r="N130" s="93"/>
      <c r="O130" s="93"/>
      <c r="P130" s="93"/>
      <c r="Q130" s="93"/>
      <c r="R130" s="93"/>
      <c r="S130" s="93"/>
      <c r="T130" s="93"/>
      <c r="U130" s="93"/>
      <c r="V130" s="93"/>
      <c r="W130" s="93"/>
      <c r="X130" s="93"/>
      <c r="Y130" s="93"/>
      <c r="Z130" s="93"/>
      <c r="AA130" s="93"/>
      <c r="AB130" s="93"/>
      <c r="AC130" s="93"/>
      <c r="AD130" s="93"/>
      <c r="AE130" s="93"/>
      <c r="AF130" s="93"/>
      <c r="AG130" s="93"/>
      <c r="AH130" s="93"/>
      <c r="AI130" s="93"/>
      <c r="AJ130" s="93"/>
      <c r="AK130" s="93"/>
      <c r="AL130" s="93"/>
      <c r="AM130" s="93"/>
      <c r="AN130" s="93"/>
    </row>
    <row r="131" spans="1:40" ht="30">
      <c r="A131" s="123" t="s">
        <v>161</v>
      </c>
      <c r="B131" s="197"/>
      <c r="C131" s="197"/>
      <c r="D131" s="441" t="s">
        <v>791</v>
      </c>
      <c r="E131" s="59" t="s">
        <v>162</v>
      </c>
      <c r="F131" s="128"/>
      <c r="G131" s="60" t="s">
        <v>781</v>
      </c>
      <c r="H131" s="473">
        <f>SUM(I131:AN131)</f>
        <v>0</v>
      </c>
      <c r="I131" s="93"/>
      <c r="K131" s="93"/>
      <c r="L131" s="93"/>
      <c r="M131" s="93"/>
      <c r="N131" s="93"/>
      <c r="O131" s="93"/>
      <c r="P131" s="93"/>
      <c r="Q131" s="93"/>
      <c r="R131" s="93"/>
      <c r="S131" s="93"/>
      <c r="T131" s="93"/>
      <c r="U131" s="93"/>
      <c r="V131" s="93"/>
      <c r="W131" s="93"/>
      <c r="X131" s="93"/>
      <c r="Y131" s="93"/>
      <c r="Z131" s="93"/>
      <c r="AA131" s="93"/>
      <c r="AB131" s="93"/>
      <c r="AC131" s="93"/>
      <c r="AD131" s="93"/>
      <c r="AE131" s="93"/>
      <c r="AF131" s="93"/>
      <c r="AG131" s="93"/>
      <c r="AH131" s="93"/>
      <c r="AI131" s="93"/>
      <c r="AJ131" s="93"/>
      <c r="AK131" s="93"/>
      <c r="AL131" s="93"/>
      <c r="AM131" s="93"/>
      <c r="AN131" s="93"/>
    </row>
    <row r="132" spans="1:40">
      <c r="A132" s="123" t="s">
        <v>163</v>
      </c>
      <c r="B132" s="128"/>
      <c r="C132" s="128"/>
      <c r="D132" s="441" t="s">
        <v>792</v>
      </c>
      <c r="E132" s="59" t="s">
        <v>164</v>
      </c>
      <c r="F132" s="128"/>
      <c r="G132" s="60" t="s">
        <v>782</v>
      </c>
      <c r="H132" s="473">
        <f>SUM(I132:AN132)</f>
        <v>0</v>
      </c>
      <c r="I132" s="93"/>
      <c r="K132" s="93"/>
      <c r="L132" s="93"/>
      <c r="M132" s="93"/>
      <c r="N132" s="93"/>
      <c r="O132" s="93"/>
      <c r="P132" s="93"/>
      <c r="Q132" s="93"/>
      <c r="R132" s="93"/>
      <c r="S132" s="93"/>
      <c r="T132" s="93"/>
      <c r="U132" s="93"/>
      <c r="V132" s="93"/>
      <c r="W132" s="93"/>
      <c r="X132" s="93"/>
      <c r="Y132" s="93"/>
      <c r="Z132" s="93"/>
      <c r="AA132" s="93"/>
      <c r="AB132" s="93"/>
      <c r="AC132" s="93"/>
      <c r="AD132" s="93"/>
      <c r="AE132" s="93"/>
      <c r="AF132" s="93"/>
      <c r="AG132" s="93"/>
      <c r="AH132" s="93"/>
      <c r="AI132" s="93"/>
      <c r="AJ132" s="93"/>
      <c r="AK132" s="93"/>
      <c r="AL132" s="93"/>
      <c r="AM132" s="93"/>
      <c r="AN132" s="93"/>
    </row>
    <row r="133" spans="1:40">
      <c r="A133" s="123" t="s">
        <v>165</v>
      </c>
      <c r="B133" s="128"/>
      <c r="C133" s="128"/>
      <c r="D133" s="441" t="s">
        <v>793</v>
      </c>
      <c r="E133" s="59" t="s">
        <v>164</v>
      </c>
      <c r="F133" s="128"/>
      <c r="G133" s="60" t="s">
        <v>783</v>
      </c>
      <c r="H133" s="473">
        <f>SUM(I133:AN133)</f>
        <v>0</v>
      </c>
      <c r="I133" s="93"/>
      <c r="K133" s="93"/>
      <c r="L133" s="93"/>
      <c r="M133" s="93"/>
      <c r="N133" s="93"/>
      <c r="O133" s="93"/>
      <c r="P133" s="93"/>
      <c r="Q133" s="93"/>
      <c r="R133" s="93"/>
      <c r="S133" s="93"/>
      <c r="T133" s="93"/>
      <c r="U133" s="93"/>
      <c r="V133" s="93"/>
      <c r="W133" s="93"/>
      <c r="X133" s="93"/>
      <c r="Y133" s="93"/>
      <c r="Z133" s="93"/>
      <c r="AA133" s="93"/>
      <c r="AB133" s="93"/>
      <c r="AC133" s="93"/>
      <c r="AD133" s="93"/>
      <c r="AE133" s="93"/>
      <c r="AF133" s="93"/>
      <c r="AG133" s="93"/>
      <c r="AH133" s="93"/>
      <c r="AI133" s="93"/>
      <c r="AJ133" s="93"/>
      <c r="AK133" s="93"/>
      <c r="AL133" s="93"/>
      <c r="AM133" s="93"/>
      <c r="AN133" s="93"/>
    </row>
    <row r="134" spans="1:40" s="218" customFormat="1" ht="15.75" thickBot="1">
      <c r="A134" s="161" t="s">
        <v>166</v>
      </c>
      <c r="B134" s="127"/>
      <c r="C134" s="127"/>
      <c r="D134" s="441" t="s">
        <v>794</v>
      </c>
      <c r="E134" s="59" t="s">
        <v>158</v>
      </c>
      <c r="F134" s="127"/>
      <c r="G134" s="60" t="s">
        <v>784</v>
      </c>
      <c r="H134" s="473">
        <f>H129</f>
        <v>14009.52</v>
      </c>
      <c r="I134" s="151"/>
      <c r="J134" s="255"/>
      <c r="K134" s="151"/>
      <c r="L134" s="151"/>
      <c r="M134" s="151"/>
      <c r="N134" s="151"/>
      <c r="O134" s="151"/>
      <c r="P134" s="151"/>
      <c r="Q134" s="151"/>
      <c r="R134" s="151"/>
      <c r="S134" s="151"/>
      <c r="T134" s="151"/>
      <c r="U134" s="151"/>
      <c r="V134" s="151"/>
      <c r="W134" s="151"/>
      <c r="X134" s="151"/>
      <c r="Y134" s="151"/>
      <c r="Z134" s="151"/>
      <c r="AA134" s="151"/>
      <c r="AB134" s="151"/>
      <c r="AC134" s="151"/>
      <c r="AD134" s="151"/>
      <c r="AE134" s="151"/>
      <c r="AF134" s="151"/>
      <c r="AG134" s="151"/>
      <c r="AH134" s="151"/>
      <c r="AI134" s="151"/>
      <c r="AJ134" s="151"/>
      <c r="AK134" s="151"/>
      <c r="AL134" s="151"/>
      <c r="AM134" s="151"/>
      <c r="AN134" s="151"/>
    </row>
    <row r="135" spans="1:40" s="225" customFormat="1" ht="24" thickBot="1">
      <c r="A135" s="162" t="s">
        <v>167</v>
      </c>
      <c r="B135" s="198"/>
      <c r="C135" s="198"/>
      <c r="D135" s="446"/>
      <c r="E135" s="447"/>
      <c r="F135" s="163"/>
      <c r="G135" s="479" t="s">
        <v>443</v>
      </c>
      <c r="H135" s="476"/>
      <c r="I135" s="163"/>
      <c r="J135" s="255"/>
      <c r="K135" s="163"/>
      <c r="L135" s="163"/>
      <c r="M135" s="163"/>
      <c r="N135" s="163"/>
      <c r="O135" s="163"/>
      <c r="P135" s="163"/>
      <c r="Q135" s="163"/>
      <c r="R135" s="163"/>
      <c r="S135" s="163"/>
      <c r="T135" s="163"/>
      <c r="U135" s="163"/>
      <c r="V135" s="163"/>
      <c r="W135" s="163"/>
      <c r="X135" s="163"/>
      <c r="Y135" s="163"/>
      <c r="Z135" s="163"/>
      <c r="AA135" s="163"/>
      <c r="AB135" s="163"/>
      <c r="AC135" s="163"/>
      <c r="AD135" s="163"/>
      <c r="AE135" s="163"/>
      <c r="AF135" s="163"/>
      <c r="AG135" s="163"/>
      <c r="AH135" s="163"/>
      <c r="AI135" s="163"/>
      <c r="AJ135" s="163"/>
      <c r="AK135" s="163"/>
      <c r="AL135" s="163"/>
      <c r="AM135" s="163"/>
      <c r="AN135" s="163"/>
    </row>
    <row r="136" spans="1:40" s="225" customFormat="1" ht="26.1" customHeight="1" thickBot="1">
      <c r="A136" s="164" t="s">
        <v>168</v>
      </c>
      <c r="B136" s="166" t="s">
        <v>3</v>
      </c>
      <c r="C136" s="166" t="s">
        <v>3</v>
      </c>
      <c r="D136" s="433"/>
      <c r="E136" s="165" t="s">
        <v>169</v>
      </c>
      <c r="F136" s="166" t="s">
        <v>170</v>
      </c>
      <c r="G136" s="480" t="s">
        <v>443</v>
      </c>
      <c r="H136" s="477"/>
      <c r="I136" s="167"/>
      <c r="J136" s="255"/>
      <c r="K136" s="167"/>
      <c r="L136" s="167"/>
      <c r="M136" s="167"/>
      <c r="N136" s="167"/>
      <c r="O136" s="167"/>
      <c r="P136" s="167"/>
      <c r="Q136" s="167"/>
      <c r="R136" s="167"/>
      <c r="S136" s="167"/>
      <c r="T136" s="167"/>
      <c r="U136" s="167"/>
      <c r="V136" s="167"/>
      <c r="W136" s="167"/>
      <c r="X136" s="167"/>
      <c r="Y136" s="167"/>
      <c r="Z136" s="167"/>
      <c r="AA136" s="167"/>
      <c r="AB136" s="167"/>
      <c r="AC136" s="167"/>
      <c r="AD136" s="167"/>
      <c r="AE136" s="167"/>
      <c r="AF136" s="167"/>
      <c r="AG136" s="167"/>
      <c r="AH136" s="167"/>
      <c r="AI136" s="167"/>
      <c r="AJ136" s="167"/>
      <c r="AK136" s="167"/>
      <c r="AL136" s="167"/>
      <c r="AM136" s="167"/>
      <c r="AN136" s="167"/>
    </row>
    <row r="137" spans="1:40">
      <c r="A137" s="168" t="s">
        <v>171</v>
      </c>
      <c r="B137" s="77" t="s">
        <v>172</v>
      </c>
      <c r="C137" s="77" t="s">
        <v>172</v>
      </c>
      <c r="D137" s="426"/>
      <c r="E137" s="63" t="s">
        <v>5</v>
      </c>
      <c r="F137" s="131" t="s">
        <v>173</v>
      </c>
      <c r="G137" s="60" t="s">
        <v>659</v>
      </c>
      <c r="H137" s="473">
        <f>AVERAGE(I137:AN137)</f>
        <v>84.244126944894134</v>
      </c>
      <c r="I137" s="99">
        <f t="shared" ref="I137:AN137" si="31">I3</f>
        <v>77.724795523276441</v>
      </c>
      <c r="K137" s="99">
        <f t="shared" si="31"/>
        <v>86.087509155898118</v>
      </c>
      <c r="L137" s="99">
        <f t="shared" si="31"/>
        <v>85.230090913750232</v>
      </c>
      <c r="M137" s="99">
        <f t="shared" si="31"/>
        <v>84.945965870271564</v>
      </c>
      <c r="N137" s="99">
        <f t="shared" si="31"/>
        <v>85.752281201446124</v>
      </c>
      <c r="O137" s="99">
        <f t="shared" si="31"/>
        <v>86.519915144980885</v>
      </c>
      <c r="P137" s="99">
        <f t="shared" si="31"/>
        <v>85.861779841358938</v>
      </c>
      <c r="Q137" s="99">
        <f t="shared" si="31"/>
        <v>84.4878942784527</v>
      </c>
      <c r="R137" s="99">
        <f t="shared" si="31"/>
        <v>83.655579788994032</v>
      </c>
      <c r="S137" s="99">
        <f t="shared" si="31"/>
        <v>84.252419430068358</v>
      </c>
      <c r="T137" s="99">
        <f t="shared" si="31"/>
        <v>83.391256717572062</v>
      </c>
      <c r="U137" s="99">
        <f t="shared" si="31"/>
        <v>83.558429758524539</v>
      </c>
      <c r="V137" s="99">
        <f t="shared" si="31"/>
        <v>83.395333097778135</v>
      </c>
      <c r="W137" s="99">
        <f t="shared" si="31"/>
        <v>84.891638490206049</v>
      </c>
      <c r="X137" s="99">
        <f t="shared" si="31"/>
        <v>83.332363965011751</v>
      </c>
      <c r="Y137" s="99">
        <f t="shared" si="31"/>
        <v>79.252482389806417</v>
      </c>
      <c r="Z137" s="99">
        <f t="shared" si="31"/>
        <v>77.940783897403662</v>
      </c>
      <c r="AA137" s="99">
        <f t="shared" si="31"/>
        <v>79.348119942883997</v>
      </c>
      <c r="AB137" s="99">
        <f t="shared" si="31"/>
        <v>79.662433402367625</v>
      </c>
      <c r="AC137" s="99">
        <f t="shared" si="31"/>
        <v>81.721160491754176</v>
      </c>
      <c r="AD137" s="99">
        <f t="shared" si="31"/>
        <v>85.70638541862526</v>
      </c>
      <c r="AE137" s="99">
        <f t="shared" si="31"/>
        <v>86.824706274995592</v>
      </c>
      <c r="AF137" s="99">
        <f t="shared" si="31"/>
        <v>86.338373686538915</v>
      </c>
      <c r="AG137" s="99">
        <f t="shared" si="31"/>
        <v>86.316483628699501</v>
      </c>
      <c r="AH137" s="99">
        <f t="shared" si="31"/>
        <v>86.541972438702061</v>
      </c>
      <c r="AI137" s="99">
        <f t="shared" si="31"/>
        <v>86.373567276188794</v>
      </c>
      <c r="AJ137" s="99">
        <f t="shared" si="31"/>
        <v>86.874995836468187</v>
      </c>
      <c r="AK137" s="99">
        <f t="shared" si="31"/>
        <v>86.594426309421209</v>
      </c>
      <c r="AL137" s="99">
        <f t="shared" si="31"/>
        <v>86.165007089611905</v>
      </c>
      <c r="AM137" s="99">
        <f t="shared" si="31"/>
        <v>86.075889382568718</v>
      </c>
      <c r="AN137" s="99">
        <f t="shared" si="31"/>
        <v>86.743894648091697</v>
      </c>
    </row>
    <row r="138" spans="1:40" ht="28.5">
      <c r="A138" s="169"/>
      <c r="B138" s="199" t="s">
        <v>174</v>
      </c>
      <c r="C138" s="199" t="s">
        <v>174</v>
      </c>
      <c r="D138" s="199"/>
      <c r="E138" s="59" t="s">
        <v>175</v>
      </c>
      <c r="F138" s="132">
        <v>254</v>
      </c>
      <c r="G138" s="60" t="s">
        <v>659</v>
      </c>
      <c r="H138" s="473">
        <f>SUM(I138:AN138)</f>
        <v>5977.8971917521985</v>
      </c>
      <c r="I138" s="100">
        <f>((I23+I36)/Analysis!J38)*(Analysis!J33/100)*2.015</f>
        <v>183.95692937750445</v>
      </c>
      <c r="K138" s="100">
        <f>((K23+K36)/Analysis!L38)*(Analysis!L33/100)*2.015</f>
        <v>206.88557488419553</v>
      </c>
      <c r="L138" s="100">
        <f>((L23+L36)/Analysis!M38)*(Analysis!M33/100)*2.015</f>
        <v>205.75978246023064</v>
      </c>
      <c r="M138" s="100">
        <f>((M23+M36)/Analysis!N38)*(Analysis!N33/100)*2.015</f>
        <v>204.26894063552567</v>
      </c>
      <c r="N138" s="100">
        <f>((N23+N36)/Analysis!O38)*(Analysis!O33/100)*2.015</f>
        <v>205.88363184373191</v>
      </c>
      <c r="O138" s="100">
        <f>((O23+O36)/Analysis!P38)*(Analysis!P33/100)*2.015</f>
        <v>210.81372219307849</v>
      </c>
      <c r="P138" s="100">
        <f>((P23+P36)/Analysis!Q38)*(Analysis!Q33/100)*2.015</f>
        <v>210.3963538422513</v>
      </c>
      <c r="Q138" s="100">
        <f>((Q23+Q36)/Analysis!R38)*(Analysis!R33/100)*2.015</f>
        <v>207.76778421268253</v>
      </c>
      <c r="R138" s="100">
        <f>((R23+R36)/Analysis!S38)*(Analysis!S33/100)*2.015</f>
        <v>206.61942484319084</v>
      </c>
      <c r="S138" s="100">
        <f>((S23+S36)/Analysis!T38)*(Analysis!T33/100)*2.015</f>
        <v>206.3266254696176</v>
      </c>
      <c r="T138" s="100">
        <f>((T23+T36)/Analysis!U38)*(Analysis!U33/100)*2.015</f>
        <v>205.01676229752039</v>
      </c>
      <c r="U138" s="100">
        <f>((U23+U36)/Analysis!V38)*(Analysis!V33/100)*2.015</f>
        <v>204.36772897508027</v>
      </c>
      <c r="V138" s="100">
        <f>((V23+V36)/Analysis!W38)*(Analysis!W33/100)*2.015</f>
        <v>206.90434907247695</v>
      </c>
      <c r="W138" s="100">
        <f>((W23+W36)/Analysis!X38)*(Analysis!X33/100)*2.015</f>
        <v>206.75559566276863</v>
      </c>
      <c r="X138" s="100">
        <f>((X23+X36)/Analysis!Y38)*(Analysis!Y33/100)*2.015</f>
        <v>195.89783814830872</v>
      </c>
      <c r="Y138" s="100">
        <f>((Y23+Y36)/Analysis!Z38)*(Analysis!Z33/100)*2.015</f>
        <v>138.68920434864737</v>
      </c>
      <c r="Z138" s="100">
        <f>((Z23+Z36)/Analysis!AA38)*(Analysis!AA33/100)*2.015</f>
        <v>83.433912589909653</v>
      </c>
      <c r="AA138" s="100">
        <f>((AA23+AA36)/Analysis!AB38)*(Analysis!AB33/100)*2.015</f>
        <v>51.984656950234154</v>
      </c>
      <c r="AB138" s="100">
        <f>((AB23+AB36)/Analysis!AC38)*(Analysis!AC33/100)*2.015</f>
        <v>47.68575954147348</v>
      </c>
      <c r="AC138" s="100">
        <f>((AC23+AC36)/Analysis!AD38)*(Analysis!AD33/100)*2.015</f>
        <v>146.00167235405371</v>
      </c>
      <c r="AD138" s="100">
        <f>((AD23+AD36)/Analysis!AE38)*(Analysis!AE33/100)*2.015</f>
        <v>212.97451125166569</v>
      </c>
      <c r="AE138" s="100">
        <f>((AE23+AE36)/Analysis!AF38)*(Analysis!AF33/100)*2.015</f>
        <v>223.81025288837145</v>
      </c>
      <c r="AF138" s="100">
        <f>((AF23+AF36)/Analysis!AG38)*(Analysis!AG33/100)*2.015</f>
        <v>224.03135523300864</v>
      </c>
      <c r="AG138" s="100">
        <f>((AG23+AG36)/Analysis!AH38)*(Analysis!AH33/100)*2.015</f>
        <v>221.04902083278432</v>
      </c>
      <c r="AH138" s="100">
        <f>((AH23+AH36)/Analysis!AI38)*(Analysis!AI33/100)*2.015</f>
        <v>220.86674427800671</v>
      </c>
      <c r="AI138" s="100">
        <f>((AI23+AI36)/Analysis!AJ38)*(Analysis!AJ33/100)*2.015</f>
        <v>221.68687752430989</v>
      </c>
      <c r="AJ138" s="100">
        <f>((AJ23+AJ36)/Analysis!AK38)*(Analysis!AK33/100)*2.015</f>
        <v>224.88395272418467</v>
      </c>
      <c r="AK138" s="100">
        <f>((AK23+AK36)/Analysis!AL38)*(Analysis!AL33/100)*2.015</f>
        <v>223.68407277454693</v>
      </c>
      <c r="AL138" s="100">
        <f>((AL23+AL36)/Analysis!AM38)*(Analysis!AM33/100)*2.015</f>
        <v>223.65428134910903</v>
      </c>
      <c r="AM138" s="100">
        <f>((AM23+AM36)/Analysis!AN38)*(Analysis!AN33/100)*2.015</f>
        <v>222.40238396851518</v>
      </c>
      <c r="AN138" s="100">
        <f>((AN23+AN36)/Analysis!AO38)*(Analysis!AO33/100)*2.015</f>
        <v>223.43748922521391</v>
      </c>
    </row>
    <row r="139" spans="1:40" ht="28.5">
      <c r="A139" s="169"/>
      <c r="B139" s="255" t="s">
        <v>176</v>
      </c>
      <c r="C139" s="255" t="s">
        <v>176</v>
      </c>
      <c r="D139" s="255"/>
      <c r="E139" s="59" t="s">
        <v>177</v>
      </c>
      <c r="F139" s="304"/>
      <c r="G139" s="60" t="s">
        <v>659</v>
      </c>
      <c r="H139" s="473">
        <f t="shared" ref="H139:H152" si="32">AVERAGE(I139:AN139)</f>
        <v>191.1668761610141</v>
      </c>
      <c r="I139" s="96">
        <f>I18/I59</f>
        <v>172.48174995453252</v>
      </c>
      <c r="K139" s="96">
        <f t="shared" ref="K139:AN139" si="33">K18/K59</f>
        <v>163.74312400907638</v>
      </c>
      <c r="L139" s="96">
        <f t="shared" si="33"/>
        <v>163.3307814375396</v>
      </c>
      <c r="M139" s="96">
        <f t="shared" si="33"/>
        <v>163.57980434036975</v>
      </c>
      <c r="N139" s="96">
        <f t="shared" si="33"/>
        <v>164.5832010566975</v>
      </c>
      <c r="O139" s="96">
        <f t="shared" si="33"/>
        <v>161.90598082822817</v>
      </c>
      <c r="P139" s="96">
        <f t="shared" si="33"/>
        <v>161.30836207266643</v>
      </c>
      <c r="Q139" s="96">
        <f t="shared" si="33"/>
        <v>162.1370049358157</v>
      </c>
      <c r="R139" s="96">
        <f t="shared" si="33"/>
        <v>162.8036790554732</v>
      </c>
      <c r="S139" s="96">
        <f t="shared" si="33"/>
        <v>163.24571873805857</v>
      </c>
      <c r="T139" s="96">
        <f t="shared" si="33"/>
        <v>163.64029685609907</v>
      </c>
      <c r="U139" s="96">
        <f t="shared" si="33"/>
        <v>164.84785843750416</v>
      </c>
      <c r="V139" s="96">
        <f t="shared" si="33"/>
        <v>163.57437511902103</v>
      </c>
      <c r="W139" s="96">
        <f t="shared" si="33"/>
        <v>164.45505359289612</v>
      </c>
      <c r="X139" s="96">
        <f t="shared" si="33"/>
        <v>192.54849551582129</v>
      </c>
      <c r="Y139" s="96">
        <f t="shared" si="33"/>
        <v>246.16049474980611</v>
      </c>
      <c r="Z139" s="96">
        <f t="shared" si="33"/>
        <v>307.64290995432202</v>
      </c>
      <c r="AA139" s="96">
        <f t="shared" si="33"/>
        <v>411.7689935231445</v>
      </c>
      <c r="AB139" s="96">
        <f t="shared" si="33"/>
        <v>412.94738603954954</v>
      </c>
      <c r="AC139" s="96">
        <f t="shared" si="33"/>
        <v>219.70001686646452</v>
      </c>
      <c r="AD139" s="96">
        <f t="shared" si="33"/>
        <v>171.15143313127862</v>
      </c>
      <c r="AE139" s="96">
        <f t="shared" si="33"/>
        <v>164.0605318814753</v>
      </c>
      <c r="AF139" s="96">
        <f t="shared" si="33"/>
        <v>163.41809372325372</v>
      </c>
      <c r="AG139" s="96">
        <f t="shared" si="33"/>
        <v>165.60824744160436</v>
      </c>
      <c r="AH139" s="96">
        <f t="shared" si="33"/>
        <v>165.75246626413087</v>
      </c>
      <c r="AI139" s="96">
        <f t="shared" si="33"/>
        <v>168.68580952147568</v>
      </c>
      <c r="AJ139" s="96">
        <f t="shared" si="33"/>
        <v>168.68673037670996</v>
      </c>
      <c r="AK139" s="96">
        <f t="shared" si="33"/>
        <v>168.09356563303041</v>
      </c>
      <c r="AL139" s="96">
        <f t="shared" si="33"/>
        <v>167.34717275954088</v>
      </c>
      <c r="AM139" s="96">
        <f t="shared" si="33"/>
        <v>169.41252502009058</v>
      </c>
      <c r="AN139" s="96">
        <f t="shared" si="33"/>
        <v>167.55129815576075</v>
      </c>
    </row>
    <row r="140" spans="1:40">
      <c r="A140" s="169"/>
      <c r="B140" s="255" t="s">
        <v>178</v>
      </c>
      <c r="C140" s="255" t="s">
        <v>178</v>
      </c>
      <c r="D140" s="255"/>
      <c r="E140" s="170" t="s">
        <v>179</v>
      </c>
      <c r="F140" s="304" t="s">
        <v>180</v>
      </c>
      <c r="G140" s="60" t="s">
        <v>659</v>
      </c>
      <c r="H140" s="473">
        <f t="shared" si="32"/>
        <v>8.3622985862616712</v>
      </c>
      <c r="I140" s="100">
        <f>Analysis!J3</f>
        <v>7.7279660997690209</v>
      </c>
      <c r="K140" s="100">
        <f>Analysis!L3</f>
        <v>7.7303224221183022</v>
      </c>
      <c r="L140" s="100">
        <f>Analysis!M3</f>
        <v>7.3125413334366414</v>
      </c>
      <c r="M140" s="100">
        <f>Analysis!N3</f>
        <v>7.3564318161493309</v>
      </c>
      <c r="N140" s="100">
        <f>Analysis!O3</f>
        <v>7.3837764145766291</v>
      </c>
      <c r="O140" s="100">
        <f>Analysis!P3</f>
        <v>7.4697811417389905</v>
      </c>
      <c r="P140" s="100">
        <f>Analysis!Q3</f>
        <v>7.5239990287547078</v>
      </c>
      <c r="Q140" s="100">
        <f>Analysis!R3</f>
        <v>7.5938149259472025</v>
      </c>
      <c r="R140" s="100">
        <f>Analysis!S3</f>
        <v>7.9582365279016596</v>
      </c>
      <c r="S140" s="100">
        <f>Analysis!T3</f>
        <v>8.6289094443747221</v>
      </c>
      <c r="T140" s="100">
        <f>Analysis!U3</f>
        <v>8.4682452695124919</v>
      </c>
      <c r="U140" s="100">
        <f>Analysis!V3</f>
        <v>8.440505541590495</v>
      </c>
      <c r="V140" s="100">
        <f>Analysis!W3</f>
        <v>8.6526504696691742</v>
      </c>
      <c r="W140" s="100">
        <f>Analysis!X3</f>
        <v>8.6225011748267057</v>
      </c>
      <c r="X140" s="100">
        <f>Analysis!Y3</f>
        <v>8.6996619133078799</v>
      </c>
      <c r="Y140" s="100">
        <f>Analysis!Z3</f>
        <v>8.7913844755574146</v>
      </c>
      <c r="Z140" s="100">
        <f>Analysis!AA3</f>
        <v>8.8410992016483316</v>
      </c>
      <c r="AA140" s="100">
        <f>Analysis!AB3</f>
        <v>8.9198275626088268</v>
      </c>
      <c r="AB140" s="100">
        <f>Analysis!AC3</f>
        <v>8.8196159632266831</v>
      </c>
      <c r="AC140" s="100">
        <f>Analysis!AD3</f>
        <v>8.7267449256141401</v>
      </c>
      <c r="AD140" s="100">
        <f>Analysis!AE3</f>
        <v>8.7498650881695621</v>
      </c>
      <c r="AE140" s="100">
        <f>Analysis!AF3</f>
        <v>8.8039731073656302</v>
      </c>
      <c r="AF140" s="100">
        <f>Analysis!AG3</f>
        <v>8.7858126783896253</v>
      </c>
      <c r="AG140" s="100">
        <f>Analysis!AH3</f>
        <v>8.9024445671828971</v>
      </c>
      <c r="AH140" s="100">
        <f>Analysis!AI3</f>
        <v>9.0131641765213946</v>
      </c>
      <c r="AI140" s="100">
        <f>Analysis!AJ3</f>
        <v>8.7480458769460938</v>
      </c>
      <c r="AJ140" s="100">
        <f>Analysis!AK3</f>
        <v>8.742150992262971</v>
      </c>
      <c r="AK140" s="100">
        <f>Analysis!AL3</f>
        <v>8.751144177902642</v>
      </c>
      <c r="AL140" s="100">
        <f>Analysis!AM3</f>
        <v>8.5309400552808601</v>
      </c>
      <c r="AM140" s="100">
        <f>Analysis!AN3</f>
        <v>8.2720674214075363</v>
      </c>
      <c r="AN140" s="100">
        <f>Analysis!AO3</f>
        <v>8.2636323803532843</v>
      </c>
    </row>
    <row r="141" spans="1:40" ht="18.75">
      <c r="A141" s="169"/>
      <c r="B141" s="255" t="s">
        <v>181</v>
      </c>
      <c r="C141" s="255" t="s">
        <v>181</v>
      </c>
      <c r="D141" s="255"/>
      <c r="E141" s="170" t="s">
        <v>182</v>
      </c>
      <c r="F141" s="304" t="s">
        <v>180</v>
      </c>
      <c r="G141" s="60" t="s">
        <v>659</v>
      </c>
      <c r="H141" s="473">
        <f t="shared" si="32"/>
        <v>4.8624501008843871E-2</v>
      </c>
      <c r="I141" s="96">
        <f>Analysis!J5</f>
        <v>1.0768106759223911E-3</v>
      </c>
      <c r="K141" s="96">
        <f>Analysis!L5</f>
        <v>4.2777948025667203E-4</v>
      </c>
      <c r="L141" s="96">
        <f>Analysis!M5</f>
        <v>2.5636045406684073E-4</v>
      </c>
      <c r="M141" s="96">
        <f>Analysis!N5</f>
        <v>5.5366194175893147E-4</v>
      </c>
      <c r="N141" s="96">
        <f>Analysis!O5</f>
        <v>2.8491858539049828E-4</v>
      </c>
      <c r="O141" s="96">
        <f>Analysis!P5</f>
        <v>2.7200350753805942E-4</v>
      </c>
      <c r="P141" s="96">
        <f>Analysis!Q5</f>
        <v>2.5433331999068291E-4</v>
      </c>
      <c r="Q141" s="96">
        <f>Analysis!R5</f>
        <v>2.8216969972573176E-4</v>
      </c>
      <c r="R141" s="96">
        <f>Analysis!S5</f>
        <v>2.5001161155032944E-4</v>
      </c>
      <c r="S141" s="96">
        <f>Analysis!T5</f>
        <v>3.7049382516093763E-4</v>
      </c>
      <c r="T141" s="96">
        <f>Analysis!U5</f>
        <v>2.9520641682524956E-4</v>
      </c>
      <c r="U141" s="96">
        <f>Analysis!V5</f>
        <v>3.2666959364468541E-4</v>
      </c>
      <c r="V141" s="96">
        <f>Analysis!W5</f>
        <v>1.2606924594154792E-2</v>
      </c>
      <c r="W141" s="96">
        <f>Analysis!X5</f>
        <v>2.895756285132876E-2</v>
      </c>
      <c r="X141" s="96">
        <f>Analysis!Y5</f>
        <v>4.4135322699687472E-2</v>
      </c>
      <c r="Y141" s="96">
        <f>Analysis!Z5</f>
        <v>6.5875687001639593E-2</v>
      </c>
      <c r="Z141" s="96">
        <f>Analysis!AA5</f>
        <v>7.5131448057581637E-2</v>
      </c>
      <c r="AA141" s="96">
        <f>Analysis!AB5</f>
        <v>8.3312904494529216E-2</v>
      </c>
      <c r="AB141" s="96">
        <f>Analysis!AC5</f>
        <v>8.8734973105793744E-2</v>
      </c>
      <c r="AC141" s="96">
        <f>Analysis!AD5</f>
        <v>0.10794991470709107</v>
      </c>
      <c r="AD141" s="96">
        <f>Analysis!AE5</f>
        <v>7.443853182242624E-2</v>
      </c>
      <c r="AE141" s="96">
        <f>Analysis!AF5</f>
        <v>7.5787048310875765E-2</v>
      </c>
      <c r="AF141" s="96">
        <f>Analysis!AG5</f>
        <v>0.10760653073834694</v>
      </c>
      <c r="AG141" s="96">
        <f>Analysis!AH5</f>
        <v>0.12220989087616016</v>
      </c>
      <c r="AH141" s="96">
        <f>Analysis!AI5</f>
        <v>0.13966363899963585</v>
      </c>
      <c r="AI141" s="96">
        <f>Analysis!AJ5</f>
        <v>0.11098187801504156</v>
      </c>
      <c r="AJ141" s="96">
        <f>Analysis!AK5</f>
        <v>0.10106534144935506</v>
      </c>
      <c r="AK141" s="96">
        <f>Analysis!AL5</f>
        <v>0.10620566418101682</v>
      </c>
      <c r="AL141" s="96">
        <f>Analysis!AM5</f>
        <v>0.10317431011010149</v>
      </c>
      <c r="AM141" s="96">
        <f>Analysis!AN5</f>
        <v>4.3961490144120166E-2</v>
      </c>
      <c r="AN141" s="96">
        <f>Analysis!AO5</f>
        <v>1.0910050003442898E-2</v>
      </c>
    </row>
    <row r="142" spans="1:40">
      <c r="A142" s="169" t="s">
        <v>183</v>
      </c>
      <c r="B142" s="255" t="s">
        <v>184</v>
      </c>
      <c r="C142" s="255" t="s">
        <v>184</v>
      </c>
      <c r="D142" s="423"/>
      <c r="E142" s="170" t="s">
        <v>182</v>
      </c>
      <c r="F142" s="305"/>
      <c r="G142" s="60" t="s">
        <v>659</v>
      </c>
      <c r="H142" s="473">
        <f t="shared" si="32"/>
        <v>1.3244975816275726</v>
      </c>
      <c r="I142" s="96" t="str">
        <f>Analysis!J17</f>
        <v/>
      </c>
      <c r="K142" s="96" t="str">
        <f>Analysis!L17</f>
        <v/>
      </c>
      <c r="L142" s="96" t="str">
        <f>Analysis!M17</f>
        <v/>
      </c>
      <c r="M142" s="96" t="str">
        <f>Analysis!N17</f>
        <v/>
      </c>
      <c r="N142" s="96" t="str">
        <f>Analysis!O17</f>
        <v/>
      </c>
      <c r="O142" s="96" t="str">
        <f>Analysis!P17</f>
        <v/>
      </c>
      <c r="P142" s="96" t="str">
        <f>Analysis!Q17</f>
        <v/>
      </c>
      <c r="Q142" s="96" t="str">
        <f>Analysis!R17</f>
        <v/>
      </c>
      <c r="R142" s="96" t="str">
        <f>Analysis!S17</f>
        <v/>
      </c>
      <c r="S142" s="96" t="str">
        <f>Analysis!T17</f>
        <v/>
      </c>
      <c r="T142" s="96" t="str">
        <f>Analysis!U17</f>
        <v/>
      </c>
      <c r="U142" s="96" t="str">
        <f>Analysis!V17</f>
        <v/>
      </c>
      <c r="V142" s="96" t="str">
        <f>Analysis!W17</f>
        <v/>
      </c>
      <c r="W142" s="96" t="str">
        <f>Analysis!X17</f>
        <v/>
      </c>
      <c r="X142" s="96" t="str">
        <f>Analysis!Y17</f>
        <v/>
      </c>
      <c r="Y142" s="96" t="str">
        <f>Analysis!Z17</f>
        <v/>
      </c>
      <c r="Z142" s="96" t="str">
        <f>Analysis!AA17</f>
        <v/>
      </c>
      <c r="AA142" s="96" t="str">
        <f>Analysis!AB17</f>
        <v/>
      </c>
      <c r="AB142" s="96" t="str">
        <f>Analysis!AC17</f>
        <v/>
      </c>
      <c r="AC142" s="96" t="str">
        <f>Analysis!AD17</f>
        <v/>
      </c>
      <c r="AD142" s="96" t="str">
        <f>Analysis!AE17</f>
        <v/>
      </c>
      <c r="AE142" s="96" t="str">
        <f>Analysis!AF17</f>
        <v/>
      </c>
      <c r="AF142" s="96">
        <f>Analysis!AG17</f>
        <v>1.4476075050745338</v>
      </c>
      <c r="AG142" s="96" t="str">
        <f>Analysis!AH17</f>
        <v/>
      </c>
      <c r="AH142" s="96" t="str">
        <f>Analysis!AI17</f>
        <v/>
      </c>
      <c r="AI142" s="96" t="str">
        <f>Analysis!AJ17</f>
        <v/>
      </c>
      <c r="AJ142" s="96">
        <f>Analysis!AK17</f>
        <v>1.87322492703343</v>
      </c>
      <c r="AK142" s="96">
        <f>Analysis!AL17</f>
        <v>1.1196979558424378</v>
      </c>
      <c r="AL142" s="96">
        <f>Analysis!AM17</f>
        <v>1.1494359597393495</v>
      </c>
      <c r="AM142" s="96">
        <f>Analysis!AN17</f>
        <v>1.1696172271414771</v>
      </c>
      <c r="AN142" s="96">
        <f>Analysis!AO17</f>
        <v>1.1874019149342068</v>
      </c>
    </row>
    <row r="143" spans="1:40">
      <c r="A143" s="169" t="s">
        <v>185</v>
      </c>
      <c r="B143" s="255" t="s">
        <v>186</v>
      </c>
      <c r="C143" s="255" t="s">
        <v>186</v>
      </c>
      <c r="D143" s="423"/>
      <c r="E143" s="170" t="s">
        <v>182</v>
      </c>
      <c r="F143" s="305"/>
      <c r="G143" s="60" t="s">
        <v>659</v>
      </c>
      <c r="H143" s="473">
        <f t="shared" si="32"/>
        <v>0.10000000000000007</v>
      </c>
      <c r="I143" s="96">
        <f>Analysis!J25</f>
        <v>0.10000000000000005</v>
      </c>
      <c r="K143" s="96">
        <f>Analysis!L25</f>
        <v>0.10000000000000005</v>
      </c>
      <c r="L143" s="96">
        <f>Analysis!M25</f>
        <v>0.10000000000000005</v>
      </c>
      <c r="M143" s="96">
        <f>Analysis!N25</f>
        <v>0.10000000000000005</v>
      </c>
      <c r="N143" s="96">
        <f>Analysis!O25</f>
        <v>0.10000000000000005</v>
      </c>
      <c r="O143" s="96">
        <f>Analysis!P25</f>
        <v>0.10000000000000005</v>
      </c>
      <c r="P143" s="96">
        <f>Analysis!Q25</f>
        <v>0.10000000000000005</v>
      </c>
      <c r="Q143" s="96">
        <f>Analysis!R25</f>
        <v>0.10000000000000005</v>
      </c>
      <c r="R143" s="96">
        <f>Analysis!S25</f>
        <v>0.10000000000000005</v>
      </c>
      <c r="S143" s="96">
        <f>Analysis!T25</f>
        <v>0.10000000000000005</v>
      </c>
      <c r="T143" s="96">
        <f>Analysis!U25</f>
        <v>0.10000000000000005</v>
      </c>
      <c r="U143" s="96">
        <f>Analysis!V25</f>
        <v>0.10000000000000005</v>
      </c>
      <c r="V143" s="96">
        <f>Analysis!W25</f>
        <v>0.10000000000000005</v>
      </c>
      <c r="W143" s="96">
        <f>Analysis!X25</f>
        <v>0.10000000000000005</v>
      </c>
      <c r="X143" s="96">
        <f>Analysis!Y25</f>
        <v>0.10000000000000005</v>
      </c>
      <c r="Y143" s="96">
        <f>Analysis!Z25</f>
        <v>0.10000000000000005</v>
      </c>
      <c r="Z143" s="96">
        <f>Analysis!AA25</f>
        <v>0.10000000000000005</v>
      </c>
      <c r="AA143" s="96">
        <f>Analysis!AB25</f>
        <v>0.10000000000000005</v>
      </c>
      <c r="AB143" s="96">
        <f>Analysis!AC25</f>
        <v>0.10000000000000005</v>
      </c>
      <c r="AC143" s="96">
        <f>Analysis!AD25</f>
        <v>0.10000000000000005</v>
      </c>
      <c r="AD143" s="96">
        <f>Analysis!AE25</f>
        <v>0.10000000000000005</v>
      </c>
      <c r="AE143" s="96">
        <f>Analysis!AF25</f>
        <v>0.10000000000000005</v>
      </c>
      <c r="AF143" s="96">
        <f>Analysis!AG25</f>
        <v>0.10000000000000005</v>
      </c>
      <c r="AG143" s="96">
        <f>Analysis!AH25</f>
        <v>0.10000000000000005</v>
      </c>
      <c r="AH143" s="96">
        <f>Analysis!AI25</f>
        <v>0.10000000000000005</v>
      </c>
      <c r="AI143" s="96">
        <f>Analysis!AJ25</f>
        <v>0.10000000000000005</v>
      </c>
      <c r="AJ143" s="96">
        <f>Analysis!AK25</f>
        <v>0.10000000000000005</v>
      </c>
      <c r="AK143" s="96">
        <f>Analysis!AL25</f>
        <v>0.10000000000000005</v>
      </c>
      <c r="AL143" s="96">
        <f>Analysis!AM25</f>
        <v>0.10000000000000005</v>
      </c>
      <c r="AM143" s="96">
        <f>Analysis!AN25</f>
        <v>0.10000000000000005</v>
      </c>
      <c r="AN143" s="96">
        <f>Analysis!AO25</f>
        <v>0.10000000000000005</v>
      </c>
    </row>
    <row r="144" spans="1:40">
      <c r="A144" s="169"/>
      <c r="B144" s="255" t="s">
        <v>187</v>
      </c>
      <c r="C144" s="255" t="s">
        <v>187</v>
      </c>
      <c r="D144" s="255"/>
      <c r="E144" s="170" t="s">
        <v>5</v>
      </c>
      <c r="F144" s="305"/>
      <c r="G144" s="60" t="s">
        <v>659</v>
      </c>
      <c r="H144" s="473">
        <f t="shared" si="32"/>
        <v>97.959183673469397</v>
      </c>
      <c r="I144" s="96">
        <f>((Analysis!J15-Analysis!J30)/Analysis!J15)*100</f>
        <v>97.959183673469397</v>
      </c>
      <c r="K144" s="96">
        <f>((Analysis!L15-Analysis!L30)/Analysis!L15)*100</f>
        <v>97.959183673469397</v>
      </c>
      <c r="L144" s="96">
        <f>((Analysis!M15-Analysis!M30)/Analysis!M15)*100</f>
        <v>97.959183673469397</v>
      </c>
      <c r="M144" s="96">
        <f>((Analysis!N15-Analysis!N30)/Analysis!N15)*100</f>
        <v>97.959183673469397</v>
      </c>
      <c r="N144" s="96">
        <f>((Analysis!O15-Analysis!O30)/Analysis!O15)*100</f>
        <v>97.959183673469397</v>
      </c>
      <c r="O144" s="96">
        <f>((Analysis!P15-Analysis!P30)/Analysis!P15)*100</f>
        <v>97.959183673469397</v>
      </c>
      <c r="P144" s="96">
        <f>((Analysis!Q15-Analysis!Q30)/Analysis!Q15)*100</f>
        <v>97.959183673469397</v>
      </c>
      <c r="Q144" s="96">
        <f>((Analysis!R15-Analysis!R30)/Analysis!R15)*100</f>
        <v>97.959183673469397</v>
      </c>
      <c r="R144" s="96">
        <f>((Analysis!S15-Analysis!S30)/Analysis!S15)*100</f>
        <v>97.959183673469397</v>
      </c>
      <c r="S144" s="96">
        <f>((Analysis!T15-Analysis!T30)/Analysis!T15)*100</f>
        <v>97.959183673469397</v>
      </c>
      <c r="T144" s="96">
        <f>((Analysis!U15-Analysis!U30)/Analysis!U15)*100</f>
        <v>97.959183673469397</v>
      </c>
      <c r="U144" s="96">
        <f>((Analysis!V15-Analysis!V30)/Analysis!V15)*100</f>
        <v>97.959183673469397</v>
      </c>
      <c r="V144" s="96">
        <f>((Analysis!W15-Analysis!W30)/Analysis!W15)*100</f>
        <v>97.959183673469397</v>
      </c>
      <c r="W144" s="96">
        <f>((Analysis!X15-Analysis!X30)/Analysis!X15)*100</f>
        <v>97.959183673469397</v>
      </c>
      <c r="X144" s="96">
        <f>((Analysis!Y15-Analysis!Y30)/Analysis!Y15)*100</f>
        <v>97.959183673469397</v>
      </c>
      <c r="Y144" s="96">
        <f>((Analysis!Z15-Analysis!Z30)/Analysis!Z15)*100</f>
        <v>97.959183673469397</v>
      </c>
      <c r="Z144" s="96">
        <f>((Analysis!AA15-Analysis!AA30)/Analysis!AA15)*100</f>
        <v>97.959183673469397</v>
      </c>
      <c r="AA144" s="96">
        <f>((Analysis!AB15-Analysis!AB30)/Analysis!AB15)*100</f>
        <v>97.959183673469397</v>
      </c>
      <c r="AB144" s="96">
        <f>((Analysis!AC15-Analysis!AC30)/Analysis!AC15)*100</f>
        <v>97.959183673469397</v>
      </c>
      <c r="AC144" s="96">
        <f>((Analysis!AD15-Analysis!AD30)/Analysis!AD15)*100</f>
        <v>97.959183673469397</v>
      </c>
      <c r="AD144" s="96">
        <f>((Analysis!AE15-Analysis!AE30)/Analysis!AE15)*100</f>
        <v>97.959183673469397</v>
      </c>
      <c r="AE144" s="96">
        <f>((Analysis!AF15-Analysis!AF30)/Analysis!AF15)*100</f>
        <v>97.959183673469397</v>
      </c>
      <c r="AF144" s="96">
        <f>((Analysis!AG15-Analysis!AG30)/Analysis!AG15)*100</f>
        <v>97.959183673469397</v>
      </c>
      <c r="AG144" s="96">
        <f>((Analysis!AH15-Analysis!AH30)/Analysis!AH15)*100</f>
        <v>97.959183673469397</v>
      </c>
      <c r="AH144" s="96">
        <f>((Analysis!AI15-Analysis!AI30)/Analysis!AI15)*100</f>
        <v>97.959183673469397</v>
      </c>
      <c r="AI144" s="96">
        <f>((Analysis!AJ15-Analysis!AJ30)/Analysis!AJ15)*100</f>
        <v>97.959183673469397</v>
      </c>
      <c r="AJ144" s="96">
        <f>((Analysis!AK15-Analysis!AK30)/Analysis!AK15)*100</f>
        <v>97.959183673469397</v>
      </c>
      <c r="AK144" s="96">
        <f>((Analysis!AL15-Analysis!AL30)/Analysis!AL15)*100</f>
        <v>97.959183673469397</v>
      </c>
      <c r="AL144" s="96">
        <f>((Analysis!AM15-Analysis!AM30)/Analysis!AM15)*100</f>
        <v>97.959183673469397</v>
      </c>
      <c r="AM144" s="96">
        <f>((Analysis!AN15-Analysis!AN30)/Analysis!AN15)*100</f>
        <v>97.959183673469397</v>
      </c>
      <c r="AN144" s="96">
        <f>((Analysis!AO15-Analysis!AO30)/Analysis!AO15)*100</f>
        <v>97.959183673469397</v>
      </c>
    </row>
    <row r="145" spans="1:40" ht="18.75">
      <c r="A145" s="169" t="s">
        <v>188</v>
      </c>
      <c r="B145" s="255" t="s">
        <v>189</v>
      </c>
      <c r="C145" s="255" t="s">
        <v>189</v>
      </c>
      <c r="D145" s="423"/>
      <c r="E145" s="170" t="s">
        <v>182</v>
      </c>
      <c r="F145" s="304"/>
      <c r="G145" s="60" t="s">
        <v>659</v>
      </c>
      <c r="H145" s="473">
        <f t="shared" si="32"/>
        <v>7.0000000000000058E-6</v>
      </c>
      <c r="I145" s="96">
        <f>Analysis!J31/10000</f>
        <v>7.0000000000000033E-6</v>
      </c>
      <c r="K145" s="96">
        <f>Analysis!L31/10000</f>
        <v>7.0000000000000033E-6</v>
      </c>
      <c r="L145" s="96">
        <f>Analysis!M31/10000</f>
        <v>7.0000000000000033E-6</v>
      </c>
      <c r="M145" s="96">
        <f>Analysis!N31/10000</f>
        <v>7.0000000000000033E-6</v>
      </c>
      <c r="N145" s="96">
        <f>Analysis!O31/10000</f>
        <v>7.0000000000000033E-6</v>
      </c>
      <c r="O145" s="96">
        <f>Analysis!P31/10000</f>
        <v>7.0000000000000033E-6</v>
      </c>
      <c r="P145" s="96">
        <f>Analysis!Q31/10000</f>
        <v>7.0000000000000033E-6</v>
      </c>
      <c r="Q145" s="96">
        <f>Analysis!R31/10000</f>
        <v>7.0000000000000033E-6</v>
      </c>
      <c r="R145" s="96">
        <f>Analysis!S31/10000</f>
        <v>7.0000000000000033E-6</v>
      </c>
      <c r="S145" s="96">
        <f>Analysis!T31/10000</f>
        <v>7.0000000000000033E-6</v>
      </c>
      <c r="T145" s="96">
        <f>Analysis!U31/10000</f>
        <v>7.0000000000000033E-6</v>
      </c>
      <c r="U145" s="96">
        <f>Analysis!V31/10000</f>
        <v>7.0000000000000033E-6</v>
      </c>
      <c r="V145" s="96">
        <f>Analysis!W31/10000</f>
        <v>7.0000000000000033E-6</v>
      </c>
      <c r="W145" s="96">
        <f>Analysis!X31/10000</f>
        <v>7.0000000000000033E-6</v>
      </c>
      <c r="X145" s="96">
        <f>Analysis!Y31/10000</f>
        <v>7.0000000000000033E-6</v>
      </c>
      <c r="Y145" s="96">
        <f>Analysis!Z31/10000</f>
        <v>7.0000000000000033E-6</v>
      </c>
      <c r="Z145" s="96">
        <f>Analysis!AA31/10000</f>
        <v>7.0000000000000033E-6</v>
      </c>
      <c r="AA145" s="96">
        <f>Analysis!AB31/10000</f>
        <v>7.0000000000000033E-6</v>
      </c>
      <c r="AB145" s="96">
        <f>Analysis!AC31/10000</f>
        <v>7.0000000000000033E-6</v>
      </c>
      <c r="AC145" s="96">
        <f>Analysis!AD31/10000</f>
        <v>7.0000000000000033E-6</v>
      </c>
      <c r="AD145" s="96">
        <f>Analysis!AE31/10000</f>
        <v>7.0000000000000033E-6</v>
      </c>
      <c r="AE145" s="96">
        <f>Analysis!AF31/10000</f>
        <v>7.0000000000000033E-6</v>
      </c>
      <c r="AF145" s="96">
        <f>Analysis!AG31/10000</f>
        <v>7.0000000000000033E-6</v>
      </c>
      <c r="AG145" s="96">
        <f>Analysis!AH31/10000</f>
        <v>7.0000000000000033E-6</v>
      </c>
      <c r="AH145" s="96">
        <f>Analysis!AI31/10000</f>
        <v>7.0000000000000033E-6</v>
      </c>
      <c r="AI145" s="96">
        <f>Analysis!AJ31/10000</f>
        <v>7.0000000000000033E-6</v>
      </c>
      <c r="AJ145" s="96">
        <f>Analysis!AK31/10000</f>
        <v>7.0000000000000033E-6</v>
      </c>
      <c r="AK145" s="96">
        <f>Analysis!AL31/10000</f>
        <v>7.0000000000000033E-6</v>
      </c>
      <c r="AL145" s="96">
        <f>Analysis!AM31/10000</f>
        <v>7.0000000000000033E-6</v>
      </c>
      <c r="AM145" s="96">
        <f>Analysis!AN31/10000</f>
        <v>7.0000000000000033E-6</v>
      </c>
      <c r="AN145" s="96">
        <f>Analysis!AO31/10000</f>
        <v>7.0000000000000033E-6</v>
      </c>
    </row>
    <row r="146" spans="1:40" ht="18.75">
      <c r="A146" s="169" t="s">
        <v>190</v>
      </c>
      <c r="B146" s="255" t="s">
        <v>191</v>
      </c>
      <c r="C146" s="255" t="s">
        <v>191</v>
      </c>
      <c r="D146" s="423"/>
      <c r="E146" s="170" t="s">
        <v>182</v>
      </c>
      <c r="F146" s="132"/>
      <c r="G146" s="60" t="s">
        <v>659</v>
      </c>
      <c r="H146" s="473">
        <f t="shared" si="32"/>
        <v>2.0000000000000014E-2</v>
      </c>
      <c r="I146" s="96">
        <f>Analysis!J35+Analysis!J36</f>
        <v>2.0000000000000007E-2</v>
      </c>
      <c r="K146" s="96">
        <f>Analysis!L35+Analysis!L36</f>
        <v>2.0000000000000007E-2</v>
      </c>
      <c r="L146" s="96">
        <f>Analysis!M35+Analysis!M36</f>
        <v>2.0000000000000007E-2</v>
      </c>
      <c r="M146" s="96">
        <f>Analysis!N35+Analysis!N36</f>
        <v>2.0000000000000007E-2</v>
      </c>
      <c r="N146" s="96">
        <f>Analysis!O35+Analysis!O36</f>
        <v>2.0000000000000007E-2</v>
      </c>
      <c r="O146" s="96">
        <f>Analysis!P35+Analysis!P36</f>
        <v>2.0000000000000007E-2</v>
      </c>
      <c r="P146" s="96">
        <f>Analysis!Q35+Analysis!Q36</f>
        <v>2.0000000000000007E-2</v>
      </c>
      <c r="Q146" s="96">
        <f>Analysis!R35+Analysis!R36</f>
        <v>2.0000000000000007E-2</v>
      </c>
      <c r="R146" s="96">
        <f>Analysis!S35+Analysis!S36</f>
        <v>2.0000000000000007E-2</v>
      </c>
      <c r="S146" s="96">
        <f>Analysis!T35+Analysis!T36</f>
        <v>2.0000000000000007E-2</v>
      </c>
      <c r="T146" s="96">
        <f>Analysis!U35+Analysis!U36</f>
        <v>2.0000000000000007E-2</v>
      </c>
      <c r="U146" s="96">
        <f>Analysis!V35+Analysis!V36</f>
        <v>2.0000000000000007E-2</v>
      </c>
      <c r="V146" s="96">
        <f>Analysis!W35+Analysis!W36</f>
        <v>2.0000000000000007E-2</v>
      </c>
      <c r="W146" s="96">
        <f>Analysis!X35+Analysis!X36</f>
        <v>2.0000000000000007E-2</v>
      </c>
      <c r="X146" s="96">
        <f>Analysis!Y35+Analysis!Y36</f>
        <v>2.0000000000000007E-2</v>
      </c>
      <c r="Y146" s="96">
        <f>Analysis!Z35+Analysis!Z36</f>
        <v>2.0000000000000007E-2</v>
      </c>
      <c r="Z146" s="96">
        <f>Analysis!AA35+Analysis!AA36</f>
        <v>2.0000000000000007E-2</v>
      </c>
      <c r="AA146" s="96">
        <f>Analysis!AB35+Analysis!AB36</f>
        <v>2.0000000000000007E-2</v>
      </c>
      <c r="AB146" s="96">
        <f>Analysis!AC35+Analysis!AC36</f>
        <v>2.0000000000000007E-2</v>
      </c>
      <c r="AC146" s="96">
        <f>Analysis!AD35+Analysis!AD36</f>
        <v>2.0000000000000007E-2</v>
      </c>
      <c r="AD146" s="96">
        <f>Analysis!AE35+Analysis!AE36</f>
        <v>2.0000000000000007E-2</v>
      </c>
      <c r="AE146" s="96">
        <f>Analysis!AF35+Analysis!AF36</f>
        <v>2.0000000000000007E-2</v>
      </c>
      <c r="AF146" s="96">
        <f>Analysis!AG35+Analysis!AG36</f>
        <v>2.0000000000000007E-2</v>
      </c>
      <c r="AG146" s="96">
        <f>Analysis!AH35+Analysis!AH36</f>
        <v>2.0000000000000007E-2</v>
      </c>
      <c r="AH146" s="96">
        <f>Analysis!AI35+Analysis!AI36</f>
        <v>2.0000000000000007E-2</v>
      </c>
      <c r="AI146" s="96">
        <f>Analysis!AJ35+Analysis!AJ36</f>
        <v>2.0000000000000007E-2</v>
      </c>
      <c r="AJ146" s="96">
        <f>Analysis!AK35+Analysis!AK36</f>
        <v>2.0000000000000007E-2</v>
      </c>
      <c r="AK146" s="96">
        <f>Analysis!AL35+Analysis!AL36</f>
        <v>2.0000000000000007E-2</v>
      </c>
      <c r="AL146" s="96">
        <f>Analysis!AM35+Analysis!AM36</f>
        <v>2.0000000000000007E-2</v>
      </c>
      <c r="AM146" s="96">
        <f>Analysis!AN35+Analysis!AN36</f>
        <v>2.0000000000000007E-2</v>
      </c>
      <c r="AN146" s="96">
        <f>Analysis!AO35+Analysis!AO36</f>
        <v>2.0000000000000007E-2</v>
      </c>
    </row>
    <row r="147" spans="1:40" ht="18.75">
      <c r="A147" s="169" t="s">
        <v>192</v>
      </c>
      <c r="B147" s="255" t="s">
        <v>193</v>
      </c>
      <c r="C147" s="255" t="s">
        <v>193</v>
      </c>
      <c r="D147" s="423"/>
      <c r="E147" s="227" t="s">
        <v>179</v>
      </c>
      <c r="F147" s="132">
        <v>99.9</v>
      </c>
      <c r="G147" s="60" t="s">
        <v>659</v>
      </c>
      <c r="H147" s="473">
        <f t="shared" si="32"/>
        <v>99.900000000000077</v>
      </c>
      <c r="I147" s="96">
        <f>Analysis!J45</f>
        <v>99.900000000000048</v>
      </c>
      <c r="K147" s="96">
        <f>Analysis!L45</f>
        <v>99.900000000000048</v>
      </c>
      <c r="L147" s="96">
        <f>Analysis!M45</f>
        <v>99.900000000000048</v>
      </c>
      <c r="M147" s="96">
        <f>Analysis!N45</f>
        <v>99.900000000000048</v>
      </c>
      <c r="N147" s="96">
        <f>Analysis!O45</f>
        <v>99.900000000000048</v>
      </c>
      <c r="O147" s="96">
        <f>Analysis!P45</f>
        <v>99.900000000000048</v>
      </c>
      <c r="P147" s="96">
        <f>Analysis!Q45</f>
        <v>99.900000000000048</v>
      </c>
      <c r="Q147" s="96">
        <f>Analysis!R45</f>
        <v>99.900000000000048</v>
      </c>
      <c r="R147" s="96">
        <f>Analysis!S45</f>
        <v>99.900000000000048</v>
      </c>
      <c r="S147" s="96">
        <f>Analysis!T45</f>
        <v>99.900000000000048</v>
      </c>
      <c r="T147" s="96">
        <f>Analysis!U45</f>
        <v>99.900000000000048</v>
      </c>
      <c r="U147" s="96">
        <f>Analysis!V45</f>
        <v>99.900000000000048</v>
      </c>
      <c r="V147" s="96">
        <f>Analysis!W45</f>
        <v>99.900000000000048</v>
      </c>
      <c r="W147" s="96">
        <f>Analysis!X45</f>
        <v>99.900000000000048</v>
      </c>
      <c r="X147" s="96">
        <f>Analysis!Y45</f>
        <v>99.900000000000048</v>
      </c>
      <c r="Y147" s="96">
        <f>Analysis!Z45</f>
        <v>99.900000000000048</v>
      </c>
      <c r="Z147" s="96">
        <f>Analysis!AA45</f>
        <v>99.900000000000048</v>
      </c>
      <c r="AA147" s="96">
        <f>Analysis!AB45</f>
        <v>99.900000000000048</v>
      </c>
      <c r="AB147" s="96">
        <f>Analysis!AC45</f>
        <v>99.900000000000048</v>
      </c>
      <c r="AC147" s="96">
        <f>Analysis!AD45</f>
        <v>99.900000000000048</v>
      </c>
      <c r="AD147" s="96">
        <f>Analysis!AE45</f>
        <v>99.900000000000048</v>
      </c>
      <c r="AE147" s="96">
        <f>Analysis!AF45</f>
        <v>99.900000000000048</v>
      </c>
      <c r="AF147" s="96">
        <f>Analysis!AG45</f>
        <v>99.900000000000048</v>
      </c>
      <c r="AG147" s="96">
        <f>Analysis!AH45</f>
        <v>99.900000000000048</v>
      </c>
      <c r="AH147" s="96">
        <f>Analysis!AI45</f>
        <v>99.900000000000048</v>
      </c>
      <c r="AI147" s="96">
        <f>Analysis!AJ45</f>
        <v>99.900000000000048</v>
      </c>
      <c r="AJ147" s="96">
        <f>Analysis!AK45</f>
        <v>99.900000000000048</v>
      </c>
      <c r="AK147" s="96">
        <f>Analysis!AL45</f>
        <v>99.900000000000048</v>
      </c>
      <c r="AL147" s="96">
        <f>Analysis!AM45</f>
        <v>99.900000000000048</v>
      </c>
      <c r="AM147" s="96">
        <f>Analysis!AN45</f>
        <v>99.900000000000048</v>
      </c>
      <c r="AN147" s="96">
        <f>Analysis!AO45</f>
        <v>99.900000000000048</v>
      </c>
    </row>
    <row r="148" spans="1:40" ht="18.75">
      <c r="A148" s="169"/>
      <c r="B148" s="255" t="s">
        <v>194</v>
      </c>
      <c r="C148" s="255" t="s">
        <v>194</v>
      </c>
      <c r="D148" s="255"/>
      <c r="E148" s="227" t="s">
        <v>5</v>
      </c>
      <c r="F148" s="132" t="s">
        <v>195</v>
      </c>
      <c r="G148" s="60" t="s">
        <v>659</v>
      </c>
      <c r="H148" s="473">
        <f t="shared" si="32"/>
        <v>0</v>
      </c>
      <c r="I148" s="96">
        <f t="shared" ref="I148:AN148" si="34">I61</f>
        <v>0</v>
      </c>
      <c r="K148" s="96">
        <f t="shared" si="34"/>
        <v>0</v>
      </c>
      <c r="L148" s="96">
        <f t="shared" si="34"/>
        <v>0</v>
      </c>
      <c r="M148" s="96">
        <f t="shared" si="34"/>
        <v>0</v>
      </c>
      <c r="N148" s="96">
        <f t="shared" si="34"/>
        <v>0</v>
      </c>
      <c r="O148" s="96">
        <f t="shared" si="34"/>
        <v>0</v>
      </c>
      <c r="P148" s="96">
        <f t="shared" si="34"/>
        <v>0</v>
      </c>
      <c r="Q148" s="96">
        <f t="shared" si="34"/>
        <v>0</v>
      </c>
      <c r="R148" s="96">
        <f t="shared" si="34"/>
        <v>0</v>
      </c>
      <c r="S148" s="96">
        <f t="shared" si="34"/>
        <v>0</v>
      </c>
      <c r="T148" s="96">
        <f t="shared" si="34"/>
        <v>0</v>
      </c>
      <c r="U148" s="96">
        <f t="shared" si="34"/>
        <v>0</v>
      </c>
      <c r="V148" s="96">
        <f t="shared" si="34"/>
        <v>0</v>
      </c>
      <c r="W148" s="96">
        <f t="shared" si="34"/>
        <v>0</v>
      </c>
      <c r="X148" s="96">
        <f t="shared" si="34"/>
        <v>0</v>
      </c>
      <c r="Y148" s="96">
        <f t="shared" si="34"/>
        <v>0</v>
      </c>
      <c r="Z148" s="96">
        <f t="shared" si="34"/>
        <v>0</v>
      </c>
      <c r="AA148" s="96">
        <f t="shared" si="34"/>
        <v>0</v>
      </c>
      <c r="AB148" s="96">
        <f t="shared" si="34"/>
        <v>0</v>
      </c>
      <c r="AC148" s="96">
        <f t="shared" si="34"/>
        <v>0</v>
      </c>
      <c r="AD148" s="96">
        <f t="shared" si="34"/>
        <v>0</v>
      </c>
      <c r="AE148" s="96">
        <f t="shared" si="34"/>
        <v>0</v>
      </c>
      <c r="AF148" s="96">
        <f t="shared" si="34"/>
        <v>0</v>
      </c>
      <c r="AG148" s="96">
        <f t="shared" si="34"/>
        <v>0</v>
      </c>
      <c r="AH148" s="96">
        <f t="shared" si="34"/>
        <v>0</v>
      </c>
      <c r="AI148" s="96">
        <f t="shared" si="34"/>
        <v>0</v>
      </c>
      <c r="AJ148" s="96">
        <f t="shared" si="34"/>
        <v>0</v>
      </c>
      <c r="AK148" s="96">
        <f t="shared" si="34"/>
        <v>0</v>
      </c>
      <c r="AL148" s="96">
        <f t="shared" si="34"/>
        <v>0</v>
      </c>
      <c r="AM148" s="96">
        <f t="shared" si="34"/>
        <v>0</v>
      </c>
      <c r="AN148" s="96">
        <f t="shared" si="34"/>
        <v>0</v>
      </c>
    </row>
    <row r="149" spans="1:40" ht="18.75">
      <c r="A149" s="169"/>
      <c r="B149" s="255" t="s">
        <v>196</v>
      </c>
      <c r="C149" s="255" t="s">
        <v>196</v>
      </c>
      <c r="D149" s="255"/>
      <c r="E149" s="227" t="s">
        <v>80</v>
      </c>
      <c r="F149" s="132" t="s">
        <v>197</v>
      </c>
      <c r="G149" s="60" t="s">
        <v>659</v>
      </c>
      <c r="H149" s="473">
        <f t="shared" si="32"/>
        <v>6</v>
      </c>
      <c r="I149" s="96">
        <f>Analysis!J47+Analysis!J48</f>
        <v>6</v>
      </c>
      <c r="K149" s="96">
        <f>Analysis!L47+Analysis!L48</f>
        <v>6</v>
      </c>
      <c r="L149" s="96">
        <f>Analysis!M47+Analysis!M48</f>
        <v>6</v>
      </c>
      <c r="M149" s="96">
        <f>Analysis!N47+Analysis!N48</f>
        <v>6</v>
      </c>
      <c r="N149" s="96">
        <f>Analysis!O47+Analysis!O48</f>
        <v>6</v>
      </c>
      <c r="O149" s="96">
        <f>Analysis!P47+Analysis!P48</f>
        <v>6</v>
      </c>
      <c r="P149" s="96">
        <f>Analysis!Q47+Analysis!Q48</f>
        <v>6</v>
      </c>
      <c r="Q149" s="96">
        <f>Analysis!R47+Analysis!R48</f>
        <v>6</v>
      </c>
      <c r="R149" s="96">
        <f>Analysis!S47+Analysis!S48</f>
        <v>6</v>
      </c>
      <c r="S149" s="96">
        <f>Analysis!T47+Analysis!T48</f>
        <v>6</v>
      </c>
      <c r="T149" s="96">
        <f>Analysis!U47+Analysis!U48</f>
        <v>6</v>
      </c>
      <c r="U149" s="96">
        <f>Analysis!V47+Analysis!V48</f>
        <v>6</v>
      </c>
      <c r="V149" s="96">
        <f>Analysis!W47+Analysis!W48</f>
        <v>6</v>
      </c>
      <c r="W149" s="96">
        <f>Analysis!X47+Analysis!X48</f>
        <v>6</v>
      </c>
      <c r="X149" s="96">
        <f>Analysis!Y47+Analysis!Y48</f>
        <v>6</v>
      </c>
      <c r="Y149" s="96">
        <f>Analysis!Z47+Analysis!Z48</f>
        <v>6</v>
      </c>
      <c r="Z149" s="96">
        <f>Analysis!AA47+Analysis!AA48</f>
        <v>6</v>
      </c>
      <c r="AA149" s="96">
        <f>Analysis!AB47+Analysis!AB48</f>
        <v>6</v>
      </c>
      <c r="AB149" s="96">
        <f>Analysis!AC47+Analysis!AC48</f>
        <v>6</v>
      </c>
      <c r="AC149" s="96">
        <f>Analysis!AD47+Analysis!AD48</f>
        <v>6</v>
      </c>
      <c r="AD149" s="96">
        <f>Analysis!AE47+Analysis!AE48</f>
        <v>6</v>
      </c>
      <c r="AE149" s="96">
        <f>Analysis!AF47+Analysis!AF48</f>
        <v>6</v>
      </c>
      <c r="AF149" s="96">
        <f>Analysis!AG47+Analysis!AG48</f>
        <v>6</v>
      </c>
      <c r="AG149" s="96">
        <f>Analysis!AH47+Analysis!AH48</f>
        <v>6</v>
      </c>
      <c r="AH149" s="96">
        <f>Analysis!AI47+Analysis!AI48</f>
        <v>6</v>
      </c>
      <c r="AI149" s="96">
        <f>Analysis!AJ47+Analysis!AJ48</f>
        <v>6</v>
      </c>
      <c r="AJ149" s="96">
        <f>Analysis!AK47+Analysis!AK48</f>
        <v>6</v>
      </c>
      <c r="AK149" s="96">
        <f>Analysis!AL47+Analysis!AL48</f>
        <v>6</v>
      </c>
      <c r="AL149" s="96">
        <f>Analysis!AM47+Analysis!AM48</f>
        <v>6</v>
      </c>
      <c r="AM149" s="96">
        <f>Analysis!AN47+Analysis!AN48</f>
        <v>6</v>
      </c>
      <c r="AN149" s="96">
        <f>Analysis!AO47+Analysis!AO48</f>
        <v>6</v>
      </c>
    </row>
    <row r="150" spans="1:40" ht="18.75">
      <c r="A150" s="169" t="s">
        <v>198</v>
      </c>
      <c r="B150" s="255" t="s">
        <v>199</v>
      </c>
      <c r="C150" s="255" t="s">
        <v>199</v>
      </c>
      <c r="D150" s="423"/>
      <c r="E150" s="59" t="s">
        <v>200</v>
      </c>
      <c r="F150" s="132">
        <v>96</v>
      </c>
      <c r="G150" s="60" t="s">
        <v>659</v>
      </c>
      <c r="H150" s="473">
        <f t="shared" si="32"/>
        <v>98</v>
      </c>
      <c r="I150" s="96">
        <f>Analysis!J83</f>
        <v>98</v>
      </c>
      <c r="K150" s="96">
        <f>Analysis!L83</f>
        <v>98</v>
      </c>
      <c r="L150" s="96">
        <f>Analysis!M83</f>
        <v>98</v>
      </c>
      <c r="M150" s="96">
        <f>Analysis!N83</f>
        <v>98</v>
      </c>
      <c r="N150" s="96">
        <f>Analysis!O83</f>
        <v>98</v>
      </c>
      <c r="O150" s="96">
        <f>Analysis!P83</f>
        <v>98</v>
      </c>
      <c r="P150" s="96">
        <f>Analysis!Q83</f>
        <v>98</v>
      </c>
      <c r="Q150" s="96">
        <f>Analysis!R83</f>
        <v>98</v>
      </c>
      <c r="R150" s="96">
        <f>Analysis!S83</f>
        <v>98</v>
      </c>
      <c r="S150" s="96">
        <f>Analysis!T83</f>
        <v>98</v>
      </c>
      <c r="T150" s="96">
        <f>Analysis!U83</f>
        <v>98</v>
      </c>
      <c r="U150" s="96">
        <f>Analysis!V83</f>
        <v>98</v>
      </c>
      <c r="V150" s="96">
        <f>Analysis!W83</f>
        <v>98</v>
      </c>
      <c r="W150" s="96">
        <f>Analysis!X83</f>
        <v>98</v>
      </c>
      <c r="X150" s="96">
        <f>Analysis!Y83</f>
        <v>98</v>
      </c>
      <c r="Y150" s="96">
        <f>Analysis!Z83</f>
        <v>98</v>
      </c>
      <c r="Z150" s="96">
        <f>Analysis!AA83</f>
        <v>98</v>
      </c>
      <c r="AA150" s="96">
        <f>Analysis!AB83</f>
        <v>98</v>
      </c>
      <c r="AB150" s="96">
        <f>Analysis!AC83</f>
        <v>98</v>
      </c>
      <c r="AC150" s="96">
        <f>Analysis!AD83</f>
        <v>98</v>
      </c>
      <c r="AD150" s="96">
        <f>Analysis!AE83</f>
        <v>98</v>
      </c>
      <c r="AE150" s="96">
        <f>Analysis!AF83</f>
        <v>98</v>
      </c>
      <c r="AF150" s="96">
        <f>Analysis!AG83</f>
        <v>98</v>
      </c>
      <c r="AG150" s="96">
        <f>Analysis!AH83</f>
        <v>98</v>
      </c>
      <c r="AH150" s="96">
        <f>Analysis!AI83</f>
        <v>98</v>
      </c>
      <c r="AI150" s="96">
        <f>Analysis!AJ83</f>
        <v>98</v>
      </c>
      <c r="AJ150" s="96">
        <f>Analysis!AK83</f>
        <v>98</v>
      </c>
      <c r="AK150" s="96">
        <f>Analysis!AL83</f>
        <v>98</v>
      </c>
      <c r="AL150" s="96">
        <f>Analysis!AM83</f>
        <v>98</v>
      </c>
      <c r="AM150" s="96">
        <f>Analysis!AN83</f>
        <v>98</v>
      </c>
      <c r="AN150" s="96">
        <f>Analysis!AO83</f>
        <v>98</v>
      </c>
    </row>
    <row r="151" spans="1:40" ht="28.5">
      <c r="A151" s="169"/>
      <c r="B151" s="255" t="s">
        <v>201</v>
      </c>
      <c r="C151" s="255" t="s">
        <v>201</v>
      </c>
      <c r="D151" s="255"/>
      <c r="E151" s="227" t="s">
        <v>5</v>
      </c>
      <c r="F151" s="141" t="s">
        <v>202</v>
      </c>
      <c r="G151" s="60" t="s">
        <v>659</v>
      </c>
      <c r="H151" s="473">
        <f t="shared" si="32"/>
        <v>93.738396987312129</v>
      </c>
      <c r="I151" s="100">
        <f t="shared" ref="I151:AN151" si="35">I62</f>
        <v>92.400656786375094</v>
      </c>
      <c r="K151" s="100">
        <f t="shared" si="35"/>
        <v>91.387592278327759</v>
      </c>
      <c r="L151" s="100">
        <f t="shared" si="35"/>
        <v>92.223639931980827</v>
      </c>
      <c r="M151" s="100">
        <f t="shared" si="35"/>
        <v>91.988316739199519</v>
      </c>
      <c r="N151" s="100">
        <f t="shared" si="35"/>
        <v>91.697683241746603</v>
      </c>
      <c r="O151" s="100">
        <f t="shared" si="35"/>
        <v>94.703641856220983</v>
      </c>
      <c r="P151" s="100">
        <f t="shared" si="35"/>
        <v>95.125666577882924</v>
      </c>
      <c r="Q151" s="100">
        <f t="shared" si="35"/>
        <v>94.80415526122195</v>
      </c>
      <c r="R151" s="100">
        <f t="shared" si="35"/>
        <v>95.23801961723494</v>
      </c>
      <c r="S151" s="100">
        <f t="shared" si="35"/>
        <v>95.541327665464721</v>
      </c>
      <c r="T151" s="100">
        <f t="shared" si="35"/>
        <v>94.832600004859017</v>
      </c>
      <c r="U151" s="100">
        <f t="shared" si="35"/>
        <v>94.213055166748603</v>
      </c>
      <c r="V151" s="100">
        <f t="shared" si="35"/>
        <v>98.016669045705896</v>
      </c>
      <c r="W151" s="100">
        <f t="shared" si="35"/>
        <v>97.914778707356732</v>
      </c>
      <c r="X151" s="100">
        <f t="shared" si="35"/>
        <v>97.15870747719994</v>
      </c>
      <c r="Y151" s="100">
        <f t="shared" si="35"/>
        <v>94.393284790248828</v>
      </c>
      <c r="Z151" s="100">
        <f t="shared" si="35"/>
        <v>91.847091653559218</v>
      </c>
      <c r="AA151" s="100">
        <f t="shared" si="35"/>
        <v>91.351645627897028</v>
      </c>
      <c r="AB151" s="100">
        <f t="shared" si="35"/>
        <v>92.988016045879547</v>
      </c>
      <c r="AC151" s="100">
        <f t="shared" si="35"/>
        <v>93.081052362779459</v>
      </c>
      <c r="AD151" s="100">
        <f t="shared" si="35"/>
        <v>93.650851522032369</v>
      </c>
      <c r="AE151" s="100">
        <f t="shared" si="35"/>
        <v>93.502791357518873</v>
      </c>
      <c r="AF151" s="100">
        <f t="shared" si="35"/>
        <v>93.408746413029149</v>
      </c>
      <c r="AG151" s="100">
        <f t="shared" si="35"/>
        <v>93.341964005018781</v>
      </c>
      <c r="AH151" s="100">
        <f t="shared" si="35"/>
        <v>93.352189096711356</v>
      </c>
      <c r="AI151" s="100">
        <f t="shared" si="35"/>
        <v>92.786536493267036</v>
      </c>
      <c r="AJ151" s="100">
        <f t="shared" si="35"/>
        <v>92.803539619979105</v>
      </c>
      <c r="AK151" s="100">
        <f t="shared" si="35"/>
        <v>92.965782565569555</v>
      </c>
      <c r="AL151" s="100">
        <f t="shared" si="35"/>
        <v>93.061248406847113</v>
      </c>
      <c r="AM151" s="100">
        <f t="shared" si="35"/>
        <v>92.722037047363742</v>
      </c>
      <c r="AN151" s="100">
        <f t="shared" si="35"/>
        <v>93.387019241449551</v>
      </c>
    </row>
    <row r="152" spans="1:40" ht="15.75" thickBot="1">
      <c r="A152" s="171"/>
      <c r="B152" s="200" t="s">
        <v>203</v>
      </c>
      <c r="C152" s="200" t="s">
        <v>203</v>
      </c>
      <c r="D152" s="200"/>
      <c r="E152" s="264" t="s">
        <v>80</v>
      </c>
      <c r="F152" s="136"/>
      <c r="G152" s="60" t="s">
        <v>659</v>
      </c>
      <c r="H152" s="473">
        <f t="shared" si="32"/>
        <v>20000</v>
      </c>
      <c r="I152" s="94">
        <f>(Analysis!J84+Analysis!J85+Analysis!J86+Analysis!J87+Analysis!J88)*10000</f>
        <v>20000</v>
      </c>
      <c r="K152" s="94">
        <f>(Analysis!L84+Analysis!L85+Analysis!L86+Analysis!L87+Analysis!L88)*10000</f>
        <v>20000</v>
      </c>
      <c r="L152" s="94">
        <f>(Analysis!M84+Analysis!M85+Analysis!M86+Analysis!M87+Analysis!M88)*10000</f>
        <v>20000</v>
      </c>
      <c r="M152" s="94">
        <f>(Analysis!N84+Analysis!N85+Analysis!N86+Analysis!N87+Analysis!N88)*10000</f>
        <v>20000</v>
      </c>
      <c r="N152" s="94">
        <f>(Analysis!O84+Analysis!O85+Analysis!O86+Analysis!O87+Analysis!O88)*10000</f>
        <v>20000</v>
      </c>
      <c r="O152" s="94">
        <f>(Analysis!P84+Analysis!P85+Analysis!P86+Analysis!P87+Analysis!P88)*10000</f>
        <v>20000</v>
      </c>
      <c r="P152" s="94">
        <f>(Analysis!Q84+Analysis!Q85+Analysis!Q86+Analysis!Q87+Analysis!Q88)*10000</f>
        <v>20000</v>
      </c>
      <c r="Q152" s="94">
        <f>(Analysis!R84+Analysis!R85+Analysis!R86+Analysis!R87+Analysis!R88)*10000</f>
        <v>20000</v>
      </c>
      <c r="R152" s="94">
        <f>(Analysis!S84+Analysis!S85+Analysis!S86+Analysis!S87+Analysis!S88)*10000</f>
        <v>20000</v>
      </c>
      <c r="S152" s="94">
        <f>(Analysis!T84+Analysis!T85+Analysis!T86+Analysis!T87+Analysis!T88)*10000</f>
        <v>20000</v>
      </c>
      <c r="T152" s="94">
        <f>(Analysis!U84+Analysis!U85+Analysis!U86+Analysis!U87+Analysis!U88)*10000</f>
        <v>20000</v>
      </c>
      <c r="U152" s="94">
        <f>(Analysis!V84+Analysis!V85+Analysis!V86+Analysis!V87+Analysis!V88)*10000</f>
        <v>20000</v>
      </c>
      <c r="V152" s="94">
        <f>(Analysis!W84+Analysis!W85+Analysis!W86+Analysis!W87+Analysis!W88)*10000</f>
        <v>20000</v>
      </c>
      <c r="W152" s="94">
        <f>(Analysis!X84+Analysis!X85+Analysis!X86+Analysis!X87+Analysis!X88)*10000</f>
        <v>20000</v>
      </c>
      <c r="X152" s="94">
        <f>(Analysis!Y84+Analysis!Y85+Analysis!Y86+Analysis!Y87+Analysis!Y88)*10000</f>
        <v>20000</v>
      </c>
      <c r="Y152" s="94">
        <f>(Analysis!Z84+Analysis!Z85+Analysis!Z86+Analysis!Z87+Analysis!Z88)*10000</f>
        <v>20000</v>
      </c>
      <c r="Z152" s="94">
        <f>(Analysis!AA84+Analysis!AA85+Analysis!AA86+Analysis!AA87+Analysis!AA88)*10000</f>
        <v>20000</v>
      </c>
      <c r="AA152" s="94">
        <f>(Analysis!AB84+Analysis!AB85+Analysis!AB86+Analysis!AB87+Analysis!AB88)*10000</f>
        <v>20000</v>
      </c>
      <c r="AB152" s="94">
        <f>(Analysis!AC84+Analysis!AC85+Analysis!AC86+Analysis!AC87+Analysis!AC88)*10000</f>
        <v>20000</v>
      </c>
      <c r="AC152" s="94">
        <f>(Analysis!AD84+Analysis!AD85+Analysis!AD86+Analysis!AD87+Analysis!AD88)*10000</f>
        <v>20000</v>
      </c>
      <c r="AD152" s="94">
        <f>(Analysis!AE84+Analysis!AE85+Analysis!AE86+Analysis!AE87+Analysis!AE88)*10000</f>
        <v>20000</v>
      </c>
      <c r="AE152" s="94">
        <f>(Analysis!AF84+Analysis!AF85+Analysis!AF86+Analysis!AF87+Analysis!AF88)*10000</f>
        <v>20000</v>
      </c>
      <c r="AF152" s="94">
        <f>(Analysis!AG84+Analysis!AG85+Analysis!AG86+Analysis!AG87+Analysis!AG88)*10000</f>
        <v>20000</v>
      </c>
      <c r="AG152" s="94">
        <f>(Analysis!AH84+Analysis!AH85+Analysis!AH86+Analysis!AH87+Analysis!AH88)*10000</f>
        <v>20000</v>
      </c>
      <c r="AH152" s="94">
        <f>(Analysis!AI84+Analysis!AI85+Analysis!AI86+Analysis!AI87+Analysis!AI88)*10000</f>
        <v>20000</v>
      </c>
      <c r="AI152" s="94">
        <f>(Analysis!AJ84+Analysis!AJ85+Analysis!AJ86+Analysis!AJ87+Analysis!AJ88)*10000</f>
        <v>20000</v>
      </c>
      <c r="AJ152" s="94">
        <f>(Analysis!AK84+Analysis!AK85+Analysis!AK86+Analysis!AK87+Analysis!AK88)*10000</f>
        <v>20000</v>
      </c>
      <c r="AK152" s="94">
        <f>(Analysis!AL84+Analysis!AL85+Analysis!AL86+Analysis!AL87+Analysis!AL88)*10000</f>
        <v>20000</v>
      </c>
      <c r="AL152" s="94">
        <f>(Analysis!AM84+Analysis!AM85+Analysis!AM86+Analysis!AM87+Analysis!AM88)*10000</f>
        <v>20000</v>
      </c>
      <c r="AM152" s="94">
        <f>(Analysis!AN84+Analysis!AN85+Analysis!AN86+Analysis!AN87+Analysis!AN88)*10000</f>
        <v>20000</v>
      </c>
      <c r="AN152" s="94">
        <f>(Analysis!AO84+Analysis!AO85+Analysis!AO86+Analysis!AO87+Analysis!AO88)*10000</f>
        <v>20000</v>
      </c>
    </row>
    <row r="153" spans="1:40" s="215" customFormat="1" ht="24" thickBot="1">
      <c r="A153" s="249" t="s">
        <v>204</v>
      </c>
      <c r="B153" s="201"/>
      <c r="C153" s="201"/>
      <c r="D153" s="434"/>
      <c r="E153" s="125"/>
      <c r="F153" s="125"/>
      <c r="G153" s="479" t="s">
        <v>443</v>
      </c>
      <c r="H153" s="475"/>
      <c r="I153" s="125"/>
      <c r="J153" s="255"/>
      <c r="K153" s="125"/>
      <c r="L153" s="125"/>
      <c r="M153" s="125"/>
      <c r="N153" s="125"/>
      <c r="O153" s="125"/>
      <c r="P153" s="125"/>
      <c r="Q153" s="125"/>
      <c r="R153" s="125"/>
      <c r="S153" s="125"/>
      <c r="T153" s="125"/>
      <c r="U153" s="125"/>
      <c r="V153" s="125"/>
      <c r="W153" s="125"/>
      <c r="X153" s="125"/>
      <c r="Y153" s="125"/>
      <c r="Z153" s="125"/>
      <c r="AA153" s="125"/>
      <c r="AB153" s="125"/>
      <c r="AC153" s="125"/>
      <c r="AD153" s="125"/>
      <c r="AE153" s="125"/>
      <c r="AF153" s="125"/>
      <c r="AG153" s="125"/>
      <c r="AH153" s="125"/>
      <c r="AI153" s="125"/>
      <c r="AJ153" s="125"/>
      <c r="AK153" s="125"/>
      <c r="AL153" s="125"/>
      <c r="AM153" s="125"/>
      <c r="AN153" s="125"/>
    </row>
    <row r="154" spans="1:40" s="215" customFormat="1" ht="25.5">
      <c r="A154" s="175" t="s">
        <v>205</v>
      </c>
      <c r="B154" s="202" t="s">
        <v>206</v>
      </c>
      <c r="C154" s="202" t="s">
        <v>206</v>
      </c>
      <c r="D154" s="426"/>
      <c r="E154" s="176" t="s">
        <v>207</v>
      </c>
      <c r="F154" s="306">
        <v>127.14</v>
      </c>
      <c r="G154" s="60" t="s">
        <v>659</v>
      </c>
      <c r="H154" s="473">
        <f>AVERAGE(I154:AN154)</f>
        <v>118.2910670290575</v>
      </c>
      <c r="I154" s="147">
        <f t="shared" ref="I154:AN154" si="36">I16/I60</f>
        <v>108.1248292391852</v>
      </c>
      <c r="J154" s="255"/>
      <c r="K154" s="147">
        <f t="shared" si="36"/>
        <v>102.83205586805768</v>
      </c>
      <c r="L154" s="147">
        <f t="shared" si="36"/>
        <v>102.38350349951011</v>
      </c>
      <c r="M154" s="147">
        <f t="shared" si="36"/>
        <v>102.4940953898942</v>
      </c>
      <c r="N154" s="147">
        <f t="shared" si="36"/>
        <v>103.02473765169587</v>
      </c>
      <c r="O154" s="147">
        <f t="shared" si="36"/>
        <v>100.47952438621908</v>
      </c>
      <c r="P154" s="147">
        <f t="shared" si="36"/>
        <v>99.832490391064354</v>
      </c>
      <c r="Q154" s="147">
        <f t="shared" si="36"/>
        <v>100.05575297765853</v>
      </c>
      <c r="R154" s="147">
        <f t="shared" si="36"/>
        <v>100.01335027122276</v>
      </c>
      <c r="S154" s="147">
        <f t="shared" si="36"/>
        <v>99.643598027047517</v>
      </c>
      <c r="T154" s="147">
        <f t="shared" si="36"/>
        <v>100.03668430248767</v>
      </c>
      <c r="U154" s="147">
        <f t="shared" si="36"/>
        <v>101.07172824478069</v>
      </c>
      <c r="V154" s="147">
        <f t="shared" si="36"/>
        <v>99.730207330019113</v>
      </c>
      <c r="W154" s="147">
        <f t="shared" si="36"/>
        <v>100.36836676548424</v>
      </c>
      <c r="X154" s="147">
        <f t="shared" si="36"/>
        <v>117.22205957644141</v>
      </c>
      <c r="Y154" s="147">
        <f t="shared" si="36"/>
        <v>151.11678631720252</v>
      </c>
      <c r="Z154" s="147">
        <f t="shared" si="36"/>
        <v>191.45200556114983</v>
      </c>
      <c r="AA154" s="147">
        <f t="shared" si="36"/>
        <v>260.80979084053217</v>
      </c>
      <c r="AB154" s="147">
        <f t="shared" si="36"/>
        <v>261.88755962064312</v>
      </c>
      <c r="AC154" s="147">
        <f t="shared" si="36"/>
        <v>135.09114526495514</v>
      </c>
      <c r="AD154" s="147">
        <f t="shared" si="36"/>
        <v>105.039748966354</v>
      </c>
      <c r="AE154" s="147">
        <f t="shared" si="36"/>
        <v>100.81128845883062</v>
      </c>
      <c r="AF154" s="147">
        <f t="shared" si="36"/>
        <v>100.27308958679843</v>
      </c>
      <c r="AG154" s="147">
        <f t="shared" si="36"/>
        <v>101.520129291811</v>
      </c>
      <c r="AH154" s="147">
        <f t="shared" si="36"/>
        <v>101.55636235656775</v>
      </c>
      <c r="AI154" s="147">
        <f t="shared" si="36"/>
        <v>103.41581586953454</v>
      </c>
      <c r="AJ154" s="147">
        <f t="shared" si="36"/>
        <v>103.35432211577363</v>
      </c>
      <c r="AK154" s="147">
        <f t="shared" si="36"/>
        <v>103.18742968204553</v>
      </c>
      <c r="AL154" s="147">
        <f t="shared" si="36"/>
        <v>102.73369663237311</v>
      </c>
      <c r="AM154" s="147">
        <f t="shared" si="36"/>
        <v>104.27571099349073</v>
      </c>
      <c r="AN154" s="147">
        <f t="shared" si="36"/>
        <v>103.18521242195199</v>
      </c>
    </row>
    <row r="155" spans="1:40">
      <c r="A155" s="177"/>
      <c r="B155" s="173" t="s">
        <v>208</v>
      </c>
      <c r="C155" s="173" t="s">
        <v>208</v>
      </c>
      <c r="D155" s="173"/>
      <c r="E155" s="172" t="s">
        <v>209</v>
      </c>
      <c r="F155" s="307">
        <v>78.06</v>
      </c>
      <c r="G155" s="60" t="s">
        <v>659</v>
      </c>
      <c r="H155" s="473">
        <f>AVERAGE(I155:AN155)</f>
        <v>78.298830248108132</v>
      </c>
      <c r="I155" s="96">
        <f t="shared" ref="I155:AN155" si="37">I17/I60</f>
        <v>67.930085874725009</v>
      </c>
      <c r="K155" s="96">
        <f t="shared" si="37"/>
        <v>64.4015260229597</v>
      </c>
      <c r="L155" s="96">
        <f t="shared" si="37"/>
        <v>64.431648807528987</v>
      </c>
      <c r="M155" s="96">
        <f t="shared" si="37"/>
        <v>64.529542815865199</v>
      </c>
      <c r="N155" s="96">
        <f t="shared" si="37"/>
        <v>65.144664716135665</v>
      </c>
      <c r="O155" s="96">
        <f t="shared" si="37"/>
        <v>64.155745795383211</v>
      </c>
      <c r="P155" s="96">
        <f t="shared" si="37"/>
        <v>64.01821696487373</v>
      </c>
      <c r="Q155" s="96">
        <f t="shared" si="37"/>
        <v>64.807760415129707</v>
      </c>
      <c r="R155" s="96">
        <f t="shared" si="37"/>
        <v>65.463902931900265</v>
      </c>
      <c r="S155" s="96">
        <f t="shared" si="37"/>
        <v>66.100567227991249</v>
      </c>
      <c r="T155" s="96">
        <f t="shared" si="37"/>
        <v>66.428515139205743</v>
      </c>
      <c r="U155" s="96">
        <f t="shared" si="37"/>
        <v>66.881844045103847</v>
      </c>
      <c r="V155" s="96">
        <f t="shared" si="37"/>
        <v>65.968722217203918</v>
      </c>
      <c r="W155" s="96">
        <f t="shared" si="37"/>
        <v>66.168601459580486</v>
      </c>
      <c r="X155" s="96">
        <f t="shared" si="37"/>
        <v>78.613880237960558</v>
      </c>
      <c r="Y155" s="96">
        <f t="shared" si="37"/>
        <v>102.63965741127154</v>
      </c>
      <c r="Z155" s="96">
        <f t="shared" si="37"/>
        <v>131.46180864840218</v>
      </c>
      <c r="AA155" s="96">
        <f t="shared" si="37"/>
        <v>177.45707170930612</v>
      </c>
      <c r="AB155" s="96">
        <f t="shared" si="37"/>
        <v>178.21277842739795</v>
      </c>
      <c r="AC155" s="96">
        <f t="shared" si="37"/>
        <v>91.463244250979699</v>
      </c>
      <c r="AD155" s="96">
        <f t="shared" si="37"/>
        <v>69.955334267867357</v>
      </c>
      <c r="AE155" s="96">
        <f t="shared" si="37"/>
        <v>66.800325877748733</v>
      </c>
      <c r="AF155" s="96">
        <f t="shared" si="37"/>
        <v>66.723308367908402</v>
      </c>
      <c r="AG155" s="96">
        <f t="shared" si="37"/>
        <v>67.73810475118438</v>
      </c>
      <c r="AH155" s="96">
        <f t="shared" si="37"/>
        <v>67.839408784315111</v>
      </c>
      <c r="AI155" s="96">
        <f t="shared" si="37"/>
        <v>68.927329712104807</v>
      </c>
      <c r="AJ155" s="96">
        <f t="shared" si="37"/>
        <v>68.956123027006257</v>
      </c>
      <c r="AK155" s="96">
        <f t="shared" si="37"/>
        <v>68.659409392093508</v>
      </c>
      <c r="AL155" s="96">
        <f t="shared" si="37"/>
        <v>68.354921172373196</v>
      </c>
      <c r="AM155" s="96">
        <f t="shared" si="37"/>
        <v>68.915538116270739</v>
      </c>
      <c r="AN155" s="96">
        <f t="shared" si="37"/>
        <v>68.114149103574704</v>
      </c>
    </row>
    <row r="156" spans="1:40" ht="28.5">
      <c r="A156" s="177"/>
      <c r="B156" s="174" t="s">
        <v>210</v>
      </c>
      <c r="C156" s="174" t="s">
        <v>210</v>
      </c>
      <c r="D156" s="174"/>
      <c r="E156" s="228" t="s">
        <v>239</v>
      </c>
      <c r="F156" s="141" t="s">
        <v>202</v>
      </c>
      <c r="G156" s="60" t="s">
        <v>659</v>
      </c>
      <c r="H156" s="473">
        <f>AVERAGE(I156:AN156)</f>
        <v>93.738396987312129</v>
      </c>
      <c r="I156" s="101">
        <f t="shared" ref="I156:AN156" si="38">I62</f>
        <v>92.400656786375094</v>
      </c>
      <c r="K156" s="101">
        <f t="shared" si="38"/>
        <v>91.387592278327759</v>
      </c>
      <c r="L156" s="101">
        <f t="shared" si="38"/>
        <v>92.223639931980827</v>
      </c>
      <c r="M156" s="101">
        <f t="shared" si="38"/>
        <v>91.988316739199519</v>
      </c>
      <c r="N156" s="101">
        <f t="shared" si="38"/>
        <v>91.697683241746603</v>
      </c>
      <c r="O156" s="101">
        <f t="shared" si="38"/>
        <v>94.703641856220983</v>
      </c>
      <c r="P156" s="101">
        <f t="shared" si="38"/>
        <v>95.125666577882924</v>
      </c>
      <c r="Q156" s="101">
        <f t="shared" si="38"/>
        <v>94.80415526122195</v>
      </c>
      <c r="R156" s="101">
        <f t="shared" si="38"/>
        <v>95.23801961723494</v>
      </c>
      <c r="S156" s="101">
        <f t="shared" si="38"/>
        <v>95.541327665464721</v>
      </c>
      <c r="T156" s="101">
        <f t="shared" si="38"/>
        <v>94.832600004859017</v>
      </c>
      <c r="U156" s="101">
        <f t="shared" si="38"/>
        <v>94.213055166748603</v>
      </c>
      <c r="V156" s="101">
        <f t="shared" si="38"/>
        <v>98.016669045705896</v>
      </c>
      <c r="W156" s="101">
        <f t="shared" si="38"/>
        <v>97.914778707356732</v>
      </c>
      <c r="X156" s="101">
        <f t="shared" si="38"/>
        <v>97.15870747719994</v>
      </c>
      <c r="Y156" s="101">
        <f t="shared" si="38"/>
        <v>94.393284790248828</v>
      </c>
      <c r="Z156" s="101">
        <f t="shared" si="38"/>
        <v>91.847091653559218</v>
      </c>
      <c r="AA156" s="101">
        <f t="shared" si="38"/>
        <v>91.351645627897028</v>
      </c>
      <c r="AB156" s="101">
        <f t="shared" si="38"/>
        <v>92.988016045879547</v>
      </c>
      <c r="AC156" s="101">
        <f t="shared" si="38"/>
        <v>93.081052362779459</v>
      </c>
      <c r="AD156" s="101">
        <f t="shared" si="38"/>
        <v>93.650851522032369</v>
      </c>
      <c r="AE156" s="101">
        <f t="shared" si="38"/>
        <v>93.502791357518873</v>
      </c>
      <c r="AF156" s="101">
        <f t="shared" si="38"/>
        <v>93.408746413029149</v>
      </c>
      <c r="AG156" s="101">
        <f t="shared" si="38"/>
        <v>93.341964005018781</v>
      </c>
      <c r="AH156" s="101">
        <f t="shared" si="38"/>
        <v>93.352189096711356</v>
      </c>
      <c r="AI156" s="101">
        <f t="shared" si="38"/>
        <v>92.786536493267036</v>
      </c>
      <c r="AJ156" s="101">
        <f t="shared" si="38"/>
        <v>92.803539619979105</v>
      </c>
      <c r="AK156" s="101">
        <f t="shared" si="38"/>
        <v>92.965782565569555</v>
      </c>
      <c r="AL156" s="101">
        <f t="shared" si="38"/>
        <v>93.061248406847113</v>
      </c>
      <c r="AM156" s="101">
        <f t="shared" si="38"/>
        <v>92.722037047363742</v>
      </c>
      <c r="AN156" s="101">
        <f t="shared" si="38"/>
        <v>93.387019241449551</v>
      </c>
    </row>
    <row r="157" spans="1:40" ht="39.75">
      <c r="A157" s="177" t="s">
        <v>211</v>
      </c>
      <c r="B157" s="173" t="s">
        <v>212</v>
      </c>
      <c r="C157" s="173" t="s">
        <v>212</v>
      </c>
      <c r="D157" s="423"/>
      <c r="E157" s="172" t="s">
        <v>213</v>
      </c>
      <c r="F157" s="308">
        <v>1.58</v>
      </c>
      <c r="G157" s="60" t="s">
        <v>659</v>
      </c>
      <c r="H157" s="473">
        <f>AVERAGE(I157:AN157)</f>
        <v>2.3356272301623267</v>
      </c>
      <c r="I157" s="96">
        <f>(I129/24)/(I60/24)</f>
        <v>2.2203434665204171</v>
      </c>
      <c r="K157" s="96">
        <f t="shared" ref="K157:AN157" si="39">(K129/24)/(K60/24)</f>
        <v>1.9471261553103147</v>
      </c>
      <c r="L157" s="96">
        <f t="shared" si="39"/>
        <v>1.9434180092747264</v>
      </c>
      <c r="M157" s="96">
        <f t="shared" si="39"/>
        <v>1.9520780213230815</v>
      </c>
      <c r="N157" s="96">
        <f t="shared" si="39"/>
        <v>1.9436032436421291</v>
      </c>
      <c r="O157" s="96">
        <f t="shared" si="39"/>
        <v>1.8749847012201606</v>
      </c>
      <c r="P157" s="96">
        <f t="shared" si="39"/>
        <v>1.8766581581596027</v>
      </c>
      <c r="Q157" s="96">
        <f t="shared" si="39"/>
        <v>1.9154759946426434</v>
      </c>
      <c r="R157" s="96">
        <f t="shared" si="39"/>
        <v>1.9445083515667276</v>
      </c>
      <c r="S157" s="96">
        <f t="shared" si="39"/>
        <v>1.9484045723246577</v>
      </c>
      <c r="T157" s="96">
        <f t="shared" si="39"/>
        <v>1.9727492949569865</v>
      </c>
      <c r="U157" s="96">
        <f t="shared" si="39"/>
        <v>1.9855151161186815</v>
      </c>
      <c r="V157" s="96">
        <f t="shared" si="39"/>
        <v>1.9602435257343942</v>
      </c>
      <c r="W157" s="96">
        <f t="shared" si="39"/>
        <v>1.9457856824477857</v>
      </c>
      <c r="X157" s="96">
        <f t="shared" si="39"/>
        <v>2.3452405575586552</v>
      </c>
      <c r="Y157" s="96">
        <f t="shared" si="39"/>
        <v>3.1544727589128985</v>
      </c>
      <c r="Z157" s="96">
        <f t="shared" si="39"/>
        <v>4.0744392242127416</v>
      </c>
      <c r="AA157" s="96">
        <f t="shared" si="39"/>
        <v>5.4529153807545487</v>
      </c>
      <c r="AB157" s="96">
        <f t="shared" si="39"/>
        <v>5.4555231985251424</v>
      </c>
      <c r="AC157" s="96">
        <f t="shared" si="39"/>
        <v>2.7512958602784034</v>
      </c>
      <c r="AD157" s="96">
        <f t="shared" si="39"/>
        <v>2.0442409612670471</v>
      </c>
      <c r="AE157" s="96">
        <f t="shared" si="39"/>
        <v>1.9410216692390538</v>
      </c>
      <c r="AF157" s="96">
        <f t="shared" si="39"/>
        <v>1.9357601560887781</v>
      </c>
      <c r="AG157" s="96">
        <f t="shared" si="39"/>
        <v>1.9624975053160869</v>
      </c>
      <c r="AH157" s="96">
        <f t="shared" si="39"/>
        <v>1.9577673385730476</v>
      </c>
      <c r="AI157" s="96">
        <f t="shared" si="39"/>
        <v>1.9902937330585038</v>
      </c>
      <c r="AJ157" s="96">
        <f t="shared" si="39"/>
        <v>1.9873244326753077</v>
      </c>
      <c r="AK157" s="96">
        <f t="shared" si="39"/>
        <v>1.9857940215795504</v>
      </c>
      <c r="AL157" s="96">
        <f t="shared" si="39"/>
        <v>1.9768745483690893</v>
      </c>
      <c r="AM157" s="96">
        <f t="shared" si="39"/>
        <v>1.994951138706565</v>
      </c>
      <c r="AN157" s="96">
        <f t="shared" si="39"/>
        <v>1.9631373566743906</v>
      </c>
    </row>
    <row r="158" spans="1:40" s="218" customFormat="1" ht="33" customHeight="1" thickBot="1">
      <c r="A158" s="178"/>
      <c r="B158" s="203" t="s">
        <v>441</v>
      </c>
      <c r="C158" s="203" t="s">
        <v>441</v>
      </c>
      <c r="D158" s="203"/>
      <c r="E158" s="179" t="s">
        <v>215</v>
      </c>
      <c r="F158" s="309"/>
      <c r="G158" s="60" t="s">
        <v>659</v>
      </c>
      <c r="H158" s="473">
        <f>AVERAGE(I158:AN158)</f>
        <v>2.2978991393936399</v>
      </c>
      <c r="I158" s="148">
        <f>(((I129*1000)-(I123))/24/1000)/(I60/24)</f>
        <v>2.1844775891403518</v>
      </c>
      <c r="J158" s="255"/>
      <c r="K158" s="148">
        <f t="shared" ref="K158:AN158" si="40">(((K129*1000)-(K123))/24/1000)/(K60/24)</f>
        <v>1.9156736395248541</v>
      </c>
      <c r="L158" s="148">
        <f t="shared" si="40"/>
        <v>1.912025392290071</v>
      </c>
      <c r="M158" s="148">
        <f t="shared" si="40"/>
        <v>1.9205455165530811</v>
      </c>
      <c r="N158" s="148">
        <f t="shared" si="40"/>
        <v>1.9122076345108945</v>
      </c>
      <c r="O158" s="148">
        <f t="shared" si="40"/>
        <v>1.8446975080910508</v>
      </c>
      <c r="P158" s="148">
        <f t="shared" si="40"/>
        <v>1.8463439331760545</v>
      </c>
      <c r="Q158" s="148">
        <f t="shared" si="40"/>
        <v>1.8845347334439992</v>
      </c>
      <c r="R158" s="148">
        <f t="shared" si="40"/>
        <v>1.9130981219543248</v>
      </c>
      <c r="S158" s="148">
        <f t="shared" si="40"/>
        <v>1.9169314058837612</v>
      </c>
      <c r="T158" s="148">
        <f t="shared" si="40"/>
        <v>1.9408828808722236</v>
      </c>
      <c r="U158" s="148">
        <f t="shared" si="40"/>
        <v>1.9534424918761908</v>
      </c>
      <c r="V158" s="148">
        <f t="shared" si="40"/>
        <v>1.9285791211099892</v>
      </c>
      <c r="W158" s="148">
        <f t="shared" si="40"/>
        <v>1.914354819724585</v>
      </c>
      <c r="X158" s="148">
        <f t="shared" si="40"/>
        <v>2.3073571798144128</v>
      </c>
      <c r="Y158" s="148">
        <f t="shared" si="40"/>
        <v>3.1035176094615258</v>
      </c>
      <c r="Z158" s="148">
        <f t="shared" si="40"/>
        <v>4.0086235791057465</v>
      </c>
      <c r="AA158" s="148">
        <f t="shared" si="40"/>
        <v>5.3648327947227106</v>
      </c>
      <c r="AB158" s="148">
        <f t="shared" si="40"/>
        <v>5.3673984876266791</v>
      </c>
      <c r="AC158" s="148">
        <f t="shared" si="40"/>
        <v>2.7068533488161264</v>
      </c>
      <c r="AD158" s="148">
        <f t="shared" si="40"/>
        <v>2.0112197207438363</v>
      </c>
      <c r="AE158" s="148">
        <f t="shared" si="40"/>
        <v>1.9096677610574175</v>
      </c>
      <c r="AF158" s="148">
        <f t="shared" si="40"/>
        <v>1.9044912387152426</v>
      </c>
      <c r="AG158" s="148">
        <f t="shared" si="40"/>
        <v>1.9307966914799932</v>
      </c>
      <c r="AH158" s="148">
        <f t="shared" si="40"/>
        <v>1.9261429325463542</v>
      </c>
      <c r="AI158" s="148">
        <f t="shared" si="40"/>
        <v>1.9581439183759779</v>
      </c>
      <c r="AJ158" s="148">
        <f t="shared" si="40"/>
        <v>1.9552225819970244</v>
      </c>
      <c r="AK158" s="148">
        <f t="shared" si="40"/>
        <v>1.9537168920930688</v>
      </c>
      <c r="AL158" s="148">
        <f t="shared" si="40"/>
        <v>1.9449414978223234</v>
      </c>
      <c r="AM158" s="148">
        <f t="shared" si="40"/>
        <v>1.9627260915465412</v>
      </c>
      <c r="AN158" s="148">
        <f t="shared" si="40"/>
        <v>1.9314262071264108</v>
      </c>
    </row>
    <row r="159" spans="1:40" ht="15.75">
      <c r="A159" s="90" t="s">
        <v>216</v>
      </c>
      <c r="B159" s="229"/>
      <c r="C159" s="229"/>
      <c r="D159" s="432"/>
      <c r="E159" s="230"/>
      <c r="F159" s="229"/>
      <c r="G159" s="481" t="s">
        <v>443</v>
      </c>
      <c r="H159" s="475"/>
      <c r="I159" s="231"/>
      <c r="K159" s="231"/>
      <c r="L159" s="231"/>
      <c r="M159" s="231"/>
      <c r="N159" s="231"/>
      <c r="O159" s="231"/>
      <c r="P159" s="231"/>
      <c r="Q159" s="231"/>
      <c r="R159" s="231"/>
      <c r="S159" s="231"/>
      <c r="T159" s="231"/>
      <c r="U159" s="231"/>
      <c r="V159" s="231"/>
      <c r="W159" s="231"/>
      <c r="X159" s="231"/>
      <c r="Y159" s="231"/>
      <c r="Z159" s="231"/>
      <c r="AA159" s="231"/>
      <c r="AB159" s="231"/>
      <c r="AC159" s="231"/>
      <c r="AD159" s="231"/>
      <c r="AE159" s="231"/>
      <c r="AF159" s="231"/>
      <c r="AG159" s="231"/>
      <c r="AH159" s="231"/>
      <c r="AI159" s="231"/>
      <c r="AJ159" s="231"/>
      <c r="AK159" s="231"/>
      <c r="AL159" s="231"/>
      <c r="AM159" s="231"/>
      <c r="AN159" s="231"/>
    </row>
    <row r="160" spans="1:40" ht="15.75">
      <c r="A160" s="232" t="s">
        <v>217</v>
      </c>
      <c r="B160" s="229" t="s">
        <v>218</v>
      </c>
      <c r="C160" s="229" t="s">
        <v>218</v>
      </c>
      <c r="D160" s="432"/>
      <c r="E160" s="233" t="s">
        <v>219</v>
      </c>
      <c r="F160" s="205" t="s">
        <v>220</v>
      </c>
      <c r="G160" s="482" t="s">
        <v>443</v>
      </c>
      <c r="H160" s="475"/>
      <c r="I160" s="231"/>
      <c r="K160" s="231"/>
      <c r="L160" s="231"/>
      <c r="M160" s="231"/>
      <c r="N160" s="231"/>
      <c r="O160" s="231"/>
      <c r="P160" s="231"/>
      <c r="Q160" s="231"/>
      <c r="R160" s="231"/>
      <c r="S160" s="231"/>
      <c r="T160" s="231"/>
      <c r="U160" s="231"/>
      <c r="V160" s="231"/>
      <c r="W160" s="231"/>
      <c r="X160" s="231"/>
      <c r="Y160" s="231"/>
      <c r="Z160" s="231"/>
      <c r="AA160" s="231"/>
      <c r="AB160" s="231"/>
      <c r="AC160" s="231"/>
      <c r="AD160" s="231"/>
      <c r="AE160" s="231"/>
      <c r="AF160" s="231"/>
      <c r="AG160" s="231"/>
      <c r="AH160" s="231"/>
      <c r="AI160" s="231"/>
      <c r="AJ160" s="231"/>
      <c r="AK160" s="231"/>
      <c r="AL160" s="231"/>
      <c r="AM160" s="231"/>
      <c r="AN160" s="231"/>
    </row>
    <row r="161" spans="1:40" ht="15.75">
      <c r="A161" s="232" t="s">
        <v>221</v>
      </c>
      <c r="B161" s="229" t="s">
        <v>221</v>
      </c>
      <c r="C161" s="229" t="s">
        <v>221</v>
      </c>
      <c r="D161" s="432"/>
      <c r="E161" s="233" t="s">
        <v>221</v>
      </c>
      <c r="F161" s="205" t="s">
        <v>222</v>
      </c>
      <c r="G161" s="482" t="s">
        <v>443</v>
      </c>
      <c r="H161" s="475"/>
      <c r="I161" s="231"/>
      <c r="K161" s="231"/>
      <c r="L161" s="231"/>
      <c r="M161" s="231"/>
      <c r="N161" s="231"/>
      <c r="O161" s="231"/>
      <c r="P161" s="231"/>
      <c r="Q161" s="231"/>
      <c r="R161" s="231"/>
      <c r="S161" s="231"/>
      <c r="T161" s="231"/>
      <c r="U161" s="231"/>
      <c r="V161" s="231"/>
      <c r="W161" s="231"/>
      <c r="X161" s="231"/>
      <c r="Y161" s="231"/>
      <c r="Z161" s="231"/>
      <c r="AA161" s="231"/>
      <c r="AB161" s="231"/>
      <c r="AC161" s="231"/>
      <c r="AD161" s="231"/>
      <c r="AE161" s="231"/>
      <c r="AF161" s="231"/>
      <c r="AG161" s="231"/>
      <c r="AH161" s="231"/>
      <c r="AI161" s="231"/>
      <c r="AJ161" s="231"/>
      <c r="AK161" s="231"/>
      <c r="AL161" s="231"/>
      <c r="AM161" s="231"/>
      <c r="AN161" s="231"/>
    </row>
    <row r="162" spans="1:40" ht="16.5" thickBot="1">
      <c r="A162" s="234"/>
      <c r="B162" s="235"/>
      <c r="C162" s="235"/>
      <c r="D162" s="235"/>
      <c r="E162" s="236"/>
      <c r="F162" s="235"/>
      <c r="G162" s="481"/>
      <c r="H162" s="475"/>
      <c r="I162" s="237"/>
      <c r="K162" s="237"/>
      <c r="L162" s="237"/>
      <c r="M162" s="237"/>
      <c r="N162" s="237"/>
      <c r="O162" s="237"/>
      <c r="P162" s="237"/>
      <c r="Q162" s="237"/>
      <c r="R162" s="237"/>
      <c r="S162" s="237"/>
      <c r="T162" s="237"/>
      <c r="U162" s="237"/>
      <c r="V162" s="237"/>
      <c r="W162" s="237"/>
      <c r="X162" s="237"/>
      <c r="Y162" s="237"/>
      <c r="Z162" s="237"/>
      <c r="AA162" s="237"/>
      <c r="AB162" s="237"/>
      <c r="AC162" s="237"/>
      <c r="AD162" s="237"/>
      <c r="AE162" s="237"/>
      <c r="AF162" s="237"/>
      <c r="AG162" s="237"/>
      <c r="AH162" s="237"/>
      <c r="AI162" s="237"/>
      <c r="AJ162" s="237"/>
      <c r="AK162" s="237"/>
      <c r="AL162" s="237"/>
      <c r="AM162" s="237"/>
      <c r="AN162" s="237"/>
    </row>
    <row r="163" spans="1:40" ht="15.75">
      <c r="A163" s="238"/>
      <c r="B163" s="239"/>
      <c r="C163" s="239"/>
      <c r="D163" s="239"/>
      <c r="E163" s="240"/>
      <c r="F163" s="239"/>
      <c r="G163" s="239"/>
      <c r="I163" s="241"/>
      <c r="K163" s="241"/>
      <c r="L163" s="241"/>
      <c r="M163" s="241"/>
      <c r="N163" s="241"/>
      <c r="O163" s="241"/>
      <c r="P163" s="241"/>
      <c r="Q163" s="241"/>
      <c r="R163" s="241"/>
      <c r="S163" s="241"/>
      <c r="T163" s="241"/>
      <c r="U163" s="241"/>
      <c r="V163" s="241"/>
      <c r="W163" s="241"/>
      <c r="X163" s="241"/>
      <c r="Y163" s="241"/>
      <c r="Z163" s="241"/>
      <c r="AA163" s="241"/>
      <c r="AB163" s="241"/>
      <c r="AC163" s="241"/>
      <c r="AD163" s="241"/>
      <c r="AE163" s="241"/>
      <c r="AF163" s="241"/>
      <c r="AG163" s="241"/>
      <c r="AH163" s="241"/>
      <c r="AI163" s="241"/>
      <c r="AJ163" s="241"/>
      <c r="AK163" s="241"/>
      <c r="AL163" s="241"/>
      <c r="AM163" s="241"/>
      <c r="AN163" s="241"/>
    </row>
    <row r="164" spans="1:40" ht="15.75">
      <c r="A164" s="242"/>
      <c r="B164" s="204"/>
      <c r="C164" s="204"/>
      <c r="D164" s="204"/>
      <c r="E164" s="33"/>
      <c r="F164" s="33"/>
      <c r="G164" s="33"/>
      <c r="I164" s="243"/>
      <c r="K164" s="243"/>
      <c r="L164" s="243"/>
      <c r="M164" s="243"/>
      <c r="N164" s="243"/>
      <c r="O164" s="243"/>
      <c r="P164" s="243"/>
      <c r="Q164" s="243"/>
      <c r="R164" s="243"/>
      <c r="S164" s="243"/>
      <c r="T164" s="243"/>
      <c r="U164" s="243"/>
      <c r="V164" s="243"/>
      <c r="W164" s="243"/>
      <c r="X164" s="243"/>
      <c r="Y164" s="243"/>
      <c r="Z164" s="243"/>
      <c r="AA164" s="243"/>
      <c r="AB164" s="243"/>
      <c r="AC164" s="243"/>
      <c r="AD164" s="243"/>
      <c r="AE164" s="243"/>
      <c r="AF164" s="243"/>
      <c r="AG164" s="243"/>
      <c r="AH164" s="243"/>
      <c r="AI164" s="243"/>
      <c r="AJ164" s="243"/>
      <c r="AK164" s="243"/>
      <c r="AL164" s="243"/>
      <c r="AM164" s="243"/>
      <c r="AN164" s="243"/>
    </row>
    <row r="165" spans="1:40" ht="15.75">
      <c r="A165" s="242"/>
      <c r="B165" s="204"/>
      <c r="C165" s="204"/>
      <c r="D165" s="204"/>
      <c r="E165" s="33"/>
      <c r="F165" s="33"/>
      <c r="G165" s="33"/>
      <c r="I165" s="243"/>
      <c r="K165" s="243"/>
      <c r="L165" s="243"/>
      <c r="M165" s="243"/>
      <c r="N165" s="243"/>
      <c r="O165" s="243"/>
      <c r="P165" s="243"/>
      <c r="Q165" s="243"/>
      <c r="R165" s="243"/>
      <c r="S165" s="243"/>
      <c r="T165" s="243"/>
      <c r="U165" s="243"/>
      <c r="V165" s="243"/>
      <c r="W165" s="243"/>
      <c r="X165" s="243"/>
      <c r="Y165" s="243"/>
      <c r="Z165" s="243"/>
      <c r="AA165" s="243"/>
      <c r="AB165" s="243"/>
      <c r="AC165" s="243"/>
      <c r="AD165" s="243"/>
      <c r="AE165" s="243"/>
      <c r="AF165" s="243"/>
      <c r="AG165" s="243"/>
      <c r="AH165" s="243"/>
      <c r="AI165" s="243"/>
      <c r="AJ165" s="243"/>
      <c r="AK165" s="243"/>
      <c r="AL165" s="243"/>
      <c r="AM165" s="243"/>
      <c r="AN165" s="243"/>
    </row>
    <row r="166" spans="1:40" ht="15.75">
      <c r="A166" s="90"/>
      <c r="B166" s="205"/>
      <c r="C166" s="205"/>
      <c r="D166" s="205"/>
      <c r="E166" s="10"/>
      <c r="F166" s="205"/>
      <c r="G166" s="205"/>
      <c r="I166" s="231"/>
      <c r="K166" s="231"/>
      <c r="L166" s="231"/>
      <c r="M166" s="231"/>
      <c r="N166" s="231"/>
      <c r="O166" s="231"/>
      <c r="P166" s="231"/>
      <c r="Q166" s="231"/>
      <c r="R166" s="231"/>
      <c r="S166" s="231"/>
      <c r="T166" s="231"/>
      <c r="U166" s="231"/>
      <c r="V166" s="231"/>
      <c r="W166" s="231"/>
      <c r="X166" s="231"/>
      <c r="Y166" s="231"/>
      <c r="Z166" s="231"/>
      <c r="AA166" s="231"/>
      <c r="AB166" s="231"/>
      <c r="AC166" s="231"/>
      <c r="AD166" s="231"/>
      <c r="AE166" s="231"/>
      <c r="AF166" s="231"/>
      <c r="AG166" s="231"/>
      <c r="AH166" s="231"/>
      <c r="AI166" s="231"/>
      <c r="AJ166" s="231"/>
      <c r="AK166" s="231"/>
      <c r="AL166" s="231"/>
      <c r="AM166" s="231"/>
      <c r="AN166" s="231"/>
    </row>
  </sheetData>
  <mergeCells count="2">
    <mergeCell ref="A1:F1"/>
    <mergeCell ref="H1:H2"/>
  </mergeCells>
  <phoneticPr fontId="15" type="noConversion"/>
  <conditionalFormatting sqref="I138 K138:AN138">
    <cfRule type="cellIs" dxfId="9" priority="35" operator="lessThan">
      <formula>254</formula>
    </cfRule>
    <cfRule type="cellIs" dxfId="8" priority="109" operator="greaterThanOrEqual">
      <formula>254</formula>
    </cfRule>
    <cfRule type="cellIs" dxfId="7" priority="110" operator="greaterThan">
      <formula>264.084</formula>
    </cfRule>
  </conditionalFormatting>
  <conditionalFormatting sqref="I140 K140:AN140">
    <cfRule type="cellIs" dxfId="6" priority="31" operator="greaterThan">
      <formula>6.5</formula>
    </cfRule>
    <cfRule type="cellIs" dxfId="5" priority="32" operator="lessThanOrEqual">
      <formula>6.5</formula>
    </cfRule>
  </conditionalFormatting>
  <conditionalFormatting sqref="I151 K151:AN151">
    <cfRule type="cellIs" dxfId="4" priority="29" operator="lessThan">
      <formula>85.6</formula>
    </cfRule>
    <cfRule type="cellIs" dxfId="3" priority="30" operator="greaterThanOrEqual">
      <formula>85.6</formula>
    </cfRule>
  </conditionalFormatting>
  <conditionalFormatting sqref="I156 K156:AN156">
    <cfRule type="cellIs" dxfId="2" priority="33" operator="lessThan">
      <formula>85.6</formula>
    </cfRule>
    <cfRule type="cellIs" dxfId="1" priority="34" operator="greaterThanOrEqual">
      <formula>85.6</formula>
    </cfRule>
  </conditionalFormatting>
  <conditionalFormatting sqref="K138:AN138 I138">
    <cfRule type="colorScale" priority="106">
      <colorScale>
        <cfvo type="num" val="&quot;&gt;254&quot;"/>
        <cfvo type="num" val="0"/>
        <color theme="5" tint="0.39997558519241921"/>
        <color rgb="FFFFEF9C"/>
      </colorScale>
    </cfRule>
    <cfRule type="colorScale" priority="107">
      <colorScale>
        <cfvo type="num" val="&quot;&gt;254&quot;"/>
        <cfvo type="num" val="&quot;&lt;254&quot;"/>
        <color theme="9" tint="0.39997558519241921"/>
        <color theme="5" tint="0.39997558519241921"/>
      </colorScale>
    </cfRule>
    <cfRule type="colorScale" priority="108">
      <colorScale>
        <cfvo type="num" val="&quot;&gt;&quot;"/>
        <cfvo type="num" val="0"/>
        <color theme="9" tint="0.39997558519241921"/>
        <color theme="5" tint="0.39997558519241921"/>
      </colorScale>
    </cfRule>
    <cfRule type="colorScale" priority="111">
      <colorScale>
        <cfvo type="min"/>
        <cfvo type="percentile" val="50"/>
        <cfvo type="max"/>
        <color rgb="FFF8696B"/>
        <color rgb="FFFFEB84"/>
        <color rgb="FF63BE7B"/>
      </colorScale>
    </cfRule>
    <cfRule type="aboveAverage" dxfId="0" priority="112"/>
  </conditionalFormatting>
  <pageMargins left="0.7" right="0.7" top="0.75" bottom="0.75" header="0.3" footer="0.3"/>
  <pageSetup paperSize="9" orientation="portrait" r:id="rId1"/>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rgb="FF92D050"/>
  </sheetPr>
  <dimension ref="A1:AO111"/>
  <sheetViews>
    <sheetView showGridLines="0" zoomScale="108" zoomScaleNormal="115" workbookViewId="0">
      <selection activeCell="G7" sqref="G7"/>
    </sheetView>
  </sheetViews>
  <sheetFormatPr defaultColWidth="9" defaultRowHeight="14.25"/>
  <cols>
    <col min="1" max="1" width="29.125" style="214" customWidth="1"/>
    <col min="2" max="3" width="22" style="214" hidden="1" customWidth="1"/>
    <col min="4" max="5" width="38.25" style="214" customWidth="1"/>
    <col min="6" max="6" width="15.875" style="214" customWidth="1"/>
    <col min="7" max="7" width="14.375" style="214" customWidth="1"/>
    <col min="8" max="8" width="11.375" style="214" customWidth="1"/>
    <col min="9" max="9" width="15.875" style="214" customWidth="1"/>
    <col min="10" max="10" width="14.375" style="214" customWidth="1"/>
    <col min="11" max="11" width="6.625" style="341" customWidth="1"/>
    <col min="12" max="41" width="14.375" style="214" customWidth="1"/>
    <col min="42" max="16384" width="9" style="214"/>
  </cols>
  <sheetData>
    <row r="1" spans="1:41" ht="93.95" customHeight="1" thickBot="1">
      <c r="A1" s="491" t="s">
        <v>327</v>
      </c>
      <c r="B1" s="492"/>
      <c r="C1" s="492"/>
      <c r="D1" s="492"/>
      <c r="E1" s="492"/>
      <c r="F1" s="492"/>
      <c r="G1" s="492"/>
      <c r="H1" s="342" t="s">
        <v>434</v>
      </c>
      <c r="I1" s="486" t="s">
        <v>240</v>
      </c>
      <c r="J1" s="355">
        <f>'Daily Report'!I1:I2</f>
        <v>45931</v>
      </c>
      <c r="L1" s="355">
        <f>'Daily Report'!K1:K2</f>
        <v>45932</v>
      </c>
      <c r="M1" s="355">
        <f>'Daily Report'!L1:L2</f>
        <v>45933</v>
      </c>
      <c r="N1" s="355">
        <f>'Daily Report'!M1:M2</f>
        <v>45934</v>
      </c>
      <c r="O1" s="355">
        <f>'Daily Report'!N1:N2</f>
        <v>45935</v>
      </c>
      <c r="P1" s="355">
        <f>'Daily Report'!O1:O2</f>
        <v>45936</v>
      </c>
      <c r="Q1" s="355">
        <f>'Daily Report'!P1:P2</f>
        <v>45937</v>
      </c>
      <c r="R1" s="355">
        <f>'Daily Report'!Q1:Q2</f>
        <v>45938</v>
      </c>
      <c r="S1" s="355">
        <f>'Daily Report'!R1:R2</f>
        <v>45939</v>
      </c>
      <c r="T1" s="355">
        <f>'Daily Report'!S1:S2</f>
        <v>45940</v>
      </c>
      <c r="U1" s="355">
        <f>'Daily Report'!T1:T2</f>
        <v>45941</v>
      </c>
      <c r="V1" s="355">
        <f>'Daily Report'!U1:U2</f>
        <v>45942</v>
      </c>
      <c r="W1" s="355">
        <f>'Daily Report'!V1:V2</f>
        <v>45943</v>
      </c>
      <c r="X1" s="355">
        <f>'Daily Report'!W1:W2</f>
        <v>45944</v>
      </c>
      <c r="Y1" s="355">
        <f>'Daily Report'!X1:X2</f>
        <v>45945</v>
      </c>
      <c r="Z1" s="355">
        <f>'Daily Report'!Y1:Y2</f>
        <v>45946</v>
      </c>
      <c r="AA1" s="355">
        <f>'Daily Report'!Z1:Z2</f>
        <v>45947</v>
      </c>
      <c r="AB1" s="355">
        <f>'Daily Report'!AA1:AA2</f>
        <v>45948</v>
      </c>
      <c r="AC1" s="355">
        <f>'Daily Report'!AB1:AB2</f>
        <v>45949</v>
      </c>
      <c r="AD1" s="355">
        <f>'Daily Report'!AC1:AC2</f>
        <v>45950</v>
      </c>
      <c r="AE1" s="355">
        <f>'Daily Report'!AD1:AD2</f>
        <v>45951</v>
      </c>
      <c r="AF1" s="355">
        <f>'Daily Report'!AE1:AE2</f>
        <v>45952</v>
      </c>
      <c r="AG1" s="355">
        <f>'Daily Report'!AF1:AF2</f>
        <v>45953</v>
      </c>
      <c r="AH1" s="355">
        <f>'Daily Report'!AG1:AG2</f>
        <v>45954</v>
      </c>
      <c r="AI1" s="355">
        <f>'Daily Report'!AH1:AH2</f>
        <v>45955</v>
      </c>
      <c r="AJ1" s="355">
        <f>'Daily Report'!AI1:AI2</f>
        <v>45956</v>
      </c>
      <c r="AK1" s="355">
        <f>'Daily Report'!AJ1:AJ2</f>
        <v>45957</v>
      </c>
      <c r="AL1" s="355">
        <f>'Daily Report'!AK1:AK2</f>
        <v>45958</v>
      </c>
      <c r="AM1" s="355">
        <f>'Daily Report'!AL1:AL2</f>
        <v>45959</v>
      </c>
      <c r="AN1" s="355">
        <f>'Daily Report'!AM1:AM2</f>
        <v>45960</v>
      </c>
      <c r="AO1" s="355">
        <f>'Daily Report'!AN1:AN2</f>
        <v>45961</v>
      </c>
    </row>
    <row r="2" spans="1:41" ht="36.75" thickBot="1">
      <c r="A2" s="56" t="s">
        <v>3</v>
      </c>
      <c r="B2" s="57" t="s">
        <v>530</v>
      </c>
      <c r="C2" s="57" t="s">
        <v>531</v>
      </c>
      <c r="D2" s="57"/>
      <c r="E2" s="57"/>
      <c r="F2" s="57" t="s">
        <v>1</v>
      </c>
      <c r="G2" s="130" t="s">
        <v>328</v>
      </c>
      <c r="H2" s="343"/>
      <c r="I2" s="487"/>
      <c r="J2" s="356"/>
      <c r="L2" s="356"/>
      <c r="M2" s="356"/>
      <c r="N2" s="356"/>
      <c r="O2" s="356"/>
      <c r="P2" s="356"/>
      <c r="Q2" s="356"/>
      <c r="R2" s="356"/>
      <c r="S2" s="356"/>
      <c r="T2" s="356"/>
      <c r="U2" s="356"/>
      <c r="V2" s="356"/>
      <c r="W2" s="356"/>
      <c r="X2" s="356"/>
      <c r="Y2" s="356"/>
      <c r="Z2" s="356"/>
      <c r="AA2" s="356"/>
      <c r="AB2" s="356"/>
      <c r="AC2" s="356"/>
      <c r="AD2" s="356"/>
      <c r="AE2" s="356"/>
      <c r="AF2" s="356"/>
      <c r="AG2" s="356"/>
      <c r="AH2" s="356"/>
      <c r="AI2" s="356"/>
      <c r="AJ2" s="356"/>
      <c r="AK2" s="356"/>
      <c r="AL2" s="356"/>
      <c r="AM2" s="356"/>
      <c r="AN2" s="356"/>
      <c r="AO2" s="356"/>
    </row>
    <row r="3" spans="1:41" ht="16.5" customHeight="1">
      <c r="A3" s="493" t="s">
        <v>329</v>
      </c>
      <c r="B3" s="62" t="s">
        <v>330</v>
      </c>
      <c r="C3" s="452" t="s">
        <v>532</v>
      </c>
      <c r="D3" s="418" t="s">
        <v>569</v>
      </c>
      <c r="E3" s="418" t="s">
        <v>870</v>
      </c>
      <c r="F3" s="464" t="s">
        <v>5</v>
      </c>
      <c r="G3" s="313" t="s">
        <v>13</v>
      </c>
      <c r="H3" s="344">
        <v>9.25</v>
      </c>
      <c r="I3" s="379">
        <f>IFERROR(AVERAGE(J3:AO3),"")</f>
        <v>8.3622985862616712</v>
      </c>
      <c r="J3" s="315">
        <f>VLOOKUP($B3,'DCS Data'!$E$2:$AJ$100,MATCH(J$1,'DCS Data'!$E$2:$AJ$2,0),0)</f>
        <v>7.7279660997690209</v>
      </c>
      <c r="L3" s="315">
        <f>VLOOKUP($B3,'DCS Data'!$E$2:$AJ$100,MATCH(L$1,'DCS Data'!$E$2:$AJ$2,0),0)</f>
        <v>7.7303224221183022</v>
      </c>
      <c r="M3" s="315">
        <f>VLOOKUP($B3,'DCS Data'!$E$2:$AJ$100,MATCH(M$1,'DCS Data'!$E$2:$AJ$2,0),0)</f>
        <v>7.3125413334366414</v>
      </c>
      <c r="N3" s="315">
        <f>VLOOKUP($B3,'DCS Data'!$E$2:$AJ$100,MATCH(N$1,'DCS Data'!$E$2:$AJ$2,0),0)</f>
        <v>7.3564318161493309</v>
      </c>
      <c r="O3" s="315">
        <f>VLOOKUP($B3,'DCS Data'!$E$2:$AJ$100,MATCH(O$1,'DCS Data'!$E$2:$AJ$2,0),0)</f>
        <v>7.3837764145766291</v>
      </c>
      <c r="P3" s="315">
        <f>VLOOKUP($B3,'DCS Data'!$E$2:$AJ$100,MATCH(P$1,'DCS Data'!$E$2:$AJ$2,0),0)</f>
        <v>7.4697811417389905</v>
      </c>
      <c r="Q3" s="315">
        <f>VLOOKUP($B3,'DCS Data'!$E$2:$AJ$100,MATCH(Q$1,'DCS Data'!$E$2:$AJ$2,0),0)</f>
        <v>7.5239990287547078</v>
      </c>
      <c r="R3" s="315">
        <f>VLOOKUP($B3,'DCS Data'!$E$2:$AJ$100,MATCH(R$1,'DCS Data'!$E$2:$AJ$2,0),0)</f>
        <v>7.5938149259472025</v>
      </c>
      <c r="S3" s="315">
        <f>VLOOKUP($B3,'DCS Data'!$E$2:$AJ$100,MATCH(S$1,'DCS Data'!$E$2:$AJ$2,0),0)</f>
        <v>7.9582365279016596</v>
      </c>
      <c r="T3" s="315">
        <f>VLOOKUP($B3,'DCS Data'!$E$2:$AJ$100,MATCH(T$1,'DCS Data'!$E$2:$AJ$2,0),0)</f>
        <v>8.6289094443747221</v>
      </c>
      <c r="U3" s="315">
        <f>VLOOKUP($B3,'DCS Data'!$E$2:$AJ$100,MATCH(U$1,'DCS Data'!$E$2:$AJ$2,0),0)</f>
        <v>8.4682452695124919</v>
      </c>
      <c r="V3" s="315">
        <f>VLOOKUP($B3,'DCS Data'!$E$2:$AJ$100,MATCH(V$1,'DCS Data'!$E$2:$AJ$2,0),0)</f>
        <v>8.440505541590495</v>
      </c>
      <c r="W3" s="315">
        <f>VLOOKUP($B3,'DCS Data'!$E$2:$AJ$100,MATCH(W$1,'DCS Data'!$E$2:$AJ$2,0),0)</f>
        <v>8.6526504696691742</v>
      </c>
      <c r="X3" s="315">
        <f>VLOOKUP($B3,'DCS Data'!$E$2:$AJ$100,MATCH(X$1,'DCS Data'!$E$2:$AJ$2,0),0)</f>
        <v>8.6225011748267057</v>
      </c>
      <c r="Y3" s="315">
        <f>VLOOKUP($B3,'DCS Data'!$E$2:$AJ$100,MATCH(Y$1,'DCS Data'!$E$2:$AJ$2,0),0)</f>
        <v>8.6996619133078799</v>
      </c>
      <c r="Z3" s="315">
        <f>VLOOKUP($B3,'DCS Data'!$E$2:$AJ$100,MATCH(Z$1,'DCS Data'!$E$2:$AJ$2,0),0)</f>
        <v>8.7913844755574146</v>
      </c>
      <c r="AA3" s="315">
        <f>VLOOKUP($B3,'DCS Data'!$E$2:$AJ$100,MATCH(AA$1,'DCS Data'!$E$2:$AJ$2,0),0)</f>
        <v>8.8410992016483316</v>
      </c>
      <c r="AB3" s="315">
        <f>VLOOKUP($B3,'DCS Data'!$E$2:$AJ$100,MATCH(AB$1,'DCS Data'!$E$2:$AJ$2,0),0)</f>
        <v>8.9198275626088268</v>
      </c>
      <c r="AC3" s="315">
        <f>VLOOKUP($B3,'DCS Data'!$E$2:$AJ$100,MATCH(AC$1,'DCS Data'!$E$2:$AJ$2,0),0)</f>
        <v>8.8196159632266831</v>
      </c>
      <c r="AD3" s="315">
        <f>VLOOKUP($B3,'DCS Data'!$E$2:$AJ$100,MATCH(AD$1,'DCS Data'!$E$2:$AJ$2,0),0)</f>
        <v>8.7267449256141401</v>
      </c>
      <c r="AE3" s="315">
        <f>VLOOKUP($B3,'DCS Data'!$E$2:$AJ$100,MATCH(AE$1,'DCS Data'!$E$2:$AJ$2,0),0)</f>
        <v>8.7498650881695621</v>
      </c>
      <c r="AF3" s="315">
        <f>VLOOKUP($B3,'DCS Data'!$E$2:$AJ$100,MATCH(AF$1,'DCS Data'!$E$2:$AJ$2,0),0)</f>
        <v>8.8039731073656302</v>
      </c>
      <c r="AG3" s="315">
        <f>VLOOKUP($B3,'DCS Data'!$E$2:$AJ$100,MATCH(AG$1,'DCS Data'!$E$2:$AJ$2,0),0)</f>
        <v>8.7858126783896253</v>
      </c>
      <c r="AH3" s="315">
        <f>VLOOKUP($B3,'DCS Data'!$E$2:$AJ$100,MATCH(AH$1,'DCS Data'!$E$2:$AJ$2,0),0)</f>
        <v>8.9024445671828971</v>
      </c>
      <c r="AI3" s="315">
        <f>VLOOKUP($B3,'DCS Data'!$E$2:$AJ$100,MATCH(AI$1,'DCS Data'!$E$2:$AJ$2,0),0)</f>
        <v>9.0131641765213946</v>
      </c>
      <c r="AJ3" s="315">
        <f>VLOOKUP($B3,'DCS Data'!$E$2:$AJ$100,MATCH(AJ$1,'DCS Data'!$E$2:$AJ$2,0),0)</f>
        <v>8.7480458769460938</v>
      </c>
      <c r="AK3" s="315">
        <f>VLOOKUP($B3,'DCS Data'!$E$2:$AJ$100,MATCH(AK$1,'DCS Data'!$E$2:$AJ$2,0),0)</f>
        <v>8.742150992262971</v>
      </c>
      <c r="AL3" s="315">
        <f>VLOOKUP($B3,'DCS Data'!$E$2:$AJ$100,MATCH(AL$1,'DCS Data'!$E$2:$AJ$2,0),0)</f>
        <v>8.751144177902642</v>
      </c>
      <c r="AM3" s="315">
        <f>VLOOKUP($B3,'DCS Data'!$E$2:$AJ$100,MATCH(AM$1,'DCS Data'!$E$2:$AJ$2,0),0)</f>
        <v>8.5309400552808601</v>
      </c>
      <c r="AN3" s="315">
        <f>VLOOKUP($B3,'DCS Data'!$E$2:$AJ$100,MATCH(AN$1,'DCS Data'!$E$2:$AJ$2,0),0)</f>
        <v>8.2720674214075363</v>
      </c>
      <c r="AO3" s="315">
        <f>VLOOKUP($B3,'DCS Data'!$E$2:$AJ$100,MATCH(AO$1,'DCS Data'!$E$2:$AJ$2,0),0)</f>
        <v>8.2636323803532843</v>
      </c>
    </row>
    <row r="4" spans="1:41" ht="15">
      <c r="A4" s="494"/>
      <c r="B4" s="359" t="s">
        <v>331</v>
      </c>
      <c r="C4" s="452" t="s">
        <v>533</v>
      </c>
      <c r="D4" s="418" t="s">
        <v>570</v>
      </c>
      <c r="E4" s="418" t="s">
        <v>871</v>
      </c>
      <c r="F4" s="465" t="s">
        <v>5</v>
      </c>
      <c r="G4" s="314" t="s">
        <v>14</v>
      </c>
      <c r="H4" s="345">
        <v>88.09</v>
      </c>
      <c r="I4" s="380">
        <f t="shared" ref="I4:I67" si="0">IFERROR(AVERAGE(J4:AO4),"")</f>
        <v>88.171145606608135</v>
      </c>
      <c r="J4" s="316">
        <f>VLOOKUP($B4,'DCS Data'!$E$2:$AJ$100,MATCH(J$1,'DCS Data'!$E$2:$AJ$2,0),0)</f>
        <v>88.147258949662117</v>
      </c>
      <c r="L4" s="316">
        <f>VLOOKUP($B4,'DCS Data'!$E$2:$AJ$100,MATCH(L$1,'DCS Data'!$E$2:$AJ$2,0),0)</f>
        <v>88.277515973404476</v>
      </c>
      <c r="M4" s="316">
        <f>VLOOKUP($B4,'DCS Data'!$E$2:$AJ$100,MATCH(M$1,'DCS Data'!$E$2:$AJ$2,0),0)</f>
        <v>89.174940954354767</v>
      </c>
      <c r="N4" s="316">
        <f>VLOOKUP($B4,'DCS Data'!$E$2:$AJ$100,MATCH(N$1,'DCS Data'!$E$2:$AJ$2,0),0)</f>
        <v>89.15497046429067</v>
      </c>
      <c r="O4" s="316">
        <f>VLOOKUP($B4,'DCS Data'!$E$2:$AJ$100,MATCH(O$1,'DCS Data'!$E$2:$AJ$2,0),0)</f>
        <v>89.08731592207117</v>
      </c>
      <c r="P4" s="316">
        <f>VLOOKUP($B4,'DCS Data'!$E$2:$AJ$100,MATCH(P$1,'DCS Data'!$E$2:$AJ$2,0),0)</f>
        <v>89.003320499361394</v>
      </c>
      <c r="Q4" s="316">
        <f>VLOOKUP($B4,'DCS Data'!$E$2:$AJ$100,MATCH(Q$1,'DCS Data'!$E$2:$AJ$2,0),0)</f>
        <v>89.023175574154934</v>
      </c>
      <c r="R4" s="316">
        <f>VLOOKUP($B4,'DCS Data'!$E$2:$AJ$100,MATCH(R$1,'DCS Data'!$E$2:$AJ$2,0),0)</f>
        <v>88.822127729292873</v>
      </c>
      <c r="S4" s="316">
        <f>VLOOKUP($B4,'DCS Data'!$E$2:$AJ$100,MATCH(S$1,'DCS Data'!$E$2:$AJ$2,0),0)</f>
        <v>88.550442470752529</v>
      </c>
      <c r="T4" s="316">
        <f>VLOOKUP($B4,'DCS Data'!$E$2:$AJ$100,MATCH(T$1,'DCS Data'!$E$2:$AJ$2,0),0)</f>
        <v>87.92216850003274</v>
      </c>
      <c r="U4" s="316">
        <f>VLOOKUP($B4,'DCS Data'!$E$2:$AJ$100,MATCH(U$1,'DCS Data'!$E$2:$AJ$2,0),0)</f>
        <v>88.099635909258424</v>
      </c>
      <c r="V4" s="316">
        <f>VLOOKUP($B4,'DCS Data'!$E$2:$AJ$100,MATCH(V$1,'DCS Data'!$E$2:$AJ$2,0),0)</f>
        <v>88.101176708826046</v>
      </c>
      <c r="W4" s="316">
        <f>VLOOKUP($B4,'DCS Data'!$E$2:$AJ$100,MATCH(W$1,'DCS Data'!$E$2:$AJ$2,0),0)</f>
        <v>87.861880776946364</v>
      </c>
      <c r="X4" s="316">
        <f>VLOOKUP($B4,'DCS Data'!$E$2:$AJ$100,MATCH(X$1,'DCS Data'!$E$2:$AJ$2,0),0)</f>
        <v>87.966367875650462</v>
      </c>
      <c r="Y4" s="316">
        <f>VLOOKUP($B4,'DCS Data'!$E$2:$AJ$100,MATCH(Y$1,'DCS Data'!$E$2:$AJ$2,0),0)</f>
        <v>88.160841388969317</v>
      </c>
      <c r="Z4" s="316">
        <f>VLOOKUP($B4,'DCS Data'!$E$2:$AJ$100,MATCH(Z$1,'DCS Data'!$E$2:$AJ$2,0),0)</f>
        <v>87.706284104460934</v>
      </c>
      <c r="AA4" s="316">
        <f>VLOOKUP($B4,'DCS Data'!$E$2:$AJ$100,MATCH(AA$1,'DCS Data'!$E$2:$AJ$2,0),0)</f>
        <v>87.750786125955258</v>
      </c>
      <c r="AB4" s="316">
        <f>VLOOKUP($B4,'DCS Data'!$E$2:$AJ$100,MATCH(AB$1,'DCS Data'!$E$2:$AJ$2,0),0)</f>
        <v>87.611236273486668</v>
      </c>
      <c r="AC4" s="316">
        <f>VLOOKUP($B4,'DCS Data'!$E$2:$AJ$100,MATCH(AC$1,'DCS Data'!$E$2:$AJ$2,0),0)</f>
        <v>87.675747832111995</v>
      </c>
      <c r="AD4" s="316">
        <f>VLOOKUP($B4,'DCS Data'!$E$2:$AJ$100,MATCH(AD$1,'DCS Data'!$E$2:$AJ$2,0),0)</f>
        <v>87.682347761853066</v>
      </c>
      <c r="AE4" s="316">
        <f>VLOOKUP($B4,'DCS Data'!$E$2:$AJ$100,MATCH(AE$1,'DCS Data'!$E$2:$AJ$2,0),0)</f>
        <v>87.782026093448437</v>
      </c>
      <c r="AF4" s="316">
        <f>VLOOKUP($B4,'DCS Data'!$E$2:$AJ$100,MATCH(AF$1,'DCS Data'!$E$2:$AJ$2,0),0)</f>
        <v>87.759341299360855</v>
      </c>
      <c r="AG4" s="316">
        <f>VLOOKUP($B4,'DCS Data'!$E$2:$AJ$100,MATCH(AG$1,'DCS Data'!$E$2:$AJ$2,0),0)</f>
        <v>87.788837119368907</v>
      </c>
      <c r="AH4" s="316">
        <f>VLOOKUP($B4,'DCS Data'!$E$2:$AJ$100,MATCH(AH$1,'DCS Data'!$E$2:$AJ$2,0),0)</f>
        <v>87.555786259232761</v>
      </c>
      <c r="AI4" s="316">
        <f>VLOOKUP($B4,'DCS Data'!$E$2:$AJ$100,MATCH(AI$1,'DCS Data'!$E$2:$AJ$2,0),0)</f>
        <v>87.437295682718315</v>
      </c>
      <c r="AJ4" s="316">
        <f>VLOOKUP($B4,'DCS Data'!$E$2:$AJ$100,MATCH(AJ$1,'DCS Data'!$E$2:$AJ$2,0),0)</f>
        <v>87.761213149261906</v>
      </c>
      <c r="AK4" s="316">
        <f>VLOOKUP($B4,'DCS Data'!$E$2:$AJ$100,MATCH(AK$1,'DCS Data'!$E$2:$AJ$2,0),0)</f>
        <v>87.911582058887021</v>
      </c>
      <c r="AL4" s="316">
        <f>VLOOKUP($B4,'DCS Data'!$E$2:$AJ$100,MATCH(AL$1,'DCS Data'!$E$2:$AJ$2,0),0)</f>
        <v>87.912938908085309</v>
      </c>
      <c r="AM4" s="316">
        <f>VLOOKUP($B4,'DCS Data'!$E$2:$AJ$100,MATCH(AM$1,'DCS Data'!$E$2:$AJ$2,0),0)</f>
        <v>88.202012659809711</v>
      </c>
      <c r="AN4" s="316">
        <f>VLOOKUP($B4,'DCS Data'!$E$2:$AJ$100,MATCH(AN$1,'DCS Data'!$E$2:$AJ$2,0),0)</f>
        <v>88.576867560270969</v>
      </c>
      <c r="AO4" s="316">
        <f>VLOOKUP($B4,'DCS Data'!$E$2:$AJ$100,MATCH(AO$1,'DCS Data'!$E$2:$AJ$2,0),0)</f>
        <v>88.83807121951169</v>
      </c>
    </row>
    <row r="5" spans="1:41" ht="16.5" customHeight="1">
      <c r="A5" s="494"/>
      <c r="B5" s="359" t="s">
        <v>332</v>
      </c>
      <c r="C5" s="452" t="s">
        <v>534</v>
      </c>
      <c r="D5" s="418" t="s">
        <v>571</v>
      </c>
      <c r="E5" s="418" t="s">
        <v>872</v>
      </c>
      <c r="F5" s="465" t="s">
        <v>5</v>
      </c>
      <c r="G5" s="314" t="s">
        <v>15</v>
      </c>
      <c r="H5" s="345">
        <v>0</v>
      </c>
      <c r="I5" s="380">
        <f t="shared" si="0"/>
        <v>4.8624501008843871E-2</v>
      </c>
      <c r="J5" s="316">
        <f>VLOOKUP($B5,'DCS Data'!$E$2:$AJ$100,MATCH(J$1,'DCS Data'!$E$2:$AJ$2,0),0)</f>
        <v>1.0768106759223911E-3</v>
      </c>
      <c r="L5" s="316">
        <f>VLOOKUP($B5,'DCS Data'!$E$2:$AJ$100,MATCH(L$1,'DCS Data'!$E$2:$AJ$2,0),0)</f>
        <v>4.2777948025667203E-4</v>
      </c>
      <c r="M5" s="316">
        <f>VLOOKUP($B5,'DCS Data'!$E$2:$AJ$100,MATCH(M$1,'DCS Data'!$E$2:$AJ$2,0),0)</f>
        <v>2.5636045406684073E-4</v>
      </c>
      <c r="N5" s="316">
        <f>VLOOKUP($B5,'DCS Data'!$E$2:$AJ$100,MATCH(N$1,'DCS Data'!$E$2:$AJ$2,0),0)</f>
        <v>5.5366194175893147E-4</v>
      </c>
      <c r="O5" s="316">
        <f>VLOOKUP($B5,'DCS Data'!$E$2:$AJ$100,MATCH(O$1,'DCS Data'!$E$2:$AJ$2,0),0)</f>
        <v>2.8491858539049828E-4</v>
      </c>
      <c r="P5" s="316">
        <f>VLOOKUP($B5,'DCS Data'!$E$2:$AJ$100,MATCH(P$1,'DCS Data'!$E$2:$AJ$2,0),0)</f>
        <v>2.7200350753805942E-4</v>
      </c>
      <c r="Q5" s="316">
        <f>VLOOKUP($B5,'DCS Data'!$E$2:$AJ$100,MATCH(Q$1,'DCS Data'!$E$2:$AJ$2,0),0)</f>
        <v>2.5433331999068291E-4</v>
      </c>
      <c r="R5" s="316">
        <f>VLOOKUP($B5,'DCS Data'!$E$2:$AJ$100,MATCH(R$1,'DCS Data'!$E$2:$AJ$2,0),0)</f>
        <v>2.8216969972573176E-4</v>
      </c>
      <c r="S5" s="316">
        <f>VLOOKUP($B5,'DCS Data'!$E$2:$AJ$100,MATCH(S$1,'DCS Data'!$E$2:$AJ$2,0),0)</f>
        <v>2.5001161155032944E-4</v>
      </c>
      <c r="T5" s="316">
        <f>VLOOKUP($B5,'DCS Data'!$E$2:$AJ$100,MATCH(T$1,'DCS Data'!$E$2:$AJ$2,0),0)</f>
        <v>3.7049382516093763E-4</v>
      </c>
      <c r="U5" s="316">
        <f>VLOOKUP($B5,'DCS Data'!$E$2:$AJ$100,MATCH(U$1,'DCS Data'!$E$2:$AJ$2,0),0)</f>
        <v>2.9520641682524956E-4</v>
      </c>
      <c r="V5" s="316">
        <f>VLOOKUP($B5,'DCS Data'!$E$2:$AJ$100,MATCH(V$1,'DCS Data'!$E$2:$AJ$2,0),0)</f>
        <v>3.2666959364468541E-4</v>
      </c>
      <c r="W5" s="316">
        <f>VLOOKUP($B5,'DCS Data'!$E$2:$AJ$100,MATCH(W$1,'DCS Data'!$E$2:$AJ$2,0),0)</f>
        <v>1.2606924594154792E-2</v>
      </c>
      <c r="X5" s="316">
        <f>VLOOKUP($B5,'DCS Data'!$E$2:$AJ$100,MATCH(X$1,'DCS Data'!$E$2:$AJ$2,0),0)</f>
        <v>2.895756285132876E-2</v>
      </c>
      <c r="Y5" s="316">
        <f>VLOOKUP($B5,'DCS Data'!$E$2:$AJ$100,MATCH(Y$1,'DCS Data'!$E$2:$AJ$2,0),0)</f>
        <v>4.4135322699687472E-2</v>
      </c>
      <c r="Z5" s="316">
        <f>VLOOKUP($B5,'DCS Data'!$E$2:$AJ$100,MATCH(Z$1,'DCS Data'!$E$2:$AJ$2,0),0)</f>
        <v>6.5875687001639593E-2</v>
      </c>
      <c r="AA5" s="316">
        <f>VLOOKUP($B5,'DCS Data'!$E$2:$AJ$100,MATCH(AA$1,'DCS Data'!$E$2:$AJ$2,0),0)</f>
        <v>7.5131448057581637E-2</v>
      </c>
      <c r="AB5" s="316">
        <f>VLOOKUP($B5,'DCS Data'!$E$2:$AJ$100,MATCH(AB$1,'DCS Data'!$E$2:$AJ$2,0),0)</f>
        <v>8.3312904494529216E-2</v>
      </c>
      <c r="AC5" s="316">
        <f>VLOOKUP($B5,'DCS Data'!$E$2:$AJ$100,MATCH(AC$1,'DCS Data'!$E$2:$AJ$2,0),0)</f>
        <v>8.8734973105793744E-2</v>
      </c>
      <c r="AD5" s="316">
        <f>VLOOKUP($B5,'DCS Data'!$E$2:$AJ$100,MATCH(AD$1,'DCS Data'!$E$2:$AJ$2,0),0)</f>
        <v>0.10794991470709107</v>
      </c>
      <c r="AE5" s="316">
        <f>VLOOKUP($B5,'DCS Data'!$E$2:$AJ$100,MATCH(AE$1,'DCS Data'!$E$2:$AJ$2,0),0)</f>
        <v>7.443853182242624E-2</v>
      </c>
      <c r="AF5" s="316">
        <f>VLOOKUP($B5,'DCS Data'!$E$2:$AJ$100,MATCH(AF$1,'DCS Data'!$E$2:$AJ$2,0),0)</f>
        <v>7.5787048310875765E-2</v>
      </c>
      <c r="AG5" s="316">
        <f>VLOOKUP($B5,'DCS Data'!$E$2:$AJ$100,MATCH(AG$1,'DCS Data'!$E$2:$AJ$2,0),0)</f>
        <v>0.10760653073834694</v>
      </c>
      <c r="AH5" s="316">
        <f>VLOOKUP($B5,'DCS Data'!$E$2:$AJ$100,MATCH(AH$1,'DCS Data'!$E$2:$AJ$2,0),0)</f>
        <v>0.12220989087616016</v>
      </c>
      <c r="AI5" s="316">
        <f>VLOOKUP($B5,'DCS Data'!$E$2:$AJ$100,MATCH(AI$1,'DCS Data'!$E$2:$AJ$2,0),0)</f>
        <v>0.13966363899963585</v>
      </c>
      <c r="AJ5" s="316">
        <f>VLOOKUP($B5,'DCS Data'!$E$2:$AJ$100,MATCH(AJ$1,'DCS Data'!$E$2:$AJ$2,0),0)</f>
        <v>0.11098187801504156</v>
      </c>
      <c r="AK5" s="316">
        <f>VLOOKUP($B5,'DCS Data'!$E$2:$AJ$100,MATCH(AK$1,'DCS Data'!$E$2:$AJ$2,0),0)</f>
        <v>0.10106534144935506</v>
      </c>
      <c r="AL5" s="316">
        <f>VLOOKUP($B5,'DCS Data'!$E$2:$AJ$100,MATCH(AL$1,'DCS Data'!$E$2:$AJ$2,0),0)</f>
        <v>0.10620566418101682</v>
      </c>
      <c r="AM5" s="316">
        <f>VLOOKUP($B5,'DCS Data'!$E$2:$AJ$100,MATCH(AM$1,'DCS Data'!$E$2:$AJ$2,0),0)</f>
        <v>0.10317431011010149</v>
      </c>
      <c r="AN5" s="316">
        <f>VLOOKUP($B5,'DCS Data'!$E$2:$AJ$100,MATCH(AN$1,'DCS Data'!$E$2:$AJ$2,0),0)</f>
        <v>4.3961490144120166E-2</v>
      </c>
      <c r="AO5" s="316">
        <f>VLOOKUP($B5,'DCS Data'!$E$2:$AJ$100,MATCH(AO$1,'DCS Data'!$E$2:$AJ$2,0),0)</f>
        <v>1.0910050003442898E-2</v>
      </c>
    </row>
    <row r="6" spans="1:41" ht="15">
      <c r="A6" s="494"/>
      <c r="B6" s="359" t="s">
        <v>333</v>
      </c>
      <c r="C6" s="452" t="s">
        <v>535</v>
      </c>
      <c r="D6" s="418" t="s">
        <v>572</v>
      </c>
      <c r="E6" s="418" t="s">
        <v>873</v>
      </c>
      <c r="F6" s="465" t="s">
        <v>5</v>
      </c>
      <c r="G6" s="314" t="s">
        <v>16</v>
      </c>
      <c r="H6" s="345">
        <v>0.30999999999999989</v>
      </c>
      <c r="I6" s="380">
        <f t="shared" si="0"/>
        <v>1.7397116347656081</v>
      </c>
      <c r="J6" s="316">
        <f>VLOOKUP($B6,'DCS Data'!$E$2:$AJ$100,MATCH(J$1,'DCS Data'!$E$2:$AJ$2,0),0)</f>
        <v>2.1352399969360381</v>
      </c>
      <c r="L6" s="316">
        <f>VLOOKUP($B6,'DCS Data'!$E$2:$AJ$100,MATCH(L$1,'DCS Data'!$E$2:$AJ$2,0),0)</f>
        <v>2.1452692663599766</v>
      </c>
      <c r="M6" s="316">
        <f>VLOOKUP($B6,'DCS Data'!$E$2:$AJ$100,MATCH(M$1,'DCS Data'!$E$2:$AJ$2,0),0)</f>
        <v>1.8485041864208984</v>
      </c>
      <c r="N6" s="316">
        <f>VLOOKUP($B6,'DCS Data'!$E$2:$AJ$100,MATCH(N$1,'DCS Data'!$E$2:$AJ$2,0),0)</f>
        <v>1.8353206855991469</v>
      </c>
      <c r="O6" s="316">
        <f>VLOOKUP($B6,'DCS Data'!$E$2:$AJ$100,MATCH(O$1,'DCS Data'!$E$2:$AJ$2,0),0)</f>
        <v>1.7642152219786531</v>
      </c>
      <c r="P6" s="316">
        <f>VLOOKUP($B6,'DCS Data'!$E$2:$AJ$100,MATCH(P$1,'DCS Data'!$E$2:$AJ$2,0),0)</f>
        <v>1.8074711590419146</v>
      </c>
      <c r="Q6" s="316">
        <f>VLOOKUP($B6,'DCS Data'!$E$2:$AJ$100,MATCH(Q$1,'DCS Data'!$E$2:$AJ$2,0),0)</f>
        <v>1.7921235956977524</v>
      </c>
      <c r="R6" s="316">
        <f>VLOOKUP($B6,'DCS Data'!$E$2:$AJ$100,MATCH(R$1,'DCS Data'!$E$2:$AJ$2,0),0)</f>
        <v>1.9168920183786065</v>
      </c>
      <c r="S6" s="316">
        <f>VLOOKUP($B6,'DCS Data'!$E$2:$AJ$100,MATCH(S$1,'DCS Data'!$E$2:$AJ$2,0),0)</f>
        <v>1.8594962290560202</v>
      </c>
      <c r="T6" s="316">
        <f>VLOOKUP($B6,'DCS Data'!$E$2:$AJ$100,MATCH(T$1,'DCS Data'!$E$2:$AJ$2,0),0)</f>
        <v>1.7337593174475627</v>
      </c>
      <c r="U6" s="316">
        <f>VLOOKUP($B6,'DCS Data'!$E$2:$AJ$100,MATCH(U$1,'DCS Data'!$E$2:$AJ$2,0),0)</f>
        <v>1.7331548043610321</v>
      </c>
      <c r="V6" s="316">
        <f>VLOOKUP($B6,'DCS Data'!$E$2:$AJ$100,MATCH(V$1,'DCS Data'!$E$2:$AJ$2,0),0)</f>
        <v>1.7575840261934252</v>
      </c>
      <c r="W6" s="316">
        <f>VLOOKUP($B6,'DCS Data'!$E$2:$AJ$100,MATCH(W$1,'DCS Data'!$E$2:$AJ$2,0),0)</f>
        <v>1.7862934566281465</v>
      </c>
      <c r="X6" s="316">
        <f>VLOOKUP($B6,'DCS Data'!$E$2:$AJ$100,MATCH(X$1,'DCS Data'!$E$2:$AJ$2,0),0)</f>
        <v>1.7103668789137387</v>
      </c>
      <c r="Y6" s="316">
        <f>VLOOKUP($B6,'DCS Data'!$E$2:$AJ$100,MATCH(Y$1,'DCS Data'!$E$2:$AJ$2,0),0)</f>
        <v>1.7539247837869463</v>
      </c>
      <c r="Z6" s="316">
        <f>VLOOKUP($B6,'DCS Data'!$E$2:$AJ$100,MATCH(Z$1,'DCS Data'!$E$2:$AJ$2,0),0)</f>
        <v>1.7266013943498344</v>
      </c>
      <c r="AA6" s="316">
        <f>VLOOKUP($B6,'DCS Data'!$E$2:$AJ$100,MATCH(AA$1,'DCS Data'!$E$2:$AJ$2,0),0)</f>
        <v>1.6779370929590887</v>
      </c>
      <c r="AB6" s="316">
        <f>VLOOKUP($B6,'DCS Data'!$E$2:$AJ$100,MATCH(AB$1,'DCS Data'!$E$2:$AJ$2,0),0)</f>
        <v>1.6599944356731602</v>
      </c>
      <c r="AC6" s="316">
        <f>VLOOKUP($B6,'DCS Data'!$E$2:$AJ$100,MATCH(AC$1,'DCS Data'!$E$2:$AJ$2,0),0)</f>
        <v>1.7070012238020842</v>
      </c>
      <c r="AD6" s="316">
        <f>VLOOKUP($B6,'DCS Data'!$E$2:$AJ$100,MATCH(AD$1,'DCS Data'!$E$2:$AJ$2,0),0)</f>
        <v>1.7345854740699385</v>
      </c>
      <c r="AE6" s="316">
        <f>VLOOKUP($B6,'DCS Data'!$E$2:$AJ$100,MATCH(AE$1,'DCS Data'!$E$2:$AJ$2,0),0)</f>
        <v>1.7317852315342463</v>
      </c>
      <c r="AF6" s="316">
        <f>VLOOKUP($B6,'DCS Data'!$E$2:$AJ$100,MATCH(AF$1,'DCS Data'!$E$2:$AJ$2,0),0)</f>
        <v>1.758488690221871</v>
      </c>
      <c r="AG6" s="316">
        <f>VLOOKUP($B6,'DCS Data'!$E$2:$AJ$100,MATCH(AG$1,'DCS Data'!$E$2:$AJ$2,0),0)</f>
        <v>1.7177189688541912</v>
      </c>
      <c r="AH6" s="316">
        <f>VLOOKUP($B6,'DCS Data'!$E$2:$AJ$100,MATCH(AH$1,'DCS Data'!$E$2:$AJ$2,0),0)</f>
        <v>1.7291251613826164</v>
      </c>
      <c r="AI6" s="316">
        <f>VLOOKUP($B6,'DCS Data'!$E$2:$AJ$100,MATCH(AI$1,'DCS Data'!$E$2:$AJ$2,0),0)</f>
        <v>1.6166292360615928</v>
      </c>
      <c r="AJ6" s="316">
        <f>VLOOKUP($B6,'DCS Data'!$E$2:$AJ$100,MATCH(AJ$1,'DCS Data'!$E$2:$AJ$2,0),0)</f>
        <v>1.6101672910179843</v>
      </c>
      <c r="AK6" s="316">
        <f>VLOOKUP($B6,'DCS Data'!$E$2:$AJ$100,MATCH(AK$1,'DCS Data'!$E$2:$AJ$2,0),0)</f>
        <v>1.630350226980487</v>
      </c>
      <c r="AL6" s="316">
        <f>VLOOKUP($B6,'DCS Data'!$E$2:$AJ$100,MATCH(AL$1,'DCS Data'!$E$2:$AJ$2,0),0)</f>
        <v>1.6191264888696484</v>
      </c>
      <c r="AM6" s="316">
        <f>VLOOKUP($B6,'DCS Data'!$E$2:$AJ$100,MATCH(AM$1,'DCS Data'!$E$2:$AJ$2,0),0)</f>
        <v>1.5368326357396658</v>
      </c>
      <c r="AN6" s="316">
        <f>VLOOKUP($B6,'DCS Data'!$E$2:$AJ$100,MATCH(AN$1,'DCS Data'!$E$2:$AJ$2,0),0)</f>
        <v>1.4778263885964926</v>
      </c>
      <c r="AO6" s="316">
        <f>VLOOKUP($B6,'DCS Data'!$E$2:$AJ$100,MATCH(AO$1,'DCS Data'!$E$2:$AJ$2,0),0)</f>
        <v>1.4172751108210959</v>
      </c>
    </row>
    <row r="7" spans="1:41" ht="15">
      <c r="A7" s="494"/>
      <c r="B7" s="359" t="s">
        <v>334</v>
      </c>
      <c r="C7" s="452" t="s">
        <v>536</v>
      </c>
      <c r="D7" s="418" t="s">
        <v>573</v>
      </c>
      <c r="E7" s="418" t="s">
        <v>874</v>
      </c>
      <c r="F7" s="465" t="s">
        <v>5</v>
      </c>
      <c r="G7" s="314" t="s">
        <v>17</v>
      </c>
      <c r="H7" s="345">
        <v>1.4500000000000002</v>
      </c>
      <c r="I7" s="380">
        <f t="shared" si="0"/>
        <v>0.2904425207841323</v>
      </c>
      <c r="J7" s="316">
        <f>VLOOKUP($B7,'DCS Data'!$E$2:$AJ$100,MATCH(J$1,'DCS Data'!$E$2:$AJ$2,0),0)</f>
        <v>0.27931194366407608</v>
      </c>
      <c r="L7" s="316">
        <f>VLOOKUP($B7,'DCS Data'!$E$2:$AJ$100,MATCH(L$1,'DCS Data'!$E$2:$AJ$2,0),0)</f>
        <v>0.28543725314205931</v>
      </c>
      <c r="M7" s="316">
        <f>VLOOKUP($B7,'DCS Data'!$E$2:$AJ$100,MATCH(M$1,'DCS Data'!$E$2:$AJ$2,0),0)</f>
        <v>0.2699479909239163</v>
      </c>
      <c r="N7" s="316">
        <f>VLOOKUP($B7,'DCS Data'!$E$2:$AJ$100,MATCH(N$1,'DCS Data'!$E$2:$AJ$2,0),0)</f>
        <v>0.27048602210796574</v>
      </c>
      <c r="O7" s="316">
        <f>VLOOKUP($B7,'DCS Data'!$E$2:$AJ$100,MATCH(O$1,'DCS Data'!$E$2:$AJ$2,0),0)</f>
        <v>0.26941204183516471</v>
      </c>
      <c r="P7" s="316">
        <f>VLOOKUP($B7,'DCS Data'!$E$2:$AJ$100,MATCH(P$1,'DCS Data'!$E$2:$AJ$2,0),0)</f>
        <v>0.27069062160454171</v>
      </c>
      <c r="Q7" s="316">
        <f>VLOOKUP($B7,'DCS Data'!$E$2:$AJ$100,MATCH(Q$1,'DCS Data'!$E$2:$AJ$2,0),0)</f>
        <v>0.27269587366201914</v>
      </c>
      <c r="R7" s="316">
        <f>VLOOKUP($B7,'DCS Data'!$E$2:$AJ$100,MATCH(R$1,'DCS Data'!$E$2:$AJ$2,0),0)</f>
        <v>0.27296588698401714</v>
      </c>
      <c r="S7" s="316">
        <f>VLOOKUP($B7,'DCS Data'!$E$2:$AJ$100,MATCH(S$1,'DCS Data'!$E$2:$AJ$2,0),0)</f>
        <v>0.28161823000208902</v>
      </c>
      <c r="T7" s="316">
        <f>VLOOKUP($B7,'DCS Data'!$E$2:$AJ$100,MATCH(T$1,'DCS Data'!$E$2:$AJ$2,0),0)</f>
        <v>0.29582078721884603</v>
      </c>
      <c r="U7" s="316">
        <f>VLOOKUP($B7,'DCS Data'!$E$2:$AJ$100,MATCH(U$1,'DCS Data'!$E$2:$AJ$2,0),0)</f>
        <v>0.2952823693868708</v>
      </c>
      <c r="V7" s="316">
        <f>VLOOKUP($B7,'DCS Data'!$E$2:$AJ$100,MATCH(V$1,'DCS Data'!$E$2:$AJ$2,0),0)</f>
        <v>0.29291077192347165</v>
      </c>
      <c r="W7" s="316">
        <f>VLOOKUP($B7,'DCS Data'!$E$2:$AJ$100,MATCH(W$1,'DCS Data'!$E$2:$AJ$2,0),0)</f>
        <v>0.29960904140160444</v>
      </c>
      <c r="X7" s="316">
        <f>VLOOKUP($B7,'DCS Data'!$E$2:$AJ$100,MATCH(X$1,'DCS Data'!$E$2:$AJ$2,0),0)</f>
        <v>0.29785910325423942</v>
      </c>
      <c r="Y7" s="316">
        <f>VLOOKUP($B7,'DCS Data'!$E$2:$AJ$100,MATCH(Y$1,'DCS Data'!$E$2:$AJ$2,0),0)</f>
        <v>0.37689054684723688</v>
      </c>
      <c r="Z7" s="316">
        <f>VLOOKUP($B7,'DCS Data'!$E$2:$AJ$100,MATCH(Z$1,'DCS Data'!$E$2:$AJ$2,0),0)</f>
        <v>0.29750035381102341</v>
      </c>
      <c r="AA7" s="316">
        <f>VLOOKUP($B7,'DCS Data'!$E$2:$AJ$100,MATCH(AA$1,'DCS Data'!$E$2:$AJ$2,0),0)</f>
        <v>0.29885751066942123</v>
      </c>
      <c r="AB7" s="316">
        <f>VLOOKUP($B7,'DCS Data'!$E$2:$AJ$100,MATCH(AB$1,'DCS Data'!$E$2:$AJ$2,0),0)</f>
        <v>0.30222185473026975</v>
      </c>
      <c r="AC7" s="316">
        <f>VLOOKUP($B7,'DCS Data'!$E$2:$AJ$100,MATCH(AC$1,'DCS Data'!$E$2:$AJ$2,0),0)</f>
        <v>0.3006772359793784</v>
      </c>
      <c r="AD7" s="316">
        <f>VLOOKUP($B7,'DCS Data'!$E$2:$AJ$100,MATCH(AD$1,'DCS Data'!$E$2:$AJ$2,0),0)</f>
        <v>0.30161635949974747</v>
      </c>
      <c r="AE7" s="316">
        <f>VLOOKUP($B7,'DCS Data'!$E$2:$AJ$100,MATCH(AE$1,'DCS Data'!$E$2:$AJ$2,0),0)</f>
        <v>0.29659410008327775</v>
      </c>
      <c r="AF7" s="316">
        <f>VLOOKUP($B7,'DCS Data'!$E$2:$AJ$100,MATCH(AF$1,'DCS Data'!$E$2:$AJ$2,0),0)</f>
        <v>0.3134944301005268</v>
      </c>
      <c r="AG7" s="316">
        <f>VLOOKUP($B7,'DCS Data'!$E$2:$AJ$100,MATCH(AG$1,'DCS Data'!$E$2:$AJ$2,0),0)</f>
        <v>0.30776990692325729</v>
      </c>
      <c r="AH7" s="316">
        <f>VLOOKUP($B7,'DCS Data'!$E$2:$AJ$100,MATCH(AH$1,'DCS Data'!$E$2:$AJ$2,0),0)</f>
        <v>0.30877147825220125</v>
      </c>
      <c r="AI7" s="316">
        <f>VLOOKUP($B7,'DCS Data'!$E$2:$AJ$100,MATCH(AI$1,'DCS Data'!$E$2:$AJ$2,0),0)</f>
        <v>0.30414709303571452</v>
      </c>
      <c r="AJ7" s="316">
        <f>VLOOKUP($B7,'DCS Data'!$E$2:$AJ$100,MATCH(AJ$1,'DCS Data'!$E$2:$AJ$2,0),0)</f>
        <v>0.29562546481542534</v>
      </c>
      <c r="AK7" s="316">
        <f>VLOOKUP($B7,'DCS Data'!$E$2:$AJ$100,MATCH(AK$1,'DCS Data'!$E$2:$AJ$2,0),0)</f>
        <v>0.29928223916484231</v>
      </c>
      <c r="AL7" s="316">
        <f>VLOOKUP($B7,'DCS Data'!$E$2:$AJ$100,MATCH(AL$1,'DCS Data'!$E$2:$AJ$2,0),0)</f>
        <v>0.29449545625196527</v>
      </c>
      <c r="AM7" s="316">
        <f>VLOOKUP($B7,'DCS Data'!$E$2:$AJ$100,MATCH(AM$1,'DCS Data'!$E$2:$AJ$2,0),0)</f>
        <v>0.26998983595098419</v>
      </c>
      <c r="AN7" s="316">
        <f>VLOOKUP($B7,'DCS Data'!$E$2:$AJ$100,MATCH(AN$1,'DCS Data'!$E$2:$AJ$2,0),0)</f>
        <v>0.24899654963941148</v>
      </c>
      <c r="AO7" s="316">
        <f>VLOOKUP($B7,'DCS Data'!$E$2:$AJ$100,MATCH(AO$1,'DCS Data'!$E$2:$AJ$2,0),0)</f>
        <v>0.23273979144253468</v>
      </c>
    </row>
    <row r="8" spans="1:41" ht="15">
      <c r="A8" s="494"/>
      <c r="B8" s="359" t="s">
        <v>335</v>
      </c>
      <c r="C8" s="452" t="s">
        <v>537</v>
      </c>
      <c r="D8" s="418" t="s">
        <v>574</v>
      </c>
      <c r="E8" s="418" t="s">
        <v>875</v>
      </c>
      <c r="F8" s="465" t="s">
        <v>5</v>
      </c>
      <c r="G8" s="314" t="s">
        <v>18</v>
      </c>
      <c r="H8" s="345">
        <v>6.0000000000000039E-2</v>
      </c>
      <c r="I8" s="380">
        <f t="shared" si="0"/>
        <v>5.8277419967668082E-2</v>
      </c>
      <c r="J8" s="316">
        <f>VLOOKUP($B8,'DCS Data'!$E$2:$AJ$100,MATCH(J$1,'DCS Data'!$E$2:$AJ$2,0),0)</f>
        <v>5.4195789209816707E-2</v>
      </c>
      <c r="L8" s="316">
        <f>VLOOKUP($B8,'DCS Data'!$E$2:$AJ$100,MATCH(L$1,'DCS Data'!$E$2:$AJ$2,0),0)</f>
        <v>5.5449643416622216E-2</v>
      </c>
      <c r="M8" s="316">
        <f>VLOOKUP($B8,'DCS Data'!$E$2:$AJ$100,MATCH(M$1,'DCS Data'!$E$2:$AJ$2,0),0)</f>
        <v>5.2345703798479359E-2</v>
      </c>
      <c r="N8" s="316">
        <f>VLOOKUP($B8,'DCS Data'!$E$2:$AJ$100,MATCH(N$1,'DCS Data'!$E$2:$AJ$2,0),0)</f>
        <v>5.2701320790778126E-2</v>
      </c>
      <c r="O8" s="316">
        <f>VLOOKUP($B8,'DCS Data'!$E$2:$AJ$100,MATCH(O$1,'DCS Data'!$E$2:$AJ$2,0),0)</f>
        <v>5.2325068555869894E-2</v>
      </c>
      <c r="P8" s="316">
        <f>VLOOKUP($B8,'DCS Data'!$E$2:$AJ$100,MATCH(P$1,'DCS Data'!$E$2:$AJ$2,0),0)</f>
        <v>5.282158929519612E-2</v>
      </c>
      <c r="Q8" s="316">
        <f>VLOOKUP($B8,'DCS Data'!$E$2:$AJ$100,MATCH(Q$1,'DCS Data'!$E$2:$AJ$2,0),0)</f>
        <v>5.3743391806774968E-2</v>
      </c>
      <c r="R8" s="316">
        <f>VLOOKUP($B8,'DCS Data'!$E$2:$AJ$100,MATCH(R$1,'DCS Data'!$E$2:$AJ$2,0),0)</f>
        <v>5.3758841868506241E-2</v>
      </c>
      <c r="S8" s="316">
        <f>VLOOKUP($B8,'DCS Data'!$E$2:$AJ$100,MATCH(S$1,'DCS Data'!$E$2:$AJ$2,0),0)</f>
        <v>5.6507040360293054E-2</v>
      </c>
      <c r="T8" s="316">
        <f>VLOOKUP($B8,'DCS Data'!$E$2:$AJ$100,MATCH(T$1,'DCS Data'!$E$2:$AJ$2,0),0)</f>
        <v>6.1867882590876583E-2</v>
      </c>
      <c r="U8" s="316">
        <f>VLOOKUP($B8,'DCS Data'!$E$2:$AJ$100,MATCH(U$1,'DCS Data'!$E$2:$AJ$2,0),0)</f>
        <v>6.1092106857874327E-2</v>
      </c>
      <c r="V8" s="316">
        <f>VLOOKUP($B8,'DCS Data'!$E$2:$AJ$100,MATCH(V$1,'DCS Data'!$E$2:$AJ$2,0),0)</f>
        <v>6.0387433570936892E-2</v>
      </c>
      <c r="W8" s="316">
        <f>VLOOKUP($B8,'DCS Data'!$E$2:$AJ$100,MATCH(W$1,'DCS Data'!$E$2:$AJ$2,0),0)</f>
        <v>6.2296620682843001E-2</v>
      </c>
      <c r="X8" s="316">
        <f>VLOOKUP($B8,'DCS Data'!$E$2:$AJ$100,MATCH(X$1,'DCS Data'!$E$2:$AJ$2,0),0)</f>
        <v>6.1917820646586505E-2</v>
      </c>
      <c r="Y8" s="316">
        <f>VLOOKUP($B8,'DCS Data'!$E$2:$AJ$100,MATCH(Y$1,'DCS Data'!$E$2:$AJ$2,0),0)</f>
        <v>6.0835631496606167E-2</v>
      </c>
      <c r="Z8" s="316">
        <f>VLOOKUP($B8,'DCS Data'!$E$2:$AJ$100,MATCH(Z$1,'DCS Data'!$E$2:$AJ$2,0),0)</f>
        <v>6.1299821612785362E-2</v>
      </c>
      <c r="AA8" s="316">
        <f>VLOOKUP($B8,'DCS Data'!$E$2:$AJ$100,MATCH(AA$1,'DCS Data'!$E$2:$AJ$2,0),0)</f>
        <v>6.1555317488037123E-2</v>
      </c>
      <c r="AB8" s="316">
        <f>VLOOKUP($B8,'DCS Data'!$E$2:$AJ$100,MATCH(AB$1,'DCS Data'!$E$2:$AJ$2,0),0)</f>
        <v>6.2449337053263512E-2</v>
      </c>
      <c r="AC8" s="316">
        <f>VLOOKUP($B8,'DCS Data'!$E$2:$AJ$100,MATCH(AC$1,'DCS Data'!$E$2:$AJ$2,0),0)</f>
        <v>6.1113983010087927E-2</v>
      </c>
      <c r="AD8" s="316">
        <f>VLOOKUP($B8,'DCS Data'!$E$2:$AJ$100,MATCH(AD$1,'DCS Data'!$E$2:$AJ$2,0),0)</f>
        <v>6.1441449642970658E-2</v>
      </c>
      <c r="AE8" s="316">
        <f>VLOOKUP($B8,'DCS Data'!$E$2:$AJ$100,MATCH(AE$1,'DCS Data'!$E$2:$AJ$2,0),0)</f>
        <v>6.1038450680722701E-2</v>
      </c>
      <c r="AF8" s="316">
        <f>VLOOKUP($B8,'DCS Data'!$E$2:$AJ$100,MATCH(AF$1,'DCS Data'!$E$2:$AJ$2,0),0)</f>
        <v>6.3301275666604831E-2</v>
      </c>
      <c r="AG8" s="316">
        <f>VLOOKUP($B8,'DCS Data'!$E$2:$AJ$100,MATCH(AG$1,'DCS Data'!$E$2:$AJ$2,0),0)</f>
        <v>6.2633309641779655E-2</v>
      </c>
      <c r="AH8" s="316">
        <f>VLOOKUP($B8,'DCS Data'!$E$2:$AJ$100,MATCH(AH$1,'DCS Data'!$E$2:$AJ$2,0),0)</f>
        <v>6.3526501579225431E-2</v>
      </c>
      <c r="AI8" s="316">
        <f>VLOOKUP($B8,'DCS Data'!$E$2:$AJ$100,MATCH(AI$1,'DCS Data'!$E$2:$AJ$2,0),0)</f>
        <v>6.2970491170553547E-2</v>
      </c>
      <c r="AJ8" s="316">
        <f>VLOOKUP($B8,'DCS Data'!$E$2:$AJ$100,MATCH(AJ$1,'DCS Data'!$E$2:$AJ$2,0),0)</f>
        <v>6.0993916384592457E-2</v>
      </c>
      <c r="AK8" s="316">
        <f>VLOOKUP($B8,'DCS Data'!$E$2:$AJ$100,MATCH(AK$1,'DCS Data'!$E$2:$AJ$2,0),0)</f>
        <v>6.0527213108452695E-2</v>
      </c>
      <c r="AL8" s="316">
        <f>VLOOKUP($B8,'DCS Data'!$E$2:$AJ$100,MATCH(AL$1,'DCS Data'!$E$2:$AJ$2,0),0)</f>
        <v>5.9758558783353878E-2</v>
      </c>
      <c r="AM8" s="316">
        <f>VLOOKUP($B8,'DCS Data'!$E$2:$AJ$100,MATCH(AM$1,'DCS Data'!$E$2:$AJ$2,0),0)</f>
        <v>5.4877542742893685E-2</v>
      </c>
      <c r="AN8" s="316">
        <f>VLOOKUP($B8,'DCS Data'!$E$2:$AJ$100,MATCH(AN$1,'DCS Data'!$E$2:$AJ$2,0),0)</f>
        <v>4.951485968198082E-2</v>
      </c>
      <c r="AO8" s="316">
        <f>VLOOKUP($B8,'DCS Data'!$E$2:$AJ$100,MATCH(AO$1,'DCS Data'!$E$2:$AJ$2,0),0)</f>
        <v>4.7352105802345848E-2</v>
      </c>
    </row>
    <row r="9" spans="1:41" ht="15">
      <c r="A9" s="494"/>
      <c r="B9" s="359" t="s">
        <v>336</v>
      </c>
      <c r="C9" s="452" t="s">
        <v>538</v>
      </c>
      <c r="D9" s="418" t="s">
        <v>575</v>
      </c>
      <c r="E9" s="418" t="s">
        <v>876</v>
      </c>
      <c r="F9" s="465" t="s">
        <v>5</v>
      </c>
      <c r="G9" s="314" t="s">
        <v>19</v>
      </c>
      <c r="H9" s="345">
        <v>0.09</v>
      </c>
      <c r="I9" s="380">
        <f t="shared" si="0"/>
        <v>8.4916242325079966E-2</v>
      </c>
      <c r="J9" s="316">
        <f>VLOOKUP($B9,'DCS Data'!$E$2:$AJ$100,MATCH(J$1,'DCS Data'!$E$2:$AJ$2,0),0)</f>
        <v>8.1152857171729889E-2</v>
      </c>
      <c r="L9" s="316">
        <f>VLOOKUP($B9,'DCS Data'!$E$2:$AJ$100,MATCH(L$1,'DCS Data'!$E$2:$AJ$2,0),0)</f>
        <v>8.2472509878320166E-2</v>
      </c>
      <c r="M9" s="316">
        <f>VLOOKUP($B9,'DCS Data'!$E$2:$AJ$100,MATCH(M$1,'DCS Data'!$E$2:$AJ$2,0),0)</f>
        <v>7.7388772998728747E-2</v>
      </c>
      <c r="N9" s="316">
        <f>VLOOKUP($B9,'DCS Data'!$E$2:$AJ$100,MATCH(N$1,'DCS Data'!$E$2:$AJ$2,0),0)</f>
        <v>7.7781541190412709E-2</v>
      </c>
      <c r="O9" s="316">
        <f>VLOOKUP($B9,'DCS Data'!$E$2:$AJ$100,MATCH(O$1,'DCS Data'!$E$2:$AJ$2,0),0)</f>
        <v>7.7204572032803676E-2</v>
      </c>
      <c r="P9" s="316">
        <f>VLOOKUP($B9,'DCS Data'!$E$2:$AJ$100,MATCH(P$1,'DCS Data'!$E$2:$AJ$2,0),0)</f>
        <v>7.8175444602754426E-2</v>
      </c>
      <c r="Q9" s="316">
        <f>VLOOKUP($B9,'DCS Data'!$E$2:$AJ$100,MATCH(Q$1,'DCS Data'!$E$2:$AJ$2,0),0)</f>
        <v>7.8830256737322218E-2</v>
      </c>
      <c r="R9" s="316">
        <f>VLOOKUP($B9,'DCS Data'!$E$2:$AJ$100,MATCH(R$1,'DCS Data'!$E$2:$AJ$2,0),0)</f>
        <v>7.8056082281891717E-2</v>
      </c>
      <c r="S9" s="316">
        <f>VLOOKUP($B9,'DCS Data'!$E$2:$AJ$100,MATCH(S$1,'DCS Data'!$E$2:$AJ$2,0),0)</f>
        <v>8.1791965756599222E-2</v>
      </c>
      <c r="T9" s="316">
        <f>VLOOKUP($B9,'DCS Data'!$E$2:$AJ$100,MATCH(T$1,'DCS Data'!$E$2:$AJ$2,0),0)</f>
        <v>8.9047452980902081E-2</v>
      </c>
      <c r="U9" s="316">
        <f>VLOOKUP($B9,'DCS Data'!$E$2:$AJ$100,MATCH(U$1,'DCS Data'!$E$2:$AJ$2,0),0)</f>
        <v>8.8777518229217464E-2</v>
      </c>
      <c r="V9" s="316">
        <f>VLOOKUP($B9,'DCS Data'!$E$2:$AJ$100,MATCH(V$1,'DCS Data'!$E$2:$AJ$2,0),0)</f>
        <v>8.7248204937033169E-2</v>
      </c>
      <c r="W9" s="316">
        <f>VLOOKUP($B9,'DCS Data'!$E$2:$AJ$100,MATCH(W$1,'DCS Data'!$E$2:$AJ$2,0),0)</f>
        <v>9.0397641179485205E-2</v>
      </c>
      <c r="X9" s="316">
        <f>VLOOKUP($B9,'DCS Data'!$E$2:$AJ$100,MATCH(X$1,'DCS Data'!$E$2:$AJ$2,0),0)</f>
        <v>8.9986254339666213E-2</v>
      </c>
      <c r="Y9" s="316">
        <f>VLOOKUP($B9,'DCS Data'!$E$2:$AJ$100,MATCH(Y$1,'DCS Data'!$E$2:$AJ$2,0),0)</f>
        <v>8.8595001919238817E-2</v>
      </c>
      <c r="Z9" s="316">
        <f>VLOOKUP($B9,'DCS Data'!$E$2:$AJ$100,MATCH(Z$1,'DCS Data'!$E$2:$AJ$2,0),0)</f>
        <v>8.9053306042436373E-2</v>
      </c>
      <c r="AA9" s="316">
        <f>VLOOKUP($B9,'DCS Data'!$E$2:$AJ$100,MATCH(AA$1,'DCS Data'!$E$2:$AJ$2,0),0)</f>
        <v>8.8910167381491934E-2</v>
      </c>
      <c r="AB9" s="316">
        <f>VLOOKUP($B9,'DCS Data'!$E$2:$AJ$100,MATCH(AB$1,'DCS Data'!$E$2:$AJ$2,0),0)</f>
        <v>9.0099467461157864E-2</v>
      </c>
      <c r="AC9" s="316">
        <f>VLOOKUP($B9,'DCS Data'!$E$2:$AJ$100,MATCH(AC$1,'DCS Data'!$E$2:$AJ$2,0),0)</f>
        <v>9.0140373003668367E-2</v>
      </c>
      <c r="AD9" s="316">
        <f>VLOOKUP($B9,'DCS Data'!$E$2:$AJ$100,MATCH(AD$1,'DCS Data'!$E$2:$AJ$2,0),0)</f>
        <v>9.0932834651658148E-2</v>
      </c>
      <c r="AE9" s="316">
        <f>VLOOKUP($B9,'DCS Data'!$E$2:$AJ$100,MATCH(AE$1,'DCS Data'!$E$2:$AJ$2,0),0)</f>
        <v>8.8430627105545695E-2</v>
      </c>
      <c r="AF9" s="316">
        <f>VLOOKUP($B9,'DCS Data'!$E$2:$AJ$100,MATCH(AF$1,'DCS Data'!$E$2:$AJ$2,0),0)</f>
        <v>9.2886585293064386E-2</v>
      </c>
      <c r="AG9" s="316">
        <f>VLOOKUP($B9,'DCS Data'!$E$2:$AJ$100,MATCH(AG$1,'DCS Data'!$E$2:$AJ$2,0),0)</f>
        <v>9.135050214995416E-2</v>
      </c>
      <c r="AH9" s="316">
        <f>VLOOKUP($B9,'DCS Data'!$E$2:$AJ$100,MATCH(AH$1,'DCS Data'!$E$2:$AJ$2,0),0)</f>
        <v>9.1589146089343529E-2</v>
      </c>
      <c r="AI9" s="316">
        <f>VLOOKUP($B9,'DCS Data'!$E$2:$AJ$100,MATCH(AI$1,'DCS Data'!$E$2:$AJ$2,0),0)</f>
        <v>9.1446626472676346E-2</v>
      </c>
      <c r="AJ9" s="316">
        <f>VLOOKUP($B9,'DCS Data'!$E$2:$AJ$100,MATCH(AJ$1,'DCS Data'!$E$2:$AJ$2,0),0)</f>
        <v>8.854195036751969E-2</v>
      </c>
      <c r="AK9" s="316">
        <f>VLOOKUP($B9,'DCS Data'!$E$2:$AJ$100,MATCH(AK$1,'DCS Data'!$E$2:$AJ$2,0),0)</f>
        <v>8.8308478589154957E-2</v>
      </c>
      <c r="AL9" s="316">
        <f>VLOOKUP($B9,'DCS Data'!$E$2:$AJ$100,MATCH(AL$1,'DCS Data'!$E$2:$AJ$2,0),0)</f>
        <v>8.7674361341446821E-2</v>
      </c>
      <c r="AM9" s="316">
        <f>VLOOKUP($B9,'DCS Data'!$E$2:$AJ$100,MATCH(AM$1,'DCS Data'!$E$2:$AJ$2,0),0)</f>
        <v>7.853696923056247E-2</v>
      </c>
      <c r="AN9" s="316">
        <f>VLOOKUP($B9,'DCS Data'!$E$2:$AJ$100,MATCH(AN$1,'DCS Data'!$E$2:$AJ$2,0),0)</f>
        <v>7.1322199576792075E-2</v>
      </c>
      <c r="AO9" s="316">
        <f>VLOOKUP($B9,'DCS Data'!$E$2:$AJ$100,MATCH(AO$1,'DCS Data'!$E$2:$AJ$2,0),0)</f>
        <v>6.6273841084900961E-2</v>
      </c>
    </row>
    <row r="10" spans="1:41" ht="15">
      <c r="A10" s="494"/>
      <c r="B10" s="359" t="s">
        <v>337</v>
      </c>
      <c r="C10" s="452" t="s">
        <v>539</v>
      </c>
      <c r="D10" s="418" t="s">
        <v>576</v>
      </c>
      <c r="E10" s="418" t="s">
        <v>877</v>
      </c>
      <c r="F10" s="465" t="s">
        <v>5</v>
      </c>
      <c r="G10" s="314" t="s">
        <v>20</v>
      </c>
      <c r="H10" s="345">
        <v>0.12000000000000008</v>
      </c>
      <c r="I10" s="380">
        <f t="shared" si="0"/>
        <v>0.10428178050939606</v>
      </c>
      <c r="J10" s="316">
        <f>VLOOKUP($B10,'DCS Data'!$E$2:$AJ$100,MATCH(J$1,'DCS Data'!$E$2:$AJ$2,0),0)</f>
        <v>9.7025171212289429E-2</v>
      </c>
      <c r="L10" s="316">
        <f>VLOOKUP($B10,'DCS Data'!$E$2:$AJ$100,MATCH(L$1,'DCS Data'!$E$2:$AJ$2,0),0)</f>
        <v>0.10012798649914127</v>
      </c>
      <c r="M10" s="316">
        <f>VLOOKUP($B10,'DCS Data'!$E$2:$AJ$100,MATCH(M$1,'DCS Data'!$E$2:$AJ$2,0),0)</f>
        <v>9.434084581734474E-2</v>
      </c>
      <c r="N10" s="316">
        <f>VLOOKUP($B10,'DCS Data'!$E$2:$AJ$100,MATCH(N$1,'DCS Data'!$E$2:$AJ$2,0),0)</f>
        <v>9.4290205177959663E-2</v>
      </c>
      <c r="O10" s="316">
        <f>VLOOKUP($B10,'DCS Data'!$E$2:$AJ$100,MATCH(O$1,'DCS Data'!$E$2:$AJ$2,0),0)</f>
        <v>9.4132406949396855E-2</v>
      </c>
      <c r="P10" s="316">
        <f>VLOOKUP($B10,'DCS Data'!$E$2:$AJ$100,MATCH(P$1,'DCS Data'!$E$2:$AJ$2,0),0)</f>
        <v>9.5121002270749808E-2</v>
      </c>
      <c r="Q10" s="316">
        <f>VLOOKUP($B10,'DCS Data'!$E$2:$AJ$100,MATCH(Q$1,'DCS Data'!$E$2:$AJ$2,0),0)</f>
        <v>9.7070027842286188E-2</v>
      </c>
      <c r="R10" s="316">
        <f>VLOOKUP($B10,'DCS Data'!$E$2:$AJ$100,MATCH(R$1,'DCS Data'!$E$2:$AJ$2,0),0)</f>
        <v>9.6668019221397936E-2</v>
      </c>
      <c r="S10" s="316">
        <f>VLOOKUP($B10,'DCS Data'!$E$2:$AJ$100,MATCH(S$1,'DCS Data'!$E$2:$AJ$2,0),0)</f>
        <v>0.10161223278288446</v>
      </c>
      <c r="T10" s="316">
        <f>VLOOKUP($B10,'DCS Data'!$E$2:$AJ$100,MATCH(T$1,'DCS Data'!$E$2:$AJ$2,0),0)</f>
        <v>0.11351589110821605</v>
      </c>
      <c r="U10" s="316">
        <f>VLOOKUP($B10,'DCS Data'!$E$2:$AJ$100,MATCH(U$1,'DCS Data'!$E$2:$AJ$2,0),0)</f>
        <v>0.11144793771214735</v>
      </c>
      <c r="V10" s="316">
        <f>VLOOKUP($B10,'DCS Data'!$E$2:$AJ$100,MATCH(V$1,'DCS Data'!$E$2:$AJ$2,0),0)</f>
        <v>0.10995940809733541</v>
      </c>
      <c r="W10" s="316">
        <f>VLOOKUP($B10,'DCS Data'!$E$2:$AJ$100,MATCH(W$1,'DCS Data'!$E$2:$AJ$2,0),0)</f>
        <v>0.11235251358399492</v>
      </c>
      <c r="X10" s="316">
        <f>VLOOKUP($B10,'DCS Data'!$E$2:$AJ$100,MATCH(X$1,'DCS Data'!$E$2:$AJ$2,0),0)</f>
        <v>0.1109122653632552</v>
      </c>
      <c r="Y10" s="316">
        <f>VLOOKUP($B10,'DCS Data'!$E$2:$AJ$100,MATCH(Y$1,'DCS Data'!$E$2:$AJ$2,0),0)</f>
        <v>0.10912004249465183</v>
      </c>
      <c r="Z10" s="316">
        <f>VLOOKUP($B10,'DCS Data'!$E$2:$AJ$100,MATCH(Z$1,'DCS Data'!$E$2:$AJ$2,0),0)</f>
        <v>0.10974812660330618</v>
      </c>
      <c r="AA10" s="316">
        <f>VLOOKUP($B10,'DCS Data'!$E$2:$AJ$100,MATCH(AA$1,'DCS Data'!$E$2:$AJ$2,0),0)</f>
        <v>0.10980160836865997</v>
      </c>
      <c r="AB10" s="316">
        <f>VLOOKUP($B10,'DCS Data'!$E$2:$AJ$100,MATCH(AB$1,'DCS Data'!$E$2:$AJ$2,0),0)</f>
        <v>0.11100352745917832</v>
      </c>
      <c r="AC10" s="316">
        <f>VLOOKUP($B10,'DCS Data'!$E$2:$AJ$100,MATCH(AC$1,'DCS Data'!$E$2:$AJ$2,0),0)</f>
        <v>0.10911131967923779</v>
      </c>
      <c r="AD10" s="316">
        <f>VLOOKUP($B10,'DCS Data'!$E$2:$AJ$100,MATCH(AD$1,'DCS Data'!$E$2:$AJ$2,0),0)</f>
        <v>0.10942069328949393</v>
      </c>
      <c r="AE10" s="316">
        <f>VLOOKUP($B10,'DCS Data'!$E$2:$AJ$100,MATCH(AE$1,'DCS Data'!$E$2:$AJ$2,0),0)</f>
        <v>0.10854459972205571</v>
      </c>
      <c r="AF10" s="316">
        <f>VLOOKUP($B10,'DCS Data'!$E$2:$AJ$100,MATCH(AF$1,'DCS Data'!$E$2:$AJ$2,0),0)</f>
        <v>0.11107362071501777</v>
      </c>
      <c r="AG10" s="316">
        <f>VLOOKUP($B10,'DCS Data'!$E$2:$AJ$100,MATCH(AG$1,'DCS Data'!$E$2:$AJ$2,0),0)</f>
        <v>0.11250260909122797</v>
      </c>
      <c r="AH10" s="316">
        <f>VLOOKUP($B10,'DCS Data'!$E$2:$AJ$100,MATCH(AH$1,'DCS Data'!$E$2:$AJ$2,0),0)</f>
        <v>0.11266059582450159</v>
      </c>
      <c r="AI10" s="316">
        <f>VLOOKUP($B10,'DCS Data'!$E$2:$AJ$100,MATCH(AI$1,'DCS Data'!$E$2:$AJ$2,0),0)</f>
        <v>0.11180979605927664</v>
      </c>
      <c r="AJ10" s="316">
        <f>VLOOKUP($B10,'DCS Data'!$E$2:$AJ$100,MATCH(AJ$1,'DCS Data'!$E$2:$AJ$2,0),0)</f>
        <v>0.1087339923591418</v>
      </c>
      <c r="AK10" s="316">
        <f>VLOOKUP($B10,'DCS Data'!$E$2:$AJ$100,MATCH(AK$1,'DCS Data'!$E$2:$AJ$2,0),0)</f>
        <v>0.10710347415888605</v>
      </c>
      <c r="AL10" s="316">
        <f>VLOOKUP($B10,'DCS Data'!$E$2:$AJ$100,MATCH(AL$1,'DCS Data'!$E$2:$AJ$2,0),0)</f>
        <v>0.10613308355142001</v>
      </c>
      <c r="AM10" s="316">
        <f>VLOOKUP($B10,'DCS Data'!$E$2:$AJ$100,MATCH(AM$1,'DCS Data'!$E$2:$AJ$2,0),0)</f>
        <v>9.672309864322072E-2</v>
      </c>
      <c r="AN10" s="316">
        <f>VLOOKUP($B10,'DCS Data'!$E$2:$AJ$100,MATCH(AN$1,'DCS Data'!$E$2:$AJ$2,0),0)</f>
        <v>8.8096902236918656E-2</v>
      </c>
      <c r="AO10" s="316">
        <f>VLOOKUP($B10,'DCS Data'!$E$2:$AJ$100,MATCH(AO$1,'DCS Data'!$E$2:$AJ$2,0),0)</f>
        <v>8.2572191896683828E-2</v>
      </c>
    </row>
    <row r="11" spans="1:41" ht="16.5" customHeight="1">
      <c r="A11" s="494"/>
      <c r="B11" s="341"/>
      <c r="C11" s="453"/>
      <c r="D11" s="444" t="s">
        <v>799</v>
      </c>
      <c r="E11" s="444" t="s">
        <v>878</v>
      </c>
      <c r="F11" s="465" t="s">
        <v>5</v>
      </c>
      <c r="G11" s="314" t="s">
        <v>21</v>
      </c>
      <c r="H11" s="345">
        <v>0</v>
      </c>
      <c r="I11" s="380">
        <f t="shared" si="0"/>
        <v>0</v>
      </c>
      <c r="J11" s="317">
        <f t="shared" ref="J11:AO11" si="1">$H11</f>
        <v>0</v>
      </c>
      <c r="L11" s="317">
        <f t="shared" si="1"/>
        <v>0</v>
      </c>
      <c r="M11" s="317">
        <f t="shared" si="1"/>
        <v>0</v>
      </c>
      <c r="N11" s="317">
        <f t="shared" si="1"/>
        <v>0</v>
      </c>
      <c r="O11" s="317">
        <f t="shared" si="1"/>
        <v>0</v>
      </c>
      <c r="P11" s="317">
        <f t="shared" si="1"/>
        <v>0</v>
      </c>
      <c r="Q11" s="317">
        <f t="shared" si="1"/>
        <v>0</v>
      </c>
      <c r="R11" s="317">
        <f t="shared" si="1"/>
        <v>0</v>
      </c>
      <c r="S11" s="317">
        <f t="shared" si="1"/>
        <v>0</v>
      </c>
      <c r="T11" s="317">
        <f t="shared" si="1"/>
        <v>0</v>
      </c>
      <c r="U11" s="317">
        <f t="shared" si="1"/>
        <v>0</v>
      </c>
      <c r="V11" s="317">
        <f t="shared" si="1"/>
        <v>0</v>
      </c>
      <c r="W11" s="317">
        <f t="shared" si="1"/>
        <v>0</v>
      </c>
      <c r="X11" s="317">
        <f t="shared" si="1"/>
        <v>0</v>
      </c>
      <c r="Y11" s="317">
        <f t="shared" si="1"/>
        <v>0</v>
      </c>
      <c r="Z11" s="317">
        <f t="shared" si="1"/>
        <v>0</v>
      </c>
      <c r="AA11" s="317">
        <f t="shared" si="1"/>
        <v>0</v>
      </c>
      <c r="AB11" s="317">
        <f t="shared" si="1"/>
        <v>0</v>
      </c>
      <c r="AC11" s="317">
        <f t="shared" si="1"/>
        <v>0</v>
      </c>
      <c r="AD11" s="317">
        <f t="shared" si="1"/>
        <v>0</v>
      </c>
      <c r="AE11" s="317">
        <f t="shared" si="1"/>
        <v>0</v>
      </c>
      <c r="AF11" s="317">
        <f t="shared" si="1"/>
        <v>0</v>
      </c>
      <c r="AG11" s="317">
        <f t="shared" si="1"/>
        <v>0</v>
      </c>
      <c r="AH11" s="317">
        <f t="shared" si="1"/>
        <v>0</v>
      </c>
      <c r="AI11" s="317">
        <f t="shared" si="1"/>
        <v>0</v>
      </c>
      <c r="AJ11" s="317">
        <f t="shared" si="1"/>
        <v>0</v>
      </c>
      <c r="AK11" s="317">
        <f t="shared" si="1"/>
        <v>0</v>
      </c>
      <c r="AL11" s="317">
        <f t="shared" si="1"/>
        <v>0</v>
      </c>
      <c r="AM11" s="317">
        <f t="shared" si="1"/>
        <v>0</v>
      </c>
      <c r="AN11" s="317">
        <f t="shared" si="1"/>
        <v>0</v>
      </c>
      <c r="AO11" s="317">
        <f t="shared" si="1"/>
        <v>0</v>
      </c>
    </row>
    <row r="12" spans="1:41" ht="16.5" customHeight="1" thickBot="1">
      <c r="A12" s="495"/>
      <c r="B12" s="341"/>
      <c r="C12" s="453"/>
      <c r="D12" s="444" t="s">
        <v>624</v>
      </c>
      <c r="E12" s="444" t="s">
        <v>879</v>
      </c>
      <c r="F12" s="466"/>
      <c r="G12" s="282"/>
      <c r="H12" s="346">
        <v>17.626944499999993</v>
      </c>
      <c r="I12" s="381">
        <f t="shared" si="0"/>
        <v>17.316002420332104</v>
      </c>
      <c r="J12" s="318">
        <f>(J3*28.01/100)+(J4*16.04/100)+(J5*44.01/100)+(J6*30.07/100)+(J7*44.097/100)+(J8*58.12/100)+(J9*58.12/100)+(J10*72.15/100)+(J11*2.016/100)</f>
        <v>17.217800693632412</v>
      </c>
      <c r="K12" s="438"/>
      <c r="L12" s="318">
        <f t="shared" ref="L12:AO12" si="2">(L3*28.01/100)+(L4*16.04/100)+(L5*44.01/100)+(L6*30.07/100)+(L7*44.097/100)+(L8*58.12/100)+(L9*58.12/100)+(L10*72.15/100)+(L11*2.016/100)</f>
        <v>17.24851956998533</v>
      </c>
      <c r="M12" s="318">
        <f t="shared" si="2"/>
        <v>17.170368953396174</v>
      </c>
      <c r="N12" s="318">
        <f t="shared" si="2"/>
        <v>17.176261654544199</v>
      </c>
      <c r="O12" s="318">
        <f t="shared" si="2"/>
        <v>17.150427944353719</v>
      </c>
      <c r="P12" s="318">
        <f t="shared" si="2"/>
        <v>17.176176314815017</v>
      </c>
      <c r="Q12" s="318">
        <f t="shared" si="2"/>
        <v>17.19313151639987</v>
      </c>
      <c r="R12" s="318">
        <f t="shared" si="2"/>
        <v>17.217357038315477</v>
      </c>
      <c r="S12" s="318">
        <f t="shared" si="2"/>
        <v>17.269731369153359</v>
      </c>
      <c r="T12" s="318">
        <f t="shared" si="2"/>
        <v>17.341239644872335</v>
      </c>
      <c r="U12" s="318">
        <f t="shared" si="2"/>
        <v>17.322151249439372</v>
      </c>
      <c r="V12" s="318">
        <f t="shared" si="2"/>
        <v>17.318570039397869</v>
      </c>
      <c r="W12" s="318">
        <f t="shared" si="2"/>
        <v>17.361266665630598</v>
      </c>
      <c r="X12" s="318">
        <f t="shared" si="2"/>
        <v>17.351676306827144</v>
      </c>
      <c r="Y12" s="318">
        <f t="shared" si="2"/>
        <v>17.456380017957489</v>
      </c>
      <c r="Z12" s="318">
        <f t="shared" si="2"/>
        <v>17.376492933247125</v>
      </c>
      <c r="AA12" s="318">
        <f t="shared" si="2"/>
        <v>17.38769861185191</v>
      </c>
      <c r="AB12" s="318">
        <f t="shared" si="2"/>
        <v>17.389133516154942</v>
      </c>
      <c r="AC12" s="318">
        <f t="shared" si="2"/>
        <v>17.385134402845296</v>
      </c>
      <c r="AD12" s="318">
        <f t="shared" si="2"/>
        <v>17.378219174470182</v>
      </c>
      <c r="AE12" s="318">
        <f t="shared" si="2"/>
        <v>17.380557870585388</v>
      </c>
      <c r="AF12" s="318">
        <f t="shared" si="2"/>
        <v>17.413880281878999</v>
      </c>
      <c r="AG12" s="318">
        <f t="shared" si="2"/>
        <v>17.412494653004732</v>
      </c>
      <c r="AH12" s="318">
        <f t="shared" si="2"/>
        <v>17.41885214132844</v>
      </c>
      <c r="AI12" s="318">
        <f t="shared" si="2"/>
        <v>17.401653632406095</v>
      </c>
      <c r="AJ12" s="318">
        <f t="shared" si="2"/>
        <v>17.355970450660848</v>
      </c>
      <c r="AK12" s="318">
        <f t="shared" si="2"/>
        <v>17.380172374828035</v>
      </c>
      <c r="AL12" s="318">
        <f t="shared" si="2"/>
        <v>17.378170027398891</v>
      </c>
      <c r="AM12" s="318">
        <f t="shared" si="2"/>
        <v>17.311035375553381</v>
      </c>
      <c r="AN12" s="318">
        <f t="shared" si="2"/>
        <v>17.232057910566738</v>
      </c>
      <c r="AO12" s="318">
        <f t="shared" si="2"/>
        <v>17.223492694793791</v>
      </c>
    </row>
    <row r="13" spans="1:41" ht="16.5" customHeight="1">
      <c r="A13" s="489" t="s">
        <v>234</v>
      </c>
      <c r="B13" s="67"/>
      <c r="C13" s="453"/>
      <c r="D13" s="444" t="s">
        <v>800</v>
      </c>
      <c r="E13" s="444" t="s">
        <v>880</v>
      </c>
      <c r="F13" s="467" t="s">
        <v>5</v>
      </c>
      <c r="G13" s="138" t="s">
        <v>21</v>
      </c>
      <c r="H13" s="347">
        <v>79.7</v>
      </c>
      <c r="I13" s="382">
        <f t="shared" si="0"/>
        <v>79.699999999999989</v>
      </c>
      <c r="J13" s="319">
        <f t="shared" ref="J13:T16" si="3">$H13</f>
        <v>79.7</v>
      </c>
      <c r="L13" s="319">
        <f t="shared" si="3"/>
        <v>79.7</v>
      </c>
      <c r="M13" s="319">
        <f t="shared" si="3"/>
        <v>79.7</v>
      </c>
      <c r="N13" s="319">
        <f t="shared" si="3"/>
        <v>79.7</v>
      </c>
      <c r="O13" s="319">
        <f t="shared" si="3"/>
        <v>79.7</v>
      </c>
      <c r="P13" s="319">
        <f t="shared" si="3"/>
        <v>79.7</v>
      </c>
      <c r="Q13" s="319">
        <f t="shared" si="3"/>
        <v>79.7</v>
      </c>
      <c r="R13" s="319">
        <f t="shared" si="3"/>
        <v>79.7</v>
      </c>
      <c r="S13" s="319">
        <f t="shared" si="3"/>
        <v>79.7</v>
      </c>
      <c r="T13" s="319">
        <f t="shared" si="3"/>
        <v>79.7</v>
      </c>
      <c r="U13" s="319">
        <f t="shared" ref="U13:AD16" si="4">$H13</f>
        <v>79.7</v>
      </c>
      <c r="V13" s="319">
        <f t="shared" si="4"/>
        <v>79.7</v>
      </c>
      <c r="W13" s="319">
        <f t="shared" si="4"/>
        <v>79.7</v>
      </c>
      <c r="X13" s="319">
        <f t="shared" si="4"/>
        <v>79.7</v>
      </c>
      <c r="Y13" s="319">
        <f t="shared" si="4"/>
        <v>79.7</v>
      </c>
      <c r="Z13" s="319">
        <f t="shared" si="4"/>
        <v>79.7</v>
      </c>
      <c r="AA13" s="319">
        <f t="shared" si="4"/>
        <v>79.7</v>
      </c>
      <c r="AB13" s="319">
        <f t="shared" si="4"/>
        <v>79.7</v>
      </c>
      <c r="AC13" s="319">
        <f t="shared" si="4"/>
        <v>79.7</v>
      </c>
      <c r="AD13" s="319">
        <f t="shared" si="4"/>
        <v>79.7</v>
      </c>
      <c r="AE13" s="319">
        <f t="shared" ref="AE13:AO16" si="5">$H13</f>
        <v>79.7</v>
      </c>
      <c r="AF13" s="319">
        <f t="shared" si="5"/>
        <v>79.7</v>
      </c>
      <c r="AG13" s="319">
        <f t="shared" si="5"/>
        <v>79.7</v>
      </c>
      <c r="AH13" s="319">
        <f t="shared" si="5"/>
        <v>79.7</v>
      </c>
      <c r="AI13" s="319">
        <f t="shared" si="5"/>
        <v>79.7</v>
      </c>
      <c r="AJ13" s="319">
        <f t="shared" si="5"/>
        <v>79.7</v>
      </c>
      <c r="AK13" s="319">
        <f t="shared" si="5"/>
        <v>79.7</v>
      </c>
      <c r="AL13" s="319">
        <f t="shared" si="5"/>
        <v>79.7</v>
      </c>
      <c r="AM13" s="319">
        <f t="shared" si="5"/>
        <v>79.7</v>
      </c>
      <c r="AN13" s="319">
        <f t="shared" si="5"/>
        <v>79.7</v>
      </c>
      <c r="AO13" s="319">
        <f t="shared" si="5"/>
        <v>79.7</v>
      </c>
    </row>
    <row r="14" spans="1:41" ht="18.75">
      <c r="A14" s="489"/>
      <c r="B14" s="341"/>
      <c r="C14" s="453"/>
      <c r="D14" s="444" t="s">
        <v>801</v>
      </c>
      <c r="E14" s="444" t="s">
        <v>881</v>
      </c>
      <c r="F14" s="465" t="s">
        <v>5</v>
      </c>
      <c r="G14" s="132" t="s">
        <v>70</v>
      </c>
      <c r="H14" s="348">
        <v>2.100000000000001</v>
      </c>
      <c r="I14" s="380">
        <f t="shared" si="0"/>
        <v>2.100000000000001</v>
      </c>
      <c r="J14" s="320">
        <f t="shared" si="3"/>
        <v>2.100000000000001</v>
      </c>
      <c r="L14" s="320">
        <f t="shared" si="3"/>
        <v>2.100000000000001</v>
      </c>
      <c r="M14" s="320">
        <f t="shared" si="3"/>
        <v>2.100000000000001</v>
      </c>
      <c r="N14" s="320">
        <f t="shared" si="3"/>
        <v>2.100000000000001</v>
      </c>
      <c r="O14" s="320">
        <f t="shared" si="3"/>
        <v>2.100000000000001</v>
      </c>
      <c r="P14" s="320">
        <f t="shared" si="3"/>
        <v>2.100000000000001</v>
      </c>
      <c r="Q14" s="320">
        <f t="shared" si="3"/>
        <v>2.100000000000001</v>
      </c>
      <c r="R14" s="320">
        <f t="shared" si="3"/>
        <v>2.100000000000001</v>
      </c>
      <c r="S14" s="320">
        <f t="shared" si="3"/>
        <v>2.100000000000001</v>
      </c>
      <c r="T14" s="320">
        <f t="shared" si="3"/>
        <v>2.100000000000001</v>
      </c>
      <c r="U14" s="320">
        <f t="shared" si="4"/>
        <v>2.100000000000001</v>
      </c>
      <c r="V14" s="320">
        <f t="shared" si="4"/>
        <v>2.100000000000001</v>
      </c>
      <c r="W14" s="320">
        <f t="shared" si="4"/>
        <v>2.100000000000001</v>
      </c>
      <c r="X14" s="320">
        <f t="shared" si="4"/>
        <v>2.100000000000001</v>
      </c>
      <c r="Y14" s="320">
        <f t="shared" si="4"/>
        <v>2.100000000000001</v>
      </c>
      <c r="Z14" s="320">
        <f t="shared" si="4"/>
        <v>2.100000000000001</v>
      </c>
      <c r="AA14" s="320">
        <f t="shared" si="4"/>
        <v>2.100000000000001</v>
      </c>
      <c r="AB14" s="320">
        <f t="shared" si="4"/>
        <v>2.100000000000001</v>
      </c>
      <c r="AC14" s="320">
        <f t="shared" si="4"/>
        <v>2.100000000000001</v>
      </c>
      <c r="AD14" s="320">
        <f t="shared" si="4"/>
        <v>2.100000000000001</v>
      </c>
      <c r="AE14" s="320">
        <f t="shared" si="5"/>
        <v>2.100000000000001</v>
      </c>
      <c r="AF14" s="320">
        <f t="shared" si="5"/>
        <v>2.100000000000001</v>
      </c>
      <c r="AG14" s="320">
        <f t="shared" si="5"/>
        <v>2.100000000000001</v>
      </c>
      <c r="AH14" s="320">
        <f t="shared" si="5"/>
        <v>2.100000000000001</v>
      </c>
      <c r="AI14" s="320">
        <f t="shared" si="5"/>
        <v>2.100000000000001</v>
      </c>
      <c r="AJ14" s="320">
        <f t="shared" si="5"/>
        <v>2.100000000000001</v>
      </c>
      <c r="AK14" s="320">
        <f t="shared" si="5"/>
        <v>2.100000000000001</v>
      </c>
      <c r="AL14" s="320">
        <f t="shared" si="5"/>
        <v>2.100000000000001</v>
      </c>
      <c r="AM14" s="320">
        <f t="shared" si="5"/>
        <v>2.100000000000001</v>
      </c>
      <c r="AN14" s="320">
        <f t="shared" si="5"/>
        <v>2.100000000000001</v>
      </c>
      <c r="AO14" s="320">
        <f t="shared" si="5"/>
        <v>2.100000000000001</v>
      </c>
    </row>
    <row r="15" spans="1:41" ht="15">
      <c r="A15" s="489"/>
      <c r="B15" s="341"/>
      <c r="C15" s="453"/>
      <c r="D15" s="444" t="s">
        <v>802</v>
      </c>
      <c r="E15" s="444" t="s">
        <v>882</v>
      </c>
      <c r="F15" s="465" t="s">
        <v>5</v>
      </c>
      <c r="G15" s="132" t="s">
        <v>71</v>
      </c>
      <c r="H15" s="348">
        <v>4.900000000000003</v>
      </c>
      <c r="I15" s="380">
        <f t="shared" si="0"/>
        <v>4.9000000000000048</v>
      </c>
      <c r="J15" s="320">
        <f t="shared" si="3"/>
        <v>4.900000000000003</v>
      </c>
      <c r="L15" s="320">
        <f t="shared" si="3"/>
        <v>4.900000000000003</v>
      </c>
      <c r="M15" s="320">
        <f t="shared" si="3"/>
        <v>4.900000000000003</v>
      </c>
      <c r="N15" s="320">
        <f t="shared" si="3"/>
        <v>4.900000000000003</v>
      </c>
      <c r="O15" s="320">
        <f t="shared" si="3"/>
        <v>4.900000000000003</v>
      </c>
      <c r="P15" s="320">
        <f t="shared" si="3"/>
        <v>4.900000000000003</v>
      </c>
      <c r="Q15" s="320">
        <f t="shared" si="3"/>
        <v>4.900000000000003</v>
      </c>
      <c r="R15" s="320">
        <f t="shared" si="3"/>
        <v>4.900000000000003</v>
      </c>
      <c r="S15" s="320">
        <f t="shared" si="3"/>
        <v>4.900000000000003</v>
      </c>
      <c r="T15" s="320">
        <f t="shared" si="3"/>
        <v>4.900000000000003</v>
      </c>
      <c r="U15" s="320">
        <f t="shared" si="4"/>
        <v>4.900000000000003</v>
      </c>
      <c r="V15" s="320">
        <f t="shared" si="4"/>
        <v>4.900000000000003</v>
      </c>
      <c r="W15" s="320">
        <f t="shared" si="4"/>
        <v>4.900000000000003</v>
      </c>
      <c r="X15" s="320">
        <f t="shared" si="4"/>
        <v>4.900000000000003</v>
      </c>
      <c r="Y15" s="320">
        <f t="shared" si="4"/>
        <v>4.900000000000003</v>
      </c>
      <c r="Z15" s="320">
        <f t="shared" si="4"/>
        <v>4.900000000000003</v>
      </c>
      <c r="AA15" s="320">
        <f t="shared" si="4"/>
        <v>4.900000000000003</v>
      </c>
      <c r="AB15" s="320">
        <f t="shared" si="4"/>
        <v>4.900000000000003</v>
      </c>
      <c r="AC15" s="320">
        <f t="shared" si="4"/>
        <v>4.900000000000003</v>
      </c>
      <c r="AD15" s="320">
        <f t="shared" si="4"/>
        <v>4.900000000000003</v>
      </c>
      <c r="AE15" s="320">
        <f t="shared" si="5"/>
        <v>4.900000000000003</v>
      </c>
      <c r="AF15" s="320">
        <f t="shared" si="5"/>
        <v>4.900000000000003</v>
      </c>
      <c r="AG15" s="320">
        <f t="shared" si="5"/>
        <v>4.900000000000003</v>
      </c>
      <c r="AH15" s="320">
        <f t="shared" si="5"/>
        <v>4.900000000000003</v>
      </c>
      <c r="AI15" s="320">
        <f t="shared" si="5"/>
        <v>4.900000000000003</v>
      </c>
      <c r="AJ15" s="320">
        <f t="shared" si="5"/>
        <v>4.900000000000003</v>
      </c>
      <c r="AK15" s="320">
        <f t="shared" si="5"/>
        <v>4.900000000000003</v>
      </c>
      <c r="AL15" s="320">
        <f t="shared" si="5"/>
        <v>4.900000000000003</v>
      </c>
      <c r="AM15" s="320">
        <f t="shared" si="5"/>
        <v>4.900000000000003</v>
      </c>
      <c r="AN15" s="320">
        <f t="shared" si="5"/>
        <v>4.900000000000003</v>
      </c>
      <c r="AO15" s="320">
        <f t="shared" si="5"/>
        <v>4.900000000000003</v>
      </c>
    </row>
    <row r="16" spans="1:41" ht="18.75">
      <c r="A16" s="489"/>
      <c r="B16" s="341"/>
      <c r="C16" s="453"/>
      <c r="D16" s="444" t="s">
        <v>803</v>
      </c>
      <c r="E16" s="444" t="s">
        <v>883</v>
      </c>
      <c r="F16" s="465" t="s">
        <v>5</v>
      </c>
      <c r="G16" s="132" t="s">
        <v>15</v>
      </c>
      <c r="H16" s="348">
        <v>11.699999999999994</v>
      </c>
      <c r="I16" s="380">
        <f t="shared" si="0"/>
        <v>11.69999999999999</v>
      </c>
      <c r="J16" s="320">
        <f t="shared" si="3"/>
        <v>11.699999999999994</v>
      </c>
      <c r="L16" s="320">
        <f t="shared" si="3"/>
        <v>11.699999999999994</v>
      </c>
      <c r="M16" s="320">
        <f t="shared" si="3"/>
        <v>11.699999999999994</v>
      </c>
      <c r="N16" s="320">
        <f t="shared" si="3"/>
        <v>11.699999999999994</v>
      </c>
      <c r="O16" s="320">
        <f t="shared" si="3"/>
        <v>11.699999999999994</v>
      </c>
      <c r="P16" s="320">
        <f t="shared" si="3"/>
        <v>11.699999999999994</v>
      </c>
      <c r="Q16" s="320">
        <f t="shared" si="3"/>
        <v>11.699999999999994</v>
      </c>
      <c r="R16" s="320">
        <f t="shared" si="3"/>
        <v>11.699999999999994</v>
      </c>
      <c r="S16" s="320">
        <f t="shared" si="3"/>
        <v>11.699999999999994</v>
      </c>
      <c r="T16" s="320">
        <f t="shared" si="3"/>
        <v>11.699999999999994</v>
      </c>
      <c r="U16" s="320">
        <f t="shared" si="4"/>
        <v>11.699999999999994</v>
      </c>
      <c r="V16" s="320">
        <f t="shared" si="4"/>
        <v>11.699999999999994</v>
      </c>
      <c r="W16" s="320">
        <f t="shared" si="4"/>
        <v>11.699999999999994</v>
      </c>
      <c r="X16" s="320">
        <f t="shared" si="4"/>
        <v>11.699999999999994</v>
      </c>
      <c r="Y16" s="320">
        <f t="shared" si="4"/>
        <v>11.699999999999994</v>
      </c>
      <c r="Z16" s="320">
        <f t="shared" si="4"/>
        <v>11.699999999999994</v>
      </c>
      <c r="AA16" s="320">
        <f t="shared" si="4"/>
        <v>11.699999999999994</v>
      </c>
      <c r="AB16" s="320">
        <f t="shared" si="4"/>
        <v>11.699999999999994</v>
      </c>
      <c r="AC16" s="320">
        <f t="shared" si="4"/>
        <v>11.699999999999994</v>
      </c>
      <c r="AD16" s="320">
        <f t="shared" si="4"/>
        <v>11.699999999999994</v>
      </c>
      <c r="AE16" s="320">
        <f t="shared" si="5"/>
        <v>11.699999999999994</v>
      </c>
      <c r="AF16" s="320">
        <f t="shared" si="5"/>
        <v>11.699999999999994</v>
      </c>
      <c r="AG16" s="320">
        <f t="shared" si="5"/>
        <v>11.699999999999994</v>
      </c>
      <c r="AH16" s="320">
        <f t="shared" si="5"/>
        <v>11.699999999999994</v>
      </c>
      <c r="AI16" s="320">
        <f t="shared" si="5"/>
        <v>11.699999999999994</v>
      </c>
      <c r="AJ16" s="320">
        <f t="shared" si="5"/>
        <v>11.699999999999994</v>
      </c>
      <c r="AK16" s="320">
        <f t="shared" si="5"/>
        <v>11.699999999999994</v>
      </c>
      <c r="AL16" s="320">
        <f t="shared" si="5"/>
        <v>11.699999999999994</v>
      </c>
      <c r="AM16" s="320">
        <f t="shared" si="5"/>
        <v>11.699999999999994</v>
      </c>
      <c r="AN16" s="320">
        <f t="shared" si="5"/>
        <v>11.699999999999994</v>
      </c>
      <c r="AO16" s="320">
        <f t="shared" si="5"/>
        <v>11.699999999999994</v>
      </c>
    </row>
    <row r="17" spans="1:41" ht="15.75" thickBot="1">
      <c r="A17" s="489"/>
      <c r="B17" s="70" t="s">
        <v>338</v>
      </c>
      <c r="C17" s="454" t="s">
        <v>540</v>
      </c>
      <c r="D17" s="445" t="s">
        <v>577</v>
      </c>
      <c r="E17" s="445" t="s">
        <v>884</v>
      </c>
      <c r="F17" s="468" t="s">
        <v>5</v>
      </c>
      <c r="G17" s="136" t="s">
        <v>326</v>
      </c>
      <c r="H17" s="349">
        <v>1.6000000000000008</v>
      </c>
      <c r="I17" s="383">
        <f t="shared" si="0"/>
        <v>1.3244975816275726</v>
      </c>
      <c r="J17" s="316" t="str">
        <f>IF(OR(VLOOKUP($B17,'DCS Data'!$E$2:$AJ$100,MATCH(J$1,'DCS Data'!$E$2:$AJ$2,0),0)&lt;0.7,VLOOKUP($B17,'DCS Data'!$E$2:$AJ$100,MATCH(J$1,'DCS Data'!$E$2:$AJ$2,0),0)&gt;2),"",VLOOKUP($B17,'DCS Data'!$E$2:$AJ$100,MATCH(J$1,'DCS Data'!$E$2:$AJ$2,0),0))</f>
        <v/>
      </c>
      <c r="L17" s="316" t="str">
        <f>IF(OR(VLOOKUP($B17,'DCS Data'!$E$2:$AJ$100,MATCH(L$1,'DCS Data'!$E$2:$AJ$2,0),0)&lt;0.7,VLOOKUP($B17,'DCS Data'!$E$2:$AJ$100,MATCH(L$1,'DCS Data'!$E$2:$AJ$2,0),0)&gt;2),"",VLOOKUP($B17,'DCS Data'!$E$2:$AJ$100,MATCH(L$1,'DCS Data'!$E$2:$AJ$2,0),0))</f>
        <v/>
      </c>
      <c r="M17" s="316" t="str">
        <f>IF(OR(VLOOKUP($B17,'DCS Data'!$E$2:$AJ$100,MATCH(M$1,'DCS Data'!$E$2:$AJ$2,0),0)&lt;0.7,VLOOKUP($B17,'DCS Data'!$E$2:$AJ$100,MATCH(M$1,'DCS Data'!$E$2:$AJ$2,0),0)&gt;2),"",VLOOKUP($B17,'DCS Data'!$E$2:$AJ$100,MATCH(M$1,'DCS Data'!$E$2:$AJ$2,0),0))</f>
        <v/>
      </c>
      <c r="N17" s="316" t="str">
        <f>IF(OR(VLOOKUP($B17,'DCS Data'!$E$2:$AJ$100,MATCH(N$1,'DCS Data'!$E$2:$AJ$2,0),0)&lt;0.7,VLOOKUP($B17,'DCS Data'!$E$2:$AJ$100,MATCH(N$1,'DCS Data'!$E$2:$AJ$2,0),0)&gt;2),"",VLOOKUP($B17,'DCS Data'!$E$2:$AJ$100,MATCH(N$1,'DCS Data'!$E$2:$AJ$2,0),0))</f>
        <v/>
      </c>
      <c r="O17" s="316" t="str">
        <f>IF(OR(VLOOKUP($B17,'DCS Data'!$E$2:$AJ$100,MATCH(O$1,'DCS Data'!$E$2:$AJ$2,0),0)&lt;0.7,VLOOKUP($B17,'DCS Data'!$E$2:$AJ$100,MATCH(O$1,'DCS Data'!$E$2:$AJ$2,0),0)&gt;2),"",VLOOKUP($B17,'DCS Data'!$E$2:$AJ$100,MATCH(O$1,'DCS Data'!$E$2:$AJ$2,0),0))</f>
        <v/>
      </c>
      <c r="P17" s="316" t="str">
        <f>IF(OR(VLOOKUP($B17,'DCS Data'!$E$2:$AJ$100,MATCH(P$1,'DCS Data'!$E$2:$AJ$2,0),0)&lt;0.7,VLOOKUP($B17,'DCS Data'!$E$2:$AJ$100,MATCH(P$1,'DCS Data'!$E$2:$AJ$2,0),0)&gt;2),"",VLOOKUP($B17,'DCS Data'!$E$2:$AJ$100,MATCH(P$1,'DCS Data'!$E$2:$AJ$2,0),0))</f>
        <v/>
      </c>
      <c r="Q17" s="316" t="str">
        <f>IF(OR(VLOOKUP($B17,'DCS Data'!$E$2:$AJ$100,MATCH(Q$1,'DCS Data'!$E$2:$AJ$2,0),0)&lt;0.7,VLOOKUP($B17,'DCS Data'!$E$2:$AJ$100,MATCH(Q$1,'DCS Data'!$E$2:$AJ$2,0),0)&gt;2),"",VLOOKUP($B17,'DCS Data'!$E$2:$AJ$100,MATCH(Q$1,'DCS Data'!$E$2:$AJ$2,0),0))</f>
        <v/>
      </c>
      <c r="R17" s="316" t="str">
        <f>IF(OR(VLOOKUP($B17,'DCS Data'!$E$2:$AJ$100,MATCH(R$1,'DCS Data'!$E$2:$AJ$2,0),0)&lt;0.7,VLOOKUP($B17,'DCS Data'!$E$2:$AJ$100,MATCH(R$1,'DCS Data'!$E$2:$AJ$2,0),0)&gt;2),"",VLOOKUP($B17,'DCS Data'!$E$2:$AJ$100,MATCH(R$1,'DCS Data'!$E$2:$AJ$2,0),0))</f>
        <v/>
      </c>
      <c r="S17" s="316" t="str">
        <f>IF(OR(VLOOKUP($B17,'DCS Data'!$E$2:$AJ$100,MATCH(S$1,'DCS Data'!$E$2:$AJ$2,0),0)&lt;0.7,VLOOKUP($B17,'DCS Data'!$E$2:$AJ$100,MATCH(S$1,'DCS Data'!$E$2:$AJ$2,0),0)&gt;2),"",VLOOKUP($B17,'DCS Data'!$E$2:$AJ$100,MATCH(S$1,'DCS Data'!$E$2:$AJ$2,0),0))</f>
        <v/>
      </c>
      <c r="T17" s="316" t="str">
        <f>IF(OR(VLOOKUP($B17,'DCS Data'!$E$2:$AJ$100,MATCH(T$1,'DCS Data'!$E$2:$AJ$2,0),0)&lt;0.7,VLOOKUP($B17,'DCS Data'!$E$2:$AJ$100,MATCH(T$1,'DCS Data'!$E$2:$AJ$2,0),0)&gt;2),"",VLOOKUP($B17,'DCS Data'!$E$2:$AJ$100,MATCH(T$1,'DCS Data'!$E$2:$AJ$2,0),0))</f>
        <v/>
      </c>
      <c r="U17" s="316" t="str">
        <f>IF(OR(VLOOKUP($B17,'DCS Data'!$E$2:$AJ$100,MATCH(U$1,'DCS Data'!$E$2:$AJ$2,0),0)&lt;0.7,VLOOKUP($B17,'DCS Data'!$E$2:$AJ$100,MATCH(U$1,'DCS Data'!$E$2:$AJ$2,0),0)&gt;2),"",VLOOKUP($B17,'DCS Data'!$E$2:$AJ$100,MATCH(U$1,'DCS Data'!$E$2:$AJ$2,0),0))</f>
        <v/>
      </c>
      <c r="V17" s="316" t="str">
        <f>IF(OR(VLOOKUP($B17,'DCS Data'!$E$2:$AJ$100,MATCH(V$1,'DCS Data'!$E$2:$AJ$2,0),0)&lt;0.7,VLOOKUP($B17,'DCS Data'!$E$2:$AJ$100,MATCH(V$1,'DCS Data'!$E$2:$AJ$2,0),0)&gt;2),"",VLOOKUP($B17,'DCS Data'!$E$2:$AJ$100,MATCH(V$1,'DCS Data'!$E$2:$AJ$2,0),0))</f>
        <v/>
      </c>
      <c r="W17" s="316" t="str">
        <f>IF(OR(VLOOKUP($B17,'DCS Data'!$E$2:$AJ$100,MATCH(W$1,'DCS Data'!$E$2:$AJ$2,0),0)&lt;0.7,VLOOKUP($B17,'DCS Data'!$E$2:$AJ$100,MATCH(W$1,'DCS Data'!$E$2:$AJ$2,0),0)&gt;2),"",VLOOKUP($B17,'DCS Data'!$E$2:$AJ$100,MATCH(W$1,'DCS Data'!$E$2:$AJ$2,0),0))</f>
        <v/>
      </c>
      <c r="X17" s="316" t="str">
        <f>IF(OR(VLOOKUP($B17,'DCS Data'!$E$2:$AJ$100,MATCH(X$1,'DCS Data'!$E$2:$AJ$2,0),0)&lt;0.7,VLOOKUP($B17,'DCS Data'!$E$2:$AJ$100,MATCH(X$1,'DCS Data'!$E$2:$AJ$2,0),0)&gt;2),"",VLOOKUP($B17,'DCS Data'!$E$2:$AJ$100,MATCH(X$1,'DCS Data'!$E$2:$AJ$2,0),0))</f>
        <v/>
      </c>
      <c r="Y17" s="316" t="str">
        <f>IF(OR(VLOOKUP($B17,'DCS Data'!$E$2:$AJ$100,MATCH(Y$1,'DCS Data'!$E$2:$AJ$2,0),0)&lt;0.7,VLOOKUP($B17,'DCS Data'!$E$2:$AJ$100,MATCH(Y$1,'DCS Data'!$E$2:$AJ$2,0),0)&gt;2),"",VLOOKUP($B17,'DCS Data'!$E$2:$AJ$100,MATCH(Y$1,'DCS Data'!$E$2:$AJ$2,0),0))</f>
        <v/>
      </c>
      <c r="Z17" s="316" t="str">
        <f>IF(OR(VLOOKUP($B17,'DCS Data'!$E$2:$AJ$100,MATCH(Z$1,'DCS Data'!$E$2:$AJ$2,0),0)&lt;0.7,VLOOKUP($B17,'DCS Data'!$E$2:$AJ$100,MATCH(Z$1,'DCS Data'!$E$2:$AJ$2,0),0)&gt;2),"",VLOOKUP($B17,'DCS Data'!$E$2:$AJ$100,MATCH(Z$1,'DCS Data'!$E$2:$AJ$2,0),0))</f>
        <v/>
      </c>
      <c r="AA17" s="316" t="str">
        <f>IF(OR(VLOOKUP($B17,'DCS Data'!$E$2:$AJ$100,MATCH(AA$1,'DCS Data'!$E$2:$AJ$2,0),0)&lt;0.7,VLOOKUP($B17,'DCS Data'!$E$2:$AJ$100,MATCH(AA$1,'DCS Data'!$E$2:$AJ$2,0),0)&gt;2),"",VLOOKUP($B17,'DCS Data'!$E$2:$AJ$100,MATCH(AA$1,'DCS Data'!$E$2:$AJ$2,0),0))</f>
        <v/>
      </c>
      <c r="AB17" s="316" t="str">
        <f>IF(OR(VLOOKUP($B17,'DCS Data'!$E$2:$AJ$100,MATCH(AB$1,'DCS Data'!$E$2:$AJ$2,0),0)&lt;0.7,VLOOKUP($B17,'DCS Data'!$E$2:$AJ$100,MATCH(AB$1,'DCS Data'!$E$2:$AJ$2,0),0)&gt;2),"",VLOOKUP($B17,'DCS Data'!$E$2:$AJ$100,MATCH(AB$1,'DCS Data'!$E$2:$AJ$2,0),0))</f>
        <v/>
      </c>
      <c r="AC17" s="316" t="str">
        <f>IF(OR(VLOOKUP($B17,'DCS Data'!$E$2:$AJ$100,MATCH(AC$1,'DCS Data'!$E$2:$AJ$2,0),0)&lt;0.7,VLOOKUP($B17,'DCS Data'!$E$2:$AJ$100,MATCH(AC$1,'DCS Data'!$E$2:$AJ$2,0),0)&gt;2),"",VLOOKUP($B17,'DCS Data'!$E$2:$AJ$100,MATCH(AC$1,'DCS Data'!$E$2:$AJ$2,0),0))</f>
        <v/>
      </c>
      <c r="AD17" s="316" t="str">
        <f>IF(OR(VLOOKUP($B17,'DCS Data'!$E$2:$AJ$100,MATCH(AD$1,'DCS Data'!$E$2:$AJ$2,0),0)&lt;0.7,VLOOKUP($B17,'DCS Data'!$E$2:$AJ$100,MATCH(AD$1,'DCS Data'!$E$2:$AJ$2,0),0)&gt;2),"",VLOOKUP($B17,'DCS Data'!$E$2:$AJ$100,MATCH(AD$1,'DCS Data'!$E$2:$AJ$2,0),0))</f>
        <v/>
      </c>
      <c r="AE17" s="316" t="str">
        <f>IF(OR(VLOOKUP($B17,'DCS Data'!$E$2:$AJ$100,MATCH(AE$1,'DCS Data'!$E$2:$AJ$2,0),0)&lt;0.7,VLOOKUP($B17,'DCS Data'!$E$2:$AJ$100,MATCH(AE$1,'DCS Data'!$E$2:$AJ$2,0),0)&gt;2),"",VLOOKUP($B17,'DCS Data'!$E$2:$AJ$100,MATCH(AE$1,'DCS Data'!$E$2:$AJ$2,0),0))</f>
        <v/>
      </c>
      <c r="AF17" s="316" t="str">
        <f>IF(OR(VLOOKUP($B17,'DCS Data'!$E$2:$AJ$100,MATCH(AF$1,'DCS Data'!$E$2:$AJ$2,0),0)&lt;0.7,VLOOKUP($B17,'DCS Data'!$E$2:$AJ$100,MATCH(AF$1,'DCS Data'!$E$2:$AJ$2,0),0)&gt;2),"",VLOOKUP($B17,'DCS Data'!$E$2:$AJ$100,MATCH(AF$1,'DCS Data'!$E$2:$AJ$2,0),0))</f>
        <v/>
      </c>
      <c r="AG17" s="316">
        <f>IF(OR(VLOOKUP($B17,'DCS Data'!$E$2:$AJ$100,MATCH(AG$1,'DCS Data'!$E$2:$AJ$2,0),0)&lt;0.7,VLOOKUP($B17,'DCS Data'!$E$2:$AJ$100,MATCH(AG$1,'DCS Data'!$E$2:$AJ$2,0),0)&gt;2),"",VLOOKUP($B17,'DCS Data'!$E$2:$AJ$100,MATCH(AG$1,'DCS Data'!$E$2:$AJ$2,0),0))</f>
        <v>1.4476075050745338</v>
      </c>
      <c r="AH17" s="316" t="str">
        <f>IF(OR(VLOOKUP($B17,'DCS Data'!$E$2:$AJ$100,MATCH(AH$1,'DCS Data'!$E$2:$AJ$2,0),0)&lt;0.7,VLOOKUP($B17,'DCS Data'!$E$2:$AJ$100,MATCH(AH$1,'DCS Data'!$E$2:$AJ$2,0),0)&gt;2),"",VLOOKUP($B17,'DCS Data'!$E$2:$AJ$100,MATCH(AH$1,'DCS Data'!$E$2:$AJ$2,0),0))</f>
        <v/>
      </c>
      <c r="AI17" s="316" t="str">
        <f>IF(OR(VLOOKUP($B17,'DCS Data'!$E$2:$AJ$100,MATCH(AI$1,'DCS Data'!$E$2:$AJ$2,0),0)&lt;0.7,VLOOKUP($B17,'DCS Data'!$E$2:$AJ$100,MATCH(AI$1,'DCS Data'!$E$2:$AJ$2,0),0)&gt;2),"",VLOOKUP($B17,'DCS Data'!$E$2:$AJ$100,MATCH(AI$1,'DCS Data'!$E$2:$AJ$2,0),0))</f>
        <v/>
      </c>
      <c r="AJ17" s="316" t="str">
        <f>IF(OR(VLOOKUP($B17,'DCS Data'!$E$2:$AJ$100,MATCH(AJ$1,'DCS Data'!$E$2:$AJ$2,0),0)&lt;0.7,VLOOKUP($B17,'DCS Data'!$E$2:$AJ$100,MATCH(AJ$1,'DCS Data'!$E$2:$AJ$2,0),0)&gt;2),"",VLOOKUP($B17,'DCS Data'!$E$2:$AJ$100,MATCH(AJ$1,'DCS Data'!$E$2:$AJ$2,0),0))</f>
        <v/>
      </c>
      <c r="AK17" s="316">
        <f>IF(OR(VLOOKUP($B17,'DCS Data'!$E$2:$AJ$100,MATCH(AK$1,'DCS Data'!$E$2:$AJ$2,0),0)&lt;0.7,VLOOKUP($B17,'DCS Data'!$E$2:$AJ$100,MATCH(AK$1,'DCS Data'!$E$2:$AJ$2,0),0)&gt;2),"",VLOOKUP($B17,'DCS Data'!$E$2:$AJ$100,MATCH(AK$1,'DCS Data'!$E$2:$AJ$2,0),0))</f>
        <v>1.87322492703343</v>
      </c>
      <c r="AL17" s="316">
        <f>IF(OR(VLOOKUP($B17,'DCS Data'!$E$2:$AJ$100,MATCH(AL$1,'DCS Data'!$E$2:$AJ$2,0),0)&lt;0.7,VLOOKUP($B17,'DCS Data'!$E$2:$AJ$100,MATCH(AL$1,'DCS Data'!$E$2:$AJ$2,0),0)&gt;2),"",VLOOKUP($B17,'DCS Data'!$E$2:$AJ$100,MATCH(AL$1,'DCS Data'!$E$2:$AJ$2,0),0))</f>
        <v>1.1196979558424378</v>
      </c>
      <c r="AM17" s="316">
        <f>IF(OR(VLOOKUP($B17,'DCS Data'!$E$2:$AJ$100,MATCH(AM$1,'DCS Data'!$E$2:$AJ$2,0),0)&lt;0.7,VLOOKUP($B17,'DCS Data'!$E$2:$AJ$100,MATCH(AM$1,'DCS Data'!$E$2:$AJ$2,0),0)&gt;2),"",VLOOKUP($B17,'DCS Data'!$E$2:$AJ$100,MATCH(AM$1,'DCS Data'!$E$2:$AJ$2,0),0))</f>
        <v>1.1494359597393495</v>
      </c>
      <c r="AN17" s="316">
        <f>IF(OR(VLOOKUP($B17,'DCS Data'!$E$2:$AJ$100,MATCH(AN$1,'DCS Data'!$E$2:$AJ$2,0),0)&lt;0.7,VLOOKUP($B17,'DCS Data'!$E$2:$AJ$100,MATCH(AN$1,'DCS Data'!$E$2:$AJ$2,0),0)&gt;2),"",VLOOKUP($B17,'DCS Data'!$E$2:$AJ$100,MATCH(AN$1,'DCS Data'!$E$2:$AJ$2,0),0))</f>
        <v>1.1696172271414771</v>
      </c>
      <c r="AO17" s="316">
        <f>IF(OR(VLOOKUP($B17,'DCS Data'!$E$2:$AJ$100,MATCH(AO$1,'DCS Data'!$E$2:$AJ$2,0),0)&lt;0.7,VLOOKUP($B17,'DCS Data'!$E$2:$AJ$100,MATCH(AO$1,'DCS Data'!$E$2:$AJ$2,0),0)&gt;2),"",VLOOKUP($B17,'DCS Data'!$E$2:$AJ$100,MATCH(AO$1,'DCS Data'!$E$2:$AJ$2,0),0))</f>
        <v>1.1874019149342068</v>
      </c>
    </row>
    <row r="18" spans="1:41" ht="16.5" customHeight="1">
      <c r="A18" s="488" t="s">
        <v>233</v>
      </c>
      <c r="B18" s="72"/>
      <c r="C18" s="455"/>
      <c r="D18" s="444" t="s">
        <v>804</v>
      </c>
      <c r="E18" s="444" t="s">
        <v>885</v>
      </c>
      <c r="F18" s="464" t="s">
        <v>5</v>
      </c>
      <c r="G18" s="131" t="s">
        <v>21</v>
      </c>
      <c r="H18" s="350">
        <v>78.400000000000048</v>
      </c>
      <c r="I18" s="379">
        <f t="shared" si="0"/>
        <v>78.400000000000077</v>
      </c>
      <c r="J18" s="321">
        <f t="shared" ref="J18:T27" si="6">$H18</f>
        <v>78.400000000000048</v>
      </c>
      <c r="L18" s="321">
        <f t="shared" si="6"/>
        <v>78.400000000000048</v>
      </c>
      <c r="M18" s="321">
        <f t="shared" si="6"/>
        <v>78.400000000000048</v>
      </c>
      <c r="N18" s="321">
        <f t="shared" si="6"/>
        <v>78.400000000000048</v>
      </c>
      <c r="O18" s="321">
        <f t="shared" si="6"/>
        <v>78.400000000000048</v>
      </c>
      <c r="P18" s="321">
        <f t="shared" si="6"/>
        <v>78.400000000000048</v>
      </c>
      <c r="Q18" s="321">
        <f t="shared" si="6"/>
        <v>78.400000000000048</v>
      </c>
      <c r="R18" s="321">
        <f t="shared" si="6"/>
        <v>78.400000000000048</v>
      </c>
      <c r="S18" s="321">
        <f t="shared" si="6"/>
        <v>78.400000000000048</v>
      </c>
      <c r="T18" s="321">
        <f t="shared" si="6"/>
        <v>78.400000000000048</v>
      </c>
      <c r="U18" s="321">
        <f t="shared" ref="U18:AD27" si="7">$H18</f>
        <v>78.400000000000048</v>
      </c>
      <c r="V18" s="321">
        <f t="shared" si="7"/>
        <v>78.400000000000048</v>
      </c>
      <c r="W18" s="321">
        <f t="shared" si="7"/>
        <v>78.400000000000048</v>
      </c>
      <c r="X18" s="321">
        <f t="shared" si="7"/>
        <v>78.400000000000048</v>
      </c>
      <c r="Y18" s="321">
        <f t="shared" si="7"/>
        <v>78.400000000000048</v>
      </c>
      <c r="Z18" s="321">
        <f t="shared" si="7"/>
        <v>78.400000000000048</v>
      </c>
      <c r="AA18" s="321">
        <f t="shared" si="7"/>
        <v>78.400000000000048</v>
      </c>
      <c r="AB18" s="321">
        <f t="shared" si="7"/>
        <v>78.400000000000048</v>
      </c>
      <c r="AC18" s="321">
        <f t="shared" si="7"/>
        <v>78.400000000000048</v>
      </c>
      <c r="AD18" s="321">
        <f t="shared" si="7"/>
        <v>78.400000000000048</v>
      </c>
      <c r="AE18" s="321">
        <f t="shared" ref="AE18:AO27" si="8">$H18</f>
        <v>78.400000000000048</v>
      </c>
      <c r="AF18" s="321">
        <f t="shared" si="8"/>
        <v>78.400000000000048</v>
      </c>
      <c r="AG18" s="321">
        <f t="shared" si="8"/>
        <v>78.400000000000048</v>
      </c>
      <c r="AH18" s="321">
        <f t="shared" si="8"/>
        <v>78.400000000000048</v>
      </c>
      <c r="AI18" s="321">
        <f t="shared" si="8"/>
        <v>78.400000000000048</v>
      </c>
      <c r="AJ18" s="321">
        <f t="shared" si="8"/>
        <v>78.400000000000048</v>
      </c>
      <c r="AK18" s="321">
        <f t="shared" si="8"/>
        <v>78.400000000000048</v>
      </c>
      <c r="AL18" s="321">
        <f t="shared" si="8"/>
        <v>78.400000000000048</v>
      </c>
      <c r="AM18" s="321">
        <f t="shared" si="8"/>
        <v>78.400000000000048</v>
      </c>
      <c r="AN18" s="321">
        <f t="shared" si="8"/>
        <v>78.400000000000048</v>
      </c>
      <c r="AO18" s="321">
        <f t="shared" si="8"/>
        <v>78.400000000000048</v>
      </c>
    </row>
    <row r="19" spans="1:41" ht="18.75">
      <c r="A19" s="489"/>
      <c r="B19" s="341"/>
      <c r="C19" s="453"/>
      <c r="D19" s="444" t="s">
        <v>805</v>
      </c>
      <c r="E19" s="444" t="s">
        <v>886</v>
      </c>
      <c r="F19" s="465" t="s">
        <v>5</v>
      </c>
      <c r="G19" s="132" t="s">
        <v>70</v>
      </c>
      <c r="H19" s="348">
        <v>3.9000000000000017</v>
      </c>
      <c r="I19" s="380">
        <f t="shared" si="0"/>
        <v>3.900000000000003</v>
      </c>
      <c r="J19" s="320">
        <f t="shared" si="6"/>
        <v>3.9000000000000017</v>
      </c>
      <c r="L19" s="320">
        <f t="shared" si="6"/>
        <v>3.9000000000000017</v>
      </c>
      <c r="M19" s="320">
        <f t="shared" si="6"/>
        <v>3.9000000000000017</v>
      </c>
      <c r="N19" s="320">
        <f t="shared" si="6"/>
        <v>3.9000000000000017</v>
      </c>
      <c r="O19" s="320">
        <f t="shared" si="6"/>
        <v>3.9000000000000017</v>
      </c>
      <c r="P19" s="320">
        <f t="shared" si="6"/>
        <v>3.9000000000000017</v>
      </c>
      <c r="Q19" s="320">
        <f t="shared" si="6"/>
        <v>3.9000000000000017</v>
      </c>
      <c r="R19" s="320">
        <f t="shared" si="6"/>
        <v>3.9000000000000017</v>
      </c>
      <c r="S19" s="320">
        <f t="shared" si="6"/>
        <v>3.9000000000000017</v>
      </c>
      <c r="T19" s="320">
        <f t="shared" si="6"/>
        <v>3.9000000000000017</v>
      </c>
      <c r="U19" s="320">
        <f t="shared" si="7"/>
        <v>3.9000000000000017</v>
      </c>
      <c r="V19" s="320">
        <f t="shared" si="7"/>
        <v>3.9000000000000017</v>
      </c>
      <c r="W19" s="320">
        <f t="shared" si="7"/>
        <v>3.9000000000000017</v>
      </c>
      <c r="X19" s="320">
        <f t="shared" si="7"/>
        <v>3.9000000000000017</v>
      </c>
      <c r="Y19" s="320">
        <f t="shared" si="7"/>
        <v>3.9000000000000017</v>
      </c>
      <c r="Z19" s="320">
        <f t="shared" si="7"/>
        <v>3.9000000000000017</v>
      </c>
      <c r="AA19" s="320">
        <f t="shared" si="7"/>
        <v>3.9000000000000017</v>
      </c>
      <c r="AB19" s="320">
        <f t="shared" si="7"/>
        <v>3.9000000000000017</v>
      </c>
      <c r="AC19" s="320">
        <f t="shared" si="7"/>
        <v>3.9000000000000017</v>
      </c>
      <c r="AD19" s="320">
        <f t="shared" si="7"/>
        <v>3.9000000000000017</v>
      </c>
      <c r="AE19" s="320">
        <f t="shared" si="8"/>
        <v>3.9000000000000017</v>
      </c>
      <c r="AF19" s="320">
        <f t="shared" si="8"/>
        <v>3.9000000000000017</v>
      </c>
      <c r="AG19" s="320">
        <f t="shared" si="8"/>
        <v>3.9000000000000017</v>
      </c>
      <c r="AH19" s="320">
        <f t="shared" si="8"/>
        <v>3.9000000000000017</v>
      </c>
      <c r="AI19" s="320">
        <f t="shared" si="8"/>
        <v>3.9000000000000017</v>
      </c>
      <c r="AJ19" s="320">
        <f t="shared" si="8"/>
        <v>3.9000000000000017</v>
      </c>
      <c r="AK19" s="320">
        <f t="shared" si="8"/>
        <v>3.9000000000000017</v>
      </c>
      <c r="AL19" s="320">
        <f t="shared" si="8"/>
        <v>3.9000000000000017</v>
      </c>
      <c r="AM19" s="320">
        <f t="shared" si="8"/>
        <v>3.9000000000000017</v>
      </c>
      <c r="AN19" s="320">
        <f t="shared" si="8"/>
        <v>3.9000000000000017</v>
      </c>
      <c r="AO19" s="320">
        <f t="shared" si="8"/>
        <v>3.9000000000000017</v>
      </c>
    </row>
    <row r="20" spans="1:41" ht="15">
      <c r="A20" s="489"/>
      <c r="B20" s="341"/>
      <c r="C20" s="453"/>
      <c r="D20" s="444" t="s">
        <v>806</v>
      </c>
      <c r="E20" s="444" t="s">
        <v>887</v>
      </c>
      <c r="F20" s="465" t="s">
        <v>5</v>
      </c>
      <c r="G20" s="132" t="s">
        <v>71</v>
      </c>
      <c r="H20" s="348">
        <v>0.5</v>
      </c>
      <c r="I20" s="380">
        <f t="shared" si="0"/>
        <v>0.5</v>
      </c>
      <c r="J20" s="320">
        <f t="shared" si="6"/>
        <v>0.5</v>
      </c>
      <c r="L20" s="320">
        <f t="shared" si="6"/>
        <v>0.5</v>
      </c>
      <c r="M20" s="320">
        <f t="shared" si="6"/>
        <v>0.5</v>
      </c>
      <c r="N20" s="320">
        <f t="shared" si="6"/>
        <v>0.5</v>
      </c>
      <c r="O20" s="320">
        <f t="shared" si="6"/>
        <v>0.5</v>
      </c>
      <c r="P20" s="320">
        <f t="shared" si="6"/>
        <v>0.5</v>
      </c>
      <c r="Q20" s="320">
        <f t="shared" si="6"/>
        <v>0.5</v>
      </c>
      <c r="R20" s="320">
        <f t="shared" si="6"/>
        <v>0.5</v>
      </c>
      <c r="S20" s="320">
        <f t="shared" si="6"/>
        <v>0.5</v>
      </c>
      <c r="T20" s="320">
        <f t="shared" si="6"/>
        <v>0.5</v>
      </c>
      <c r="U20" s="320">
        <f t="shared" si="7"/>
        <v>0.5</v>
      </c>
      <c r="V20" s="320">
        <f t="shared" si="7"/>
        <v>0.5</v>
      </c>
      <c r="W20" s="320">
        <f t="shared" si="7"/>
        <v>0.5</v>
      </c>
      <c r="X20" s="320">
        <f t="shared" si="7"/>
        <v>0.5</v>
      </c>
      <c r="Y20" s="320">
        <f t="shared" si="7"/>
        <v>0.5</v>
      </c>
      <c r="Z20" s="320">
        <f t="shared" si="7"/>
        <v>0.5</v>
      </c>
      <c r="AA20" s="320">
        <f t="shared" si="7"/>
        <v>0.5</v>
      </c>
      <c r="AB20" s="320">
        <f t="shared" si="7"/>
        <v>0.5</v>
      </c>
      <c r="AC20" s="320">
        <f t="shared" si="7"/>
        <v>0.5</v>
      </c>
      <c r="AD20" s="320">
        <f t="shared" si="7"/>
        <v>0.5</v>
      </c>
      <c r="AE20" s="320">
        <f t="shared" si="8"/>
        <v>0.5</v>
      </c>
      <c r="AF20" s="320">
        <f t="shared" si="8"/>
        <v>0.5</v>
      </c>
      <c r="AG20" s="320">
        <f t="shared" si="8"/>
        <v>0.5</v>
      </c>
      <c r="AH20" s="320">
        <f t="shared" si="8"/>
        <v>0.5</v>
      </c>
      <c r="AI20" s="320">
        <f t="shared" si="8"/>
        <v>0.5</v>
      </c>
      <c r="AJ20" s="320">
        <f t="shared" si="8"/>
        <v>0.5</v>
      </c>
      <c r="AK20" s="320">
        <f t="shared" si="8"/>
        <v>0.5</v>
      </c>
      <c r="AL20" s="320">
        <f t="shared" si="8"/>
        <v>0.5</v>
      </c>
      <c r="AM20" s="320">
        <f t="shared" si="8"/>
        <v>0.5</v>
      </c>
      <c r="AN20" s="320">
        <f t="shared" si="8"/>
        <v>0.5</v>
      </c>
      <c r="AO20" s="320">
        <f t="shared" si="8"/>
        <v>0.5</v>
      </c>
    </row>
    <row r="21" spans="1:41" ht="18.75">
      <c r="A21" s="489"/>
      <c r="B21" s="341"/>
      <c r="C21" s="453"/>
      <c r="D21" s="444" t="s">
        <v>807</v>
      </c>
      <c r="E21" s="444" t="s">
        <v>888</v>
      </c>
      <c r="F21" s="465" t="s">
        <v>5</v>
      </c>
      <c r="G21" s="132" t="s">
        <v>15</v>
      </c>
      <c r="H21" s="348">
        <v>15.699999999999992</v>
      </c>
      <c r="I21" s="380">
        <f t="shared" si="0"/>
        <v>15.69999999999999</v>
      </c>
      <c r="J21" s="320">
        <f t="shared" si="6"/>
        <v>15.699999999999992</v>
      </c>
      <c r="L21" s="320">
        <f t="shared" si="6"/>
        <v>15.699999999999992</v>
      </c>
      <c r="M21" s="320">
        <f t="shared" si="6"/>
        <v>15.699999999999992</v>
      </c>
      <c r="N21" s="320">
        <f t="shared" si="6"/>
        <v>15.699999999999992</v>
      </c>
      <c r="O21" s="320">
        <f t="shared" si="6"/>
        <v>15.699999999999992</v>
      </c>
      <c r="P21" s="320">
        <f t="shared" si="6"/>
        <v>15.699999999999992</v>
      </c>
      <c r="Q21" s="320">
        <f t="shared" si="6"/>
        <v>15.699999999999992</v>
      </c>
      <c r="R21" s="320">
        <f t="shared" si="6"/>
        <v>15.699999999999992</v>
      </c>
      <c r="S21" s="320">
        <f t="shared" si="6"/>
        <v>15.699999999999992</v>
      </c>
      <c r="T21" s="320">
        <f t="shared" si="6"/>
        <v>15.699999999999992</v>
      </c>
      <c r="U21" s="320">
        <f t="shared" si="7"/>
        <v>15.699999999999992</v>
      </c>
      <c r="V21" s="320">
        <f t="shared" si="7"/>
        <v>15.699999999999992</v>
      </c>
      <c r="W21" s="320">
        <f t="shared" si="7"/>
        <v>15.699999999999992</v>
      </c>
      <c r="X21" s="320">
        <f t="shared" si="7"/>
        <v>15.699999999999992</v>
      </c>
      <c r="Y21" s="320">
        <f t="shared" si="7"/>
        <v>15.699999999999992</v>
      </c>
      <c r="Z21" s="320">
        <f t="shared" si="7"/>
        <v>15.699999999999992</v>
      </c>
      <c r="AA21" s="320">
        <f t="shared" si="7"/>
        <v>15.699999999999992</v>
      </c>
      <c r="AB21" s="320">
        <f t="shared" si="7"/>
        <v>15.699999999999992</v>
      </c>
      <c r="AC21" s="320">
        <f t="shared" si="7"/>
        <v>15.699999999999992</v>
      </c>
      <c r="AD21" s="320">
        <f t="shared" si="7"/>
        <v>15.699999999999992</v>
      </c>
      <c r="AE21" s="320">
        <f t="shared" si="8"/>
        <v>15.699999999999992</v>
      </c>
      <c r="AF21" s="320">
        <f t="shared" si="8"/>
        <v>15.699999999999992</v>
      </c>
      <c r="AG21" s="320">
        <f t="shared" si="8"/>
        <v>15.699999999999992</v>
      </c>
      <c r="AH21" s="320">
        <f t="shared" si="8"/>
        <v>15.699999999999992</v>
      </c>
      <c r="AI21" s="320">
        <f t="shared" si="8"/>
        <v>15.699999999999992</v>
      </c>
      <c r="AJ21" s="320">
        <f t="shared" si="8"/>
        <v>15.699999999999992</v>
      </c>
      <c r="AK21" s="320">
        <f t="shared" si="8"/>
        <v>15.699999999999992</v>
      </c>
      <c r="AL21" s="320">
        <f t="shared" si="8"/>
        <v>15.699999999999992</v>
      </c>
      <c r="AM21" s="320">
        <f t="shared" si="8"/>
        <v>15.699999999999992</v>
      </c>
      <c r="AN21" s="320">
        <f t="shared" si="8"/>
        <v>15.699999999999992</v>
      </c>
      <c r="AO21" s="320">
        <f t="shared" si="8"/>
        <v>15.699999999999992</v>
      </c>
    </row>
    <row r="22" spans="1:41" ht="19.5" thickBot="1">
      <c r="A22" s="490"/>
      <c r="B22" s="263"/>
      <c r="C22" s="448"/>
      <c r="D22" s="444" t="s">
        <v>808</v>
      </c>
      <c r="E22" s="444" t="s">
        <v>889</v>
      </c>
      <c r="F22" s="466" t="s">
        <v>5</v>
      </c>
      <c r="G22" s="137" t="s">
        <v>78</v>
      </c>
      <c r="H22" s="351">
        <v>1.5</v>
      </c>
      <c r="I22" s="381">
        <f t="shared" si="0"/>
        <v>1.5</v>
      </c>
      <c r="J22" s="322">
        <f t="shared" si="6"/>
        <v>1.5</v>
      </c>
      <c r="L22" s="322">
        <f t="shared" si="6"/>
        <v>1.5</v>
      </c>
      <c r="M22" s="322">
        <f t="shared" si="6"/>
        <v>1.5</v>
      </c>
      <c r="N22" s="322">
        <f t="shared" si="6"/>
        <v>1.5</v>
      </c>
      <c r="O22" s="322">
        <f t="shared" si="6"/>
        <v>1.5</v>
      </c>
      <c r="P22" s="322">
        <f t="shared" si="6"/>
        <v>1.5</v>
      </c>
      <c r="Q22" s="322">
        <f t="shared" si="6"/>
        <v>1.5</v>
      </c>
      <c r="R22" s="322">
        <f t="shared" si="6"/>
        <v>1.5</v>
      </c>
      <c r="S22" s="322">
        <f t="shared" si="6"/>
        <v>1.5</v>
      </c>
      <c r="T22" s="322">
        <f t="shared" si="6"/>
        <v>1.5</v>
      </c>
      <c r="U22" s="322">
        <f t="shared" si="7"/>
        <v>1.5</v>
      </c>
      <c r="V22" s="322">
        <f t="shared" si="7"/>
        <v>1.5</v>
      </c>
      <c r="W22" s="322">
        <f t="shared" si="7"/>
        <v>1.5</v>
      </c>
      <c r="X22" s="322">
        <f t="shared" si="7"/>
        <v>1.5</v>
      </c>
      <c r="Y22" s="322">
        <f t="shared" si="7"/>
        <v>1.5</v>
      </c>
      <c r="Z22" s="322">
        <f t="shared" si="7"/>
        <v>1.5</v>
      </c>
      <c r="AA22" s="322">
        <f t="shared" si="7"/>
        <v>1.5</v>
      </c>
      <c r="AB22" s="322">
        <f t="shared" si="7"/>
        <v>1.5</v>
      </c>
      <c r="AC22" s="322">
        <f t="shared" si="7"/>
        <v>1.5</v>
      </c>
      <c r="AD22" s="322">
        <f t="shared" si="7"/>
        <v>1.5</v>
      </c>
      <c r="AE22" s="322">
        <f t="shared" si="8"/>
        <v>1.5</v>
      </c>
      <c r="AF22" s="322">
        <f t="shared" si="8"/>
        <v>1.5</v>
      </c>
      <c r="AG22" s="322">
        <f t="shared" si="8"/>
        <v>1.5</v>
      </c>
      <c r="AH22" s="322">
        <f t="shared" si="8"/>
        <v>1.5</v>
      </c>
      <c r="AI22" s="322">
        <f t="shared" si="8"/>
        <v>1.5</v>
      </c>
      <c r="AJ22" s="322">
        <f t="shared" si="8"/>
        <v>1.5</v>
      </c>
      <c r="AK22" s="322">
        <f t="shared" si="8"/>
        <v>1.5</v>
      </c>
      <c r="AL22" s="322">
        <f t="shared" si="8"/>
        <v>1.5</v>
      </c>
      <c r="AM22" s="322">
        <f t="shared" si="8"/>
        <v>1.5</v>
      </c>
      <c r="AN22" s="322">
        <f t="shared" si="8"/>
        <v>1.5</v>
      </c>
      <c r="AO22" s="322">
        <f t="shared" si="8"/>
        <v>1.5</v>
      </c>
    </row>
    <row r="23" spans="1:41" ht="16.5" customHeight="1">
      <c r="A23" s="489" t="s">
        <v>232</v>
      </c>
      <c r="B23" s="67"/>
      <c r="C23" s="456"/>
      <c r="D23" s="444" t="s">
        <v>809</v>
      </c>
      <c r="E23" s="444" t="s">
        <v>890</v>
      </c>
      <c r="F23" s="467" t="s">
        <v>5</v>
      </c>
      <c r="G23" s="138" t="s">
        <v>21</v>
      </c>
      <c r="H23" s="347">
        <v>78.400000000000048</v>
      </c>
      <c r="I23" s="382">
        <f t="shared" si="0"/>
        <v>78.400000000000077</v>
      </c>
      <c r="J23" s="319">
        <f t="shared" si="6"/>
        <v>78.400000000000048</v>
      </c>
      <c r="L23" s="319">
        <f t="shared" si="6"/>
        <v>78.400000000000048</v>
      </c>
      <c r="M23" s="319">
        <f t="shared" si="6"/>
        <v>78.400000000000048</v>
      </c>
      <c r="N23" s="319">
        <f t="shared" si="6"/>
        <v>78.400000000000048</v>
      </c>
      <c r="O23" s="319">
        <f t="shared" si="6"/>
        <v>78.400000000000048</v>
      </c>
      <c r="P23" s="319">
        <f t="shared" si="6"/>
        <v>78.400000000000048</v>
      </c>
      <c r="Q23" s="319">
        <f t="shared" si="6"/>
        <v>78.400000000000048</v>
      </c>
      <c r="R23" s="319">
        <f t="shared" si="6"/>
        <v>78.400000000000048</v>
      </c>
      <c r="S23" s="319">
        <f t="shared" si="6"/>
        <v>78.400000000000048</v>
      </c>
      <c r="T23" s="319">
        <f t="shared" si="6"/>
        <v>78.400000000000048</v>
      </c>
      <c r="U23" s="319">
        <f t="shared" si="7"/>
        <v>78.400000000000048</v>
      </c>
      <c r="V23" s="319">
        <f t="shared" si="7"/>
        <v>78.400000000000048</v>
      </c>
      <c r="W23" s="319">
        <f t="shared" si="7"/>
        <v>78.400000000000048</v>
      </c>
      <c r="X23" s="319">
        <f t="shared" si="7"/>
        <v>78.400000000000048</v>
      </c>
      <c r="Y23" s="319">
        <f t="shared" si="7"/>
        <v>78.400000000000048</v>
      </c>
      <c r="Z23" s="319">
        <f t="shared" si="7"/>
        <v>78.400000000000048</v>
      </c>
      <c r="AA23" s="319">
        <f t="shared" si="7"/>
        <v>78.400000000000048</v>
      </c>
      <c r="AB23" s="319">
        <f t="shared" si="7"/>
        <v>78.400000000000048</v>
      </c>
      <c r="AC23" s="319">
        <f t="shared" si="7"/>
        <v>78.400000000000048</v>
      </c>
      <c r="AD23" s="319">
        <f t="shared" si="7"/>
        <v>78.400000000000048</v>
      </c>
      <c r="AE23" s="319">
        <f t="shared" si="8"/>
        <v>78.400000000000048</v>
      </c>
      <c r="AF23" s="319">
        <f t="shared" si="8"/>
        <v>78.400000000000048</v>
      </c>
      <c r="AG23" s="319">
        <f t="shared" si="8"/>
        <v>78.400000000000048</v>
      </c>
      <c r="AH23" s="319">
        <f t="shared" si="8"/>
        <v>78.400000000000048</v>
      </c>
      <c r="AI23" s="319">
        <f t="shared" si="8"/>
        <v>78.400000000000048</v>
      </c>
      <c r="AJ23" s="319">
        <f t="shared" si="8"/>
        <v>78.400000000000048</v>
      </c>
      <c r="AK23" s="319">
        <f t="shared" si="8"/>
        <v>78.400000000000048</v>
      </c>
      <c r="AL23" s="319">
        <f t="shared" si="8"/>
        <v>78.400000000000048</v>
      </c>
      <c r="AM23" s="319">
        <f t="shared" si="8"/>
        <v>78.400000000000048</v>
      </c>
      <c r="AN23" s="319">
        <f t="shared" si="8"/>
        <v>78.400000000000048</v>
      </c>
      <c r="AO23" s="319">
        <f t="shared" si="8"/>
        <v>78.400000000000048</v>
      </c>
    </row>
    <row r="24" spans="1:41" ht="18.75">
      <c r="A24" s="489"/>
      <c r="B24" s="341"/>
      <c r="C24" s="453"/>
      <c r="D24" s="444" t="s">
        <v>810</v>
      </c>
      <c r="E24" s="444" t="s">
        <v>891</v>
      </c>
      <c r="F24" s="465" t="s">
        <v>5</v>
      </c>
      <c r="G24" s="132" t="s">
        <v>70</v>
      </c>
      <c r="H24" s="348">
        <v>2.100000000000001</v>
      </c>
      <c r="I24" s="380">
        <f t="shared" si="0"/>
        <v>2.100000000000001</v>
      </c>
      <c r="J24" s="320">
        <f t="shared" si="6"/>
        <v>2.100000000000001</v>
      </c>
      <c r="L24" s="320">
        <f t="shared" si="6"/>
        <v>2.100000000000001</v>
      </c>
      <c r="M24" s="320">
        <f t="shared" si="6"/>
        <v>2.100000000000001</v>
      </c>
      <c r="N24" s="320">
        <f t="shared" si="6"/>
        <v>2.100000000000001</v>
      </c>
      <c r="O24" s="320">
        <f t="shared" si="6"/>
        <v>2.100000000000001</v>
      </c>
      <c r="P24" s="320">
        <f t="shared" si="6"/>
        <v>2.100000000000001</v>
      </c>
      <c r="Q24" s="320">
        <f t="shared" si="6"/>
        <v>2.100000000000001</v>
      </c>
      <c r="R24" s="320">
        <f t="shared" si="6"/>
        <v>2.100000000000001</v>
      </c>
      <c r="S24" s="320">
        <f t="shared" si="6"/>
        <v>2.100000000000001</v>
      </c>
      <c r="T24" s="320">
        <f t="shared" si="6"/>
        <v>2.100000000000001</v>
      </c>
      <c r="U24" s="320">
        <f t="shared" si="7"/>
        <v>2.100000000000001</v>
      </c>
      <c r="V24" s="320">
        <f t="shared" si="7"/>
        <v>2.100000000000001</v>
      </c>
      <c r="W24" s="320">
        <f t="shared" si="7"/>
        <v>2.100000000000001</v>
      </c>
      <c r="X24" s="320">
        <f t="shared" si="7"/>
        <v>2.100000000000001</v>
      </c>
      <c r="Y24" s="320">
        <f t="shared" si="7"/>
        <v>2.100000000000001</v>
      </c>
      <c r="Z24" s="320">
        <f t="shared" si="7"/>
        <v>2.100000000000001</v>
      </c>
      <c r="AA24" s="320">
        <f t="shared" si="7"/>
        <v>2.100000000000001</v>
      </c>
      <c r="AB24" s="320">
        <f t="shared" si="7"/>
        <v>2.100000000000001</v>
      </c>
      <c r="AC24" s="320">
        <f t="shared" si="7"/>
        <v>2.100000000000001</v>
      </c>
      <c r="AD24" s="320">
        <f t="shared" si="7"/>
        <v>2.100000000000001</v>
      </c>
      <c r="AE24" s="320">
        <f t="shared" si="8"/>
        <v>2.100000000000001</v>
      </c>
      <c r="AF24" s="320">
        <f t="shared" si="8"/>
        <v>2.100000000000001</v>
      </c>
      <c r="AG24" s="320">
        <f t="shared" si="8"/>
        <v>2.100000000000001</v>
      </c>
      <c r="AH24" s="320">
        <f t="shared" si="8"/>
        <v>2.100000000000001</v>
      </c>
      <c r="AI24" s="320">
        <f t="shared" si="8"/>
        <v>2.100000000000001</v>
      </c>
      <c r="AJ24" s="320">
        <f t="shared" si="8"/>
        <v>2.100000000000001</v>
      </c>
      <c r="AK24" s="320">
        <f t="shared" si="8"/>
        <v>2.100000000000001</v>
      </c>
      <c r="AL24" s="320">
        <f t="shared" si="8"/>
        <v>2.100000000000001</v>
      </c>
      <c r="AM24" s="320">
        <f t="shared" si="8"/>
        <v>2.100000000000001</v>
      </c>
      <c r="AN24" s="320">
        <f t="shared" si="8"/>
        <v>2.100000000000001</v>
      </c>
      <c r="AO24" s="320">
        <f t="shared" si="8"/>
        <v>2.100000000000001</v>
      </c>
    </row>
    <row r="25" spans="1:41" ht="15">
      <c r="A25" s="489"/>
      <c r="B25" s="341"/>
      <c r="C25" s="453"/>
      <c r="D25" s="444" t="s">
        <v>811</v>
      </c>
      <c r="E25" s="444" t="s">
        <v>892</v>
      </c>
      <c r="F25" s="465" t="s">
        <v>5</v>
      </c>
      <c r="G25" s="132" t="s">
        <v>71</v>
      </c>
      <c r="H25" s="348">
        <v>0.10000000000000005</v>
      </c>
      <c r="I25" s="380">
        <f t="shared" si="0"/>
        <v>0.10000000000000007</v>
      </c>
      <c r="J25" s="320">
        <f t="shared" si="6"/>
        <v>0.10000000000000005</v>
      </c>
      <c r="L25" s="320">
        <f t="shared" si="6"/>
        <v>0.10000000000000005</v>
      </c>
      <c r="M25" s="320">
        <f t="shared" si="6"/>
        <v>0.10000000000000005</v>
      </c>
      <c r="N25" s="320">
        <f t="shared" si="6"/>
        <v>0.10000000000000005</v>
      </c>
      <c r="O25" s="320">
        <f t="shared" si="6"/>
        <v>0.10000000000000005</v>
      </c>
      <c r="P25" s="320">
        <f t="shared" si="6"/>
        <v>0.10000000000000005</v>
      </c>
      <c r="Q25" s="320">
        <f t="shared" si="6"/>
        <v>0.10000000000000005</v>
      </c>
      <c r="R25" s="320">
        <f t="shared" si="6"/>
        <v>0.10000000000000005</v>
      </c>
      <c r="S25" s="320">
        <f t="shared" si="6"/>
        <v>0.10000000000000005</v>
      </c>
      <c r="T25" s="320">
        <f t="shared" si="6"/>
        <v>0.10000000000000005</v>
      </c>
      <c r="U25" s="320">
        <f t="shared" si="7"/>
        <v>0.10000000000000005</v>
      </c>
      <c r="V25" s="320">
        <f t="shared" si="7"/>
        <v>0.10000000000000005</v>
      </c>
      <c r="W25" s="320">
        <f t="shared" si="7"/>
        <v>0.10000000000000005</v>
      </c>
      <c r="X25" s="320">
        <f t="shared" si="7"/>
        <v>0.10000000000000005</v>
      </c>
      <c r="Y25" s="320">
        <f t="shared" si="7"/>
        <v>0.10000000000000005</v>
      </c>
      <c r="Z25" s="320">
        <f t="shared" si="7"/>
        <v>0.10000000000000005</v>
      </c>
      <c r="AA25" s="320">
        <f t="shared" si="7"/>
        <v>0.10000000000000005</v>
      </c>
      <c r="AB25" s="320">
        <f t="shared" si="7"/>
        <v>0.10000000000000005</v>
      </c>
      <c r="AC25" s="320">
        <f t="shared" si="7"/>
        <v>0.10000000000000005</v>
      </c>
      <c r="AD25" s="320">
        <f t="shared" si="7"/>
        <v>0.10000000000000005</v>
      </c>
      <c r="AE25" s="320">
        <f t="shared" si="8"/>
        <v>0.10000000000000005</v>
      </c>
      <c r="AF25" s="320">
        <f t="shared" si="8"/>
        <v>0.10000000000000005</v>
      </c>
      <c r="AG25" s="320">
        <f t="shared" si="8"/>
        <v>0.10000000000000005</v>
      </c>
      <c r="AH25" s="320">
        <f t="shared" si="8"/>
        <v>0.10000000000000005</v>
      </c>
      <c r="AI25" s="320">
        <f t="shared" si="8"/>
        <v>0.10000000000000005</v>
      </c>
      <c r="AJ25" s="320">
        <f t="shared" si="8"/>
        <v>0.10000000000000005</v>
      </c>
      <c r="AK25" s="320">
        <f t="shared" si="8"/>
        <v>0.10000000000000005</v>
      </c>
      <c r="AL25" s="320">
        <f t="shared" si="8"/>
        <v>0.10000000000000005</v>
      </c>
      <c r="AM25" s="320">
        <f t="shared" si="8"/>
        <v>0.10000000000000005</v>
      </c>
      <c r="AN25" s="320">
        <f t="shared" si="8"/>
        <v>0.10000000000000005</v>
      </c>
      <c r="AO25" s="320">
        <f t="shared" si="8"/>
        <v>0.10000000000000005</v>
      </c>
    </row>
    <row r="26" spans="1:41" ht="18.75">
      <c r="A26" s="489"/>
      <c r="B26" s="341"/>
      <c r="C26" s="453"/>
      <c r="D26" s="444" t="s">
        <v>812</v>
      </c>
      <c r="E26" s="444" t="s">
        <v>893</v>
      </c>
      <c r="F26" s="465" t="s">
        <v>5</v>
      </c>
      <c r="G26" s="132" t="s">
        <v>15</v>
      </c>
      <c r="H26" s="348">
        <v>19.3</v>
      </c>
      <c r="I26" s="380">
        <f t="shared" si="0"/>
        <v>19.299999999999997</v>
      </c>
      <c r="J26" s="320">
        <f t="shared" si="6"/>
        <v>19.3</v>
      </c>
      <c r="L26" s="320">
        <f t="shared" si="6"/>
        <v>19.3</v>
      </c>
      <c r="M26" s="320">
        <f t="shared" si="6"/>
        <v>19.3</v>
      </c>
      <c r="N26" s="320">
        <f t="shared" si="6"/>
        <v>19.3</v>
      </c>
      <c r="O26" s="320">
        <f t="shared" si="6"/>
        <v>19.3</v>
      </c>
      <c r="P26" s="320">
        <f t="shared" si="6"/>
        <v>19.3</v>
      </c>
      <c r="Q26" s="320">
        <f t="shared" si="6"/>
        <v>19.3</v>
      </c>
      <c r="R26" s="320">
        <f t="shared" si="6"/>
        <v>19.3</v>
      </c>
      <c r="S26" s="320">
        <f t="shared" si="6"/>
        <v>19.3</v>
      </c>
      <c r="T26" s="320">
        <f t="shared" si="6"/>
        <v>19.3</v>
      </c>
      <c r="U26" s="320">
        <f t="shared" si="7"/>
        <v>19.3</v>
      </c>
      <c r="V26" s="320">
        <f t="shared" si="7"/>
        <v>19.3</v>
      </c>
      <c r="W26" s="320">
        <f t="shared" si="7"/>
        <v>19.3</v>
      </c>
      <c r="X26" s="320">
        <f t="shared" si="7"/>
        <v>19.3</v>
      </c>
      <c r="Y26" s="320">
        <f t="shared" si="7"/>
        <v>19.3</v>
      </c>
      <c r="Z26" s="320">
        <f t="shared" si="7"/>
        <v>19.3</v>
      </c>
      <c r="AA26" s="320">
        <f t="shared" si="7"/>
        <v>19.3</v>
      </c>
      <c r="AB26" s="320">
        <f t="shared" si="7"/>
        <v>19.3</v>
      </c>
      <c r="AC26" s="320">
        <f t="shared" si="7"/>
        <v>19.3</v>
      </c>
      <c r="AD26" s="320">
        <f t="shared" si="7"/>
        <v>19.3</v>
      </c>
      <c r="AE26" s="320">
        <f t="shared" si="8"/>
        <v>19.3</v>
      </c>
      <c r="AF26" s="320">
        <f t="shared" si="8"/>
        <v>19.3</v>
      </c>
      <c r="AG26" s="320">
        <f t="shared" si="8"/>
        <v>19.3</v>
      </c>
      <c r="AH26" s="320">
        <f t="shared" si="8"/>
        <v>19.3</v>
      </c>
      <c r="AI26" s="320">
        <f t="shared" si="8"/>
        <v>19.3</v>
      </c>
      <c r="AJ26" s="320">
        <f t="shared" si="8"/>
        <v>19.3</v>
      </c>
      <c r="AK26" s="320">
        <f t="shared" si="8"/>
        <v>19.3</v>
      </c>
      <c r="AL26" s="320">
        <f t="shared" si="8"/>
        <v>19.3</v>
      </c>
      <c r="AM26" s="320">
        <f t="shared" si="8"/>
        <v>19.3</v>
      </c>
      <c r="AN26" s="320">
        <f t="shared" si="8"/>
        <v>19.3</v>
      </c>
      <c r="AO26" s="320">
        <f t="shared" si="8"/>
        <v>19.3</v>
      </c>
    </row>
    <row r="27" spans="1:41" ht="19.5" thickBot="1">
      <c r="A27" s="489"/>
      <c r="B27" s="74"/>
      <c r="C27" s="457"/>
      <c r="D27" s="444" t="s">
        <v>813</v>
      </c>
      <c r="E27" s="444" t="s">
        <v>894</v>
      </c>
      <c r="F27" s="468" t="s">
        <v>5</v>
      </c>
      <c r="G27" s="136" t="s">
        <v>78</v>
      </c>
      <c r="H27" s="349">
        <v>1.3999999999999992</v>
      </c>
      <c r="I27" s="383">
        <f t="shared" si="0"/>
        <v>1.3999999999999988</v>
      </c>
      <c r="J27" s="323">
        <f t="shared" si="6"/>
        <v>1.3999999999999992</v>
      </c>
      <c r="L27" s="323">
        <f t="shared" si="6"/>
        <v>1.3999999999999992</v>
      </c>
      <c r="M27" s="323">
        <f t="shared" si="6"/>
        <v>1.3999999999999992</v>
      </c>
      <c r="N27" s="323">
        <f t="shared" si="6"/>
        <v>1.3999999999999992</v>
      </c>
      <c r="O27" s="323">
        <f t="shared" si="6"/>
        <v>1.3999999999999992</v>
      </c>
      <c r="P27" s="323">
        <f t="shared" si="6"/>
        <v>1.3999999999999992</v>
      </c>
      <c r="Q27" s="323">
        <f t="shared" si="6"/>
        <v>1.3999999999999992</v>
      </c>
      <c r="R27" s="323">
        <f t="shared" si="6"/>
        <v>1.3999999999999992</v>
      </c>
      <c r="S27" s="323">
        <f t="shared" si="6"/>
        <v>1.3999999999999992</v>
      </c>
      <c r="T27" s="323">
        <f t="shared" si="6"/>
        <v>1.3999999999999992</v>
      </c>
      <c r="U27" s="323">
        <f t="shared" si="7"/>
        <v>1.3999999999999992</v>
      </c>
      <c r="V27" s="323">
        <f t="shared" si="7"/>
        <v>1.3999999999999992</v>
      </c>
      <c r="W27" s="323">
        <f t="shared" si="7"/>
        <v>1.3999999999999992</v>
      </c>
      <c r="X27" s="323">
        <f t="shared" si="7"/>
        <v>1.3999999999999992</v>
      </c>
      <c r="Y27" s="323">
        <f t="shared" si="7"/>
        <v>1.3999999999999992</v>
      </c>
      <c r="Z27" s="323">
        <f t="shared" si="7"/>
        <v>1.3999999999999992</v>
      </c>
      <c r="AA27" s="323">
        <f t="shared" si="7"/>
        <v>1.3999999999999992</v>
      </c>
      <c r="AB27" s="323">
        <f t="shared" si="7"/>
        <v>1.3999999999999992</v>
      </c>
      <c r="AC27" s="323">
        <f t="shared" si="7"/>
        <v>1.3999999999999992</v>
      </c>
      <c r="AD27" s="323">
        <f t="shared" si="7"/>
        <v>1.3999999999999992</v>
      </c>
      <c r="AE27" s="323">
        <f t="shared" si="8"/>
        <v>1.3999999999999992</v>
      </c>
      <c r="AF27" s="323">
        <f t="shared" si="8"/>
        <v>1.3999999999999992</v>
      </c>
      <c r="AG27" s="323">
        <f t="shared" si="8"/>
        <v>1.3999999999999992</v>
      </c>
      <c r="AH27" s="323">
        <f t="shared" si="8"/>
        <v>1.3999999999999992</v>
      </c>
      <c r="AI27" s="323">
        <f t="shared" si="8"/>
        <v>1.3999999999999992</v>
      </c>
      <c r="AJ27" s="323">
        <f t="shared" si="8"/>
        <v>1.3999999999999992</v>
      </c>
      <c r="AK27" s="323">
        <f t="shared" si="8"/>
        <v>1.3999999999999992</v>
      </c>
      <c r="AL27" s="323">
        <f t="shared" si="8"/>
        <v>1.3999999999999992</v>
      </c>
      <c r="AM27" s="323">
        <f t="shared" si="8"/>
        <v>1.3999999999999992</v>
      </c>
      <c r="AN27" s="323">
        <f t="shared" si="8"/>
        <v>1.3999999999999992</v>
      </c>
      <c r="AO27" s="323">
        <f t="shared" si="8"/>
        <v>1.3999999999999992</v>
      </c>
    </row>
    <row r="28" spans="1:41" ht="16.5" customHeight="1">
      <c r="A28" s="488" t="s">
        <v>231</v>
      </c>
      <c r="B28" s="72"/>
      <c r="C28" s="455"/>
      <c r="D28" s="444" t="s">
        <v>814</v>
      </c>
      <c r="E28" s="444" t="s">
        <v>895</v>
      </c>
      <c r="F28" s="464" t="s">
        <v>5</v>
      </c>
      <c r="G28" s="131" t="s">
        <v>21</v>
      </c>
      <c r="H28" s="350">
        <v>95.199999999999974</v>
      </c>
      <c r="I28" s="379">
        <f t="shared" si="0"/>
        <v>95.199999999999946</v>
      </c>
      <c r="J28" s="321">
        <f t="shared" ref="J28:T37" si="9">$H28</f>
        <v>95.199999999999974</v>
      </c>
      <c r="L28" s="321">
        <f t="shared" si="9"/>
        <v>95.199999999999974</v>
      </c>
      <c r="M28" s="321">
        <f t="shared" si="9"/>
        <v>95.199999999999974</v>
      </c>
      <c r="N28" s="321">
        <f t="shared" si="9"/>
        <v>95.199999999999974</v>
      </c>
      <c r="O28" s="321">
        <f t="shared" si="9"/>
        <v>95.199999999999974</v>
      </c>
      <c r="P28" s="321">
        <f t="shared" si="9"/>
        <v>95.199999999999974</v>
      </c>
      <c r="Q28" s="321">
        <f t="shared" si="9"/>
        <v>95.199999999999974</v>
      </c>
      <c r="R28" s="321">
        <f t="shared" si="9"/>
        <v>95.199999999999974</v>
      </c>
      <c r="S28" s="321">
        <f t="shared" si="9"/>
        <v>95.199999999999974</v>
      </c>
      <c r="T28" s="321">
        <f t="shared" si="9"/>
        <v>95.199999999999974</v>
      </c>
      <c r="U28" s="321">
        <f t="shared" ref="U28:AD37" si="10">$H28</f>
        <v>95.199999999999974</v>
      </c>
      <c r="V28" s="321">
        <f t="shared" si="10"/>
        <v>95.199999999999974</v>
      </c>
      <c r="W28" s="321">
        <f t="shared" si="10"/>
        <v>95.199999999999974</v>
      </c>
      <c r="X28" s="321">
        <f t="shared" si="10"/>
        <v>95.199999999999974</v>
      </c>
      <c r="Y28" s="321">
        <f t="shared" si="10"/>
        <v>95.199999999999974</v>
      </c>
      <c r="Z28" s="321">
        <f t="shared" si="10"/>
        <v>95.199999999999974</v>
      </c>
      <c r="AA28" s="321">
        <f t="shared" si="10"/>
        <v>95.199999999999974</v>
      </c>
      <c r="AB28" s="321">
        <f t="shared" si="10"/>
        <v>95.199999999999974</v>
      </c>
      <c r="AC28" s="321">
        <f t="shared" si="10"/>
        <v>95.199999999999974</v>
      </c>
      <c r="AD28" s="321">
        <f t="shared" si="10"/>
        <v>95.199999999999974</v>
      </c>
      <c r="AE28" s="321">
        <f t="shared" ref="AE28:AO37" si="11">$H28</f>
        <v>95.199999999999974</v>
      </c>
      <c r="AF28" s="321">
        <f t="shared" si="11"/>
        <v>95.199999999999974</v>
      </c>
      <c r="AG28" s="321">
        <f t="shared" si="11"/>
        <v>95.199999999999974</v>
      </c>
      <c r="AH28" s="321">
        <f t="shared" si="11"/>
        <v>95.199999999999974</v>
      </c>
      <c r="AI28" s="321">
        <f t="shared" si="11"/>
        <v>95.199999999999974</v>
      </c>
      <c r="AJ28" s="321">
        <f t="shared" si="11"/>
        <v>95.199999999999974</v>
      </c>
      <c r="AK28" s="321">
        <f t="shared" si="11"/>
        <v>95.199999999999974</v>
      </c>
      <c r="AL28" s="321">
        <f t="shared" si="11"/>
        <v>95.199999999999974</v>
      </c>
      <c r="AM28" s="321">
        <f t="shared" si="11"/>
        <v>95.199999999999974</v>
      </c>
      <c r="AN28" s="321">
        <f t="shared" si="11"/>
        <v>95.199999999999974</v>
      </c>
      <c r="AO28" s="321">
        <f t="shared" si="11"/>
        <v>95.199999999999974</v>
      </c>
    </row>
    <row r="29" spans="1:41" ht="18.75">
      <c r="A29" s="489"/>
      <c r="B29" s="341"/>
      <c r="C29" s="453"/>
      <c r="D29" s="444" t="s">
        <v>815</v>
      </c>
      <c r="E29" s="444" t="s">
        <v>896</v>
      </c>
      <c r="F29" s="465" t="s">
        <v>5</v>
      </c>
      <c r="G29" s="132" t="s">
        <v>70</v>
      </c>
      <c r="H29" s="348">
        <v>2.5999999999999996</v>
      </c>
      <c r="I29" s="380">
        <f t="shared" si="0"/>
        <v>2.5999999999999992</v>
      </c>
      <c r="J29" s="320">
        <f t="shared" si="9"/>
        <v>2.5999999999999996</v>
      </c>
      <c r="L29" s="320">
        <f t="shared" si="9"/>
        <v>2.5999999999999996</v>
      </c>
      <c r="M29" s="320">
        <f t="shared" si="9"/>
        <v>2.5999999999999996</v>
      </c>
      <c r="N29" s="320">
        <f t="shared" si="9"/>
        <v>2.5999999999999996</v>
      </c>
      <c r="O29" s="320">
        <f t="shared" si="9"/>
        <v>2.5999999999999996</v>
      </c>
      <c r="P29" s="320">
        <f t="shared" si="9"/>
        <v>2.5999999999999996</v>
      </c>
      <c r="Q29" s="320">
        <f t="shared" si="9"/>
        <v>2.5999999999999996</v>
      </c>
      <c r="R29" s="320">
        <f t="shared" si="9"/>
        <v>2.5999999999999996</v>
      </c>
      <c r="S29" s="320">
        <f t="shared" si="9"/>
        <v>2.5999999999999996</v>
      </c>
      <c r="T29" s="320">
        <f t="shared" si="9"/>
        <v>2.5999999999999996</v>
      </c>
      <c r="U29" s="320">
        <f t="shared" si="10"/>
        <v>2.5999999999999996</v>
      </c>
      <c r="V29" s="320">
        <f t="shared" si="10"/>
        <v>2.5999999999999996</v>
      </c>
      <c r="W29" s="320">
        <f t="shared" si="10"/>
        <v>2.5999999999999996</v>
      </c>
      <c r="X29" s="320">
        <f t="shared" si="10"/>
        <v>2.5999999999999996</v>
      </c>
      <c r="Y29" s="320">
        <f t="shared" si="10"/>
        <v>2.5999999999999996</v>
      </c>
      <c r="Z29" s="320">
        <f t="shared" si="10"/>
        <v>2.5999999999999996</v>
      </c>
      <c r="AA29" s="320">
        <f t="shared" si="10"/>
        <v>2.5999999999999996</v>
      </c>
      <c r="AB29" s="320">
        <f t="shared" si="10"/>
        <v>2.5999999999999996</v>
      </c>
      <c r="AC29" s="320">
        <f t="shared" si="10"/>
        <v>2.5999999999999996</v>
      </c>
      <c r="AD29" s="320">
        <f t="shared" si="10"/>
        <v>2.5999999999999996</v>
      </c>
      <c r="AE29" s="320">
        <f t="shared" si="11"/>
        <v>2.5999999999999996</v>
      </c>
      <c r="AF29" s="320">
        <f t="shared" si="11"/>
        <v>2.5999999999999996</v>
      </c>
      <c r="AG29" s="320">
        <f t="shared" si="11"/>
        <v>2.5999999999999996</v>
      </c>
      <c r="AH29" s="320">
        <f t="shared" si="11"/>
        <v>2.5999999999999996</v>
      </c>
      <c r="AI29" s="320">
        <f t="shared" si="11"/>
        <v>2.5999999999999996</v>
      </c>
      <c r="AJ29" s="320">
        <f t="shared" si="11"/>
        <v>2.5999999999999996</v>
      </c>
      <c r="AK29" s="320">
        <f t="shared" si="11"/>
        <v>2.5999999999999996</v>
      </c>
      <c r="AL29" s="320">
        <f t="shared" si="11"/>
        <v>2.5999999999999996</v>
      </c>
      <c r="AM29" s="320">
        <f t="shared" si="11"/>
        <v>2.5999999999999996</v>
      </c>
      <c r="AN29" s="320">
        <f t="shared" si="11"/>
        <v>2.5999999999999996</v>
      </c>
      <c r="AO29" s="320">
        <f t="shared" si="11"/>
        <v>2.5999999999999996</v>
      </c>
    </row>
    <row r="30" spans="1:41" ht="15">
      <c r="A30" s="489"/>
      <c r="B30" s="341"/>
      <c r="C30" s="453"/>
      <c r="D30" s="444" t="s">
        <v>816</v>
      </c>
      <c r="E30" s="444" t="s">
        <v>897</v>
      </c>
      <c r="F30" s="465" t="s">
        <v>5</v>
      </c>
      <c r="G30" s="132" t="s">
        <v>71</v>
      </c>
      <c r="H30" s="348">
        <v>0.10000000000000005</v>
      </c>
      <c r="I30" s="380">
        <f t="shared" si="0"/>
        <v>0.10000000000000007</v>
      </c>
      <c r="J30" s="320">
        <f t="shared" si="9"/>
        <v>0.10000000000000005</v>
      </c>
      <c r="L30" s="320">
        <f t="shared" si="9"/>
        <v>0.10000000000000005</v>
      </c>
      <c r="M30" s="320">
        <f t="shared" si="9"/>
        <v>0.10000000000000005</v>
      </c>
      <c r="N30" s="320">
        <f t="shared" si="9"/>
        <v>0.10000000000000005</v>
      </c>
      <c r="O30" s="320">
        <f t="shared" si="9"/>
        <v>0.10000000000000005</v>
      </c>
      <c r="P30" s="320">
        <f t="shared" si="9"/>
        <v>0.10000000000000005</v>
      </c>
      <c r="Q30" s="320">
        <f t="shared" si="9"/>
        <v>0.10000000000000005</v>
      </c>
      <c r="R30" s="320">
        <f t="shared" si="9"/>
        <v>0.10000000000000005</v>
      </c>
      <c r="S30" s="320">
        <f t="shared" si="9"/>
        <v>0.10000000000000005</v>
      </c>
      <c r="T30" s="320">
        <f t="shared" si="9"/>
        <v>0.10000000000000005</v>
      </c>
      <c r="U30" s="320">
        <f t="shared" si="10"/>
        <v>0.10000000000000005</v>
      </c>
      <c r="V30" s="320">
        <f t="shared" si="10"/>
        <v>0.10000000000000005</v>
      </c>
      <c r="W30" s="320">
        <f t="shared" si="10"/>
        <v>0.10000000000000005</v>
      </c>
      <c r="X30" s="320">
        <f t="shared" si="10"/>
        <v>0.10000000000000005</v>
      </c>
      <c r="Y30" s="320">
        <f t="shared" si="10"/>
        <v>0.10000000000000005</v>
      </c>
      <c r="Z30" s="320">
        <f t="shared" si="10"/>
        <v>0.10000000000000005</v>
      </c>
      <c r="AA30" s="320">
        <f t="shared" si="10"/>
        <v>0.10000000000000005</v>
      </c>
      <c r="AB30" s="320">
        <f t="shared" si="10"/>
        <v>0.10000000000000005</v>
      </c>
      <c r="AC30" s="320">
        <f t="shared" si="10"/>
        <v>0.10000000000000005</v>
      </c>
      <c r="AD30" s="320">
        <f t="shared" si="10"/>
        <v>0.10000000000000005</v>
      </c>
      <c r="AE30" s="320">
        <f t="shared" si="11"/>
        <v>0.10000000000000005</v>
      </c>
      <c r="AF30" s="320">
        <f t="shared" si="11"/>
        <v>0.10000000000000005</v>
      </c>
      <c r="AG30" s="320">
        <f t="shared" si="11"/>
        <v>0.10000000000000005</v>
      </c>
      <c r="AH30" s="320">
        <f t="shared" si="11"/>
        <v>0.10000000000000005</v>
      </c>
      <c r="AI30" s="320">
        <f t="shared" si="11"/>
        <v>0.10000000000000005</v>
      </c>
      <c r="AJ30" s="320">
        <f t="shared" si="11"/>
        <v>0.10000000000000005</v>
      </c>
      <c r="AK30" s="320">
        <f t="shared" si="11"/>
        <v>0.10000000000000005</v>
      </c>
      <c r="AL30" s="320">
        <f t="shared" si="11"/>
        <v>0.10000000000000005</v>
      </c>
      <c r="AM30" s="320">
        <f t="shared" si="11"/>
        <v>0.10000000000000005</v>
      </c>
      <c r="AN30" s="320">
        <f t="shared" si="11"/>
        <v>0.10000000000000005</v>
      </c>
      <c r="AO30" s="320">
        <f t="shared" si="11"/>
        <v>0.10000000000000005</v>
      </c>
    </row>
    <row r="31" spans="1:41" ht="18.75">
      <c r="A31" s="489"/>
      <c r="B31" s="341"/>
      <c r="C31" s="453"/>
      <c r="D31" s="444" t="s">
        <v>817</v>
      </c>
      <c r="E31" s="444" t="s">
        <v>898</v>
      </c>
      <c r="F31" s="465" t="s">
        <v>5</v>
      </c>
      <c r="G31" s="132" t="s">
        <v>15</v>
      </c>
      <c r="H31" s="348">
        <v>7.0000000000000034E-2</v>
      </c>
      <c r="I31" s="380">
        <f t="shared" si="0"/>
        <v>7.0000000000000034E-2</v>
      </c>
      <c r="J31" s="320">
        <f t="shared" si="9"/>
        <v>7.0000000000000034E-2</v>
      </c>
      <c r="L31" s="320">
        <f t="shared" si="9"/>
        <v>7.0000000000000034E-2</v>
      </c>
      <c r="M31" s="320">
        <f t="shared" si="9"/>
        <v>7.0000000000000034E-2</v>
      </c>
      <c r="N31" s="320">
        <f t="shared" si="9"/>
        <v>7.0000000000000034E-2</v>
      </c>
      <c r="O31" s="320">
        <f t="shared" si="9"/>
        <v>7.0000000000000034E-2</v>
      </c>
      <c r="P31" s="320">
        <f t="shared" si="9"/>
        <v>7.0000000000000034E-2</v>
      </c>
      <c r="Q31" s="320">
        <f t="shared" si="9"/>
        <v>7.0000000000000034E-2</v>
      </c>
      <c r="R31" s="320">
        <f t="shared" si="9"/>
        <v>7.0000000000000034E-2</v>
      </c>
      <c r="S31" s="320">
        <f t="shared" si="9"/>
        <v>7.0000000000000034E-2</v>
      </c>
      <c r="T31" s="320">
        <f t="shared" si="9"/>
        <v>7.0000000000000034E-2</v>
      </c>
      <c r="U31" s="320">
        <f t="shared" si="10"/>
        <v>7.0000000000000034E-2</v>
      </c>
      <c r="V31" s="320">
        <f t="shared" si="10"/>
        <v>7.0000000000000034E-2</v>
      </c>
      <c r="W31" s="320">
        <f t="shared" si="10"/>
        <v>7.0000000000000034E-2</v>
      </c>
      <c r="X31" s="320">
        <f t="shared" si="10"/>
        <v>7.0000000000000034E-2</v>
      </c>
      <c r="Y31" s="320">
        <f t="shared" si="10"/>
        <v>7.0000000000000034E-2</v>
      </c>
      <c r="Z31" s="320">
        <f t="shared" si="10"/>
        <v>7.0000000000000034E-2</v>
      </c>
      <c r="AA31" s="320">
        <f t="shared" si="10"/>
        <v>7.0000000000000034E-2</v>
      </c>
      <c r="AB31" s="320">
        <f t="shared" si="10"/>
        <v>7.0000000000000034E-2</v>
      </c>
      <c r="AC31" s="320">
        <f t="shared" si="10"/>
        <v>7.0000000000000034E-2</v>
      </c>
      <c r="AD31" s="320">
        <f t="shared" si="10"/>
        <v>7.0000000000000034E-2</v>
      </c>
      <c r="AE31" s="320">
        <f t="shared" si="11"/>
        <v>7.0000000000000034E-2</v>
      </c>
      <c r="AF31" s="320">
        <f t="shared" si="11"/>
        <v>7.0000000000000034E-2</v>
      </c>
      <c r="AG31" s="320">
        <f t="shared" si="11"/>
        <v>7.0000000000000034E-2</v>
      </c>
      <c r="AH31" s="320">
        <f t="shared" si="11"/>
        <v>7.0000000000000034E-2</v>
      </c>
      <c r="AI31" s="320">
        <f t="shared" si="11"/>
        <v>7.0000000000000034E-2</v>
      </c>
      <c r="AJ31" s="320">
        <f t="shared" si="11"/>
        <v>7.0000000000000034E-2</v>
      </c>
      <c r="AK31" s="320">
        <f t="shared" si="11"/>
        <v>7.0000000000000034E-2</v>
      </c>
      <c r="AL31" s="320">
        <f t="shared" si="11"/>
        <v>7.0000000000000034E-2</v>
      </c>
      <c r="AM31" s="320">
        <f t="shared" si="11"/>
        <v>7.0000000000000034E-2</v>
      </c>
      <c r="AN31" s="320">
        <f t="shared" si="11"/>
        <v>7.0000000000000034E-2</v>
      </c>
      <c r="AO31" s="320">
        <f t="shared" si="11"/>
        <v>7.0000000000000034E-2</v>
      </c>
    </row>
    <row r="32" spans="1:41" ht="19.5" thickBot="1">
      <c r="A32" s="490"/>
      <c r="B32" s="263"/>
      <c r="C32" s="448"/>
      <c r="D32" s="444" t="s">
        <v>818</v>
      </c>
      <c r="E32" s="444" t="s">
        <v>899</v>
      </c>
      <c r="F32" s="466" t="s">
        <v>5</v>
      </c>
      <c r="G32" s="137" t="s">
        <v>78</v>
      </c>
      <c r="H32" s="351">
        <v>1.899999999999999</v>
      </c>
      <c r="I32" s="381">
        <f t="shared" si="0"/>
        <v>1.8999999999999988</v>
      </c>
      <c r="J32" s="322">
        <f t="shared" si="9"/>
        <v>1.899999999999999</v>
      </c>
      <c r="L32" s="322">
        <f t="shared" si="9"/>
        <v>1.899999999999999</v>
      </c>
      <c r="M32" s="322">
        <f t="shared" si="9"/>
        <v>1.899999999999999</v>
      </c>
      <c r="N32" s="322">
        <f t="shared" si="9"/>
        <v>1.899999999999999</v>
      </c>
      <c r="O32" s="322">
        <f t="shared" si="9"/>
        <v>1.899999999999999</v>
      </c>
      <c r="P32" s="322">
        <f t="shared" si="9"/>
        <v>1.899999999999999</v>
      </c>
      <c r="Q32" s="322">
        <f t="shared" si="9"/>
        <v>1.899999999999999</v>
      </c>
      <c r="R32" s="322">
        <f t="shared" si="9"/>
        <v>1.899999999999999</v>
      </c>
      <c r="S32" s="322">
        <f t="shared" si="9"/>
        <v>1.899999999999999</v>
      </c>
      <c r="T32" s="322">
        <f t="shared" si="9"/>
        <v>1.899999999999999</v>
      </c>
      <c r="U32" s="322">
        <f t="shared" si="10"/>
        <v>1.899999999999999</v>
      </c>
      <c r="V32" s="322">
        <f t="shared" si="10"/>
        <v>1.899999999999999</v>
      </c>
      <c r="W32" s="322">
        <f t="shared" si="10"/>
        <v>1.899999999999999</v>
      </c>
      <c r="X32" s="322">
        <f t="shared" si="10"/>
        <v>1.899999999999999</v>
      </c>
      <c r="Y32" s="322">
        <f t="shared" si="10"/>
        <v>1.899999999999999</v>
      </c>
      <c r="Z32" s="322">
        <f t="shared" si="10"/>
        <v>1.899999999999999</v>
      </c>
      <c r="AA32" s="322">
        <f t="shared" si="10"/>
        <v>1.899999999999999</v>
      </c>
      <c r="AB32" s="322">
        <f t="shared" si="10"/>
        <v>1.899999999999999</v>
      </c>
      <c r="AC32" s="322">
        <f t="shared" si="10"/>
        <v>1.899999999999999</v>
      </c>
      <c r="AD32" s="322">
        <f t="shared" si="10"/>
        <v>1.899999999999999</v>
      </c>
      <c r="AE32" s="322">
        <f t="shared" si="11"/>
        <v>1.899999999999999</v>
      </c>
      <c r="AF32" s="322">
        <f t="shared" si="11"/>
        <v>1.899999999999999</v>
      </c>
      <c r="AG32" s="322">
        <f t="shared" si="11"/>
        <v>1.899999999999999</v>
      </c>
      <c r="AH32" s="322">
        <f t="shared" si="11"/>
        <v>1.899999999999999</v>
      </c>
      <c r="AI32" s="322">
        <f t="shared" si="11"/>
        <v>1.899999999999999</v>
      </c>
      <c r="AJ32" s="322">
        <f t="shared" si="11"/>
        <v>1.899999999999999</v>
      </c>
      <c r="AK32" s="322">
        <f t="shared" si="11"/>
        <v>1.899999999999999</v>
      </c>
      <c r="AL32" s="322">
        <f t="shared" si="11"/>
        <v>1.899999999999999</v>
      </c>
      <c r="AM32" s="322">
        <f t="shared" si="11"/>
        <v>1.899999999999999</v>
      </c>
      <c r="AN32" s="322">
        <f t="shared" si="11"/>
        <v>1.899999999999999</v>
      </c>
      <c r="AO32" s="322">
        <f t="shared" si="11"/>
        <v>1.899999999999999</v>
      </c>
    </row>
    <row r="33" spans="1:41" ht="18.75">
      <c r="A33" s="499" t="s">
        <v>223</v>
      </c>
      <c r="B33" s="67"/>
      <c r="C33" s="456"/>
      <c r="D33" s="444" t="s">
        <v>819</v>
      </c>
      <c r="E33" s="444" t="s">
        <v>900</v>
      </c>
      <c r="F33" s="467" t="s">
        <v>5</v>
      </c>
      <c r="G33" s="138" t="s">
        <v>21</v>
      </c>
      <c r="H33" s="347">
        <v>95.199999999999974</v>
      </c>
      <c r="I33" s="382">
        <f t="shared" si="0"/>
        <v>95.199999999999946</v>
      </c>
      <c r="J33" s="319">
        <f t="shared" si="9"/>
        <v>95.199999999999974</v>
      </c>
      <c r="L33" s="319">
        <f t="shared" si="9"/>
        <v>95.199999999999974</v>
      </c>
      <c r="M33" s="319">
        <f t="shared" si="9"/>
        <v>95.199999999999974</v>
      </c>
      <c r="N33" s="319">
        <f t="shared" si="9"/>
        <v>95.199999999999974</v>
      </c>
      <c r="O33" s="319">
        <f t="shared" si="9"/>
        <v>95.199999999999974</v>
      </c>
      <c r="P33" s="319">
        <f t="shared" si="9"/>
        <v>95.199999999999974</v>
      </c>
      <c r="Q33" s="319">
        <f t="shared" si="9"/>
        <v>95.199999999999974</v>
      </c>
      <c r="R33" s="319">
        <f t="shared" si="9"/>
        <v>95.199999999999974</v>
      </c>
      <c r="S33" s="319">
        <f t="shared" si="9"/>
        <v>95.199999999999974</v>
      </c>
      <c r="T33" s="319">
        <f t="shared" si="9"/>
        <v>95.199999999999974</v>
      </c>
      <c r="U33" s="319">
        <f t="shared" si="10"/>
        <v>95.199999999999974</v>
      </c>
      <c r="V33" s="319">
        <f t="shared" si="10"/>
        <v>95.199999999999974</v>
      </c>
      <c r="W33" s="319">
        <f t="shared" si="10"/>
        <v>95.199999999999974</v>
      </c>
      <c r="X33" s="319">
        <f t="shared" si="10"/>
        <v>95.199999999999974</v>
      </c>
      <c r="Y33" s="319">
        <f t="shared" si="10"/>
        <v>95.199999999999974</v>
      </c>
      <c r="Z33" s="319">
        <f t="shared" si="10"/>
        <v>95.199999999999974</v>
      </c>
      <c r="AA33" s="319">
        <f t="shared" si="10"/>
        <v>95.199999999999974</v>
      </c>
      <c r="AB33" s="319">
        <f t="shared" si="10"/>
        <v>95.199999999999974</v>
      </c>
      <c r="AC33" s="319">
        <f t="shared" si="10"/>
        <v>95.199999999999974</v>
      </c>
      <c r="AD33" s="319">
        <f t="shared" si="10"/>
        <v>95.199999999999974</v>
      </c>
      <c r="AE33" s="319">
        <f t="shared" si="11"/>
        <v>95.199999999999974</v>
      </c>
      <c r="AF33" s="319">
        <f t="shared" si="11"/>
        <v>95.199999999999974</v>
      </c>
      <c r="AG33" s="319">
        <f t="shared" si="11"/>
        <v>95.199999999999974</v>
      </c>
      <c r="AH33" s="319">
        <f t="shared" si="11"/>
        <v>95.199999999999974</v>
      </c>
      <c r="AI33" s="319">
        <f t="shared" si="11"/>
        <v>95.199999999999974</v>
      </c>
      <c r="AJ33" s="319">
        <f t="shared" si="11"/>
        <v>95.199999999999974</v>
      </c>
      <c r="AK33" s="319">
        <f t="shared" si="11"/>
        <v>95.199999999999974</v>
      </c>
      <c r="AL33" s="319">
        <f t="shared" si="11"/>
        <v>95.199999999999974</v>
      </c>
      <c r="AM33" s="319">
        <f t="shared" si="11"/>
        <v>95.199999999999974</v>
      </c>
      <c r="AN33" s="319">
        <f t="shared" si="11"/>
        <v>95.199999999999974</v>
      </c>
      <c r="AO33" s="319">
        <f t="shared" si="11"/>
        <v>95.199999999999974</v>
      </c>
    </row>
    <row r="34" spans="1:41" ht="18.75">
      <c r="A34" s="499"/>
      <c r="B34" s="341"/>
      <c r="C34" s="453"/>
      <c r="D34" s="444" t="s">
        <v>820</v>
      </c>
      <c r="E34" s="444" t="s">
        <v>901</v>
      </c>
      <c r="F34" s="465" t="s">
        <v>5</v>
      </c>
      <c r="G34" s="132" t="s">
        <v>70</v>
      </c>
      <c r="H34" s="348">
        <v>2.5999999999999996</v>
      </c>
      <c r="I34" s="380">
        <f t="shared" si="0"/>
        <v>2.5999999999999992</v>
      </c>
      <c r="J34" s="320">
        <f t="shared" si="9"/>
        <v>2.5999999999999996</v>
      </c>
      <c r="L34" s="320">
        <f t="shared" si="9"/>
        <v>2.5999999999999996</v>
      </c>
      <c r="M34" s="320">
        <f t="shared" si="9"/>
        <v>2.5999999999999996</v>
      </c>
      <c r="N34" s="320">
        <f t="shared" si="9"/>
        <v>2.5999999999999996</v>
      </c>
      <c r="O34" s="320">
        <f t="shared" si="9"/>
        <v>2.5999999999999996</v>
      </c>
      <c r="P34" s="320">
        <f t="shared" si="9"/>
        <v>2.5999999999999996</v>
      </c>
      <c r="Q34" s="320">
        <f t="shared" si="9"/>
        <v>2.5999999999999996</v>
      </c>
      <c r="R34" s="320">
        <f t="shared" si="9"/>
        <v>2.5999999999999996</v>
      </c>
      <c r="S34" s="320">
        <f t="shared" si="9"/>
        <v>2.5999999999999996</v>
      </c>
      <c r="T34" s="320">
        <f t="shared" si="9"/>
        <v>2.5999999999999996</v>
      </c>
      <c r="U34" s="320">
        <f t="shared" si="10"/>
        <v>2.5999999999999996</v>
      </c>
      <c r="V34" s="320">
        <f t="shared" si="10"/>
        <v>2.5999999999999996</v>
      </c>
      <c r="W34" s="320">
        <f t="shared" si="10"/>
        <v>2.5999999999999996</v>
      </c>
      <c r="X34" s="320">
        <f t="shared" si="10"/>
        <v>2.5999999999999996</v>
      </c>
      <c r="Y34" s="320">
        <f t="shared" si="10"/>
        <v>2.5999999999999996</v>
      </c>
      <c r="Z34" s="320">
        <f t="shared" si="10"/>
        <v>2.5999999999999996</v>
      </c>
      <c r="AA34" s="320">
        <f t="shared" si="10"/>
        <v>2.5999999999999996</v>
      </c>
      <c r="AB34" s="320">
        <f t="shared" si="10"/>
        <v>2.5999999999999996</v>
      </c>
      <c r="AC34" s="320">
        <f t="shared" si="10"/>
        <v>2.5999999999999996</v>
      </c>
      <c r="AD34" s="320">
        <f t="shared" si="10"/>
        <v>2.5999999999999996</v>
      </c>
      <c r="AE34" s="320">
        <f t="shared" si="11"/>
        <v>2.5999999999999996</v>
      </c>
      <c r="AF34" s="320">
        <f t="shared" si="11"/>
        <v>2.5999999999999996</v>
      </c>
      <c r="AG34" s="320">
        <f t="shared" si="11"/>
        <v>2.5999999999999996</v>
      </c>
      <c r="AH34" s="320">
        <f t="shared" si="11"/>
        <v>2.5999999999999996</v>
      </c>
      <c r="AI34" s="320">
        <f t="shared" si="11"/>
        <v>2.5999999999999996</v>
      </c>
      <c r="AJ34" s="320">
        <f t="shared" si="11"/>
        <v>2.5999999999999996</v>
      </c>
      <c r="AK34" s="320">
        <f t="shared" si="11"/>
        <v>2.5999999999999996</v>
      </c>
      <c r="AL34" s="320">
        <f t="shared" si="11"/>
        <v>2.5999999999999996</v>
      </c>
      <c r="AM34" s="320">
        <f t="shared" si="11"/>
        <v>2.5999999999999996</v>
      </c>
      <c r="AN34" s="320">
        <f t="shared" si="11"/>
        <v>2.5999999999999996</v>
      </c>
      <c r="AO34" s="320">
        <f t="shared" si="11"/>
        <v>2.5999999999999996</v>
      </c>
    </row>
    <row r="35" spans="1:41" ht="15">
      <c r="A35" s="499"/>
      <c r="B35" s="341"/>
      <c r="C35" s="453"/>
      <c r="D35" s="444" t="s">
        <v>821</v>
      </c>
      <c r="E35" s="444" t="s">
        <v>902</v>
      </c>
      <c r="F35" s="465" t="s">
        <v>80</v>
      </c>
      <c r="G35" s="132" t="s">
        <v>71</v>
      </c>
      <c r="H35" s="348">
        <v>0</v>
      </c>
      <c r="I35" s="380">
        <f t="shared" si="0"/>
        <v>0</v>
      </c>
      <c r="J35" s="320">
        <f t="shared" si="9"/>
        <v>0</v>
      </c>
      <c r="L35" s="320">
        <f t="shared" si="9"/>
        <v>0</v>
      </c>
      <c r="M35" s="320">
        <f t="shared" si="9"/>
        <v>0</v>
      </c>
      <c r="N35" s="320">
        <f t="shared" si="9"/>
        <v>0</v>
      </c>
      <c r="O35" s="320">
        <f t="shared" si="9"/>
        <v>0</v>
      </c>
      <c r="P35" s="320">
        <f t="shared" si="9"/>
        <v>0</v>
      </c>
      <c r="Q35" s="320">
        <f t="shared" si="9"/>
        <v>0</v>
      </c>
      <c r="R35" s="320">
        <f t="shared" si="9"/>
        <v>0</v>
      </c>
      <c r="S35" s="320">
        <f t="shared" si="9"/>
        <v>0</v>
      </c>
      <c r="T35" s="320">
        <f t="shared" si="9"/>
        <v>0</v>
      </c>
      <c r="U35" s="320">
        <f t="shared" si="10"/>
        <v>0</v>
      </c>
      <c r="V35" s="320">
        <f t="shared" si="10"/>
        <v>0</v>
      </c>
      <c r="W35" s="320">
        <f t="shared" si="10"/>
        <v>0</v>
      </c>
      <c r="X35" s="320">
        <f t="shared" si="10"/>
        <v>0</v>
      </c>
      <c r="Y35" s="320">
        <f t="shared" si="10"/>
        <v>0</v>
      </c>
      <c r="Z35" s="320">
        <f t="shared" si="10"/>
        <v>0</v>
      </c>
      <c r="AA35" s="320">
        <f t="shared" si="10"/>
        <v>0</v>
      </c>
      <c r="AB35" s="320">
        <f t="shared" si="10"/>
        <v>0</v>
      </c>
      <c r="AC35" s="320">
        <f t="shared" si="10"/>
        <v>0</v>
      </c>
      <c r="AD35" s="320">
        <f t="shared" si="10"/>
        <v>0</v>
      </c>
      <c r="AE35" s="320">
        <f t="shared" si="11"/>
        <v>0</v>
      </c>
      <c r="AF35" s="320">
        <f t="shared" si="11"/>
        <v>0</v>
      </c>
      <c r="AG35" s="320">
        <f t="shared" si="11"/>
        <v>0</v>
      </c>
      <c r="AH35" s="320">
        <f t="shared" si="11"/>
        <v>0</v>
      </c>
      <c r="AI35" s="320">
        <f t="shared" si="11"/>
        <v>0</v>
      </c>
      <c r="AJ35" s="320">
        <f t="shared" si="11"/>
        <v>0</v>
      </c>
      <c r="AK35" s="320">
        <f t="shared" si="11"/>
        <v>0</v>
      </c>
      <c r="AL35" s="320">
        <f t="shared" si="11"/>
        <v>0</v>
      </c>
      <c r="AM35" s="320">
        <f t="shared" si="11"/>
        <v>0</v>
      </c>
      <c r="AN35" s="320">
        <f t="shared" si="11"/>
        <v>0</v>
      </c>
      <c r="AO35" s="320">
        <f t="shared" si="11"/>
        <v>0</v>
      </c>
    </row>
    <row r="36" spans="1:41" ht="18.75">
      <c r="A36" s="499"/>
      <c r="B36" s="341"/>
      <c r="C36" s="453"/>
      <c r="D36" s="444" t="s">
        <v>822</v>
      </c>
      <c r="E36" s="444" t="s">
        <v>903</v>
      </c>
      <c r="F36" s="465" t="s">
        <v>80</v>
      </c>
      <c r="G36" s="132" t="s">
        <v>15</v>
      </c>
      <c r="H36" s="348">
        <v>2.0000000000000007E-2</v>
      </c>
      <c r="I36" s="380">
        <f t="shared" si="0"/>
        <v>2.0000000000000014E-2</v>
      </c>
      <c r="J36" s="320">
        <f t="shared" si="9"/>
        <v>2.0000000000000007E-2</v>
      </c>
      <c r="L36" s="320">
        <f t="shared" si="9"/>
        <v>2.0000000000000007E-2</v>
      </c>
      <c r="M36" s="320">
        <f t="shared" si="9"/>
        <v>2.0000000000000007E-2</v>
      </c>
      <c r="N36" s="320">
        <f t="shared" si="9"/>
        <v>2.0000000000000007E-2</v>
      </c>
      <c r="O36" s="320">
        <f t="shared" si="9"/>
        <v>2.0000000000000007E-2</v>
      </c>
      <c r="P36" s="320">
        <f t="shared" si="9"/>
        <v>2.0000000000000007E-2</v>
      </c>
      <c r="Q36" s="320">
        <f t="shared" si="9"/>
        <v>2.0000000000000007E-2</v>
      </c>
      <c r="R36" s="320">
        <f t="shared" si="9"/>
        <v>2.0000000000000007E-2</v>
      </c>
      <c r="S36" s="320">
        <f t="shared" si="9"/>
        <v>2.0000000000000007E-2</v>
      </c>
      <c r="T36" s="320">
        <f t="shared" si="9"/>
        <v>2.0000000000000007E-2</v>
      </c>
      <c r="U36" s="320">
        <f t="shared" si="10"/>
        <v>2.0000000000000007E-2</v>
      </c>
      <c r="V36" s="320">
        <f t="shared" si="10"/>
        <v>2.0000000000000007E-2</v>
      </c>
      <c r="W36" s="320">
        <f t="shared" si="10"/>
        <v>2.0000000000000007E-2</v>
      </c>
      <c r="X36" s="320">
        <f t="shared" si="10"/>
        <v>2.0000000000000007E-2</v>
      </c>
      <c r="Y36" s="320">
        <f t="shared" si="10"/>
        <v>2.0000000000000007E-2</v>
      </c>
      <c r="Z36" s="320">
        <f t="shared" si="10"/>
        <v>2.0000000000000007E-2</v>
      </c>
      <c r="AA36" s="320">
        <f t="shared" si="10"/>
        <v>2.0000000000000007E-2</v>
      </c>
      <c r="AB36" s="320">
        <f t="shared" si="10"/>
        <v>2.0000000000000007E-2</v>
      </c>
      <c r="AC36" s="320">
        <f t="shared" si="10"/>
        <v>2.0000000000000007E-2</v>
      </c>
      <c r="AD36" s="320">
        <f t="shared" si="10"/>
        <v>2.0000000000000007E-2</v>
      </c>
      <c r="AE36" s="320">
        <f t="shared" si="11"/>
        <v>2.0000000000000007E-2</v>
      </c>
      <c r="AF36" s="320">
        <f t="shared" si="11"/>
        <v>2.0000000000000007E-2</v>
      </c>
      <c r="AG36" s="320">
        <f t="shared" si="11"/>
        <v>2.0000000000000007E-2</v>
      </c>
      <c r="AH36" s="320">
        <f t="shared" si="11"/>
        <v>2.0000000000000007E-2</v>
      </c>
      <c r="AI36" s="320">
        <f t="shared" si="11"/>
        <v>2.0000000000000007E-2</v>
      </c>
      <c r="AJ36" s="320">
        <f t="shared" si="11"/>
        <v>2.0000000000000007E-2</v>
      </c>
      <c r="AK36" s="320">
        <f t="shared" si="11"/>
        <v>2.0000000000000007E-2</v>
      </c>
      <c r="AL36" s="320">
        <f t="shared" si="11"/>
        <v>2.0000000000000007E-2</v>
      </c>
      <c r="AM36" s="320">
        <f t="shared" si="11"/>
        <v>2.0000000000000007E-2</v>
      </c>
      <c r="AN36" s="320">
        <f t="shared" si="11"/>
        <v>2.0000000000000007E-2</v>
      </c>
      <c r="AO36" s="320">
        <f t="shared" si="11"/>
        <v>2.0000000000000007E-2</v>
      </c>
    </row>
    <row r="37" spans="1:41" ht="19.5" thickBot="1">
      <c r="A37" s="499"/>
      <c r="B37" s="74"/>
      <c r="C37" s="457"/>
      <c r="D37" s="444" t="s">
        <v>823</v>
      </c>
      <c r="E37" s="444" t="s">
        <v>904</v>
      </c>
      <c r="F37" s="468" t="s">
        <v>5</v>
      </c>
      <c r="G37" s="136" t="s">
        <v>78</v>
      </c>
      <c r="H37" s="349">
        <v>2.2000000000000011</v>
      </c>
      <c r="I37" s="383">
        <f t="shared" si="0"/>
        <v>2.2000000000000024</v>
      </c>
      <c r="J37" s="323">
        <f t="shared" si="9"/>
        <v>2.2000000000000011</v>
      </c>
      <c r="L37" s="323">
        <f t="shared" si="9"/>
        <v>2.2000000000000011</v>
      </c>
      <c r="M37" s="323">
        <f t="shared" si="9"/>
        <v>2.2000000000000011</v>
      </c>
      <c r="N37" s="323">
        <f t="shared" si="9"/>
        <v>2.2000000000000011</v>
      </c>
      <c r="O37" s="323">
        <f t="shared" si="9"/>
        <v>2.2000000000000011</v>
      </c>
      <c r="P37" s="323">
        <f t="shared" si="9"/>
        <v>2.2000000000000011</v>
      </c>
      <c r="Q37" s="323">
        <f t="shared" si="9"/>
        <v>2.2000000000000011</v>
      </c>
      <c r="R37" s="323">
        <f t="shared" si="9"/>
        <v>2.2000000000000011</v>
      </c>
      <c r="S37" s="323">
        <f t="shared" si="9"/>
        <v>2.2000000000000011</v>
      </c>
      <c r="T37" s="323">
        <f t="shared" si="9"/>
        <v>2.2000000000000011</v>
      </c>
      <c r="U37" s="323">
        <f t="shared" si="10"/>
        <v>2.2000000000000011</v>
      </c>
      <c r="V37" s="323">
        <f t="shared" si="10"/>
        <v>2.2000000000000011</v>
      </c>
      <c r="W37" s="323">
        <f t="shared" si="10"/>
        <v>2.2000000000000011</v>
      </c>
      <c r="X37" s="323">
        <f t="shared" si="10"/>
        <v>2.2000000000000011</v>
      </c>
      <c r="Y37" s="323">
        <f t="shared" si="10"/>
        <v>2.2000000000000011</v>
      </c>
      <c r="Z37" s="323">
        <f t="shared" si="10"/>
        <v>2.2000000000000011</v>
      </c>
      <c r="AA37" s="323">
        <f t="shared" si="10"/>
        <v>2.2000000000000011</v>
      </c>
      <c r="AB37" s="323">
        <f t="shared" si="10"/>
        <v>2.2000000000000011</v>
      </c>
      <c r="AC37" s="323">
        <f t="shared" si="10"/>
        <v>2.2000000000000011</v>
      </c>
      <c r="AD37" s="323">
        <f t="shared" si="10"/>
        <v>2.2000000000000011</v>
      </c>
      <c r="AE37" s="323">
        <f t="shared" si="11"/>
        <v>2.2000000000000011</v>
      </c>
      <c r="AF37" s="323">
        <f t="shared" si="11"/>
        <v>2.2000000000000011</v>
      </c>
      <c r="AG37" s="323">
        <f t="shared" si="11"/>
        <v>2.2000000000000011</v>
      </c>
      <c r="AH37" s="323">
        <f t="shared" si="11"/>
        <v>2.2000000000000011</v>
      </c>
      <c r="AI37" s="323">
        <f t="shared" si="11"/>
        <v>2.2000000000000011</v>
      </c>
      <c r="AJ37" s="323">
        <f t="shared" si="11"/>
        <v>2.2000000000000011</v>
      </c>
      <c r="AK37" s="323">
        <f t="shared" si="11"/>
        <v>2.2000000000000011</v>
      </c>
      <c r="AL37" s="323">
        <f t="shared" si="11"/>
        <v>2.2000000000000011</v>
      </c>
      <c r="AM37" s="323">
        <f t="shared" si="11"/>
        <v>2.2000000000000011</v>
      </c>
      <c r="AN37" s="323">
        <f t="shared" si="11"/>
        <v>2.2000000000000011</v>
      </c>
      <c r="AO37" s="323">
        <f t="shared" si="11"/>
        <v>2.2000000000000011</v>
      </c>
    </row>
    <row r="38" spans="1:41" ht="15.75" thickBot="1">
      <c r="A38" s="329" t="s">
        <v>82</v>
      </c>
      <c r="B38" s="155"/>
      <c r="C38" s="458"/>
      <c r="D38" s="59" t="s">
        <v>604</v>
      </c>
      <c r="E38" s="59" t="s">
        <v>905</v>
      </c>
      <c r="F38" s="469"/>
      <c r="G38" s="330"/>
      <c r="H38" s="352">
        <v>2.9999920802000015</v>
      </c>
      <c r="I38" s="384">
        <f t="shared" si="0"/>
        <v>2.9999920802000011</v>
      </c>
      <c r="J38" s="331">
        <f>(J33*2.0156/100)+(J34*28.01/100)+(J35*28.01/1000000)+(J36*44.01/1000000)+(J37*16.04/100)</f>
        <v>2.9999920801999997</v>
      </c>
      <c r="K38" s="438">
        <v>2.9999920802000002</v>
      </c>
      <c r="L38" s="331">
        <f t="shared" ref="L38:AO38" si="12">(L33*2.0156/100)+(L34*28.01/100)+(L35*28.01/1000000)+(L36*44.01/1000000)+(L37*16.04/100)</f>
        <v>2.9999920801999997</v>
      </c>
      <c r="M38" s="331">
        <f t="shared" si="12"/>
        <v>2.9999920801999997</v>
      </c>
      <c r="N38" s="331">
        <f t="shared" si="12"/>
        <v>2.9999920801999997</v>
      </c>
      <c r="O38" s="331">
        <f t="shared" si="12"/>
        <v>2.9999920801999997</v>
      </c>
      <c r="P38" s="331">
        <f t="shared" si="12"/>
        <v>2.9999920801999997</v>
      </c>
      <c r="Q38" s="331">
        <f t="shared" si="12"/>
        <v>2.9999920801999997</v>
      </c>
      <c r="R38" s="331">
        <f t="shared" si="12"/>
        <v>2.9999920801999997</v>
      </c>
      <c r="S38" s="331">
        <f t="shared" si="12"/>
        <v>2.9999920801999997</v>
      </c>
      <c r="T38" s="331">
        <f t="shared" si="12"/>
        <v>2.9999920801999997</v>
      </c>
      <c r="U38" s="331">
        <f t="shared" si="12"/>
        <v>2.9999920801999997</v>
      </c>
      <c r="V38" s="331">
        <f t="shared" si="12"/>
        <v>2.9999920801999997</v>
      </c>
      <c r="W38" s="331">
        <f t="shared" si="12"/>
        <v>2.9999920801999997</v>
      </c>
      <c r="X38" s="331">
        <f t="shared" si="12"/>
        <v>2.9999920801999997</v>
      </c>
      <c r="Y38" s="331">
        <f t="shared" si="12"/>
        <v>2.9999920801999997</v>
      </c>
      <c r="Z38" s="331">
        <f t="shared" si="12"/>
        <v>2.9999920801999997</v>
      </c>
      <c r="AA38" s="331">
        <f t="shared" si="12"/>
        <v>2.9999920801999997</v>
      </c>
      <c r="AB38" s="331">
        <f t="shared" si="12"/>
        <v>2.9999920801999997</v>
      </c>
      <c r="AC38" s="331">
        <f t="shared" si="12"/>
        <v>2.9999920801999997</v>
      </c>
      <c r="AD38" s="331">
        <f t="shared" si="12"/>
        <v>2.9999920801999997</v>
      </c>
      <c r="AE38" s="331">
        <f t="shared" si="12"/>
        <v>2.9999920801999997</v>
      </c>
      <c r="AF38" s="331">
        <f t="shared" si="12"/>
        <v>2.9999920801999997</v>
      </c>
      <c r="AG38" s="331">
        <f t="shared" si="12"/>
        <v>2.9999920801999997</v>
      </c>
      <c r="AH38" s="331">
        <f t="shared" si="12"/>
        <v>2.9999920801999997</v>
      </c>
      <c r="AI38" s="331">
        <f t="shared" si="12"/>
        <v>2.9999920801999997</v>
      </c>
      <c r="AJ38" s="331">
        <f t="shared" si="12"/>
        <v>2.9999920801999997</v>
      </c>
      <c r="AK38" s="331">
        <f t="shared" si="12"/>
        <v>2.9999920801999997</v>
      </c>
      <c r="AL38" s="331">
        <f t="shared" si="12"/>
        <v>2.9999920801999997</v>
      </c>
      <c r="AM38" s="331">
        <f t="shared" si="12"/>
        <v>2.9999920801999997</v>
      </c>
      <c r="AN38" s="331">
        <f t="shared" si="12"/>
        <v>2.9999920801999997</v>
      </c>
      <c r="AO38" s="331">
        <f t="shared" si="12"/>
        <v>2.9999920801999997</v>
      </c>
    </row>
    <row r="39" spans="1:41" ht="18.75">
      <c r="A39" s="500" t="s">
        <v>224</v>
      </c>
      <c r="B39" s="72"/>
      <c r="C39" s="455"/>
      <c r="D39" s="444" t="s">
        <v>824</v>
      </c>
      <c r="E39" s="444" t="s">
        <v>906</v>
      </c>
      <c r="F39" s="464" t="s">
        <v>5</v>
      </c>
      <c r="G39" s="131" t="s">
        <v>21</v>
      </c>
      <c r="H39" s="350">
        <v>79.599999999999952</v>
      </c>
      <c r="I39" s="379">
        <f t="shared" si="0"/>
        <v>79.599999999999923</v>
      </c>
      <c r="J39" s="321">
        <f t="shared" ref="J39:T43" si="13">$H39</f>
        <v>79.599999999999952</v>
      </c>
      <c r="L39" s="321">
        <f t="shared" si="13"/>
        <v>79.599999999999952</v>
      </c>
      <c r="M39" s="321">
        <f t="shared" si="13"/>
        <v>79.599999999999952</v>
      </c>
      <c r="N39" s="321">
        <f t="shared" si="13"/>
        <v>79.599999999999952</v>
      </c>
      <c r="O39" s="321">
        <f t="shared" si="13"/>
        <v>79.599999999999952</v>
      </c>
      <c r="P39" s="321">
        <f t="shared" si="13"/>
        <v>79.599999999999952</v>
      </c>
      <c r="Q39" s="321">
        <f t="shared" si="13"/>
        <v>79.599999999999952</v>
      </c>
      <c r="R39" s="321">
        <f t="shared" si="13"/>
        <v>79.599999999999952</v>
      </c>
      <c r="S39" s="321">
        <f t="shared" si="13"/>
        <v>79.599999999999952</v>
      </c>
      <c r="T39" s="321">
        <f t="shared" si="13"/>
        <v>79.599999999999952</v>
      </c>
      <c r="U39" s="321">
        <f t="shared" ref="U39:AD43" si="14">$H39</f>
        <v>79.599999999999952</v>
      </c>
      <c r="V39" s="321">
        <f t="shared" si="14"/>
        <v>79.599999999999952</v>
      </c>
      <c r="W39" s="321">
        <f t="shared" si="14"/>
        <v>79.599999999999952</v>
      </c>
      <c r="X39" s="321">
        <f t="shared" si="14"/>
        <v>79.599999999999952</v>
      </c>
      <c r="Y39" s="321">
        <f t="shared" si="14"/>
        <v>79.599999999999952</v>
      </c>
      <c r="Z39" s="321">
        <f t="shared" si="14"/>
        <v>79.599999999999952</v>
      </c>
      <c r="AA39" s="321">
        <f t="shared" si="14"/>
        <v>79.599999999999952</v>
      </c>
      <c r="AB39" s="321">
        <f t="shared" si="14"/>
        <v>79.599999999999952</v>
      </c>
      <c r="AC39" s="321">
        <f t="shared" si="14"/>
        <v>79.599999999999952</v>
      </c>
      <c r="AD39" s="321">
        <f t="shared" si="14"/>
        <v>79.599999999999952</v>
      </c>
      <c r="AE39" s="321">
        <f t="shared" ref="AE39:AO43" si="15">$H39</f>
        <v>79.599999999999952</v>
      </c>
      <c r="AF39" s="321">
        <f t="shared" si="15"/>
        <v>79.599999999999952</v>
      </c>
      <c r="AG39" s="321">
        <f t="shared" si="15"/>
        <v>79.599999999999952</v>
      </c>
      <c r="AH39" s="321">
        <f t="shared" si="15"/>
        <v>79.599999999999952</v>
      </c>
      <c r="AI39" s="321">
        <f t="shared" si="15"/>
        <v>79.599999999999952</v>
      </c>
      <c r="AJ39" s="321">
        <f t="shared" si="15"/>
        <v>79.599999999999952</v>
      </c>
      <c r="AK39" s="321">
        <f t="shared" si="15"/>
        <v>79.599999999999952</v>
      </c>
      <c r="AL39" s="321">
        <f t="shared" si="15"/>
        <v>79.599999999999952</v>
      </c>
      <c r="AM39" s="321">
        <f t="shared" si="15"/>
        <v>79.599999999999952</v>
      </c>
      <c r="AN39" s="321">
        <f t="shared" si="15"/>
        <v>79.599999999999952</v>
      </c>
      <c r="AO39" s="321">
        <f t="shared" si="15"/>
        <v>79.599999999999952</v>
      </c>
    </row>
    <row r="40" spans="1:41" ht="18.75">
      <c r="A40" s="499"/>
      <c r="B40" s="341"/>
      <c r="C40" s="453"/>
      <c r="D40" s="444" t="s">
        <v>825</v>
      </c>
      <c r="E40" s="444" t="s">
        <v>907</v>
      </c>
      <c r="F40" s="465" t="s">
        <v>5</v>
      </c>
      <c r="G40" s="132" t="s">
        <v>70</v>
      </c>
      <c r="H40" s="348">
        <v>12.5</v>
      </c>
      <c r="I40" s="380">
        <f t="shared" si="0"/>
        <v>12.5</v>
      </c>
      <c r="J40" s="320">
        <f t="shared" si="13"/>
        <v>12.5</v>
      </c>
      <c r="L40" s="320">
        <f t="shared" si="13"/>
        <v>12.5</v>
      </c>
      <c r="M40" s="320">
        <f t="shared" si="13"/>
        <v>12.5</v>
      </c>
      <c r="N40" s="320">
        <f t="shared" si="13"/>
        <v>12.5</v>
      </c>
      <c r="O40" s="320">
        <f t="shared" si="13"/>
        <v>12.5</v>
      </c>
      <c r="P40" s="320">
        <f t="shared" si="13"/>
        <v>12.5</v>
      </c>
      <c r="Q40" s="320">
        <f t="shared" si="13"/>
        <v>12.5</v>
      </c>
      <c r="R40" s="320">
        <f t="shared" si="13"/>
        <v>12.5</v>
      </c>
      <c r="S40" s="320">
        <f t="shared" si="13"/>
        <v>12.5</v>
      </c>
      <c r="T40" s="320">
        <f t="shared" si="13"/>
        <v>12.5</v>
      </c>
      <c r="U40" s="320">
        <f t="shared" si="14"/>
        <v>12.5</v>
      </c>
      <c r="V40" s="320">
        <f t="shared" si="14"/>
        <v>12.5</v>
      </c>
      <c r="W40" s="320">
        <f t="shared" si="14"/>
        <v>12.5</v>
      </c>
      <c r="X40" s="320">
        <f t="shared" si="14"/>
        <v>12.5</v>
      </c>
      <c r="Y40" s="320">
        <f t="shared" si="14"/>
        <v>12.5</v>
      </c>
      <c r="Z40" s="320">
        <f t="shared" si="14"/>
        <v>12.5</v>
      </c>
      <c r="AA40" s="320">
        <f t="shared" si="14"/>
        <v>12.5</v>
      </c>
      <c r="AB40" s="320">
        <f t="shared" si="14"/>
        <v>12.5</v>
      </c>
      <c r="AC40" s="320">
        <f t="shared" si="14"/>
        <v>12.5</v>
      </c>
      <c r="AD40" s="320">
        <f t="shared" si="14"/>
        <v>12.5</v>
      </c>
      <c r="AE40" s="320">
        <f t="shared" si="15"/>
        <v>12.5</v>
      </c>
      <c r="AF40" s="320">
        <f t="shared" si="15"/>
        <v>12.5</v>
      </c>
      <c r="AG40" s="320">
        <f t="shared" si="15"/>
        <v>12.5</v>
      </c>
      <c r="AH40" s="320">
        <f t="shared" si="15"/>
        <v>12.5</v>
      </c>
      <c r="AI40" s="320">
        <f t="shared" si="15"/>
        <v>12.5</v>
      </c>
      <c r="AJ40" s="320">
        <f t="shared" si="15"/>
        <v>12.5</v>
      </c>
      <c r="AK40" s="320">
        <f t="shared" si="15"/>
        <v>12.5</v>
      </c>
      <c r="AL40" s="320">
        <f t="shared" si="15"/>
        <v>12.5</v>
      </c>
      <c r="AM40" s="320">
        <f t="shared" si="15"/>
        <v>12.5</v>
      </c>
      <c r="AN40" s="320">
        <f t="shared" si="15"/>
        <v>12.5</v>
      </c>
      <c r="AO40" s="320">
        <f t="shared" si="15"/>
        <v>12.5</v>
      </c>
    </row>
    <row r="41" spans="1:41" ht="15">
      <c r="A41" s="499"/>
      <c r="B41" s="341"/>
      <c r="C41" s="453"/>
      <c r="D41" s="444" t="s">
        <v>826</v>
      </c>
      <c r="E41" s="444" t="s">
        <v>908</v>
      </c>
      <c r="F41" s="465" t="s">
        <v>5</v>
      </c>
      <c r="G41" s="132" t="s">
        <v>71</v>
      </c>
      <c r="H41" s="348">
        <v>0</v>
      </c>
      <c r="I41" s="380">
        <f t="shared" si="0"/>
        <v>0</v>
      </c>
      <c r="J41" s="320">
        <f t="shared" si="13"/>
        <v>0</v>
      </c>
      <c r="L41" s="320">
        <f t="shared" si="13"/>
        <v>0</v>
      </c>
      <c r="M41" s="320">
        <f t="shared" si="13"/>
        <v>0</v>
      </c>
      <c r="N41" s="320">
        <f t="shared" si="13"/>
        <v>0</v>
      </c>
      <c r="O41" s="320">
        <f t="shared" si="13"/>
        <v>0</v>
      </c>
      <c r="P41" s="320">
        <f t="shared" si="13"/>
        <v>0</v>
      </c>
      <c r="Q41" s="320">
        <f t="shared" si="13"/>
        <v>0</v>
      </c>
      <c r="R41" s="320">
        <f t="shared" si="13"/>
        <v>0</v>
      </c>
      <c r="S41" s="320">
        <f t="shared" si="13"/>
        <v>0</v>
      </c>
      <c r="T41" s="320">
        <f t="shared" si="13"/>
        <v>0</v>
      </c>
      <c r="U41" s="320">
        <f t="shared" si="14"/>
        <v>0</v>
      </c>
      <c r="V41" s="320">
        <f t="shared" si="14"/>
        <v>0</v>
      </c>
      <c r="W41" s="320">
        <f t="shared" si="14"/>
        <v>0</v>
      </c>
      <c r="X41" s="320">
        <f t="shared" si="14"/>
        <v>0</v>
      </c>
      <c r="Y41" s="320">
        <f t="shared" si="14"/>
        <v>0</v>
      </c>
      <c r="Z41" s="320">
        <f t="shared" si="14"/>
        <v>0</v>
      </c>
      <c r="AA41" s="320">
        <f t="shared" si="14"/>
        <v>0</v>
      </c>
      <c r="AB41" s="320">
        <f t="shared" si="14"/>
        <v>0</v>
      </c>
      <c r="AC41" s="320">
        <f t="shared" si="14"/>
        <v>0</v>
      </c>
      <c r="AD41" s="320">
        <f t="shared" si="14"/>
        <v>0</v>
      </c>
      <c r="AE41" s="320">
        <f t="shared" si="15"/>
        <v>0</v>
      </c>
      <c r="AF41" s="320">
        <f t="shared" si="15"/>
        <v>0</v>
      </c>
      <c r="AG41" s="320">
        <f t="shared" si="15"/>
        <v>0</v>
      </c>
      <c r="AH41" s="320">
        <f t="shared" si="15"/>
        <v>0</v>
      </c>
      <c r="AI41" s="320">
        <f t="shared" si="15"/>
        <v>0</v>
      </c>
      <c r="AJ41" s="320">
        <f t="shared" si="15"/>
        <v>0</v>
      </c>
      <c r="AK41" s="320">
        <f t="shared" si="15"/>
        <v>0</v>
      </c>
      <c r="AL41" s="320">
        <f t="shared" si="15"/>
        <v>0</v>
      </c>
      <c r="AM41" s="320">
        <f t="shared" si="15"/>
        <v>0</v>
      </c>
      <c r="AN41" s="320">
        <f t="shared" si="15"/>
        <v>0</v>
      </c>
      <c r="AO41" s="320">
        <f t="shared" si="15"/>
        <v>0</v>
      </c>
    </row>
    <row r="42" spans="1:41" ht="18.75">
      <c r="A42" s="499"/>
      <c r="B42" s="341"/>
      <c r="C42" s="453"/>
      <c r="D42" s="444" t="s">
        <v>827</v>
      </c>
      <c r="E42" s="444" t="s">
        <v>909</v>
      </c>
      <c r="F42" s="465" t="s">
        <v>5</v>
      </c>
      <c r="G42" s="132" t="s">
        <v>15</v>
      </c>
      <c r="H42" s="348">
        <v>0</v>
      </c>
      <c r="I42" s="380">
        <f t="shared" si="0"/>
        <v>0</v>
      </c>
      <c r="J42" s="320">
        <f t="shared" si="13"/>
        <v>0</v>
      </c>
      <c r="L42" s="320">
        <f t="shared" si="13"/>
        <v>0</v>
      </c>
      <c r="M42" s="320">
        <f t="shared" si="13"/>
        <v>0</v>
      </c>
      <c r="N42" s="320">
        <f t="shared" si="13"/>
        <v>0</v>
      </c>
      <c r="O42" s="320">
        <f t="shared" si="13"/>
        <v>0</v>
      </c>
      <c r="P42" s="320">
        <f t="shared" si="13"/>
        <v>0</v>
      </c>
      <c r="Q42" s="320">
        <f t="shared" si="13"/>
        <v>0</v>
      </c>
      <c r="R42" s="320">
        <f t="shared" si="13"/>
        <v>0</v>
      </c>
      <c r="S42" s="320">
        <f t="shared" si="13"/>
        <v>0</v>
      </c>
      <c r="T42" s="320">
        <f t="shared" si="13"/>
        <v>0</v>
      </c>
      <c r="U42" s="320">
        <f t="shared" si="14"/>
        <v>0</v>
      </c>
      <c r="V42" s="320">
        <f t="shared" si="14"/>
        <v>0</v>
      </c>
      <c r="W42" s="320">
        <f t="shared" si="14"/>
        <v>0</v>
      </c>
      <c r="X42" s="320">
        <f t="shared" si="14"/>
        <v>0</v>
      </c>
      <c r="Y42" s="320">
        <f t="shared" si="14"/>
        <v>0</v>
      </c>
      <c r="Z42" s="320">
        <f t="shared" si="14"/>
        <v>0</v>
      </c>
      <c r="AA42" s="320">
        <f t="shared" si="14"/>
        <v>0</v>
      </c>
      <c r="AB42" s="320">
        <f t="shared" si="14"/>
        <v>0</v>
      </c>
      <c r="AC42" s="320">
        <f t="shared" si="14"/>
        <v>0</v>
      </c>
      <c r="AD42" s="320">
        <f t="shared" si="14"/>
        <v>0</v>
      </c>
      <c r="AE42" s="320">
        <f t="shared" si="15"/>
        <v>0</v>
      </c>
      <c r="AF42" s="320">
        <f t="shared" si="15"/>
        <v>0</v>
      </c>
      <c r="AG42" s="320">
        <f t="shared" si="15"/>
        <v>0</v>
      </c>
      <c r="AH42" s="320">
        <f t="shared" si="15"/>
        <v>0</v>
      </c>
      <c r="AI42" s="320">
        <f t="shared" si="15"/>
        <v>0</v>
      </c>
      <c r="AJ42" s="320">
        <f t="shared" si="15"/>
        <v>0</v>
      </c>
      <c r="AK42" s="320">
        <f t="shared" si="15"/>
        <v>0</v>
      </c>
      <c r="AL42" s="320">
        <f t="shared" si="15"/>
        <v>0</v>
      </c>
      <c r="AM42" s="320">
        <f t="shared" si="15"/>
        <v>0</v>
      </c>
      <c r="AN42" s="320">
        <f t="shared" si="15"/>
        <v>0</v>
      </c>
      <c r="AO42" s="320">
        <f t="shared" si="15"/>
        <v>0</v>
      </c>
    </row>
    <row r="43" spans="1:41" ht="18.75">
      <c r="A43" s="499"/>
      <c r="B43" s="341"/>
      <c r="C43" s="453"/>
      <c r="D43" s="444" t="s">
        <v>828</v>
      </c>
      <c r="E43" s="444" t="s">
        <v>910</v>
      </c>
      <c r="F43" s="465" t="s">
        <v>5</v>
      </c>
      <c r="G43" s="132" t="s">
        <v>78</v>
      </c>
      <c r="H43" s="348">
        <v>7.9000000000000039</v>
      </c>
      <c r="I43" s="380">
        <f t="shared" si="0"/>
        <v>7.9000000000000048</v>
      </c>
      <c r="J43" s="320">
        <f t="shared" si="13"/>
        <v>7.9000000000000039</v>
      </c>
      <c r="L43" s="320">
        <f t="shared" si="13"/>
        <v>7.9000000000000039</v>
      </c>
      <c r="M43" s="320">
        <f t="shared" si="13"/>
        <v>7.9000000000000039</v>
      </c>
      <c r="N43" s="320">
        <f t="shared" si="13"/>
        <v>7.9000000000000039</v>
      </c>
      <c r="O43" s="320">
        <f t="shared" si="13"/>
        <v>7.9000000000000039</v>
      </c>
      <c r="P43" s="320">
        <f t="shared" si="13"/>
        <v>7.9000000000000039</v>
      </c>
      <c r="Q43" s="320">
        <f t="shared" si="13"/>
        <v>7.9000000000000039</v>
      </c>
      <c r="R43" s="320">
        <f t="shared" si="13"/>
        <v>7.9000000000000039</v>
      </c>
      <c r="S43" s="320">
        <f t="shared" si="13"/>
        <v>7.9000000000000039</v>
      </c>
      <c r="T43" s="320">
        <f t="shared" si="13"/>
        <v>7.9000000000000039</v>
      </c>
      <c r="U43" s="320">
        <f t="shared" si="14"/>
        <v>7.9000000000000039</v>
      </c>
      <c r="V43" s="320">
        <f t="shared" si="14"/>
        <v>7.9000000000000039</v>
      </c>
      <c r="W43" s="320">
        <f t="shared" si="14"/>
        <v>7.9000000000000039</v>
      </c>
      <c r="X43" s="320">
        <f t="shared" si="14"/>
        <v>7.9000000000000039</v>
      </c>
      <c r="Y43" s="320">
        <f t="shared" si="14"/>
        <v>7.9000000000000039</v>
      </c>
      <c r="Z43" s="320">
        <f t="shared" si="14"/>
        <v>7.9000000000000039</v>
      </c>
      <c r="AA43" s="320">
        <f t="shared" si="14"/>
        <v>7.9000000000000039</v>
      </c>
      <c r="AB43" s="320">
        <f t="shared" si="14"/>
        <v>7.9000000000000039</v>
      </c>
      <c r="AC43" s="320">
        <f t="shared" si="14"/>
        <v>7.9000000000000039</v>
      </c>
      <c r="AD43" s="320">
        <f t="shared" si="14"/>
        <v>7.9000000000000039</v>
      </c>
      <c r="AE43" s="320">
        <f t="shared" si="15"/>
        <v>7.9000000000000039</v>
      </c>
      <c r="AF43" s="320">
        <f t="shared" si="15"/>
        <v>7.9000000000000039</v>
      </c>
      <c r="AG43" s="320">
        <f t="shared" si="15"/>
        <v>7.9000000000000039</v>
      </c>
      <c r="AH43" s="320">
        <f t="shared" si="15"/>
        <v>7.9000000000000039</v>
      </c>
      <c r="AI43" s="320">
        <f t="shared" si="15"/>
        <v>7.9000000000000039</v>
      </c>
      <c r="AJ43" s="320">
        <f t="shared" si="15"/>
        <v>7.9000000000000039</v>
      </c>
      <c r="AK43" s="320">
        <f t="shared" si="15"/>
        <v>7.9000000000000039</v>
      </c>
      <c r="AL43" s="320">
        <f t="shared" si="15"/>
        <v>7.9000000000000039</v>
      </c>
      <c r="AM43" s="320">
        <f t="shared" si="15"/>
        <v>7.9000000000000039</v>
      </c>
      <c r="AN43" s="320">
        <f t="shared" si="15"/>
        <v>7.9000000000000039</v>
      </c>
      <c r="AO43" s="320">
        <f t="shared" si="15"/>
        <v>7.9000000000000039</v>
      </c>
    </row>
    <row r="44" spans="1:41" ht="15.75" thickBot="1">
      <c r="A44" s="76" t="s">
        <v>85</v>
      </c>
      <c r="B44" s="448" t="s">
        <v>603</v>
      </c>
      <c r="C44" s="449"/>
      <c r="D44" s="444" t="s">
        <v>603</v>
      </c>
      <c r="E44" s="444" t="s">
        <v>911</v>
      </c>
      <c r="F44" s="449"/>
      <c r="G44" s="450"/>
      <c r="H44" s="346">
        <v>6.3728275999999964</v>
      </c>
      <c r="I44" s="381">
        <f t="shared" si="0"/>
        <v>6.3728275999999964</v>
      </c>
      <c r="J44" s="325">
        <f>(J39*2.0156/100)+(J40*28.01/100)+(J41*28.01/100)+(J42*44.01/100)+(J43*16.04/100)</f>
        <v>6.3728275999999999</v>
      </c>
      <c r="K44" s="438"/>
      <c r="L44" s="325">
        <f t="shared" ref="L44:AO44" si="16">(L39*2.0156/100)+(L40*28.01/100)+(L41*28.01/100)+(L42*44.01/100)+(L43*16.04/100)</f>
        <v>6.3728275999999999</v>
      </c>
      <c r="M44" s="325">
        <f t="shared" si="16"/>
        <v>6.3728275999999999</v>
      </c>
      <c r="N44" s="325">
        <f t="shared" si="16"/>
        <v>6.3728275999999999</v>
      </c>
      <c r="O44" s="325">
        <f t="shared" si="16"/>
        <v>6.3728275999999999</v>
      </c>
      <c r="P44" s="325">
        <f t="shared" si="16"/>
        <v>6.3728275999999999</v>
      </c>
      <c r="Q44" s="325">
        <f t="shared" si="16"/>
        <v>6.3728275999999999</v>
      </c>
      <c r="R44" s="325">
        <f t="shared" si="16"/>
        <v>6.3728275999999999</v>
      </c>
      <c r="S44" s="325">
        <f t="shared" si="16"/>
        <v>6.3728275999999999</v>
      </c>
      <c r="T44" s="325">
        <f t="shared" si="16"/>
        <v>6.3728275999999999</v>
      </c>
      <c r="U44" s="325">
        <f t="shared" si="16"/>
        <v>6.3728275999999999</v>
      </c>
      <c r="V44" s="325">
        <f t="shared" si="16"/>
        <v>6.3728275999999999</v>
      </c>
      <c r="W44" s="325">
        <f t="shared" si="16"/>
        <v>6.3728275999999999</v>
      </c>
      <c r="X44" s="325">
        <f t="shared" si="16"/>
        <v>6.3728275999999999</v>
      </c>
      <c r="Y44" s="325">
        <f t="shared" si="16"/>
        <v>6.3728275999999999</v>
      </c>
      <c r="Z44" s="325">
        <f t="shared" si="16"/>
        <v>6.3728275999999999</v>
      </c>
      <c r="AA44" s="325">
        <f t="shared" si="16"/>
        <v>6.3728275999999999</v>
      </c>
      <c r="AB44" s="325">
        <f t="shared" si="16"/>
        <v>6.3728275999999999</v>
      </c>
      <c r="AC44" s="325">
        <f t="shared" si="16"/>
        <v>6.3728275999999999</v>
      </c>
      <c r="AD44" s="325">
        <f t="shared" si="16"/>
        <v>6.3728275999999999</v>
      </c>
      <c r="AE44" s="325">
        <f t="shared" si="16"/>
        <v>6.3728275999999999</v>
      </c>
      <c r="AF44" s="325">
        <f t="shared" si="16"/>
        <v>6.3728275999999999</v>
      </c>
      <c r="AG44" s="325">
        <f t="shared" si="16"/>
        <v>6.3728275999999999</v>
      </c>
      <c r="AH44" s="325">
        <f t="shared" si="16"/>
        <v>6.3728275999999999</v>
      </c>
      <c r="AI44" s="325">
        <f t="shared" si="16"/>
        <v>6.3728275999999999</v>
      </c>
      <c r="AJ44" s="325">
        <f t="shared" si="16"/>
        <v>6.3728275999999999</v>
      </c>
      <c r="AK44" s="325">
        <f t="shared" si="16"/>
        <v>6.3728275999999999</v>
      </c>
      <c r="AL44" s="325">
        <f t="shared" si="16"/>
        <v>6.3728275999999999</v>
      </c>
      <c r="AM44" s="325">
        <f t="shared" si="16"/>
        <v>6.3728275999999999</v>
      </c>
      <c r="AN44" s="325">
        <f t="shared" si="16"/>
        <v>6.3728275999999999</v>
      </c>
      <c r="AO44" s="325">
        <f t="shared" si="16"/>
        <v>6.3728275999999999</v>
      </c>
    </row>
    <row r="45" spans="1:41" ht="18.75">
      <c r="A45" s="493" t="s">
        <v>230</v>
      </c>
      <c r="B45" s="77"/>
      <c r="C45" s="459"/>
      <c r="D45" s="255" t="s">
        <v>829</v>
      </c>
      <c r="E45" s="255" t="s">
        <v>912</v>
      </c>
      <c r="F45" s="464" t="s">
        <v>5</v>
      </c>
      <c r="G45" s="131" t="s">
        <v>21</v>
      </c>
      <c r="H45" s="350">
        <v>99.900000000000048</v>
      </c>
      <c r="I45" s="379">
        <f t="shared" si="0"/>
        <v>99.900000000000077</v>
      </c>
      <c r="J45" s="321">
        <f t="shared" ref="J45:T49" si="17">$H45</f>
        <v>99.900000000000048</v>
      </c>
      <c r="L45" s="321">
        <f t="shared" si="17"/>
        <v>99.900000000000048</v>
      </c>
      <c r="M45" s="321">
        <f t="shared" si="17"/>
        <v>99.900000000000048</v>
      </c>
      <c r="N45" s="321">
        <f t="shared" si="17"/>
        <v>99.900000000000048</v>
      </c>
      <c r="O45" s="321">
        <f t="shared" si="17"/>
        <v>99.900000000000048</v>
      </c>
      <c r="P45" s="321">
        <f t="shared" si="17"/>
        <v>99.900000000000048</v>
      </c>
      <c r="Q45" s="321">
        <f t="shared" si="17"/>
        <v>99.900000000000048</v>
      </c>
      <c r="R45" s="321">
        <f t="shared" si="17"/>
        <v>99.900000000000048</v>
      </c>
      <c r="S45" s="321">
        <f t="shared" si="17"/>
        <v>99.900000000000048</v>
      </c>
      <c r="T45" s="321">
        <f t="shared" si="17"/>
        <v>99.900000000000048</v>
      </c>
      <c r="U45" s="321">
        <f t="shared" ref="U45:AD49" si="18">$H45</f>
        <v>99.900000000000048</v>
      </c>
      <c r="V45" s="321">
        <f t="shared" si="18"/>
        <v>99.900000000000048</v>
      </c>
      <c r="W45" s="321">
        <f t="shared" si="18"/>
        <v>99.900000000000048</v>
      </c>
      <c r="X45" s="321">
        <f t="shared" si="18"/>
        <v>99.900000000000048</v>
      </c>
      <c r="Y45" s="321">
        <f t="shared" si="18"/>
        <v>99.900000000000048</v>
      </c>
      <c r="Z45" s="321">
        <f t="shared" si="18"/>
        <v>99.900000000000048</v>
      </c>
      <c r="AA45" s="321">
        <f t="shared" si="18"/>
        <v>99.900000000000048</v>
      </c>
      <c r="AB45" s="321">
        <f t="shared" si="18"/>
        <v>99.900000000000048</v>
      </c>
      <c r="AC45" s="321">
        <f t="shared" si="18"/>
        <v>99.900000000000048</v>
      </c>
      <c r="AD45" s="321">
        <f t="shared" si="18"/>
        <v>99.900000000000048</v>
      </c>
      <c r="AE45" s="321">
        <f t="shared" ref="AE45:AO49" si="19">$H45</f>
        <v>99.900000000000048</v>
      </c>
      <c r="AF45" s="321">
        <f t="shared" si="19"/>
        <v>99.900000000000048</v>
      </c>
      <c r="AG45" s="321">
        <f t="shared" si="19"/>
        <v>99.900000000000048</v>
      </c>
      <c r="AH45" s="321">
        <f t="shared" si="19"/>
        <v>99.900000000000048</v>
      </c>
      <c r="AI45" s="321">
        <f t="shared" si="19"/>
        <v>99.900000000000048</v>
      </c>
      <c r="AJ45" s="321">
        <f t="shared" si="19"/>
        <v>99.900000000000048</v>
      </c>
      <c r="AK45" s="321">
        <f t="shared" si="19"/>
        <v>99.900000000000048</v>
      </c>
      <c r="AL45" s="321">
        <f t="shared" si="19"/>
        <v>99.900000000000048</v>
      </c>
      <c r="AM45" s="321">
        <f t="shared" si="19"/>
        <v>99.900000000000048</v>
      </c>
      <c r="AN45" s="321">
        <f t="shared" si="19"/>
        <v>99.900000000000048</v>
      </c>
      <c r="AO45" s="321">
        <f t="shared" si="19"/>
        <v>99.900000000000048</v>
      </c>
    </row>
    <row r="46" spans="1:41" ht="18.75">
      <c r="A46" s="494"/>
      <c r="B46" s="341"/>
      <c r="C46" s="453"/>
      <c r="D46" s="444" t="s">
        <v>830</v>
      </c>
      <c r="E46" s="444" t="s">
        <v>913</v>
      </c>
      <c r="F46" s="465" t="s">
        <v>80</v>
      </c>
      <c r="G46" s="132" t="s">
        <v>70</v>
      </c>
      <c r="H46" s="348">
        <v>0.87000000000000022</v>
      </c>
      <c r="I46" s="380">
        <f t="shared" si="0"/>
        <v>0.87000000000000077</v>
      </c>
      <c r="J46" s="320">
        <f t="shared" si="17"/>
        <v>0.87000000000000022</v>
      </c>
      <c r="L46" s="320">
        <f t="shared" si="17"/>
        <v>0.87000000000000022</v>
      </c>
      <c r="M46" s="320">
        <f t="shared" si="17"/>
        <v>0.87000000000000022</v>
      </c>
      <c r="N46" s="320">
        <f t="shared" si="17"/>
        <v>0.87000000000000022</v>
      </c>
      <c r="O46" s="320">
        <f t="shared" si="17"/>
        <v>0.87000000000000022</v>
      </c>
      <c r="P46" s="320">
        <f t="shared" si="17"/>
        <v>0.87000000000000022</v>
      </c>
      <c r="Q46" s="320">
        <f t="shared" si="17"/>
        <v>0.87000000000000022</v>
      </c>
      <c r="R46" s="320">
        <f t="shared" si="17"/>
        <v>0.87000000000000022</v>
      </c>
      <c r="S46" s="320">
        <f t="shared" si="17"/>
        <v>0.87000000000000022</v>
      </c>
      <c r="T46" s="320">
        <f t="shared" si="17"/>
        <v>0.87000000000000022</v>
      </c>
      <c r="U46" s="320">
        <f t="shared" si="18"/>
        <v>0.87000000000000022</v>
      </c>
      <c r="V46" s="320">
        <f t="shared" si="18"/>
        <v>0.87000000000000022</v>
      </c>
      <c r="W46" s="320">
        <f t="shared" si="18"/>
        <v>0.87000000000000022</v>
      </c>
      <c r="X46" s="320">
        <f t="shared" si="18"/>
        <v>0.87000000000000022</v>
      </c>
      <c r="Y46" s="320">
        <f t="shared" si="18"/>
        <v>0.87000000000000022</v>
      </c>
      <c r="Z46" s="320">
        <f t="shared" si="18"/>
        <v>0.87000000000000022</v>
      </c>
      <c r="AA46" s="320">
        <f t="shared" si="18"/>
        <v>0.87000000000000022</v>
      </c>
      <c r="AB46" s="320">
        <f t="shared" si="18"/>
        <v>0.87000000000000022</v>
      </c>
      <c r="AC46" s="320">
        <f t="shared" si="18"/>
        <v>0.87000000000000022</v>
      </c>
      <c r="AD46" s="320">
        <f t="shared" si="18"/>
        <v>0.87000000000000022</v>
      </c>
      <c r="AE46" s="320">
        <f t="shared" si="19"/>
        <v>0.87000000000000022</v>
      </c>
      <c r="AF46" s="320">
        <f t="shared" si="19"/>
        <v>0.87000000000000022</v>
      </c>
      <c r="AG46" s="320">
        <f t="shared" si="19"/>
        <v>0.87000000000000022</v>
      </c>
      <c r="AH46" s="320">
        <f t="shared" si="19"/>
        <v>0.87000000000000022</v>
      </c>
      <c r="AI46" s="320">
        <f t="shared" si="19"/>
        <v>0.87000000000000022</v>
      </c>
      <c r="AJ46" s="320">
        <f t="shared" si="19"/>
        <v>0.87000000000000022</v>
      </c>
      <c r="AK46" s="320">
        <f t="shared" si="19"/>
        <v>0.87000000000000022</v>
      </c>
      <c r="AL46" s="320">
        <f t="shared" si="19"/>
        <v>0.87000000000000022</v>
      </c>
      <c r="AM46" s="320">
        <f t="shared" si="19"/>
        <v>0.87000000000000022</v>
      </c>
      <c r="AN46" s="320">
        <f t="shared" si="19"/>
        <v>0.87000000000000022</v>
      </c>
      <c r="AO46" s="320">
        <f t="shared" si="19"/>
        <v>0.87000000000000022</v>
      </c>
    </row>
    <row r="47" spans="1:41" ht="15">
      <c r="A47" s="494"/>
      <c r="B47" s="341"/>
      <c r="C47" s="453"/>
      <c r="D47" s="444" t="s">
        <v>831</v>
      </c>
      <c r="E47" s="444" t="s">
        <v>914</v>
      </c>
      <c r="F47" s="465" t="s">
        <v>80</v>
      </c>
      <c r="G47" s="132" t="s">
        <v>71</v>
      </c>
      <c r="H47" s="348">
        <v>3</v>
      </c>
      <c r="I47" s="380">
        <f t="shared" si="0"/>
        <v>3</v>
      </c>
      <c r="J47" s="320">
        <f t="shared" si="17"/>
        <v>3</v>
      </c>
      <c r="L47" s="320">
        <f t="shared" si="17"/>
        <v>3</v>
      </c>
      <c r="M47" s="320">
        <f t="shared" si="17"/>
        <v>3</v>
      </c>
      <c r="N47" s="320">
        <f t="shared" si="17"/>
        <v>3</v>
      </c>
      <c r="O47" s="320">
        <f t="shared" si="17"/>
        <v>3</v>
      </c>
      <c r="P47" s="320">
        <f t="shared" si="17"/>
        <v>3</v>
      </c>
      <c r="Q47" s="320">
        <f t="shared" si="17"/>
        <v>3</v>
      </c>
      <c r="R47" s="320">
        <f t="shared" si="17"/>
        <v>3</v>
      </c>
      <c r="S47" s="320">
        <f t="shared" si="17"/>
        <v>3</v>
      </c>
      <c r="T47" s="320">
        <f t="shared" si="17"/>
        <v>3</v>
      </c>
      <c r="U47" s="320">
        <f t="shared" si="18"/>
        <v>3</v>
      </c>
      <c r="V47" s="320">
        <f t="shared" si="18"/>
        <v>3</v>
      </c>
      <c r="W47" s="320">
        <f t="shared" si="18"/>
        <v>3</v>
      </c>
      <c r="X47" s="320">
        <f t="shared" si="18"/>
        <v>3</v>
      </c>
      <c r="Y47" s="320">
        <f t="shared" si="18"/>
        <v>3</v>
      </c>
      <c r="Z47" s="320">
        <f t="shared" si="18"/>
        <v>3</v>
      </c>
      <c r="AA47" s="320">
        <f t="shared" si="18"/>
        <v>3</v>
      </c>
      <c r="AB47" s="320">
        <f t="shared" si="18"/>
        <v>3</v>
      </c>
      <c r="AC47" s="320">
        <f t="shared" si="18"/>
        <v>3</v>
      </c>
      <c r="AD47" s="320">
        <f t="shared" si="18"/>
        <v>3</v>
      </c>
      <c r="AE47" s="320">
        <f t="shared" si="19"/>
        <v>3</v>
      </c>
      <c r="AF47" s="320">
        <f t="shared" si="19"/>
        <v>3</v>
      </c>
      <c r="AG47" s="320">
        <f t="shared" si="19"/>
        <v>3</v>
      </c>
      <c r="AH47" s="320">
        <f t="shared" si="19"/>
        <v>3</v>
      </c>
      <c r="AI47" s="320">
        <f t="shared" si="19"/>
        <v>3</v>
      </c>
      <c r="AJ47" s="320">
        <f t="shared" si="19"/>
        <v>3</v>
      </c>
      <c r="AK47" s="320">
        <f t="shared" si="19"/>
        <v>3</v>
      </c>
      <c r="AL47" s="320">
        <f t="shared" si="19"/>
        <v>3</v>
      </c>
      <c r="AM47" s="320">
        <f t="shared" si="19"/>
        <v>3</v>
      </c>
      <c r="AN47" s="320">
        <f t="shared" si="19"/>
        <v>3</v>
      </c>
      <c r="AO47" s="320">
        <f t="shared" si="19"/>
        <v>3</v>
      </c>
    </row>
    <row r="48" spans="1:41" ht="18.75">
      <c r="A48" s="494"/>
      <c r="B48" s="341"/>
      <c r="C48" s="453"/>
      <c r="D48" s="444" t="s">
        <v>832</v>
      </c>
      <c r="E48" s="444" t="s">
        <v>915</v>
      </c>
      <c r="F48" s="465" t="s">
        <v>80</v>
      </c>
      <c r="G48" s="132" t="s">
        <v>15</v>
      </c>
      <c r="H48" s="348">
        <v>3</v>
      </c>
      <c r="I48" s="380">
        <f t="shared" si="0"/>
        <v>3</v>
      </c>
      <c r="J48" s="320">
        <f t="shared" si="17"/>
        <v>3</v>
      </c>
      <c r="L48" s="320">
        <f t="shared" si="17"/>
        <v>3</v>
      </c>
      <c r="M48" s="320">
        <f t="shared" si="17"/>
        <v>3</v>
      </c>
      <c r="N48" s="320">
        <f t="shared" si="17"/>
        <v>3</v>
      </c>
      <c r="O48" s="320">
        <f t="shared" si="17"/>
        <v>3</v>
      </c>
      <c r="P48" s="320">
        <f t="shared" si="17"/>
        <v>3</v>
      </c>
      <c r="Q48" s="320">
        <f t="shared" si="17"/>
        <v>3</v>
      </c>
      <c r="R48" s="320">
        <f t="shared" si="17"/>
        <v>3</v>
      </c>
      <c r="S48" s="320">
        <f t="shared" si="17"/>
        <v>3</v>
      </c>
      <c r="T48" s="320">
        <f t="shared" si="17"/>
        <v>3</v>
      </c>
      <c r="U48" s="320">
        <f t="shared" si="18"/>
        <v>3</v>
      </c>
      <c r="V48" s="320">
        <f t="shared" si="18"/>
        <v>3</v>
      </c>
      <c r="W48" s="320">
        <f t="shared" si="18"/>
        <v>3</v>
      </c>
      <c r="X48" s="320">
        <f t="shared" si="18"/>
        <v>3</v>
      </c>
      <c r="Y48" s="320">
        <f t="shared" si="18"/>
        <v>3</v>
      </c>
      <c r="Z48" s="320">
        <f t="shared" si="18"/>
        <v>3</v>
      </c>
      <c r="AA48" s="320">
        <f t="shared" si="18"/>
        <v>3</v>
      </c>
      <c r="AB48" s="320">
        <f t="shared" si="18"/>
        <v>3</v>
      </c>
      <c r="AC48" s="320">
        <f t="shared" si="18"/>
        <v>3</v>
      </c>
      <c r="AD48" s="320">
        <f t="shared" si="18"/>
        <v>3</v>
      </c>
      <c r="AE48" s="320">
        <f t="shared" si="19"/>
        <v>3</v>
      </c>
      <c r="AF48" s="320">
        <f t="shared" si="19"/>
        <v>3</v>
      </c>
      <c r="AG48" s="320">
        <f t="shared" si="19"/>
        <v>3</v>
      </c>
      <c r="AH48" s="320">
        <f t="shared" si="19"/>
        <v>3</v>
      </c>
      <c r="AI48" s="320">
        <f t="shared" si="19"/>
        <v>3</v>
      </c>
      <c r="AJ48" s="320">
        <f t="shared" si="19"/>
        <v>3</v>
      </c>
      <c r="AK48" s="320">
        <f t="shared" si="19"/>
        <v>3</v>
      </c>
      <c r="AL48" s="320">
        <f t="shared" si="19"/>
        <v>3</v>
      </c>
      <c r="AM48" s="320">
        <f t="shared" si="19"/>
        <v>3</v>
      </c>
      <c r="AN48" s="320">
        <f t="shared" si="19"/>
        <v>3</v>
      </c>
      <c r="AO48" s="320">
        <f t="shared" si="19"/>
        <v>3</v>
      </c>
    </row>
    <row r="49" spans="1:41" ht="18.75">
      <c r="A49" s="494"/>
      <c r="B49" s="341"/>
      <c r="C49" s="453"/>
      <c r="D49" s="444" t="s">
        <v>833</v>
      </c>
      <c r="E49" s="444" t="s">
        <v>916</v>
      </c>
      <c r="F49" s="465" t="s">
        <v>80</v>
      </c>
      <c r="G49" s="132" t="s">
        <v>78</v>
      </c>
      <c r="H49" s="348">
        <v>3.0699999999999981</v>
      </c>
      <c r="I49" s="380">
        <f t="shared" si="0"/>
        <v>3.0699999999999967</v>
      </c>
      <c r="J49" s="320">
        <f t="shared" si="17"/>
        <v>3.0699999999999981</v>
      </c>
      <c r="L49" s="320">
        <f t="shared" si="17"/>
        <v>3.0699999999999981</v>
      </c>
      <c r="M49" s="320">
        <f t="shared" si="17"/>
        <v>3.0699999999999981</v>
      </c>
      <c r="N49" s="320">
        <f t="shared" si="17"/>
        <v>3.0699999999999981</v>
      </c>
      <c r="O49" s="320">
        <f t="shared" si="17"/>
        <v>3.0699999999999981</v>
      </c>
      <c r="P49" s="320">
        <f t="shared" si="17"/>
        <v>3.0699999999999981</v>
      </c>
      <c r="Q49" s="320">
        <f t="shared" si="17"/>
        <v>3.0699999999999981</v>
      </c>
      <c r="R49" s="320">
        <f t="shared" si="17"/>
        <v>3.0699999999999981</v>
      </c>
      <c r="S49" s="320">
        <f t="shared" si="17"/>
        <v>3.0699999999999981</v>
      </c>
      <c r="T49" s="320">
        <f t="shared" si="17"/>
        <v>3.0699999999999981</v>
      </c>
      <c r="U49" s="320">
        <f t="shared" si="18"/>
        <v>3.0699999999999981</v>
      </c>
      <c r="V49" s="320">
        <f t="shared" si="18"/>
        <v>3.0699999999999981</v>
      </c>
      <c r="W49" s="320">
        <f t="shared" si="18"/>
        <v>3.0699999999999981</v>
      </c>
      <c r="X49" s="320">
        <f t="shared" si="18"/>
        <v>3.0699999999999981</v>
      </c>
      <c r="Y49" s="320">
        <f t="shared" si="18"/>
        <v>3.0699999999999981</v>
      </c>
      <c r="Z49" s="320">
        <f t="shared" si="18"/>
        <v>3.0699999999999981</v>
      </c>
      <c r="AA49" s="320">
        <f t="shared" si="18"/>
        <v>3.0699999999999981</v>
      </c>
      <c r="AB49" s="320">
        <f t="shared" si="18"/>
        <v>3.0699999999999981</v>
      </c>
      <c r="AC49" s="320">
        <f t="shared" si="18"/>
        <v>3.0699999999999981</v>
      </c>
      <c r="AD49" s="320">
        <f t="shared" si="18"/>
        <v>3.0699999999999981</v>
      </c>
      <c r="AE49" s="320">
        <f t="shared" si="19"/>
        <v>3.0699999999999981</v>
      </c>
      <c r="AF49" s="320">
        <f t="shared" si="19"/>
        <v>3.0699999999999981</v>
      </c>
      <c r="AG49" s="320">
        <f t="shared" si="19"/>
        <v>3.0699999999999981</v>
      </c>
      <c r="AH49" s="320">
        <f t="shared" si="19"/>
        <v>3.0699999999999981</v>
      </c>
      <c r="AI49" s="320">
        <f t="shared" si="19"/>
        <v>3.0699999999999981</v>
      </c>
      <c r="AJ49" s="320">
        <f t="shared" si="19"/>
        <v>3.0699999999999981</v>
      </c>
      <c r="AK49" s="320">
        <f t="shared" si="19"/>
        <v>3.0699999999999981</v>
      </c>
      <c r="AL49" s="320">
        <f t="shared" si="19"/>
        <v>3.0699999999999981</v>
      </c>
      <c r="AM49" s="320">
        <f t="shared" si="19"/>
        <v>3.0699999999999981</v>
      </c>
      <c r="AN49" s="320">
        <f t="shared" si="19"/>
        <v>3.0699999999999981</v>
      </c>
      <c r="AO49" s="320">
        <f t="shared" si="19"/>
        <v>3.0699999999999981</v>
      </c>
    </row>
    <row r="50" spans="1:41" ht="15">
      <c r="A50" s="64" t="s">
        <v>90</v>
      </c>
      <c r="B50" s="59"/>
      <c r="C50" s="314"/>
      <c r="D50" s="59" t="s">
        <v>625</v>
      </c>
      <c r="E50" s="59" t="s">
        <v>917</v>
      </c>
      <c r="F50" s="465"/>
      <c r="G50" s="132"/>
      <c r="H50" s="348">
        <v>2.0138740714999996</v>
      </c>
      <c r="I50" s="380">
        <f t="shared" si="0"/>
        <v>2.0138740715000001</v>
      </c>
      <c r="J50" s="326">
        <f>(J45*2.0156/100)+(J46*28.01/1000000)+(J47*28.01/1000000)+(J48*44.01/1000000)+(J49*16.04/1000000)</f>
        <v>2.013874071500001</v>
      </c>
      <c r="K50" s="438">
        <v>2.013874071500001</v>
      </c>
      <c r="L50" s="326">
        <f t="shared" ref="L50:AO50" si="20">(L45*2.0156/100)+(L46*28.01/1000000)+(L47*28.01/1000000)+(L48*44.01/1000000)+(L49*16.04/1000000)</f>
        <v>2.013874071500001</v>
      </c>
      <c r="M50" s="326">
        <f t="shared" si="20"/>
        <v>2.013874071500001</v>
      </c>
      <c r="N50" s="326">
        <f t="shared" si="20"/>
        <v>2.013874071500001</v>
      </c>
      <c r="O50" s="326">
        <f t="shared" si="20"/>
        <v>2.013874071500001</v>
      </c>
      <c r="P50" s="326">
        <f t="shared" si="20"/>
        <v>2.013874071500001</v>
      </c>
      <c r="Q50" s="326">
        <f t="shared" si="20"/>
        <v>2.013874071500001</v>
      </c>
      <c r="R50" s="326">
        <f t="shared" si="20"/>
        <v>2.013874071500001</v>
      </c>
      <c r="S50" s="326">
        <f t="shared" si="20"/>
        <v>2.013874071500001</v>
      </c>
      <c r="T50" s="326">
        <f t="shared" si="20"/>
        <v>2.013874071500001</v>
      </c>
      <c r="U50" s="326">
        <f t="shared" si="20"/>
        <v>2.013874071500001</v>
      </c>
      <c r="V50" s="326">
        <f t="shared" si="20"/>
        <v>2.013874071500001</v>
      </c>
      <c r="W50" s="326">
        <f t="shared" si="20"/>
        <v>2.013874071500001</v>
      </c>
      <c r="X50" s="326">
        <f t="shared" si="20"/>
        <v>2.013874071500001</v>
      </c>
      <c r="Y50" s="326">
        <f t="shared" si="20"/>
        <v>2.013874071500001</v>
      </c>
      <c r="Z50" s="326">
        <f t="shared" si="20"/>
        <v>2.013874071500001</v>
      </c>
      <c r="AA50" s="326">
        <f t="shared" si="20"/>
        <v>2.013874071500001</v>
      </c>
      <c r="AB50" s="326">
        <f t="shared" si="20"/>
        <v>2.013874071500001</v>
      </c>
      <c r="AC50" s="326">
        <f t="shared" si="20"/>
        <v>2.013874071500001</v>
      </c>
      <c r="AD50" s="326">
        <f t="shared" si="20"/>
        <v>2.013874071500001</v>
      </c>
      <c r="AE50" s="326">
        <f t="shared" si="20"/>
        <v>2.013874071500001</v>
      </c>
      <c r="AF50" s="326">
        <f t="shared" si="20"/>
        <v>2.013874071500001</v>
      </c>
      <c r="AG50" s="326">
        <f t="shared" si="20"/>
        <v>2.013874071500001</v>
      </c>
      <c r="AH50" s="326">
        <f t="shared" si="20"/>
        <v>2.013874071500001</v>
      </c>
      <c r="AI50" s="326">
        <f t="shared" si="20"/>
        <v>2.013874071500001</v>
      </c>
      <c r="AJ50" s="326">
        <f t="shared" si="20"/>
        <v>2.013874071500001</v>
      </c>
      <c r="AK50" s="326">
        <f t="shared" si="20"/>
        <v>2.013874071500001</v>
      </c>
      <c r="AL50" s="326">
        <f t="shared" si="20"/>
        <v>2.013874071500001</v>
      </c>
      <c r="AM50" s="326">
        <f t="shared" si="20"/>
        <v>2.013874071500001</v>
      </c>
      <c r="AN50" s="326">
        <f t="shared" si="20"/>
        <v>2.013874071500001</v>
      </c>
      <c r="AO50" s="326">
        <f t="shared" si="20"/>
        <v>2.013874071500001</v>
      </c>
    </row>
    <row r="51" spans="1:41" ht="18.75">
      <c r="A51" s="64" t="s">
        <v>86</v>
      </c>
      <c r="B51" s="61" t="s">
        <v>339</v>
      </c>
      <c r="C51" s="460" t="s">
        <v>541</v>
      </c>
      <c r="D51" s="445" t="s">
        <v>578</v>
      </c>
      <c r="E51" s="445" t="s">
        <v>918</v>
      </c>
      <c r="F51" s="465" t="s">
        <v>80</v>
      </c>
      <c r="G51" s="132"/>
      <c r="H51" s="348">
        <v>16</v>
      </c>
      <c r="I51" s="380" t="str">
        <f t="shared" si="0"/>
        <v/>
      </c>
      <c r="J51" s="316" t="str">
        <f>VLOOKUP($B51,'DCS Data'!$E$2:$AJ$100,MATCH(J$1,'DCS Data'!$E$2:$AJ$2,0),0)</f>
        <v/>
      </c>
      <c r="L51" s="316" t="str">
        <f>VLOOKUP($B51,'DCS Data'!$E$2:$AJ$100,MATCH(L$1,'DCS Data'!$E$2:$AJ$2,0),0)</f>
        <v/>
      </c>
      <c r="M51" s="316" t="str">
        <f>VLOOKUP($B51,'DCS Data'!$E$2:$AJ$100,MATCH(M$1,'DCS Data'!$E$2:$AJ$2,0),0)</f>
        <v/>
      </c>
      <c r="N51" s="316" t="str">
        <f>VLOOKUP($B51,'DCS Data'!$E$2:$AJ$100,MATCH(N$1,'DCS Data'!$E$2:$AJ$2,0),0)</f>
        <v/>
      </c>
      <c r="O51" s="316" t="str">
        <f>VLOOKUP($B51,'DCS Data'!$E$2:$AJ$100,MATCH(O$1,'DCS Data'!$E$2:$AJ$2,0),0)</f>
        <v/>
      </c>
      <c r="P51" s="316" t="str">
        <f>VLOOKUP($B51,'DCS Data'!$E$2:$AJ$100,MATCH(P$1,'DCS Data'!$E$2:$AJ$2,0),0)</f>
        <v/>
      </c>
      <c r="Q51" s="316" t="str">
        <f>VLOOKUP($B51,'DCS Data'!$E$2:$AJ$100,MATCH(Q$1,'DCS Data'!$E$2:$AJ$2,0),0)</f>
        <v/>
      </c>
      <c r="R51" s="316" t="str">
        <f>VLOOKUP($B51,'DCS Data'!$E$2:$AJ$100,MATCH(R$1,'DCS Data'!$E$2:$AJ$2,0),0)</f>
        <v/>
      </c>
      <c r="S51" s="316" t="str">
        <f>VLOOKUP($B51,'DCS Data'!$E$2:$AJ$100,MATCH(S$1,'DCS Data'!$E$2:$AJ$2,0),0)</f>
        <v/>
      </c>
      <c r="T51" s="316" t="str">
        <f>VLOOKUP($B51,'DCS Data'!$E$2:$AJ$100,MATCH(T$1,'DCS Data'!$E$2:$AJ$2,0),0)</f>
        <v/>
      </c>
      <c r="U51" s="316" t="str">
        <f>VLOOKUP($B51,'DCS Data'!$E$2:$AJ$100,MATCH(U$1,'DCS Data'!$E$2:$AJ$2,0),0)</f>
        <v/>
      </c>
      <c r="V51" s="316" t="str">
        <f>VLOOKUP($B51,'DCS Data'!$E$2:$AJ$100,MATCH(V$1,'DCS Data'!$E$2:$AJ$2,0),0)</f>
        <v/>
      </c>
      <c r="W51" s="316" t="str">
        <f>VLOOKUP($B51,'DCS Data'!$E$2:$AJ$100,MATCH(W$1,'DCS Data'!$E$2:$AJ$2,0),0)</f>
        <v/>
      </c>
      <c r="X51" s="316" t="str">
        <f>VLOOKUP($B51,'DCS Data'!$E$2:$AJ$100,MATCH(X$1,'DCS Data'!$E$2:$AJ$2,0),0)</f>
        <v/>
      </c>
      <c r="Y51" s="316" t="str">
        <f>VLOOKUP($B51,'DCS Data'!$E$2:$AJ$100,MATCH(Y$1,'DCS Data'!$E$2:$AJ$2,0),0)</f>
        <v/>
      </c>
      <c r="Z51" s="316" t="str">
        <f>VLOOKUP($B51,'DCS Data'!$E$2:$AJ$100,MATCH(Z$1,'DCS Data'!$E$2:$AJ$2,0),0)</f>
        <v/>
      </c>
      <c r="AA51" s="316" t="str">
        <f>VLOOKUP($B51,'DCS Data'!$E$2:$AJ$100,MATCH(AA$1,'DCS Data'!$E$2:$AJ$2,0),0)</f>
        <v/>
      </c>
      <c r="AB51" s="316" t="str">
        <f>VLOOKUP($B51,'DCS Data'!$E$2:$AJ$100,MATCH(AB$1,'DCS Data'!$E$2:$AJ$2,0),0)</f>
        <v/>
      </c>
      <c r="AC51" s="316" t="str">
        <f>VLOOKUP($B51,'DCS Data'!$E$2:$AJ$100,MATCH(AC$1,'DCS Data'!$E$2:$AJ$2,0),0)</f>
        <v/>
      </c>
      <c r="AD51" s="316" t="str">
        <f>VLOOKUP($B51,'DCS Data'!$E$2:$AJ$100,MATCH(AD$1,'DCS Data'!$E$2:$AJ$2,0),0)</f>
        <v/>
      </c>
      <c r="AE51" s="316" t="str">
        <f>VLOOKUP($B51,'DCS Data'!$E$2:$AJ$100,MATCH(AE$1,'DCS Data'!$E$2:$AJ$2,0),0)</f>
        <v/>
      </c>
      <c r="AF51" s="316" t="str">
        <f>VLOOKUP($B51,'DCS Data'!$E$2:$AJ$100,MATCH(AF$1,'DCS Data'!$E$2:$AJ$2,0),0)</f>
        <v/>
      </c>
      <c r="AG51" s="316" t="str">
        <f>VLOOKUP($B51,'DCS Data'!$E$2:$AJ$100,MATCH(AG$1,'DCS Data'!$E$2:$AJ$2,0),0)</f>
        <v/>
      </c>
      <c r="AH51" s="316" t="str">
        <f>VLOOKUP($B51,'DCS Data'!$E$2:$AJ$100,MATCH(AH$1,'DCS Data'!$E$2:$AJ$2,0),0)</f>
        <v/>
      </c>
      <c r="AI51" s="316" t="str">
        <f>VLOOKUP($B51,'DCS Data'!$E$2:$AJ$100,MATCH(AI$1,'DCS Data'!$E$2:$AJ$2,0),0)</f>
        <v/>
      </c>
      <c r="AJ51" s="316" t="str">
        <f>VLOOKUP($B51,'DCS Data'!$E$2:$AJ$100,MATCH(AJ$1,'DCS Data'!$E$2:$AJ$2,0),0)</f>
        <v/>
      </c>
      <c r="AK51" s="316" t="str">
        <f>VLOOKUP($B51,'DCS Data'!$E$2:$AJ$100,MATCH(AK$1,'DCS Data'!$E$2:$AJ$2,0),0)</f>
        <v/>
      </c>
      <c r="AL51" s="316" t="str">
        <f>VLOOKUP($B51,'DCS Data'!$E$2:$AJ$100,MATCH(AL$1,'DCS Data'!$E$2:$AJ$2,0),0)</f>
        <v/>
      </c>
      <c r="AM51" s="316" t="str">
        <f>VLOOKUP($B51,'DCS Data'!$E$2:$AJ$100,MATCH(AM$1,'DCS Data'!$E$2:$AJ$2,0),0)</f>
        <v/>
      </c>
      <c r="AN51" s="316" t="str">
        <f>VLOOKUP($B51,'DCS Data'!$E$2:$AJ$100,MATCH(AN$1,'DCS Data'!$E$2:$AJ$2,0),0)</f>
        <v/>
      </c>
      <c r="AO51" s="316" t="str">
        <f>VLOOKUP($B51,'DCS Data'!$E$2:$AJ$100,MATCH(AO$1,'DCS Data'!$E$2:$AJ$2,0),0)</f>
        <v/>
      </c>
    </row>
    <row r="52" spans="1:41" ht="15">
      <c r="A52" s="64" t="s">
        <v>87</v>
      </c>
      <c r="B52" s="61" t="s">
        <v>340</v>
      </c>
      <c r="C52" s="460" t="s">
        <v>542</v>
      </c>
      <c r="D52" s="445" t="s">
        <v>579</v>
      </c>
      <c r="E52" s="445" t="s">
        <v>919</v>
      </c>
      <c r="F52" s="465" t="s">
        <v>80</v>
      </c>
      <c r="G52" s="132"/>
      <c r="H52" s="348">
        <v>2.5999999999999996</v>
      </c>
      <c r="I52" s="380" t="str">
        <f t="shared" si="0"/>
        <v/>
      </c>
      <c r="J52" s="316" t="str">
        <f>VLOOKUP($B52,'DCS Data'!$E$2:$AJ$100,MATCH(J$1,'DCS Data'!$E$2:$AJ$2,0),0)</f>
        <v/>
      </c>
      <c r="L52" s="316" t="str">
        <f>VLOOKUP($B52,'DCS Data'!$E$2:$AJ$100,MATCH(L$1,'DCS Data'!$E$2:$AJ$2,0),0)</f>
        <v/>
      </c>
      <c r="M52" s="316" t="str">
        <f>VLOOKUP($B52,'DCS Data'!$E$2:$AJ$100,MATCH(M$1,'DCS Data'!$E$2:$AJ$2,0),0)</f>
        <v/>
      </c>
      <c r="N52" s="316" t="str">
        <f>VLOOKUP($B52,'DCS Data'!$E$2:$AJ$100,MATCH(N$1,'DCS Data'!$E$2:$AJ$2,0),0)</f>
        <v/>
      </c>
      <c r="O52" s="316" t="str">
        <f>VLOOKUP($B52,'DCS Data'!$E$2:$AJ$100,MATCH(O$1,'DCS Data'!$E$2:$AJ$2,0),0)</f>
        <v/>
      </c>
      <c r="P52" s="316" t="str">
        <f>VLOOKUP($B52,'DCS Data'!$E$2:$AJ$100,MATCH(P$1,'DCS Data'!$E$2:$AJ$2,0),0)</f>
        <v/>
      </c>
      <c r="Q52" s="316" t="str">
        <f>VLOOKUP($B52,'DCS Data'!$E$2:$AJ$100,MATCH(Q$1,'DCS Data'!$E$2:$AJ$2,0),0)</f>
        <v/>
      </c>
      <c r="R52" s="316" t="str">
        <f>VLOOKUP($B52,'DCS Data'!$E$2:$AJ$100,MATCH(R$1,'DCS Data'!$E$2:$AJ$2,0),0)</f>
        <v/>
      </c>
      <c r="S52" s="316" t="str">
        <f>VLOOKUP($B52,'DCS Data'!$E$2:$AJ$100,MATCH(S$1,'DCS Data'!$E$2:$AJ$2,0),0)</f>
        <v/>
      </c>
      <c r="T52" s="316" t="str">
        <f>VLOOKUP($B52,'DCS Data'!$E$2:$AJ$100,MATCH(T$1,'DCS Data'!$E$2:$AJ$2,0),0)</f>
        <v/>
      </c>
      <c r="U52" s="316" t="str">
        <f>VLOOKUP($B52,'DCS Data'!$E$2:$AJ$100,MATCH(U$1,'DCS Data'!$E$2:$AJ$2,0),0)</f>
        <v/>
      </c>
      <c r="V52" s="316" t="str">
        <f>VLOOKUP($B52,'DCS Data'!$E$2:$AJ$100,MATCH(V$1,'DCS Data'!$E$2:$AJ$2,0),0)</f>
        <v/>
      </c>
      <c r="W52" s="316" t="str">
        <f>VLOOKUP($B52,'DCS Data'!$E$2:$AJ$100,MATCH(W$1,'DCS Data'!$E$2:$AJ$2,0),0)</f>
        <v/>
      </c>
      <c r="X52" s="316" t="str">
        <f>VLOOKUP($B52,'DCS Data'!$E$2:$AJ$100,MATCH(X$1,'DCS Data'!$E$2:$AJ$2,0),0)</f>
        <v/>
      </c>
      <c r="Y52" s="316" t="str">
        <f>VLOOKUP($B52,'DCS Data'!$E$2:$AJ$100,MATCH(Y$1,'DCS Data'!$E$2:$AJ$2,0),0)</f>
        <v/>
      </c>
      <c r="Z52" s="316" t="str">
        <f>VLOOKUP($B52,'DCS Data'!$E$2:$AJ$100,MATCH(Z$1,'DCS Data'!$E$2:$AJ$2,0),0)</f>
        <v/>
      </c>
      <c r="AA52" s="316" t="str">
        <f>VLOOKUP($B52,'DCS Data'!$E$2:$AJ$100,MATCH(AA$1,'DCS Data'!$E$2:$AJ$2,0),0)</f>
        <v/>
      </c>
      <c r="AB52" s="316" t="str">
        <f>VLOOKUP($B52,'DCS Data'!$E$2:$AJ$100,MATCH(AB$1,'DCS Data'!$E$2:$AJ$2,0),0)</f>
        <v/>
      </c>
      <c r="AC52" s="316" t="str">
        <f>VLOOKUP($B52,'DCS Data'!$E$2:$AJ$100,MATCH(AC$1,'DCS Data'!$E$2:$AJ$2,0),0)</f>
        <v/>
      </c>
      <c r="AD52" s="316" t="str">
        <f>VLOOKUP($B52,'DCS Data'!$E$2:$AJ$100,MATCH(AD$1,'DCS Data'!$E$2:$AJ$2,0),0)</f>
        <v/>
      </c>
      <c r="AE52" s="316" t="str">
        <f>VLOOKUP($B52,'DCS Data'!$E$2:$AJ$100,MATCH(AE$1,'DCS Data'!$E$2:$AJ$2,0),0)</f>
        <v/>
      </c>
      <c r="AF52" s="316" t="str">
        <f>VLOOKUP($B52,'DCS Data'!$E$2:$AJ$100,MATCH(AF$1,'DCS Data'!$E$2:$AJ$2,0),0)</f>
        <v/>
      </c>
      <c r="AG52" s="316" t="str">
        <f>VLOOKUP($B52,'DCS Data'!$E$2:$AJ$100,MATCH(AG$1,'DCS Data'!$E$2:$AJ$2,0),0)</f>
        <v/>
      </c>
      <c r="AH52" s="316" t="str">
        <f>VLOOKUP($B52,'DCS Data'!$E$2:$AJ$100,MATCH(AH$1,'DCS Data'!$E$2:$AJ$2,0),0)</f>
        <v/>
      </c>
      <c r="AI52" s="316" t="str">
        <f>VLOOKUP($B52,'DCS Data'!$E$2:$AJ$100,MATCH(AI$1,'DCS Data'!$E$2:$AJ$2,0),0)</f>
        <v/>
      </c>
      <c r="AJ52" s="316" t="str">
        <f>VLOOKUP($B52,'DCS Data'!$E$2:$AJ$100,MATCH(AJ$1,'DCS Data'!$E$2:$AJ$2,0),0)</f>
        <v/>
      </c>
      <c r="AK52" s="316" t="str">
        <f>VLOOKUP($B52,'DCS Data'!$E$2:$AJ$100,MATCH(AK$1,'DCS Data'!$E$2:$AJ$2,0),0)</f>
        <v/>
      </c>
      <c r="AL52" s="316" t="str">
        <f>VLOOKUP($B52,'DCS Data'!$E$2:$AJ$100,MATCH(AL$1,'DCS Data'!$E$2:$AJ$2,0),0)</f>
        <v/>
      </c>
      <c r="AM52" s="316" t="str">
        <f>VLOOKUP($B52,'DCS Data'!$E$2:$AJ$100,MATCH(AM$1,'DCS Data'!$E$2:$AJ$2,0),0)</f>
        <v/>
      </c>
      <c r="AN52" s="316" t="str">
        <f>VLOOKUP($B52,'DCS Data'!$E$2:$AJ$100,MATCH(AN$1,'DCS Data'!$E$2:$AJ$2,0),0)</f>
        <v/>
      </c>
      <c r="AO52" s="316" t="str">
        <f>VLOOKUP($B52,'DCS Data'!$E$2:$AJ$100,MATCH(AO$1,'DCS Data'!$E$2:$AJ$2,0),0)</f>
        <v/>
      </c>
    </row>
    <row r="53" spans="1:41" ht="18.75">
      <c r="A53" s="64" t="s">
        <v>88</v>
      </c>
      <c r="B53" s="61" t="s">
        <v>341</v>
      </c>
      <c r="C53" s="460" t="s">
        <v>543</v>
      </c>
      <c r="D53" s="445" t="s">
        <v>580</v>
      </c>
      <c r="E53" s="445" t="s">
        <v>920</v>
      </c>
      <c r="F53" s="465" t="s">
        <v>80</v>
      </c>
      <c r="G53" s="132"/>
      <c r="H53" s="348">
        <v>0.40000000000000019</v>
      </c>
      <c r="I53" s="380" t="str">
        <f t="shared" si="0"/>
        <v/>
      </c>
      <c r="J53" s="316" t="str">
        <f>VLOOKUP($B53,'DCS Data'!$E$2:$AJ$100,MATCH(J$1,'DCS Data'!$E$2:$AJ$2,0),0)</f>
        <v/>
      </c>
      <c r="L53" s="316" t="str">
        <f>VLOOKUP($B53,'DCS Data'!$E$2:$AJ$100,MATCH(L$1,'DCS Data'!$E$2:$AJ$2,0),0)</f>
        <v/>
      </c>
      <c r="M53" s="316" t="str">
        <f>VLOOKUP($B53,'DCS Data'!$E$2:$AJ$100,MATCH(M$1,'DCS Data'!$E$2:$AJ$2,0),0)</f>
        <v/>
      </c>
      <c r="N53" s="316" t="str">
        <f>VLOOKUP($B53,'DCS Data'!$E$2:$AJ$100,MATCH(N$1,'DCS Data'!$E$2:$AJ$2,0),0)</f>
        <v/>
      </c>
      <c r="O53" s="316" t="str">
        <f>VLOOKUP($B53,'DCS Data'!$E$2:$AJ$100,MATCH(O$1,'DCS Data'!$E$2:$AJ$2,0),0)</f>
        <v/>
      </c>
      <c r="P53" s="316" t="str">
        <f>VLOOKUP($B53,'DCS Data'!$E$2:$AJ$100,MATCH(P$1,'DCS Data'!$E$2:$AJ$2,0),0)</f>
        <v/>
      </c>
      <c r="Q53" s="316" t="str">
        <f>VLOOKUP($B53,'DCS Data'!$E$2:$AJ$100,MATCH(Q$1,'DCS Data'!$E$2:$AJ$2,0),0)</f>
        <v/>
      </c>
      <c r="R53" s="316" t="str">
        <f>VLOOKUP($B53,'DCS Data'!$E$2:$AJ$100,MATCH(R$1,'DCS Data'!$E$2:$AJ$2,0),0)</f>
        <v/>
      </c>
      <c r="S53" s="316" t="str">
        <f>VLOOKUP($B53,'DCS Data'!$E$2:$AJ$100,MATCH(S$1,'DCS Data'!$E$2:$AJ$2,0),0)</f>
        <v/>
      </c>
      <c r="T53" s="316" t="str">
        <f>VLOOKUP($B53,'DCS Data'!$E$2:$AJ$100,MATCH(T$1,'DCS Data'!$E$2:$AJ$2,0),0)</f>
        <v/>
      </c>
      <c r="U53" s="316" t="str">
        <f>VLOOKUP($B53,'DCS Data'!$E$2:$AJ$100,MATCH(U$1,'DCS Data'!$E$2:$AJ$2,0),0)</f>
        <v/>
      </c>
      <c r="V53" s="316" t="str">
        <f>VLOOKUP($B53,'DCS Data'!$E$2:$AJ$100,MATCH(V$1,'DCS Data'!$E$2:$AJ$2,0),0)</f>
        <v/>
      </c>
      <c r="W53" s="316" t="str">
        <f>VLOOKUP($B53,'DCS Data'!$E$2:$AJ$100,MATCH(W$1,'DCS Data'!$E$2:$AJ$2,0),0)</f>
        <v/>
      </c>
      <c r="X53" s="316" t="str">
        <f>VLOOKUP($B53,'DCS Data'!$E$2:$AJ$100,MATCH(X$1,'DCS Data'!$E$2:$AJ$2,0),0)</f>
        <v/>
      </c>
      <c r="Y53" s="316" t="str">
        <f>VLOOKUP($B53,'DCS Data'!$E$2:$AJ$100,MATCH(Y$1,'DCS Data'!$E$2:$AJ$2,0),0)</f>
        <v/>
      </c>
      <c r="Z53" s="316" t="str">
        <f>VLOOKUP($B53,'DCS Data'!$E$2:$AJ$100,MATCH(Z$1,'DCS Data'!$E$2:$AJ$2,0),0)</f>
        <v/>
      </c>
      <c r="AA53" s="316" t="str">
        <f>VLOOKUP($B53,'DCS Data'!$E$2:$AJ$100,MATCH(AA$1,'DCS Data'!$E$2:$AJ$2,0),0)</f>
        <v/>
      </c>
      <c r="AB53" s="316" t="str">
        <f>VLOOKUP($B53,'DCS Data'!$E$2:$AJ$100,MATCH(AB$1,'DCS Data'!$E$2:$AJ$2,0),0)</f>
        <v/>
      </c>
      <c r="AC53" s="316" t="str">
        <f>VLOOKUP($B53,'DCS Data'!$E$2:$AJ$100,MATCH(AC$1,'DCS Data'!$E$2:$AJ$2,0),0)</f>
        <v/>
      </c>
      <c r="AD53" s="316" t="str">
        <f>VLOOKUP($B53,'DCS Data'!$E$2:$AJ$100,MATCH(AD$1,'DCS Data'!$E$2:$AJ$2,0),0)</f>
        <v/>
      </c>
      <c r="AE53" s="316" t="str">
        <f>VLOOKUP($B53,'DCS Data'!$E$2:$AJ$100,MATCH(AE$1,'DCS Data'!$E$2:$AJ$2,0),0)</f>
        <v/>
      </c>
      <c r="AF53" s="316" t="str">
        <f>VLOOKUP($B53,'DCS Data'!$E$2:$AJ$100,MATCH(AF$1,'DCS Data'!$E$2:$AJ$2,0),0)</f>
        <v/>
      </c>
      <c r="AG53" s="316" t="str">
        <f>VLOOKUP($B53,'DCS Data'!$E$2:$AJ$100,MATCH(AG$1,'DCS Data'!$E$2:$AJ$2,0),0)</f>
        <v/>
      </c>
      <c r="AH53" s="316" t="str">
        <f>VLOOKUP($B53,'DCS Data'!$E$2:$AJ$100,MATCH(AH$1,'DCS Data'!$E$2:$AJ$2,0),0)</f>
        <v/>
      </c>
      <c r="AI53" s="316" t="str">
        <f>VLOOKUP($B53,'DCS Data'!$E$2:$AJ$100,MATCH(AI$1,'DCS Data'!$E$2:$AJ$2,0),0)</f>
        <v/>
      </c>
      <c r="AJ53" s="316" t="str">
        <f>VLOOKUP($B53,'DCS Data'!$E$2:$AJ$100,MATCH(AJ$1,'DCS Data'!$E$2:$AJ$2,0),0)</f>
        <v/>
      </c>
      <c r="AK53" s="316" t="str">
        <f>VLOOKUP($B53,'DCS Data'!$E$2:$AJ$100,MATCH(AK$1,'DCS Data'!$E$2:$AJ$2,0),0)</f>
        <v/>
      </c>
      <c r="AL53" s="316" t="str">
        <f>VLOOKUP($B53,'DCS Data'!$E$2:$AJ$100,MATCH(AL$1,'DCS Data'!$E$2:$AJ$2,0),0)</f>
        <v/>
      </c>
      <c r="AM53" s="316" t="str">
        <f>VLOOKUP($B53,'DCS Data'!$E$2:$AJ$100,MATCH(AM$1,'DCS Data'!$E$2:$AJ$2,0),0)</f>
        <v/>
      </c>
      <c r="AN53" s="316" t="str">
        <f>VLOOKUP($B53,'DCS Data'!$E$2:$AJ$100,MATCH(AN$1,'DCS Data'!$E$2:$AJ$2,0),0)</f>
        <v/>
      </c>
      <c r="AO53" s="316" t="str">
        <f>VLOOKUP($B53,'DCS Data'!$E$2:$AJ$100,MATCH(AO$1,'DCS Data'!$E$2:$AJ$2,0),0)</f>
        <v/>
      </c>
    </row>
    <row r="54" spans="1:41" ht="19.5" thickBot="1">
      <c r="A54" s="76" t="s">
        <v>89</v>
      </c>
      <c r="B54" s="78" t="s">
        <v>342</v>
      </c>
      <c r="C54" s="461" t="s">
        <v>544</v>
      </c>
      <c r="D54" s="445" t="s">
        <v>581</v>
      </c>
      <c r="E54" s="445" t="s">
        <v>921</v>
      </c>
      <c r="F54" s="466" t="s">
        <v>5</v>
      </c>
      <c r="G54" s="137"/>
      <c r="H54" s="351">
        <v>99.900000000000048</v>
      </c>
      <c r="I54" s="381">
        <f t="shared" si="0"/>
        <v>99.802078247069275</v>
      </c>
      <c r="J54" s="316" t="str">
        <f>VLOOKUP($B54,'DCS Data'!$E$2:$AJ$100,MATCH(J$1,'DCS Data'!$E$2:$AJ$2,0),0)</f>
        <v/>
      </c>
      <c r="L54" s="316" t="str">
        <f>VLOOKUP($B54,'DCS Data'!$E$2:$AJ$100,MATCH(L$1,'DCS Data'!$E$2:$AJ$2,0),0)</f>
        <v/>
      </c>
      <c r="M54" s="316" t="str">
        <f>VLOOKUP($B54,'DCS Data'!$E$2:$AJ$100,MATCH(M$1,'DCS Data'!$E$2:$AJ$2,0),0)</f>
        <v/>
      </c>
      <c r="N54" s="316" t="str">
        <f>VLOOKUP($B54,'DCS Data'!$E$2:$AJ$100,MATCH(N$1,'DCS Data'!$E$2:$AJ$2,0),0)</f>
        <v/>
      </c>
      <c r="O54" s="316">
        <f>VLOOKUP($B54,'DCS Data'!$E$2:$AJ$100,MATCH(O$1,'DCS Data'!$E$2:$AJ$2,0),0)</f>
        <v>99.802078247069616</v>
      </c>
      <c r="P54" s="316">
        <f>VLOOKUP($B54,'DCS Data'!$E$2:$AJ$100,MATCH(P$1,'DCS Data'!$E$2:$AJ$2,0),0)</f>
        <v>99.802078247069389</v>
      </c>
      <c r="Q54" s="316">
        <f>VLOOKUP($B54,'DCS Data'!$E$2:$AJ$100,MATCH(Q$1,'DCS Data'!$E$2:$AJ$2,0),0)</f>
        <v>99.802078247069176</v>
      </c>
      <c r="R54" s="316">
        <f>VLOOKUP($B54,'DCS Data'!$E$2:$AJ$100,MATCH(R$1,'DCS Data'!$E$2:$AJ$2,0),0)</f>
        <v>99.80207824706882</v>
      </c>
      <c r="S54" s="316">
        <f>VLOOKUP($B54,'DCS Data'!$E$2:$AJ$100,MATCH(S$1,'DCS Data'!$E$2:$AJ$2,0),0)</f>
        <v>99.802078247069147</v>
      </c>
      <c r="T54" s="316">
        <f>VLOOKUP($B54,'DCS Data'!$E$2:$AJ$100,MATCH(T$1,'DCS Data'!$E$2:$AJ$2,0),0)</f>
        <v>99.802078247069403</v>
      </c>
      <c r="U54" s="316">
        <f>VLOOKUP($B54,'DCS Data'!$E$2:$AJ$100,MATCH(U$1,'DCS Data'!$E$2:$AJ$2,0),0)</f>
        <v>99.802078247069517</v>
      </c>
      <c r="V54" s="316">
        <f>VLOOKUP($B54,'DCS Data'!$E$2:$AJ$100,MATCH(V$1,'DCS Data'!$E$2:$AJ$2,0),0)</f>
        <v>99.802078247069147</v>
      </c>
      <c r="W54" s="316">
        <f>VLOOKUP($B54,'DCS Data'!$E$2:$AJ$100,MATCH(W$1,'DCS Data'!$E$2:$AJ$2,0),0)</f>
        <v>99.802078247069062</v>
      </c>
      <c r="X54" s="316">
        <f>VLOOKUP($B54,'DCS Data'!$E$2:$AJ$100,MATCH(X$1,'DCS Data'!$E$2:$AJ$2,0),0)</f>
        <v>99.80207824706936</v>
      </c>
      <c r="Y54" s="316">
        <f>VLOOKUP($B54,'DCS Data'!$E$2:$AJ$100,MATCH(Y$1,'DCS Data'!$E$2:$AJ$2,0),0)</f>
        <v>99.802078247069389</v>
      </c>
      <c r="Z54" s="316">
        <f>VLOOKUP($B54,'DCS Data'!$E$2:$AJ$100,MATCH(Z$1,'DCS Data'!$E$2:$AJ$2,0),0)</f>
        <v>99.802078247069176</v>
      </c>
      <c r="AA54" s="316">
        <f>VLOOKUP($B54,'DCS Data'!$E$2:$AJ$100,MATCH(AA$1,'DCS Data'!$E$2:$AJ$2,0),0)</f>
        <v>99.80207824706909</v>
      </c>
      <c r="AB54" s="316">
        <f>VLOOKUP($B54,'DCS Data'!$E$2:$AJ$100,MATCH(AB$1,'DCS Data'!$E$2:$AJ$2,0),0)</f>
        <v>99.802078247069431</v>
      </c>
      <c r="AC54" s="316">
        <f>VLOOKUP($B54,'DCS Data'!$E$2:$AJ$100,MATCH(AC$1,'DCS Data'!$E$2:$AJ$2,0),0)</f>
        <v>99.802078247068977</v>
      </c>
      <c r="AD54" s="316">
        <f>VLOOKUP($B54,'DCS Data'!$E$2:$AJ$100,MATCH(AD$1,'DCS Data'!$E$2:$AJ$2,0),0)</f>
        <v>99.802078247069147</v>
      </c>
      <c r="AE54" s="316">
        <f>VLOOKUP($B54,'DCS Data'!$E$2:$AJ$100,MATCH(AE$1,'DCS Data'!$E$2:$AJ$2,0),0)</f>
        <v>99.802078247068991</v>
      </c>
      <c r="AF54" s="316">
        <f>VLOOKUP($B54,'DCS Data'!$E$2:$AJ$100,MATCH(AF$1,'DCS Data'!$E$2:$AJ$2,0),0)</f>
        <v>99.802078247069304</v>
      </c>
      <c r="AG54" s="316">
        <f>VLOOKUP($B54,'DCS Data'!$E$2:$AJ$100,MATCH(AG$1,'DCS Data'!$E$2:$AJ$2,0),0)</f>
        <v>99.802078247069176</v>
      </c>
      <c r="AH54" s="316">
        <f>VLOOKUP($B54,'DCS Data'!$E$2:$AJ$100,MATCH(AH$1,'DCS Data'!$E$2:$AJ$2,0),0)</f>
        <v>99.802078247069147</v>
      </c>
      <c r="AI54" s="316">
        <f>VLOOKUP($B54,'DCS Data'!$E$2:$AJ$100,MATCH(AI$1,'DCS Data'!$E$2:$AJ$2,0),0)</f>
        <v>99.802078247069133</v>
      </c>
      <c r="AJ54" s="316">
        <f>VLOOKUP($B54,'DCS Data'!$E$2:$AJ$100,MATCH(AJ$1,'DCS Data'!$E$2:$AJ$2,0),0)</f>
        <v>99.802078247069431</v>
      </c>
      <c r="AK54" s="316">
        <f>VLOOKUP($B54,'DCS Data'!$E$2:$AJ$100,MATCH(AK$1,'DCS Data'!$E$2:$AJ$2,0),0)</f>
        <v>99.80207824706936</v>
      </c>
      <c r="AL54" s="316">
        <f>VLOOKUP($B54,'DCS Data'!$E$2:$AJ$100,MATCH(AL$1,'DCS Data'!$E$2:$AJ$2,0),0)</f>
        <v>99.802078247069218</v>
      </c>
      <c r="AM54" s="316">
        <f>VLOOKUP($B54,'DCS Data'!$E$2:$AJ$100,MATCH(AM$1,'DCS Data'!$E$2:$AJ$2,0),0)</f>
        <v>99.802078247069346</v>
      </c>
      <c r="AN54" s="316">
        <f>VLOOKUP($B54,'DCS Data'!$E$2:$AJ$100,MATCH(AN$1,'DCS Data'!$E$2:$AJ$2,0),0)</f>
        <v>99.80207824706919</v>
      </c>
      <c r="AO54" s="316">
        <f>VLOOKUP($B54,'DCS Data'!$E$2:$AJ$100,MATCH(AO$1,'DCS Data'!$E$2:$AJ$2,0),0)</f>
        <v>99.802078247069261</v>
      </c>
    </row>
    <row r="55" spans="1:41" ht="18.75">
      <c r="A55" s="493" t="s">
        <v>225</v>
      </c>
      <c r="B55" s="72"/>
      <c r="C55" s="455"/>
      <c r="D55" s="444" t="s">
        <v>626</v>
      </c>
      <c r="E55" s="444" t="s">
        <v>922</v>
      </c>
      <c r="F55" s="464" t="s">
        <v>5</v>
      </c>
      <c r="G55" s="131" t="s">
        <v>21</v>
      </c>
      <c r="H55" s="350">
        <v>95.199999999999974</v>
      </c>
      <c r="I55" s="379">
        <f t="shared" si="0"/>
        <v>95.199999999999946</v>
      </c>
      <c r="J55" s="327">
        <f>(((J45*'Daily Report'!I$33/(J$50*100))+(J33*'Daily Report'!I$37/(J$38*100)))/(('Daily Report'!I$33/J$50)+('Daily Report'!I$37/J$38)))*100</f>
        <v>95.199999999999974</v>
      </c>
      <c r="K55" s="438"/>
      <c r="L55" s="327">
        <f>(((L45*'Daily Report'!K$33/(L$50*100))+(L33*'Daily Report'!K$37/(L$38*100)))/(('Daily Report'!K$33/L$50)+('Daily Report'!K$37/L$38)))*100</f>
        <v>95.199999999999974</v>
      </c>
      <c r="M55" s="327">
        <f>(((M45*'Daily Report'!L$33/(M$50*100))+(M33*'Daily Report'!L$37/(M$38*100)))/(('Daily Report'!L$33/M$50)+('Daily Report'!L$37/M$38)))*100</f>
        <v>95.19999999999996</v>
      </c>
      <c r="N55" s="327">
        <f>(((N45*'Daily Report'!M$33/(N$50*100))+(N33*'Daily Report'!M$37/(N$38*100)))/(('Daily Report'!M$33/N$50)+('Daily Report'!M$37/N$38)))*100</f>
        <v>95.199999999999974</v>
      </c>
      <c r="O55" s="327">
        <f>(((O45*'Daily Report'!N$33/(O$50*100))+(O33*'Daily Report'!N$37/(O$38*100)))/(('Daily Report'!N$33/O$50)+('Daily Report'!N$37/O$38)))*100</f>
        <v>95.199999999999974</v>
      </c>
      <c r="P55" s="327">
        <f>(((P45*'Daily Report'!O$33/(P$50*100))+(P33*'Daily Report'!O$37/(P$38*100)))/(('Daily Report'!O$33/P$50)+('Daily Report'!O$37/P$38)))*100</f>
        <v>95.199999999999974</v>
      </c>
      <c r="Q55" s="327">
        <f>(((Q45*'Daily Report'!P$33/(Q$50*100))+(Q33*'Daily Report'!P$37/(Q$38*100)))/(('Daily Report'!P$33/Q$50)+('Daily Report'!P$37/Q$38)))*100</f>
        <v>95.199999999999974</v>
      </c>
      <c r="R55" s="327">
        <f>(((R45*'Daily Report'!Q$33/(R$50*100))+(R33*'Daily Report'!Q$37/(R$38*100)))/(('Daily Report'!Q$33/R$50)+('Daily Report'!Q$37/R$38)))*100</f>
        <v>95.199999999999989</v>
      </c>
      <c r="S55" s="327">
        <f>(((S45*'Daily Report'!R$33/(S$50*100))+(S33*'Daily Report'!R$37/(S$38*100)))/(('Daily Report'!R$33/S$50)+('Daily Report'!R$37/S$38)))*100</f>
        <v>95.199999999999974</v>
      </c>
      <c r="T55" s="327">
        <f>(((T45*'Daily Report'!S$33/(T$50*100))+(T33*'Daily Report'!S$37/(T$38*100)))/(('Daily Report'!S$33/T$50)+('Daily Report'!S$37/T$38)))*100</f>
        <v>95.199999999999989</v>
      </c>
      <c r="U55" s="327">
        <f>(((U45*'Daily Report'!T$33/(U$50*100))+(U33*'Daily Report'!T$37/(U$38*100)))/(('Daily Report'!T$33/U$50)+('Daily Report'!T$37/U$38)))*100</f>
        <v>95.19999999999996</v>
      </c>
      <c r="V55" s="327">
        <f>(((V45*'Daily Report'!U$33/(V$50*100))+(V33*'Daily Report'!U$37/(V$38*100)))/(('Daily Report'!U$33/V$50)+('Daily Report'!U$37/V$38)))*100</f>
        <v>95.199999999999974</v>
      </c>
      <c r="W55" s="327">
        <f>(((W45*'Daily Report'!V$33/(W$50*100))+(W33*'Daily Report'!V$37/(W$38*100)))/(('Daily Report'!V$33/W$50)+('Daily Report'!V$37/W$38)))*100</f>
        <v>95.199999999999989</v>
      </c>
      <c r="X55" s="327">
        <f>(((X45*'Daily Report'!W$33/(X$50*100))+(X33*'Daily Report'!W$37/(X$38*100)))/(('Daily Report'!W$33/X$50)+('Daily Report'!W$37/X$38)))*100</f>
        <v>95.199999999999974</v>
      </c>
      <c r="Y55" s="327">
        <f>(((Y45*'Daily Report'!X$33/(Y$50*100))+(Y33*'Daily Report'!X$37/(Y$38*100)))/(('Daily Report'!X$33/Y$50)+('Daily Report'!X$37/Y$38)))*100</f>
        <v>95.199999999999974</v>
      </c>
      <c r="Z55" s="327">
        <f>(((Z45*'Daily Report'!Y$33/(Z$50*100))+(Z33*'Daily Report'!Y$37/(Z$38*100)))/(('Daily Report'!Y$33/Z$50)+('Daily Report'!Y$37/Z$38)))*100</f>
        <v>95.199999999999989</v>
      </c>
      <c r="AA55" s="327">
        <f>(((AA45*'Daily Report'!Z$33/(AA$50*100))+(AA33*'Daily Report'!Z$37/(AA$38*100)))/(('Daily Report'!Z$33/AA$50)+('Daily Report'!Z$37/AA$38)))*100</f>
        <v>95.199999999999989</v>
      </c>
      <c r="AB55" s="327">
        <f>(((AB45*'Daily Report'!AA$33/(AB$50*100))+(AB33*'Daily Report'!AA$37/(AB$38*100)))/(('Daily Report'!AA$33/AB$50)+('Daily Report'!AA$37/AB$38)))*100</f>
        <v>95.199999999999989</v>
      </c>
      <c r="AC55" s="327">
        <f>(((AC45*'Daily Report'!AB$33/(AC$50*100))+(AC33*'Daily Report'!AB$37/(AC$38*100)))/(('Daily Report'!AB$33/AC$50)+('Daily Report'!AB$37/AC$38)))*100</f>
        <v>95.199999999999974</v>
      </c>
      <c r="AD55" s="327">
        <f>(((AD45*'Daily Report'!AC$33/(AD$50*100))+(AD33*'Daily Report'!AC$37/(AD$38*100)))/(('Daily Report'!AC$33/AD$50)+('Daily Report'!AC$37/AD$38)))*100</f>
        <v>95.199999999999989</v>
      </c>
      <c r="AE55" s="327">
        <f>(((AE45*'Daily Report'!AD$33/(AE$50*100))+(AE33*'Daily Report'!AD$37/(AE$38*100)))/(('Daily Report'!AD$33/AE$50)+('Daily Report'!AD$37/AE$38)))*100</f>
        <v>95.199999999999989</v>
      </c>
      <c r="AF55" s="327">
        <f>(((AF45*'Daily Report'!AE$33/(AF$50*100))+(AF33*'Daily Report'!AE$37/(AF$38*100)))/(('Daily Report'!AE$33/AF$50)+('Daily Report'!AE$37/AF$38)))*100</f>
        <v>95.19999999999996</v>
      </c>
      <c r="AG55" s="327">
        <f>(((AG45*'Daily Report'!AF$33/(AG$50*100))+(AG33*'Daily Report'!AF$37/(AG$38*100)))/(('Daily Report'!AF$33/AG$50)+('Daily Report'!AF$37/AG$38)))*100</f>
        <v>95.199999999999974</v>
      </c>
      <c r="AH55" s="327">
        <f>(((AH45*'Daily Report'!AG$33/(AH$50*100))+(AH33*'Daily Report'!AG$37/(AH$38*100)))/(('Daily Report'!AG$33/AH$50)+('Daily Report'!AG$37/AH$38)))*100</f>
        <v>95.199999999999989</v>
      </c>
      <c r="AI55" s="327">
        <f>(((AI45*'Daily Report'!AH$33/(AI$50*100))+(AI33*'Daily Report'!AH$37/(AI$38*100)))/(('Daily Report'!AH$33/AI$50)+('Daily Report'!AH$37/AI$38)))*100</f>
        <v>95.199999999999974</v>
      </c>
      <c r="AJ55" s="327">
        <f>(((AJ45*'Daily Report'!AI$33/(AJ$50*100))+(AJ33*'Daily Report'!AI$37/(AJ$38*100)))/(('Daily Report'!AI$33/AJ$50)+('Daily Report'!AI$37/AJ$38)))*100</f>
        <v>95.199999999999989</v>
      </c>
      <c r="AK55" s="327">
        <f>(((AK45*'Daily Report'!AJ$33/(AK$50*100))+(AK33*'Daily Report'!AJ$37/(AK$38*100)))/(('Daily Report'!AJ$33/AK$50)+('Daily Report'!AJ$37/AK$38)))*100</f>
        <v>95.199999999999989</v>
      </c>
      <c r="AL55" s="327">
        <f>(((AL45*'Daily Report'!AK$33/(AL$50*100))+(AL33*'Daily Report'!AK$37/(AL$38*100)))/(('Daily Report'!AK$33/AL$50)+('Daily Report'!AK$37/AL$38)))*100</f>
        <v>95.199999999999989</v>
      </c>
      <c r="AM55" s="327">
        <f>(((AM45*'Daily Report'!AL$33/(AM$50*100))+(AM33*'Daily Report'!AL$37/(AM$38*100)))/(('Daily Report'!AL$33/AM$50)+('Daily Report'!AL$37/AM$38)))*100</f>
        <v>95.19999999999996</v>
      </c>
      <c r="AN55" s="327">
        <f>(((AN45*'Daily Report'!AM$33/(AN$50*100))+(AN33*'Daily Report'!AM$37/(AN$38*100)))/(('Daily Report'!AM$33/AN$50)+('Daily Report'!AM$37/AN$38)))*100</f>
        <v>95.19999999999996</v>
      </c>
      <c r="AO55" s="327">
        <f>(((AO45*'Daily Report'!AN$33/(AO$50*100))+(AO33*'Daily Report'!AN$37/(AO$38*100)))/(('Daily Report'!AN$33/AO$50)+('Daily Report'!AN$37/AO$38)))*100</f>
        <v>95.199999999999974</v>
      </c>
    </row>
    <row r="56" spans="1:41" ht="18.75">
      <c r="A56" s="494"/>
      <c r="B56" s="341"/>
      <c r="C56" s="453"/>
      <c r="D56" s="444" t="s">
        <v>627</v>
      </c>
      <c r="E56" s="444" t="s">
        <v>923</v>
      </c>
      <c r="F56" s="465" t="s">
        <v>5</v>
      </c>
      <c r="G56" s="132" t="s">
        <v>70</v>
      </c>
      <c r="H56" s="348">
        <v>2.5999999999999996</v>
      </c>
      <c r="I56" s="380">
        <f t="shared" si="0"/>
        <v>2.5999999999999992</v>
      </c>
      <c r="J56" s="326">
        <f>(((J46*'Daily Report'!I$33/(J$50*100))+(J34*'Daily Report'!I$37/(J$38*100)))/(('Daily Report'!I$33/J$50)+('Daily Report'!I$37/J$38)))*100</f>
        <v>2.5999999999999996</v>
      </c>
      <c r="K56" s="438"/>
      <c r="L56" s="326">
        <f>(((L46*'Daily Report'!K$33/(L$50*100))+(L34*'Daily Report'!K$37/(L$38*100)))/(('Daily Report'!K$33/L$50)+('Daily Report'!K$37/L$38)))*100</f>
        <v>2.5999999999999996</v>
      </c>
      <c r="M56" s="326">
        <f>(((M46*'Daily Report'!L$33/(M$50*100))+(M34*'Daily Report'!L$37/(M$38*100)))/(('Daily Report'!L$33/M$50)+('Daily Report'!L$37/M$38)))*100</f>
        <v>2.5999999999999992</v>
      </c>
      <c r="N56" s="326">
        <f>(((N46*'Daily Report'!M$33/(N$50*100))+(N34*'Daily Report'!M$37/(N$38*100)))/(('Daily Report'!M$33/N$50)+('Daily Report'!M$37/N$38)))*100</f>
        <v>2.6</v>
      </c>
      <c r="O56" s="326">
        <f>(((O46*'Daily Report'!N$33/(O$50*100))+(O34*'Daily Report'!N$37/(O$38*100)))/(('Daily Report'!N$33/O$50)+('Daily Report'!N$37/O$38)))*100</f>
        <v>2.5999999999999996</v>
      </c>
      <c r="P56" s="326">
        <f>(((P46*'Daily Report'!O$33/(P$50*100))+(P34*'Daily Report'!O$37/(P$38*100)))/(('Daily Report'!O$33/P$50)+('Daily Report'!O$37/P$38)))*100</f>
        <v>2.5999999999999996</v>
      </c>
      <c r="Q56" s="326">
        <f>(((Q46*'Daily Report'!P$33/(Q$50*100))+(Q34*'Daily Report'!P$37/(Q$38*100)))/(('Daily Report'!P$33/Q$50)+('Daily Report'!P$37/Q$38)))*100</f>
        <v>2.5999999999999996</v>
      </c>
      <c r="R56" s="326">
        <f>(((R46*'Daily Report'!Q$33/(R$50*100))+(R34*'Daily Report'!Q$37/(R$38*100)))/(('Daily Report'!Q$33/R$50)+('Daily Report'!Q$37/R$38)))*100</f>
        <v>2.6</v>
      </c>
      <c r="S56" s="326">
        <f>(((S46*'Daily Report'!R$33/(S$50*100))+(S34*'Daily Report'!R$37/(S$38*100)))/(('Daily Report'!R$33/S$50)+('Daily Report'!R$37/S$38)))*100</f>
        <v>2.6</v>
      </c>
      <c r="T56" s="326">
        <f>(((T46*'Daily Report'!S$33/(T$50*100))+(T34*'Daily Report'!S$37/(T$38*100)))/(('Daily Report'!S$33/T$50)+('Daily Report'!S$37/T$38)))*100</f>
        <v>2.5999999999999996</v>
      </c>
      <c r="U56" s="326">
        <f>(((U46*'Daily Report'!T$33/(U$50*100))+(U34*'Daily Report'!T$37/(U$38*100)))/(('Daily Report'!T$33/U$50)+('Daily Report'!T$37/U$38)))*100</f>
        <v>2.5999999999999996</v>
      </c>
      <c r="V56" s="326">
        <f>(((V46*'Daily Report'!U$33/(V$50*100))+(V34*'Daily Report'!U$37/(V$38*100)))/(('Daily Report'!U$33/V$50)+('Daily Report'!U$37/V$38)))*100</f>
        <v>2.6</v>
      </c>
      <c r="W56" s="326">
        <f>(((W46*'Daily Report'!V$33/(W$50*100))+(W34*'Daily Report'!V$37/(W$38*100)))/(('Daily Report'!V$33/W$50)+('Daily Report'!V$37/W$38)))*100</f>
        <v>2.6</v>
      </c>
      <c r="X56" s="326">
        <f>(((X46*'Daily Report'!W$33/(X$50*100))+(X34*'Daily Report'!W$37/(X$38*100)))/(('Daily Report'!W$33/X$50)+('Daily Report'!W$37/X$38)))*100</f>
        <v>2.6</v>
      </c>
      <c r="Y56" s="326">
        <f>(((Y46*'Daily Report'!X$33/(Y$50*100))+(Y34*'Daily Report'!X$37/(Y$38*100)))/(('Daily Report'!X$33/Y$50)+('Daily Report'!X$37/Y$38)))*100</f>
        <v>2.6</v>
      </c>
      <c r="Z56" s="326">
        <f>(((Z46*'Daily Report'!Y$33/(Z$50*100))+(Z34*'Daily Report'!Y$37/(Z$38*100)))/(('Daily Report'!Y$33/Z$50)+('Daily Report'!Y$37/Z$38)))*100</f>
        <v>2.5999999999999992</v>
      </c>
      <c r="AA56" s="326">
        <f>(((AA46*'Daily Report'!Z$33/(AA$50*100))+(AA34*'Daily Report'!Z$37/(AA$38*100)))/(('Daily Report'!Z$33/AA$50)+('Daily Report'!Z$37/AA$38)))*100</f>
        <v>2.5999999999999996</v>
      </c>
      <c r="AB56" s="326">
        <f>(((AB46*'Daily Report'!AA$33/(AB$50*100))+(AB34*'Daily Report'!AA$37/(AB$38*100)))/(('Daily Report'!AA$33/AB$50)+('Daily Report'!AA$37/AB$38)))*100</f>
        <v>2.6</v>
      </c>
      <c r="AC56" s="326">
        <f>(((AC46*'Daily Report'!AB$33/(AC$50*100))+(AC34*'Daily Report'!AB$37/(AC$38*100)))/(('Daily Report'!AB$33/AC$50)+('Daily Report'!AB$37/AC$38)))*100</f>
        <v>2.6</v>
      </c>
      <c r="AD56" s="326">
        <f>(((AD46*'Daily Report'!AC$33/(AD$50*100))+(AD34*'Daily Report'!AC$37/(AD$38*100)))/(('Daily Report'!AC$33/AD$50)+('Daily Report'!AC$37/AD$38)))*100</f>
        <v>2.6</v>
      </c>
      <c r="AE56" s="326">
        <f>(((AE46*'Daily Report'!AD$33/(AE$50*100))+(AE34*'Daily Report'!AD$37/(AE$38*100)))/(('Daily Report'!AD$33/AE$50)+('Daily Report'!AD$37/AE$38)))*100</f>
        <v>2.6</v>
      </c>
      <c r="AF56" s="326">
        <f>(((AF46*'Daily Report'!AE$33/(AF$50*100))+(AF34*'Daily Report'!AE$37/(AF$38*100)))/(('Daily Report'!AE$33/AF$50)+('Daily Report'!AE$37/AF$38)))*100</f>
        <v>2.5999999999999992</v>
      </c>
      <c r="AG56" s="326">
        <f>(((AG46*'Daily Report'!AF$33/(AG$50*100))+(AG34*'Daily Report'!AF$37/(AG$38*100)))/(('Daily Report'!AF$33/AG$50)+('Daily Report'!AF$37/AG$38)))*100</f>
        <v>2.6</v>
      </c>
      <c r="AH56" s="326">
        <f>(((AH46*'Daily Report'!AG$33/(AH$50*100))+(AH34*'Daily Report'!AG$37/(AH$38*100)))/(('Daily Report'!AG$33/AH$50)+('Daily Report'!AG$37/AH$38)))*100</f>
        <v>2.5999999999999992</v>
      </c>
      <c r="AI56" s="326">
        <f>(((AI46*'Daily Report'!AH$33/(AI$50*100))+(AI34*'Daily Report'!AH$37/(AI$38*100)))/(('Daily Report'!AH$33/AI$50)+('Daily Report'!AH$37/AI$38)))*100</f>
        <v>2.5999999999999996</v>
      </c>
      <c r="AJ56" s="326">
        <f>(((AJ46*'Daily Report'!AI$33/(AJ$50*100))+(AJ34*'Daily Report'!AI$37/(AJ$38*100)))/(('Daily Report'!AI$33/AJ$50)+('Daily Report'!AI$37/AJ$38)))*100</f>
        <v>2.6</v>
      </c>
      <c r="AK56" s="326">
        <f>(((AK46*'Daily Report'!AJ$33/(AK$50*100))+(AK34*'Daily Report'!AJ$37/(AK$38*100)))/(('Daily Report'!AJ$33/AK$50)+('Daily Report'!AJ$37/AK$38)))*100</f>
        <v>2.5999999999999996</v>
      </c>
      <c r="AL56" s="326">
        <f>(((AL46*'Daily Report'!AK$33/(AL$50*100))+(AL34*'Daily Report'!AK$37/(AL$38*100)))/(('Daily Report'!AK$33/AL$50)+('Daily Report'!AK$37/AL$38)))*100</f>
        <v>2.6</v>
      </c>
      <c r="AM56" s="326">
        <f>(((AM46*'Daily Report'!AL$33/(AM$50*100))+(AM34*'Daily Report'!AL$37/(AM$38*100)))/(('Daily Report'!AL$33/AM$50)+('Daily Report'!AL$37/AM$38)))*100</f>
        <v>2.6</v>
      </c>
      <c r="AN56" s="326">
        <f>(((AN46*'Daily Report'!AM$33/(AN$50*100))+(AN34*'Daily Report'!AM$37/(AN$38*100)))/(('Daily Report'!AM$33/AN$50)+('Daily Report'!AM$37/AN$38)))*100</f>
        <v>2.6</v>
      </c>
      <c r="AO56" s="326">
        <f>(((AO46*'Daily Report'!AN$33/(AO$50*100))+(AO34*'Daily Report'!AN$37/(AO$38*100)))/(('Daily Report'!AN$33/AO$50)+('Daily Report'!AN$37/AO$38)))*100</f>
        <v>2.5999999999999996</v>
      </c>
    </row>
    <row r="57" spans="1:41" ht="15">
      <c r="A57" s="494"/>
      <c r="B57" s="341"/>
      <c r="C57" s="453"/>
      <c r="D57" s="444" t="s">
        <v>628</v>
      </c>
      <c r="E57" s="444" t="s">
        <v>924</v>
      </c>
      <c r="F57" s="465" t="s">
        <v>5</v>
      </c>
      <c r="G57" s="132" t="s">
        <v>71</v>
      </c>
      <c r="H57" s="348">
        <v>0</v>
      </c>
      <c r="I57" s="380">
        <f t="shared" si="0"/>
        <v>0</v>
      </c>
      <c r="J57" s="326">
        <f>(((J47*'Daily Report'!I$33/(J$50*100))+(J35*'Daily Report'!I$37/(J$38*100)))/(('Daily Report'!I$33/J$50)+('Daily Report'!I$37/J$38)))*100</f>
        <v>0</v>
      </c>
      <c r="K57" s="438"/>
      <c r="L57" s="326">
        <f>(((L47*'Daily Report'!K$33/(L$50*100))+(L35*'Daily Report'!K$37/(L$38*100)))/(('Daily Report'!K$33/L$50)+('Daily Report'!K$37/L$38)))*100</f>
        <v>0</v>
      </c>
      <c r="M57" s="326">
        <f>(((M47*'Daily Report'!L$33/(M$50*100))+(M35*'Daily Report'!L$37/(M$38*100)))/(('Daily Report'!L$33/M$50)+('Daily Report'!L$37/M$38)))*100</f>
        <v>0</v>
      </c>
      <c r="N57" s="326">
        <f>(((N47*'Daily Report'!M$33/(N$50*100))+(N35*'Daily Report'!M$37/(N$38*100)))/(('Daily Report'!M$33/N$50)+('Daily Report'!M$37/N$38)))*100</f>
        <v>0</v>
      </c>
      <c r="O57" s="326">
        <f>(((O47*'Daily Report'!N$33/(O$50*100))+(O35*'Daily Report'!N$37/(O$38*100)))/(('Daily Report'!N$33/O$50)+('Daily Report'!N$37/O$38)))*100</f>
        <v>0</v>
      </c>
      <c r="P57" s="326">
        <f>(((P47*'Daily Report'!O$33/(P$50*100))+(P35*'Daily Report'!O$37/(P$38*100)))/(('Daily Report'!O$33/P$50)+('Daily Report'!O$37/P$38)))*100</f>
        <v>0</v>
      </c>
      <c r="Q57" s="326">
        <f>(((Q47*'Daily Report'!P$33/(Q$50*100))+(Q35*'Daily Report'!P$37/(Q$38*100)))/(('Daily Report'!P$33/Q$50)+('Daily Report'!P$37/Q$38)))*100</f>
        <v>0</v>
      </c>
      <c r="R57" s="326">
        <f>(((R47*'Daily Report'!Q$33/(R$50*100))+(R35*'Daily Report'!Q$37/(R$38*100)))/(('Daily Report'!Q$33/R$50)+('Daily Report'!Q$37/R$38)))*100</f>
        <v>0</v>
      </c>
      <c r="S57" s="326">
        <f>(((S47*'Daily Report'!R$33/(S$50*100))+(S35*'Daily Report'!R$37/(S$38*100)))/(('Daily Report'!R$33/S$50)+('Daily Report'!R$37/S$38)))*100</f>
        <v>0</v>
      </c>
      <c r="T57" s="326">
        <f>(((T47*'Daily Report'!S$33/(T$50*100))+(T35*'Daily Report'!S$37/(T$38*100)))/(('Daily Report'!S$33/T$50)+('Daily Report'!S$37/T$38)))*100</f>
        <v>0</v>
      </c>
      <c r="U57" s="326">
        <f>(((U47*'Daily Report'!T$33/(U$50*100))+(U35*'Daily Report'!T$37/(U$38*100)))/(('Daily Report'!T$33/U$50)+('Daily Report'!T$37/U$38)))*100</f>
        <v>0</v>
      </c>
      <c r="V57" s="326">
        <f>(((V47*'Daily Report'!U$33/(V$50*100))+(V35*'Daily Report'!U$37/(V$38*100)))/(('Daily Report'!U$33/V$50)+('Daily Report'!U$37/V$38)))*100</f>
        <v>0</v>
      </c>
      <c r="W57" s="326">
        <f>(((W47*'Daily Report'!V$33/(W$50*100))+(W35*'Daily Report'!V$37/(W$38*100)))/(('Daily Report'!V$33/W$50)+('Daily Report'!V$37/W$38)))*100</f>
        <v>0</v>
      </c>
      <c r="X57" s="326">
        <f>(((X47*'Daily Report'!W$33/(X$50*100))+(X35*'Daily Report'!W$37/(X$38*100)))/(('Daily Report'!W$33/X$50)+('Daily Report'!W$37/X$38)))*100</f>
        <v>0</v>
      </c>
      <c r="Y57" s="326">
        <f>(((Y47*'Daily Report'!X$33/(Y$50*100))+(Y35*'Daily Report'!X$37/(Y$38*100)))/(('Daily Report'!X$33/Y$50)+('Daily Report'!X$37/Y$38)))*100</f>
        <v>0</v>
      </c>
      <c r="Z57" s="326">
        <f>(((Z47*'Daily Report'!Y$33/(Z$50*100))+(Z35*'Daily Report'!Y$37/(Z$38*100)))/(('Daily Report'!Y$33/Z$50)+('Daily Report'!Y$37/Z$38)))*100</f>
        <v>0</v>
      </c>
      <c r="AA57" s="326">
        <f>(((AA47*'Daily Report'!Z$33/(AA$50*100))+(AA35*'Daily Report'!Z$37/(AA$38*100)))/(('Daily Report'!Z$33/AA$50)+('Daily Report'!Z$37/AA$38)))*100</f>
        <v>0</v>
      </c>
      <c r="AB57" s="326">
        <f>(((AB47*'Daily Report'!AA$33/(AB$50*100))+(AB35*'Daily Report'!AA$37/(AB$38*100)))/(('Daily Report'!AA$33/AB$50)+('Daily Report'!AA$37/AB$38)))*100</f>
        <v>0</v>
      </c>
      <c r="AC57" s="326">
        <f>(((AC47*'Daily Report'!AB$33/(AC$50*100))+(AC35*'Daily Report'!AB$37/(AC$38*100)))/(('Daily Report'!AB$33/AC$50)+('Daily Report'!AB$37/AC$38)))*100</f>
        <v>0</v>
      </c>
      <c r="AD57" s="326">
        <f>(((AD47*'Daily Report'!AC$33/(AD$50*100))+(AD35*'Daily Report'!AC$37/(AD$38*100)))/(('Daily Report'!AC$33/AD$50)+('Daily Report'!AC$37/AD$38)))*100</f>
        <v>0</v>
      </c>
      <c r="AE57" s="326">
        <f>(((AE47*'Daily Report'!AD$33/(AE$50*100))+(AE35*'Daily Report'!AD$37/(AE$38*100)))/(('Daily Report'!AD$33/AE$50)+('Daily Report'!AD$37/AE$38)))*100</f>
        <v>0</v>
      </c>
      <c r="AF57" s="326">
        <f>(((AF47*'Daily Report'!AE$33/(AF$50*100))+(AF35*'Daily Report'!AE$37/(AF$38*100)))/(('Daily Report'!AE$33/AF$50)+('Daily Report'!AE$37/AF$38)))*100</f>
        <v>0</v>
      </c>
      <c r="AG57" s="326">
        <f>(((AG47*'Daily Report'!AF$33/(AG$50*100))+(AG35*'Daily Report'!AF$37/(AG$38*100)))/(('Daily Report'!AF$33/AG$50)+('Daily Report'!AF$37/AG$38)))*100</f>
        <v>0</v>
      </c>
      <c r="AH57" s="326">
        <f>(((AH47*'Daily Report'!AG$33/(AH$50*100))+(AH35*'Daily Report'!AG$37/(AH$38*100)))/(('Daily Report'!AG$33/AH$50)+('Daily Report'!AG$37/AH$38)))*100</f>
        <v>0</v>
      </c>
      <c r="AI57" s="326">
        <f>(((AI47*'Daily Report'!AH$33/(AI$50*100))+(AI35*'Daily Report'!AH$37/(AI$38*100)))/(('Daily Report'!AH$33/AI$50)+('Daily Report'!AH$37/AI$38)))*100</f>
        <v>0</v>
      </c>
      <c r="AJ57" s="326">
        <f>(((AJ47*'Daily Report'!AI$33/(AJ$50*100))+(AJ35*'Daily Report'!AI$37/(AJ$38*100)))/(('Daily Report'!AI$33/AJ$50)+('Daily Report'!AI$37/AJ$38)))*100</f>
        <v>0</v>
      </c>
      <c r="AK57" s="326">
        <f>(((AK47*'Daily Report'!AJ$33/(AK$50*100))+(AK35*'Daily Report'!AJ$37/(AK$38*100)))/(('Daily Report'!AJ$33/AK$50)+('Daily Report'!AJ$37/AK$38)))*100</f>
        <v>0</v>
      </c>
      <c r="AL57" s="326">
        <f>(((AL47*'Daily Report'!AK$33/(AL$50*100))+(AL35*'Daily Report'!AK$37/(AL$38*100)))/(('Daily Report'!AK$33/AL$50)+('Daily Report'!AK$37/AL$38)))*100</f>
        <v>0</v>
      </c>
      <c r="AM57" s="326">
        <f>(((AM47*'Daily Report'!AL$33/(AM$50*100))+(AM35*'Daily Report'!AL$37/(AM$38*100)))/(('Daily Report'!AL$33/AM$50)+('Daily Report'!AL$37/AM$38)))*100</f>
        <v>0</v>
      </c>
      <c r="AN57" s="326">
        <f>(((AN47*'Daily Report'!AM$33/(AN$50*100))+(AN35*'Daily Report'!AM$37/(AN$38*100)))/(('Daily Report'!AM$33/AN$50)+('Daily Report'!AM$37/AN$38)))*100</f>
        <v>0</v>
      </c>
      <c r="AO57" s="326">
        <f>(((AO47*'Daily Report'!AN$33/(AO$50*100))+(AO35*'Daily Report'!AN$37/(AO$38*100)))/(('Daily Report'!AN$33/AO$50)+('Daily Report'!AN$37/AO$38)))*100</f>
        <v>0</v>
      </c>
    </row>
    <row r="58" spans="1:41" ht="18.75">
      <c r="A58" s="494"/>
      <c r="B58" s="341"/>
      <c r="C58" s="453"/>
      <c r="D58" s="444" t="s">
        <v>629</v>
      </c>
      <c r="E58" s="444" t="s">
        <v>925</v>
      </c>
      <c r="F58" s="465" t="s">
        <v>5</v>
      </c>
      <c r="G58" s="132" t="s">
        <v>15</v>
      </c>
      <c r="H58" s="348">
        <v>2.0000000000000007E-2</v>
      </c>
      <c r="I58" s="380">
        <f t="shared" si="0"/>
        <v>2.0000000000000014E-2</v>
      </c>
      <c r="J58" s="326">
        <f>(((J48*'Daily Report'!I$33/(J$50*100))+(J36*'Daily Report'!I$37/(J$38*100)))/(('Daily Report'!I$33/J$50)+('Daily Report'!I$37/J$38)))*100</f>
        <v>2.0000000000000011E-2</v>
      </c>
      <c r="K58" s="438"/>
      <c r="L58" s="326">
        <f>(((L48*'Daily Report'!K$33/(L$50*100))+(L36*'Daily Report'!K$37/(L$38*100)))/(('Daily Report'!K$33/L$50)+('Daily Report'!K$37/L$38)))*100</f>
        <v>2.0000000000000007E-2</v>
      </c>
      <c r="M58" s="326">
        <f>(((M48*'Daily Report'!L$33/(M$50*100))+(M36*'Daily Report'!L$37/(M$38*100)))/(('Daily Report'!L$33/M$50)+('Daily Report'!L$37/M$38)))*100</f>
        <v>2.0000000000000007E-2</v>
      </c>
      <c r="N58" s="326">
        <f>(((N48*'Daily Report'!M$33/(N$50*100))+(N36*'Daily Report'!M$37/(N$38*100)))/(('Daily Report'!M$33/N$50)+('Daily Report'!M$37/N$38)))*100</f>
        <v>2.0000000000000007E-2</v>
      </c>
      <c r="O58" s="326">
        <f>(((O48*'Daily Report'!N$33/(O$50*100))+(O36*'Daily Report'!N$37/(O$38*100)))/(('Daily Report'!N$33/O$50)+('Daily Report'!N$37/O$38)))*100</f>
        <v>2.0000000000000007E-2</v>
      </c>
      <c r="P58" s="326">
        <f>(((P48*'Daily Report'!O$33/(P$50*100))+(P36*'Daily Report'!O$37/(P$38*100)))/(('Daily Report'!O$33/P$50)+('Daily Report'!O$37/P$38)))*100</f>
        <v>2.0000000000000007E-2</v>
      </c>
      <c r="Q58" s="326">
        <f>(((Q48*'Daily Report'!P$33/(Q$50*100))+(Q36*'Daily Report'!P$37/(Q$38*100)))/(('Daily Report'!P$33/Q$50)+('Daily Report'!P$37/Q$38)))*100</f>
        <v>2.0000000000000011E-2</v>
      </c>
      <c r="R58" s="326">
        <f>(((R48*'Daily Report'!Q$33/(R$50*100))+(R36*'Daily Report'!Q$37/(R$38*100)))/(('Daily Report'!Q$33/R$50)+('Daily Report'!Q$37/R$38)))*100</f>
        <v>2.0000000000000011E-2</v>
      </c>
      <c r="S58" s="326">
        <f>(((S48*'Daily Report'!R$33/(S$50*100))+(S36*'Daily Report'!R$37/(S$38*100)))/(('Daily Report'!R$33/S$50)+('Daily Report'!R$37/S$38)))*100</f>
        <v>2.0000000000000011E-2</v>
      </c>
      <c r="T58" s="326">
        <f>(((T48*'Daily Report'!S$33/(T$50*100))+(T36*'Daily Report'!S$37/(T$38*100)))/(('Daily Report'!S$33/T$50)+('Daily Report'!S$37/T$38)))*100</f>
        <v>2.0000000000000007E-2</v>
      </c>
      <c r="U58" s="326">
        <f>(((U48*'Daily Report'!T$33/(U$50*100))+(U36*'Daily Report'!T$37/(U$38*100)))/(('Daily Report'!T$33/U$50)+('Daily Report'!T$37/U$38)))*100</f>
        <v>2.0000000000000007E-2</v>
      </c>
      <c r="V58" s="326">
        <f>(((V48*'Daily Report'!U$33/(V$50*100))+(V36*'Daily Report'!U$37/(V$38*100)))/(('Daily Report'!U$33/V$50)+('Daily Report'!U$37/V$38)))*100</f>
        <v>2.0000000000000011E-2</v>
      </c>
      <c r="W58" s="326">
        <f>(((W48*'Daily Report'!V$33/(W$50*100))+(W36*'Daily Report'!V$37/(W$38*100)))/(('Daily Report'!V$33/W$50)+('Daily Report'!V$37/W$38)))*100</f>
        <v>2.0000000000000011E-2</v>
      </c>
      <c r="X58" s="326">
        <f>(((X48*'Daily Report'!W$33/(X$50*100))+(X36*'Daily Report'!W$37/(X$38*100)))/(('Daily Report'!W$33/X$50)+('Daily Report'!W$37/X$38)))*100</f>
        <v>2.0000000000000007E-2</v>
      </c>
      <c r="Y58" s="326">
        <f>(((Y48*'Daily Report'!X$33/(Y$50*100))+(Y36*'Daily Report'!X$37/(Y$38*100)))/(('Daily Report'!X$33/Y$50)+('Daily Report'!X$37/Y$38)))*100</f>
        <v>2.0000000000000011E-2</v>
      </c>
      <c r="Z58" s="326">
        <f>(((Z48*'Daily Report'!Y$33/(Z$50*100))+(Z36*'Daily Report'!Y$37/(Z$38*100)))/(('Daily Report'!Y$33/Z$50)+('Daily Report'!Y$37/Z$38)))*100</f>
        <v>2.0000000000000007E-2</v>
      </c>
      <c r="AA58" s="326">
        <f>(((AA48*'Daily Report'!Z$33/(AA$50*100))+(AA36*'Daily Report'!Z$37/(AA$38*100)))/(('Daily Report'!Z$33/AA$50)+('Daily Report'!Z$37/AA$38)))*100</f>
        <v>2.0000000000000007E-2</v>
      </c>
      <c r="AB58" s="326">
        <f>(((AB48*'Daily Report'!AA$33/(AB$50*100))+(AB36*'Daily Report'!AA$37/(AB$38*100)))/(('Daily Report'!AA$33/AB$50)+('Daily Report'!AA$37/AB$38)))*100</f>
        <v>2.0000000000000011E-2</v>
      </c>
      <c r="AC58" s="326">
        <f>(((AC48*'Daily Report'!AB$33/(AC$50*100))+(AC36*'Daily Report'!AB$37/(AC$38*100)))/(('Daily Report'!AB$33/AC$50)+('Daily Report'!AB$37/AC$38)))*100</f>
        <v>2.0000000000000011E-2</v>
      </c>
      <c r="AD58" s="326">
        <f>(((AD48*'Daily Report'!AC$33/(AD$50*100))+(AD36*'Daily Report'!AC$37/(AD$38*100)))/(('Daily Report'!AC$33/AD$50)+('Daily Report'!AC$37/AD$38)))*100</f>
        <v>2.0000000000000011E-2</v>
      </c>
      <c r="AE58" s="326">
        <f>(((AE48*'Daily Report'!AD$33/(AE$50*100))+(AE36*'Daily Report'!AD$37/(AE$38*100)))/(('Daily Report'!AD$33/AE$50)+('Daily Report'!AD$37/AE$38)))*100</f>
        <v>2.0000000000000007E-2</v>
      </c>
      <c r="AF58" s="326">
        <f>(((AF48*'Daily Report'!AE$33/(AF$50*100))+(AF36*'Daily Report'!AE$37/(AF$38*100)))/(('Daily Report'!AE$33/AF$50)+('Daily Report'!AE$37/AF$38)))*100</f>
        <v>2.0000000000000007E-2</v>
      </c>
      <c r="AG58" s="326">
        <f>(((AG48*'Daily Report'!AF$33/(AG$50*100))+(AG36*'Daily Report'!AF$37/(AG$38*100)))/(('Daily Report'!AF$33/AG$50)+('Daily Report'!AF$37/AG$38)))*100</f>
        <v>2.0000000000000011E-2</v>
      </c>
      <c r="AH58" s="326">
        <f>(((AH48*'Daily Report'!AG$33/(AH$50*100))+(AH36*'Daily Report'!AG$37/(AH$38*100)))/(('Daily Report'!AG$33/AH$50)+('Daily Report'!AG$37/AH$38)))*100</f>
        <v>2.0000000000000007E-2</v>
      </c>
      <c r="AI58" s="326">
        <f>(((AI48*'Daily Report'!AH$33/(AI$50*100))+(AI36*'Daily Report'!AH$37/(AI$38*100)))/(('Daily Report'!AH$33/AI$50)+('Daily Report'!AH$37/AI$38)))*100</f>
        <v>2.0000000000000007E-2</v>
      </c>
      <c r="AJ58" s="326">
        <f>(((AJ48*'Daily Report'!AI$33/(AJ$50*100))+(AJ36*'Daily Report'!AI$37/(AJ$38*100)))/(('Daily Report'!AI$33/AJ$50)+('Daily Report'!AI$37/AJ$38)))*100</f>
        <v>2.0000000000000007E-2</v>
      </c>
      <c r="AK58" s="326">
        <f>(((AK48*'Daily Report'!AJ$33/(AK$50*100))+(AK36*'Daily Report'!AJ$37/(AK$38*100)))/(('Daily Report'!AJ$33/AK$50)+('Daily Report'!AJ$37/AK$38)))*100</f>
        <v>2.0000000000000007E-2</v>
      </c>
      <c r="AL58" s="326">
        <f>(((AL48*'Daily Report'!AK$33/(AL$50*100))+(AL36*'Daily Report'!AK$37/(AL$38*100)))/(('Daily Report'!AK$33/AL$50)+('Daily Report'!AK$37/AL$38)))*100</f>
        <v>2.0000000000000011E-2</v>
      </c>
      <c r="AM58" s="326">
        <f>(((AM48*'Daily Report'!AL$33/(AM$50*100))+(AM36*'Daily Report'!AL$37/(AM$38*100)))/(('Daily Report'!AL$33/AM$50)+('Daily Report'!AL$37/AM$38)))*100</f>
        <v>2.0000000000000011E-2</v>
      </c>
      <c r="AN58" s="326">
        <f>(((AN48*'Daily Report'!AM$33/(AN$50*100))+(AN36*'Daily Report'!AM$37/(AN$38*100)))/(('Daily Report'!AM$33/AN$50)+('Daily Report'!AM$37/AN$38)))*100</f>
        <v>2.0000000000000011E-2</v>
      </c>
      <c r="AO58" s="326">
        <f>(((AO48*'Daily Report'!AN$33/(AO$50*100))+(AO36*'Daily Report'!AN$37/(AO$38*100)))/(('Daily Report'!AN$33/AO$50)+('Daily Report'!AN$37/AO$38)))*100</f>
        <v>2.0000000000000007E-2</v>
      </c>
    </row>
    <row r="59" spans="1:41" ht="18.75">
      <c r="A59" s="494"/>
      <c r="B59" s="341"/>
      <c r="C59" s="453"/>
      <c r="D59" s="444" t="s">
        <v>630</v>
      </c>
      <c r="E59" s="444" t="s">
        <v>926</v>
      </c>
      <c r="F59" s="465" t="s">
        <v>5</v>
      </c>
      <c r="G59" s="132" t="s">
        <v>78</v>
      </c>
      <c r="H59" s="348">
        <v>2.2000000000000011</v>
      </c>
      <c r="I59" s="380">
        <f t="shared" si="0"/>
        <v>2.2000000000000024</v>
      </c>
      <c r="J59" s="326">
        <f>(((J49*'Daily Report'!I$33/(J$50*100))+(J37*'Daily Report'!I$37/(J$38*100)))/(('Daily Report'!I$33/J$50)+('Daily Report'!I$37/J$38)))*100</f>
        <v>2.2000000000000015</v>
      </c>
      <c r="K59" s="438"/>
      <c r="L59" s="326">
        <f>(((L49*'Daily Report'!K$33/(L$50*100))+(L37*'Daily Report'!K$37/(L$38*100)))/(('Daily Report'!K$33/L$50)+('Daily Report'!K$37/L$38)))*100</f>
        <v>2.2000000000000011</v>
      </c>
      <c r="M59" s="326">
        <f>(((M49*'Daily Report'!L$33/(M$50*100))+(M37*'Daily Report'!L$37/(M$38*100)))/(('Daily Report'!L$33/M$50)+('Daily Report'!L$37/M$38)))*100</f>
        <v>2.2000000000000011</v>
      </c>
      <c r="N59" s="326">
        <f>(((N49*'Daily Report'!M$33/(N$50*100))+(N37*'Daily Report'!M$37/(N$38*100)))/(('Daily Report'!M$33/N$50)+('Daily Report'!M$37/N$38)))*100</f>
        <v>2.2000000000000011</v>
      </c>
      <c r="O59" s="326">
        <f>(((O49*'Daily Report'!N$33/(O$50*100))+(O37*'Daily Report'!N$37/(O$38*100)))/(('Daily Report'!N$33/O$50)+('Daily Report'!N$37/O$38)))*100</f>
        <v>2.2000000000000011</v>
      </c>
      <c r="P59" s="326">
        <f>(((P49*'Daily Report'!O$33/(P$50*100))+(P37*'Daily Report'!O$37/(P$38*100)))/(('Daily Report'!O$33/P$50)+('Daily Report'!O$37/P$38)))*100</f>
        <v>2.2000000000000011</v>
      </c>
      <c r="Q59" s="326">
        <f>(((Q49*'Daily Report'!P$33/(Q$50*100))+(Q37*'Daily Report'!P$37/(Q$38*100)))/(('Daily Report'!P$33/Q$50)+('Daily Report'!P$37/Q$38)))*100</f>
        <v>2.2000000000000011</v>
      </c>
      <c r="R59" s="326">
        <f>(((R49*'Daily Report'!Q$33/(R$50*100))+(R37*'Daily Report'!Q$37/(R$38*100)))/(('Daily Report'!Q$33/R$50)+('Daily Report'!Q$37/R$38)))*100</f>
        <v>2.2000000000000011</v>
      </c>
      <c r="S59" s="326">
        <f>(((S49*'Daily Report'!R$33/(S$50*100))+(S37*'Daily Report'!R$37/(S$38*100)))/(('Daily Report'!R$33/S$50)+('Daily Report'!R$37/S$38)))*100</f>
        <v>2.2000000000000011</v>
      </c>
      <c r="T59" s="326">
        <f>(((T49*'Daily Report'!S$33/(T$50*100))+(T37*'Daily Report'!S$37/(T$38*100)))/(('Daily Report'!S$33/T$50)+('Daily Report'!S$37/T$38)))*100</f>
        <v>2.2000000000000011</v>
      </c>
      <c r="U59" s="326">
        <f>(((U49*'Daily Report'!T$33/(U$50*100))+(U37*'Daily Report'!T$37/(U$38*100)))/(('Daily Report'!T$33/U$50)+('Daily Report'!T$37/U$38)))*100</f>
        <v>2.2000000000000011</v>
      </c>
      <c r="V59" s="326">
        <f>(((V49*'Daily Report'!U$33/(V$50*100))+(V37*'Daily Report'!U$37/(V$38*100)))/(('Daily Report'!U$33/V$50)+('Daily Report'!U$37/V$38)))*100</f>
        <v>2.2000000000000011</v>
      </c>
      <c r="W59" s="326">
        <f>(((W49*'Daily Report'!V$33/(W$50*100))+(W37*'Daily Report'!V$37/(W$38*100)))/(('Daily Report'!V$33/W$50)+('Daily Report'!V$37/W$38)))*100</f>
        <v>2.2000000000000011</v>
      </c>
      <c r="X59" s="326">
        <f>(((X49*'Daily Report'!W$33/(X$50*100))+(X37*'Daily Report'!W$37/(X$38*100)))/(('Daily Report'!W$33/X$50)+('Daily Report'!W$37/X$38)))*100</f>
        <v>2.2000000000000011</v>
      </c>
      <c r="Y59" s="326">
        <f>(((Y49*'Daily Report'!X$33/(Y$50*100))+(Y37*'Daily Report'!X$37/(Y$38*100)))/(('Daily Report'!X$33/Y$50)+('Daily Report'!X$37/Y$38)))*100</f>
        <v>2.2000000000000011</v>
      </c>
      <c r="Z59" s="326">
        <f>(((Z49*'Daily Report'!Y$33/(Z$50*100))+(Z37*'Daily Report'!Y$37/(Z$38*100)))/(('Daily Report'!Y$33/Z$50)+('Daily Report'!Y$37/Z$38)))*100</f>
        <v>2.2000000000000011</v>
      </c>
      <c r="AA59" s="326">
        <f>(((AA49*'Daily Report'!Z$33/(AA$50*100))+(AA37*'Daily Report'!Z$37/(AA$38*100)))/(('Daily Report'!Z$33/AA$50)+('Daily Report'!Z$37/AA$38)))*100</f>
        <v>2.2000000000000011</v>
      </c>
      <c r="AB59" s="326">
        <f>(((AB49*'Daily Report'!AA$33/(AB$50*100))+(AB37*'Daily Report'!AA$37/(AB$38*100)))/(('Daily Report'!AA$33/AB$50)+('Daily Report'!AA$37/AB$38)))*100</f>
        <v>2.2000000000000011</v>
      </c>
      <c r="AC59" s="326">
        <f>(((AC49*'Daily Report'!AB$33/(AC$50*100))+(AC37*'Daily Report'!AB$37/(AC$38*100)))/(('Daily Report'!AB$33/AC$50)+('Daily Report'!AB$37/AC$38)))*100</f>
        <v>2.2000000000000015</v>
      </c>
      <c r="AD59" s="326">
        <f>(((AD49*'Daily Report'!AC$33/(AD$50*100))+(AD37*'Daily Report'!AC$37/(AD$38*100)))/(('Daily Report'!AC$33/AD$50)+('Daily Report'!AC$37/AD$38)))*100</f>
        <v>2.2000000000000015</v>
      </c>
      <c r="AE59" s="326">
        <f>(((AE49*'Daily Report'!AD$33/(AE$50*100))+(AE37*'Daily Report'!AD$37/(AE$38*100)))/(('Daily Report'!AD$33/AE$50)+('Daily Report'!AD$37/AE$38)))*100</f>
        <v>2.2000000000000011</v>
      </c>
      <c r="AF59" s="326">
        <f>(((AF49*'Daily Report'!AE$33/(AF$50*100))+(AF37*'Daily Report'!AE$37/(AF$38*100)))/(('Daily Report'!AE$33/AF$50)+('Daily Report'!AE$37/AF$38)))*100</f>
        <v>2.2000000000000011</v>
      </c>
      <c r="AG59" s="326">
        <f>(((AG49*'Daily Report'!AF$33/(AG$50*100))+(AG37*'Daily Report'!AF$37/(AG$38*100)))/(('Daily Report'!AF$33/AG$50)+('Daily Report'!AF$37/AG$38)))*100</f>
        <v>2.2000000000000011</v>
      </c>
      <c r="AH59" s="326">
        <f>(((AH49*'Daily Report'!AG$33/(AH$50*100))+(AH37*'Daily Report'!AG$37/(AH$38*100)))/(('Daily Report'!AG$33/AH$50)+('Daily Report'!AG$37/AH$38)))*100</f>
        <v>2.2000000000000011</v>
      </c>
      <c r="AI59" s="326">
        <f>(((AI49*'Daily Report'!AH$33/(AI$50*100))+(AI37*'Daily Report'!AH$37/(AI$38*100)))/(('Daily Report'!AH$33/AI$50)+('Daily Report'!AH$37/AI$38)))*100</f>
        <v>2.2000000000000011</v>
      </c>
      <c r="AJ59" s="326">
        <f>(((AJ49*'Daily Report'!AI$33/(AJ$50*100))+(AJ37*'Daily Report'!AI$37/(AJ$38*100)))/(('Daily Report'!AI$33/AJ$50)+('Daily Report'!AI$37/AJ$38)))*100</f>
        <v>2.2000000000000006</v>
      </c>
      <c r="AK59" s="326">
        <f>(((AK49*'Daily Report'!AJ$33/(AK$50*100))+(AK37*'Daily Report'!AJ$37/(AK$38*100)))/(('Daily Report'!AJ$33/AK$50)+('Daily Report'!AJ$37/AK$38)))*100</f>
        <v>2.2000000000000011</v>
      </c>
      <c r="AL59" s="326">
        <f>(((AL49*'Daily Report'!AK$33/(AL$50*100))+(AL37*'Daily Report'!AK$37/(AL$38*100)))/(('Daily Report'!AK$33/AL$50)+('Daily Report'!AK$37/AL$38)))*100</f>
        <v>2.2000000000000011</v>
      </c>
      <c r="AM59" s="326">
        <f>(((AM49*'Daily Report'!AL$33/(AM$50*100))+(AM37*'Daily Report'!AL$37/(AM$38*100)))/(('Daily Report'!AL$33/AM$50)+('Daily Report'!AL$37/AM$38)))*100</f>
        <v>2.2000000000000011</v>
      </c>
      <c r="AN59" s="326">
        <f>(((AN49*'Daily Report'!AM$33/(AN$50*100))+(AN37*'Daily Report'!AM$37/(AN$38*100)))/(('Daily Report'!AM$33/AN$50)+('Daily Report'!AM$37/AN$38)))*100</f>
        <v>2.2000000000000011</v>
      </c>
      <c r="AO59" s="326">
        <f>(((AO49*'Daily Report'!AN$33/(AO$50*100))+(AO37*'Daily Report'!AN$37/(AO$38*100)))/(('Daily Report'!AN$33/AO$50)+('Daily Report'!AN$37/AO$38)))*100</f>
        <v>2.2000000000000011</v>
      </c>
    </row>
    <row r="60" spans="1:41" ht="15.75" thickBot="1">
      <c r="A60" s="76" t="s">
        <v>91</v>
      </c>
      <c r="B60" s="265"/>
      <c r="C60" s="282"/>
      <c r="D60" s="59" t="s">
        <v>631</v>
      </c>
      <c r="E60" s="59" t="s">
        <v>927</v>
      </c>
      <c r="F60" s="466"/>
      <c r="G60" s="137"/>
      <c r="H60" s="351">
        <v>3.0087931999999995</v>
      </c>
      <c r="I60" s="381">
        <f t="shared" si="0"/>
        <v>3.0087931999999995</v>
      </c>
      <c r="J60" s="325">
        <f>(I55*2.0156/100)+(J56*28.01/100)+(J57*28.01/100)+(J58*44.01/100)+(J59*16.04/100)</f>
        <v>3.0087931999999991</v>
      </c>
      <c r="K60" s="438"/>
      <c r="L60" s="325">
        <f>(J55*2.0156/100)+(L56*28.01/100)+(L57*28.01/100)+(L58*44.01/100)+(L59*16.04/100)</f>
        <v>3.0087931999999999</v>
      </c>
      <c r="M60" s="325">
        <f t="shared" ref="M60:AO60" si="21">(L55*2.0156/100)+(M56*28.01/100)+(M57*28.01/100)+(M58*44.01/100)+(M59*16.04/100)</f>
        <v>3.0087931999999999</v>
      </c>
      <c r="N60" s="325">
        <f t="shared" si="21"/>
        <v>3.0087931999999999</v>
      </c>
      <c r="O60" s="325">
        <f t="shared" si="21"/>
        <v>3.0087931999999999</v>
      </c>
      <c r="P60" s="325">
        <f t="shared" si="21"/>
        <v>3.0087931999999999</v>
      </c>
      <c r="Q60" s="325">
        <f t="shared" si="21"/>
        <v>3.0087931999999999</v>
      </c>
      <c r="R60" s="325">
        <f t="shared" si="21"/>
        <v>3.0087931999999999</v>
      </c>
      <c r="S60" s="325">
        <f t="shared" si="21"/>
        <v>3.0087932000000004</v>
      </c>
      <c r="T60" s="325">
        <f t="shared" si="21"/>
        <v>3.0087931999999999</v>
      </c>
      <c r="U60" s="325">
        <f t="shared" si="21"/>
        <v>3.0087931999999999</v>
      </c>
      <c r="V60" s="325">
        <f t="shared" si="21"/>
        <v>3.0087931999999999</v>
      </c>
      <c r="W60" s="325">
        <f t="shared" si="21"/>
        <v>3.0087931999999999</v>
      </c>
      <c r="X60" s="325">
        <f t="shared" si="21"/>
        <v>3.0087932000000004</v>
      </c>
      <c r="Y60" s="325">
        <f t="shared" si="21"/>
        <v>3.0087931999999999</v>
      </c>
      <c r="Z60" s="325">
        <f t="shared" si="21"/>
        <v>3.0087931999999999</v>
      </c>
      <c r="AA60" s="325">
        <f t="shared" si="21"/>
        <v>3.0087931999999999</v>
      </c>
      <c r="AB60" s="325">
        <f t="shared" si="21"/>
        <v>3.0087932000000004</v>
      </c>
      <c r="AC60" s="325">
        <f t="shared" si="21"/>
        <v>3.0087932000000004</v>
      </c>
      <c r="AD60" s="325">
        <f t="shared" si="21"/>
        <v>3.0087931999999999</v>
      </c>
      <c r="AE60" s="325">
        <f t="shared" si="21"/>
        <v>3.0087932000000004</v>
      </c>
      <c r="AF60" s="325">
        <f t="shared" si="21"/>
        <v>3.0087931999999999</v>
      </c>
      <c r="AG60" s="325">
        <f t="shared" si="21"/>
        <v>3.0087931999999999</v>
      </c>
      <c r="AH60" s="325">
        <f t="shared" si="21"/>
        <v>3.0087931999999999</v>
      </c>
      <c r="AI60" s="325">
        <f t="shared" si="21"/>
        <v>3.0087931999999999</v>
      </c>
      <c r="AJ60" s="325">
        <f t="shared" si="21"/>
        <v>3.0087931999999995</v>
      </c>
      <c r="AK60" s="325">
        <f t="shared" si="21"/>
        <v>3.0087931999999999</v>
      </c>
      <c r="AL60" s="325">
        <f t="shared" si="21"/>
        <v>3.0087932000000004</v>
      </c>
      <c r="AM60" s="325">
        <f t="shared" si="21"/>
        <v>3.0087932000000004</v>
      </c>
      <c r="AN60" s="325">
        <f t="shared" si="21"/>
        <v>3.0087931999999999</v>
      </c>
      <c r="AO60" s="325">
        <f t="shared" si="21"/>
        <v>3.0087931999999995</v>
      </c>
    </row>
    <row r="61" spans="1:41" ht="18.75">
      <c r="A61" s="500" t="s">
        <v>92</v>
      </c>
      <c r="B61" s="72"/>
      <c r="C61" s="455"/>
      <c r="D61" s="444" t="s">
        <v>834</v>
      </c>
      <c r="E61" s="444" t="s">
        <v>928</v>
      </c>
      <c r="F61" s="464" t="s">
        <v>5</v>
      </c>
      <c r="G61" s="131" t="s">
        <v>21</v>
      </c>
      <c r="H61" s="350">
        <v>84</v>
      </c>
      <c r="I61" s="379">
        <f t="shared" si="0"/>
        <v>84</v>
      </c>
      <c r="J61" s="321">
        <f t="shared" ref="J61:T70" si="22">$H61</f>
        <v>84</v>
      </c>
      <c r="L61" s="321">
        <f t="shared" si="22"/>
        <v>84</v>
      </c>
      <c r="M61" s="321">
        <f t="shared" si="22"/>
        <v>84</v>
      </c>
      <c r="N61" s="321">
        <f t="shared" si="22"/>
        <v>84</v>
      </c>
      <c r="O61" s="321">
        <f t="shared" si="22"/>
        <v>84</v>
      </c>
      <c r="P61" s="321">
        <f t="shared" si="22"/>
        <v>84</v>
      </c>
      <c r="Q61" s="321">
        <f t="shared" si="22"/>
        <v>84</v>
      </c>
      <c r="R61" s="321">
        <f t="shared" si="22"/>
        <v>84</v>
      </c>
      <c r="S61" s="321">
        <f t="shared" si="22"/>
        <v>84</v>
      </c>
      <c r="T61" s="321">
        <f t="shared" si="22"/>
        <v>84</v>
      </c>
      <c r="U61" s="321">
        <f t="shared" ref="U61:AD70" si="23">$H61</f>
        <v>84</v>
      </c>
      <c r="V61" s="321">
        <f t="shared" si="23"/>
        <v>84</v>
      </c>
      <c r="W61" s="321">
        <f t="shared" si="23"/>
        <v>84</v>
      </c>
      <c r="X61" s="321">
        <f t="shared" si="23"/>
        <v>84</v>
      </c>
      <c r="Y61" s="321">
        <f t="shared" si="23"/>
        <v>84</v>
      </c>
      <c r="Z61" s="321">
        <f t="shared" si="23"/>
        <v>84</v>
      </c>
      <c r="AA61" s="321">
        <f t="shared" si="23"/>
        <v>84</v>
      </c>
      <c r="AB61" s="321">
        <f t="shared" si="23"/>
        <v>84</v>
      </c>
      <c r="AC61" s="321">
        <f t="shared" si="23"/>
        <v>84</v>
      </c>
      <c r="AD61" s="321">
        <f t="shared" si="23"/>
        <v>84</v>
      </c>
      <c r="AE61" s="321">
        <f t="shared" ref="AE61:AO70" si="24">$H61</f>
        <v>84</v>
      </c>
      <c r="AF61" s="321">
        <f t="shared" si="24"/>
        <v>84</v>
      </c>
      <c r="AG61" s="321">
        <f t="shared" si="24"/>
        <v>84</v>
      </c>
      <c r="AH61" s="321">
        <f t="shared" si="24"/>
        <v>84</v>
      </c>
      <c r="AI61" s="321">
        <f t="shared" si="24"/>
        <v>84</v>
      </c>
      <c r="AJ61" s="321">
        <f t="shared" si="24"/>
        <v>84</v>
      </c>
      <c r="AK61" s="321">
        <f t="shared" si="24"/>
        <v>84</v>
      </c>
      <c r="AL61" s="321">
        <f t="shared" si="24"/>
        <v>84</v>
      </c>
      <c r="AM61" s="321">
        <f t="shared" si="24"/>
        <v>84</v>
      </c>
      <c r="AN61" s="321">
        <f t="shared" si="24"/>
        <v>84</v>
      </c>
      <c r="AO61" s="321">
        <f t="shared" si="24"/>
        <v>84</v>
      </c>
    </row>
    <row r="62" spans="1:41" ht="18.75">
      <c r="A62" s="501"/>
      <c r="B62" s="341"/>
      <c r="C62" s="453"/>
      <c r="D62" s="444" t="s">
        <v>835</v>
      </c>
      <c r="E62" s="444" t="s">
        <v>929</v>
      </c>
      <c r="F62" s="465" t="s">
        <v>5</v>
      </c>
      <c r="G62" s="132" t="s">
        <v>70</v>
      </c>
      <c r="H62" s="348">
        <v>1</v>
      </c>
      <c r="I62" s="380">
        <f t="shared" si="0"/>
        <v>1</v>
      </c>
      <c r="J62" s="320">
        <f t="shared" si="22"/>
        <v>1</v>
      </c>
      <c r="L62" s="320">
        <f t="shared" si="22"/>
        <v>1</v>
      </c>
      <c r="M62" s="320">
        <f t="shared" si="22"/>
        <v>1</v>
      </c>
      <c r="N62" s="320">
        <f t="shared" si="22"/>
        <v>1</v>
      </c>
      <c r="O62" s="320">
        <f t="shared" si="22"/>
        <v>1</v>
      </c>
      <c r="P62" s="320">
        <f t="shared" si="22"/>
        <v>1</v>
      </c>
      <c r="Q62" s="320">
        <f t="shared" si="22"/>
        <v>1</v>
      </c>
      <c r="R62" s="320">
        <f t="shared" si="22"/>
        <v>1</v>
      </c>
      <c r="S62" s="320">
        <f t="shared" si="22"/>
        <v>1</v>
      </c>
      <c r="T62" s="320">
        <f t="shared" si="22"/>
        <v>1</v>
      </c>
      <c r="U62" s="320">
        <f t="shared" si="23"/>
        <v>1</v>
      </c>
      <c r="V62" s="320">
        <f t="shared" si="23"/>
        <v>1</v>
      </c>
      <c r="W62" s="320">
        <f t="shared" si="23"/>
        <v>1</v>
      </c>
      <c r="X62" s="320">
        <f t="shared" si="23"/>
        <v>1</v>
      </c>
      <c r="Y62" s="320">
        <f t="shared" si="23"/>
        <v>1</v>
      </c>
      <c r="Z62" s="320">
        <f t="shared" si="23"/>
        <v>1</v>
      </c>
      <c r="AA62" s="320">
        <f t="shared" si="23"/>
        <v>1</v>
      </c>
      <c r="AB62" s="320">
        <f t="shared" si="23"/>
        <v>1</v>
      </c>
      <c r="AC62" s="320">
        <f t="shared" si="23"/>
        <v>1</v>
      </c>
      <c r="AD62" s="320">
        <f t="shared" si="23"/>
        <v>1</v>
      </c>
      <c r="AE62" s="320">
        <f t="shared" si="24"/>
        <v>1</v>
      </c>
      <c r="AF62" s="320">
        <f t="shared" si="24"/>
        <v>1</v>
      </c>
      <c r="AG62" s="320">
        <f t="shared" si="24"/>
        <v>1</v>
      </c>
      <c r="AH62" s="320">
        <f t="shared" si="24"/>
        <v>1</v>
      </c>
      <c r="AI62" s="320">
        <f t="shared" si="24"/>
        <v>1</v>
      </c>
      <c r="AJ62" s="320">
        <f t="shared" si="24"/>
        <v>1</v>
      </c>
      <c r="AK62" s="320">
        <f t="shared" si="24"/>
        <v>1</v>
      </c>
      <c r="AL62" s="320">
        <f t="shared" si="24"/>
        <v>1</v>
      </c>
      <c r="AM62" s="320">
        <f t="shared" si="24"/>
        <v>1</v>
      </c>
      <c r="AN62" s="320">
        <f t="shared" si="24"/>
        <v>1</v>
      </c>
      <c r="AO62" s="320">
        <f t="shared" si="24"/>
        <v>1</v>
      </c>
    </row>
    <row r="63" spans="1:41" ht="15">
      <c r="A63" s="501"/>
      <c r="B63" s="341"/>
      <c r="C63" s="453"/>
      <c r="D63" s="444" t="s">
        <v>836</v>
      </c>
      <c r="E63" s="444" t="s">
        <v>930</v>
      </c>
      <c r="F63" s="465" t="s">
        <v>5</v>
      </c>
      <c r="G63" s="132" t="s">
        <v>71</v>
      </c>
      <c r="H63" s="348">
        <v>0</v>
      </c>
      <c r="I63" s="380">
        <f t="shared" si="0"/>
        <v>0</v>
      </c>
      <c r="J63" s="320">
        <f t="shared" si="22"/>
        <v>0</v>
      </c>
      <c r="L63" s="320">
        <f t="shared" si="22"/>
        <v>0</v>
      </c>
      <c r="M63" s="320">
        <f t="shared" si="22"/>
        <v>0</v>
      </c>
      <c r="N63" s="320">
        <f t="shared" si="22"/>
        <v>0</v>
      </c>
      <c r="O63" s="320">
        <f t="shared" si="22"/>
        <v>0</v>
      </c>
      <c r="P63" s="320">
        <f t="shared" si="22"/>
        <v>0</v>
      </c>
      <c r="Q63" s="320">
        <f t="shared" si="22"/>
        <v>0</v>
      </c>
      <c r="R63" s="320">
        <f t="shared" si="22"/>
        <v>0</v>
      </c>
      <c r="S63" s="320">
        <f t="shared" si="22"/>
        <v>0</v>
      </c>
      <c r="T63" s="320">
        <f t="shared" si="22"/>
        <v>0</v>
      </c>
      <c r="U63" s="320">
        <f t="shared" si="23"/>
        <v>0</v>
      </c>
      <c r="V63" s="320">
        <f t="shared" si="23"/>
        <v>0</v>
      </c>
      <c r="W63" s="320">
        <f t="shared" si="23"/>
        <v>0</v>
      </c>
      <c r="X63" s="320">
        <f t="shared" si="23"/>
        <v>0</v>
      </c>
      <c r="Y63" s="320">
        <f t="shared" si="23"/>
        <v>0</v>
      </c>
      <c r="Z63" s="320">
        <f t="shared" si="23"/>
        <v>0</v>
      </c>
      <c r="AA63" s="320">
        <f t="shared" si="23"/>
        <v>0</v>
      </c>
      <c r="AB63" s="320">
        <f t="shared" si="23"/>
        <v>0</v>
      </c>
      <c r="AC63" s="320">
        <f t="shared" si="23"/>
        <v>0</v>
      </c>
      <c r="AD63" s="320">
        <f t="shared" si="23"/>
        <v>0</v>
      </c>
      <c r="AE63" s="320">
        <f t="shared" si="24"/>
        <v>0</v>
      </c>
      <c r="AF63" s="320">
        <f t="shared" si="24"/>
        <v>0</v>
      </c>
      <c r="AG63" s="320">
        <f t="shared" si="24"/>
        <v>0</v>
      </c>
      <c r="AH63" s="320">
        <f t="shared" si="24"/>
        <v>0</v>
      </c>
      <c r="AI63" s="320">
        <f t="shared" si="24"/>
        <v>0</v>
      </c>
      <c r="AJ63" s="320">
        <f t="shared" si="24"/>
        <v>0</v>
      </c>
      <c r="AK63" s="320">
        <f t="shared" si="24"/>
        <v>0</v>
      </c>
      <c r="AL63" s="320">
        <f t="shared" si="24"/>
        <v>0</v>
      </c>
      <c r="AM63" s="320">
        <f t="shared" si="24"/>
        <v>0</v>
      </c>
      <c r="AN63" s="320">
        <f t="shared" si="24"/>
        <v>0</v>
      </c>
      <c r="AO63" s="320">
        <f t="shared" si="24"/>
        <v>0</v>
      </c>
    </row>
    <row r="64" spans="1:41" ht="18.75">
      <c r="A64" s="501"/>
      <c r="B64" s="341"/>
      <c r="C64" s="453"/>
      <c r="D64" s="444" t="s">
        <v>837</v>
      </c>
      <c r="E64" s="444" t="s">
        <v>931</v>
      </c>
      <c r="F64" s="465" t="s">
        <v>5</v>
      </c>
      <c r="G64" s="132" t="s">
        <v>15</v>
      </c>
      <c r="H64" s="348">
        <v>0</v>
      </c>
      <c r="I64" s="380">
        <f t="shared" si="0"/>
        <v>0</v>
      </c>
      <c r="J64" s="320">
        <f t="shared" si="22"/>
        <v>0</v>
      </c>
      <c r="L64" s="320">
        <f t="shared" si="22"/>
        <v>0</v>
      </c>
      <c r="M64" s="320">
        <f t="shared" si="22"/>
        <v>0</v>
      </c>
      <c r="N64" s="320">
        <f t="shared" si="22"/>
        <v>0</v>
      </c>
      <c r="O64" s="320">
        <f t="shared" si="22"/>
        <v>0</v>
      </c>
      <c r="P64" s="320">
        <f t="shared" si="22"/>
        <v>0</v>
      </c>
      <c r="Q64" s="320">
        <f t="shared" si="22"/>
        <v>0</v>
      </c>
      <c r="R64" s="320">
        <f t="shared" si="22"/>
        <v>0</v>
      </c>
      <c r="S64" s="320">
        <f t="shared" si="22"/>
        <v>0</v>
      </c>
      <c r="T64" s="320">
        <f t="shared" si="22"/>
        <v>0</v>
      </c>
      <c r="U64" s="320">
        <f t="shared" si="23"/>
        <v>0</v>
      </c>
      <c r="V64" s="320">
        <f t="shared" si="23"/>
        <v>0</v>
      </c>
      <c r="W64" s="320">
        <f t="shared" si="23"/>
        <v>0</v>
      </c>
      <c r="X64" s="320">
        <f t="shared" si="23"/>
        <v>0</v>
      </c>
      <c r="Y64" s="320">
        <f t="shared" si="23"/>
        <v>0</v>
      </c>
      <c r="Z64" s="320">
        <f t="shared" si="23"/>
        <v>0</v>
      </c>
      <c r="AA64" s="320">
        <f t="shared" si="23"/>
        <v>0</v>
      </c>
      <c r="AB64" s="320">
        <f t="shared" si="23"/>
        <v>0</v>
      </c>
      <c r="AC64" s="320">
        <f t="shared" si="23"/>
        <v>0</v>
      </c>
      <c r="AD64" s="320">
        <f t="shared" si="23"/>
        <v>0</v>
      </c>
      <c r="AE64" s="320">
        <f t="shared" si="24"/>
        <v>0</v>
      </c>
      <c r="AF64" s="320">
        <f t="shared" si="24"/>
        <v>0</v>
      </c>
      <c r="AG64" s="320">
        <f t="shared" si="24"/>
        <v>0</v>
      </c>
      <c r="AH64" s="320">
        <f t="shared" si="24"/>
        <v>0</v>
      </c>
      <c r="AI64" s="320">
        <f t="shared" si="24"/>
        <v>0</v>
      </c>
      <c r="AJ64" s="320">
        <f t="shared" si="24"/>
        <v>0</v>
      </c>
      <c r="AK64" s="320">
        <f t="shared" si="24"/>
        <v>0</v>
      </c>
      <c r="AL64" s="320">
        <f t="shared" si="24"/>
        <v>0</v>
      </c>
      <c r="AM64" s="320">
        <f t="shared" si="24"/>
        <v>0</v>
      </c>
      <c r="AN64" s="320">
        <f t="shared" si="24"/>
        <v>0</v>
      </c>
      <c r="AO64" s="320">
        <f t="shared" si="24"/>
        <v>0</v>
      </c>
    </row>
    <row r="65" spans="1:41" ht="15">
      <c r="A65" s="501"/>
      <c r="B65" s="341"/>
      <c r="C65" s="453"/>
      <c r="D65" s="444" t="s">
        <v>838</v>
      </c>
      <c r="E65" s="444" t="s">
        <v>932</v>
      </c>
      <c r="F65" s="465" t="s">
        <v>5</v>
      </c>
      <c r="G65" s="132" t="s">
        <v>14</v>
      </c>
      <c r="H65" s="348">
        <v>4.200000000000002</v>
      </c>
      <c r="I65" s="380">
        <f t="shared" si="0"/>
        <v>4.200000000000002</v>
      </c>
      <c r="J65" s="320">
        <f t="shared" si="22"/>
        <v>4.200000000000002</v>
      </c>
      <c r="L65" s="320">
        <f t="shared" si="22"/>
        <v>4.200000000000002</v>
      </c>
      <c r="M65" s="320">
        <f t="shared" si="22"/>
        <v>4.200000000000002</v>
      </c>
      <c r="N65" s="320">
        <f t="shared" si="22"/>
        <v>4.200000000000002</v>
      </c>
      <c r="O65" s="320">
        <f t="shared" si="22"/>
        <v>4.200000000000002</v>
      </c>
      <c r="P65" s="320">
        <f t="shared" si="22"/>
        <v>4.200000000000002</v>
      </c>
      <c r="Q65" s="320">
        <f t="shared" si="22"/>
        <v>4.200000000000002</v>
      </c>
      <c r="R65" s="320">
        <f t="shared" si="22"/>
        <v>4.200000000000002</v>
      </c>
      <c r="S65" s="320">
        <f t="shared" si="22"/>
        <v>4.200000000000002</v>
      </c>
      <c r="T65" s="320">
        <f t="shared" si="22"/>
        <v>4.200000000000002</v>
      </c>
      <c r="U65" s="320">
        <f t="shared" si="23"/>
        <v>4.200000000000002</v>
      </c>
      <c r="V65" s="320">
        <f t="shared" si="23"/>
        <v>4.200000000000002</v>
      </c>
      <c r="W65" s="320">
        <f t="shared" si="23"/>
        <v>4.200000000000002</v>
      </c>
      <c r="X65" s="320">
        <f t="shared" si="23"/>
        <v>4.200000000000002</v>
      </c>
      <c r="Y65" s="320">
        <f t="shared" si="23"/>
        <v>4.200000000000002</v>
      </c>
      <c r="Z65" s="320">
        <f t="shared" si="23"/>
        <v>4.200000000000002</v>
      </c>
      <c r="AA65" s="320">
        <f t="shared" si="23"/>
        <v>4.200000000000002</v>
      </c>
      <c r="AB65" s="320">
        <f t="shared" si="23"/>
        <v>4.200000000000002</v>
      </c>
      <c r="AC65" s="320">
        <f t="shared" si="23"/>
        <v>4.200000000000002</v>
      </c>
      <c r="AD65" s="320">
        <f t="shared" si="23"/>
        <v>4.200000000000002</v>
      </c>
      <c r="AE65" s="320">
        <f t="shared" si="24"/>
        <v>4.200000000000002</v>
      </c>
      <c r="AF65" s="320">
        <f t="shared" si="24"/>
        <v>4.200000000000002</v>
      </c>
      <c r="AG65" s="320">
        <f t="shared" si="24"/>
        <v>4.200000000000002</v>
      </c>
      <c r="AH65" s="320">
        <f t="shared" si="24"/>
        <v>4.200000000000002</v>
      </c>
      <c r="AI65" s="320">
        <f t="shared" si="24"/>
        <v>4.200000000000002</v>
      </c>
      <c r="AJ65" s="320">
        <f t="shared" si="24"/>
        <v>4.200000000000002</v>
      </c>
      <c r="AK65" s="320">
        <f t="shared" si="24"/>
        <v>4.200000000000002</v>
      </c>
      <c r="AL65" s="320">
        <f t="shared" si="24"/>
        <v>4.200000000000002</v>
      </c>
      <c r="AM65" s="320">
        <f t="shared" si="24"/>
        <v>4.200000000000002</v>
      </c>
      <c r="AN65" s="320">
        <f t="shared" si="24"/>
        <v>4.200000000000002</v>
      </c>
      <c r="AO65" s="320">
        <f t="shared" si="24"/>
        <v>4.200000000000002</v>
      </c>
    </row>
    <row r="66" spans="1:41" ht="15">
      <c r="A66" s="501"/>
      <c r="B66" s="341"/>
      <c r="C66" s="453"/>
      <c r="D66" s="444" t="s">
        <v>839</v>
      </c>
      <c r="E66" s="444" t="s">
        <v>933</v>
      </c>
      <c r="F66" s="465" t="s">
        <v>5</v>
      </c>
      <c r="G66" s="132" t="s">
        <v>16</v>
      </c>
      <c r="H66" s="348">
        <v>4.299999999999998</v>
      </c>
      <c r="I66" s="380">
        <f t="shared" si="0"/>
        <v>4.2999999999999989</v>
      </c>
      <c r="J66" s="320">
        <f t="shared" si="22"/>
        <v>4.299999999999998</v>
      </c>
      <c r="L66" s="320">
        <f t="shared" si="22"/>
        <v>4.299999999999998</v>
      </c>
      <c r="M66" s="320">
        <f t="shared" si="22"/>
        <v>4.299999999999998</v>
      </c>
      <c r="N66" s="320">
        <f t="shared" si="22"/>
        <v>4.299999999999998</v>
      </c>
      <c r="O66" s="320">
        <f t="shared" si="22"/>
        <v>4.299999999999998</v>
      </c>
      <c r="P66" s="320">
        <f t="shared" si="22"/>
        <v>4.299999999999998</v>
      </c>
      <c r="Q66" s="320">
        <f t="shared" si="22"/>
        <v>4.299999999999998</v>
      </c>
      <c r="R66" s="320">
        <f t="shared" si="22"/>
        <v>4.299999999999998</v>
      </c>
      <c r="S66" s="320">
        <f t="shared" si="22"/>
        <v>4.299999999999998</v>
      </c>
      <c r="T66" s="320">
        <f t="shared" si="22"/>
        <v>4.299999999999998</v>
      </c>
      <c r="U66" s="320">
        <f t="shared" si="23"/>
        <v>4.299999999999998</v>
      </c>
      <c r="V66" s="320">
        <f t="shared" si="23"/>
        <v>4.299999999999998</v>
      </c>
      <c r="W66" s="320">
        <f t="shared" si="23"/>
        <v>4.299999999999998</v>
      </c>
      <c r="X66" s="320">
        <f t="shared" si="23"/>
        <v>4.299999999999998</v>
      </c>
      <c r="Y66" s="320">
        <f t="shared" si="23"/>
        <v>4.299999999999998</v>
      </c>
      <c r="Z66" s="320">
        <f t="shared" si="23"/>
        <v>4.299999999999998</v>
      </c>
      <c r="AA66" s="320">
        <f t="shared" si="23"/>
        <v>4.299999999999998</v>
      </c>
      <c r="AB66" s="320">
        <f t="shared" si="23"/>
        <v>4.299999999999998</v>
      </c>
      <c r="AC66" s="320">
        <f t="shared" si="23"/>
        <v>4.299999999999998</v>
      </c>
      <c r="AD66" s="320">
        <f t="shared" si="23"/>
        <v>4.299999999999998</v>
      </c>
      <c r="AE66" s="320">
        <f t="shared" si="24"/>
        <v>4.299999999999998</v>
      </c>
      <c r="AF66" s="320">
        <f t="shared" si="24"/>
        <v>4.299999999999998</v>
      </c>
      <c r="AG66" s="320">
        <f t="shared" si="24"/>
        <v>4.299999999999998</v>
      </c>
      <c r="AH66" s="320">
        <f t="shared" si="24"/>
        <v>4.299999999999998</v>
      </c>
      <c r="AI66" s="320">
        <f t="shared" si="24"/>
        <v>4.299999999999998</v>
      </c>
      <c r="AJ66" s="320">
        <f t="shared" si="24"/>
        <v>4.299999999999998</v>
      </c>
      <c r="AK66" s="320">
        <f t="shared" si="24"/>
        <v>4.299999999999998</v>
      </c>
      <c r="AL66" s="320">
        <f t="shared" si="24"/>
        <v>4.299999999999998</v>
      </c>
      <c r="AM66" s="320">
        <f t="shared" si="24"/>
        <v>4.299999999999998</v>
      </c>
      <c r="AN66" s="320">
        <f t="shared" si="24"/>
        <v>4.299999999999998</v>
      </c>
      <c r="AO66" s="320">
        <f t="shared" si="24"/>
        <v>4.299999999999998</v>
      </c>
    </row>
    <row r="67" spans="1:41" ht="15">
      <c r="A67" s="501"/>
      <c r="B67" s="341"/>
      <c r="C67" s="453"/>
      <c r="D67" s="444" t="s">
        <v>840</v>
      </c>
      <c r="E67" s="444" t="s">
        <v>934</v>
      </c>
      <c r="F67" s="465" t="s">
        <v>5</v>
      </c>
      <c r="G67" s="132" t="s">
        <v>17</v>
      </c>
      <c r="H67" s="348">
        <v>3.4000000000000012</v>
      </c>
      <c r="I67" s="380">
        <f t="shared" si="0"/>
        <v>3.4000000000000026</v>
      </c>
      <c r="J67" s="320">
        <f t="shared" si="22"/>
        <v>3.4000000000000012</v>
      </c>
      <c r="L67" s="320">
        <f t="shared" si="22"/>
        <v>3.4000000000000012</v>
      </c>
      <c r="M67" s="320">
        <f t="shared" si="22"/>
        <v>3.4000000000000012</v>
      </c>
      <c r="N67" s="320">
        <f t="shared" si="22"/>
        <v>3.4000000000000012</v>
      </c>
      <c r="O67" s="320">
        <f t="shared" si="22"/>
        <v>3.4000000000000012</v>
      </c>
      <c r="P67" s="320">
        <f t="shared" si="22"/>
        <v>3.4000000000000012</v>
      </c>
      <c r="Q67" s="320">
        <f t="shared" si="22"/>
        <v>3.4000000000000012</v>
      </c>
      <c r="R67" s="320">
        <f t="shared" si="22"/>
        <v>3.4000000000000012</v>
      </c>
      <c r="S67" s="320">
        <f t="shared" si="22"/>
        <v>3.4000000000000012</v>
      </c>
      <c r="T67" s="320">
        <f t="shared" si="22"/>
        <v>3.4000000000000012</v>
      </c>
      <c r="U67" s="320">
        <f t="shared" si="23"/>
        <v>3.4000000000000012</v>
      </c>
      <c r="V67" s="320">
        <f t="shared" si="23"/>
        <v>3.4000000000000012</v>
      </c>
      <c r="W67" s="320">
        <f t="shared" si="23"/>
        <v>3.4000000000000012</v>
      </c>
      <c r="X67" s="320">
        <f t="shared" si="23"/>
        <v>3.4000000000000012</v>
      </c>
      <c r="Y67" s="320">
        <f t="shared" si="23"/>
        <v>3.4000000000000012</v>
      </c>
      <c r="Z67" s="320">
        <f t="shared" si="23"/>
        <v>3.4000000000000012</v>
      </c>
      <c r="AA67" s="320">
        <f t="shared" si="23"/>
        <v>3.4000000000000012</v>
      </c>
      <c r="AB67" s="320">
        <f t="shared" si="23"/>
        <v>3.4000000000000012</v>
      </c>
      <c r="AC67" s="320">
        <f t="shared" si="23"/>
        <v>3.4000000000000012</v>
      </c>
      <c r="AD67" s="320">
        <f t="shared" si="23"/>
        <v>3.4000000000000012</v>
      </c>
      <c r="AE67" s="320">
        <f t="shared" si="24"/>
        <v>3.4000000000000012</v>
      </c>
      <c r="AF67" s="320">
        <f t="shared" si="24"/>
        <v>3.4000000000000012</v>
      </c>
      <c r="AG67" s="320">
        <f t="shared" si="24"/>
        <v>3.4000000000000012</v>
      </c>
      <c r="AH67" s="320">
        <f t="shared" si="24"/>
        <v>3.4000000000000012</v>
      </c>
      <c r="AI67" s="320">
        <f t="shared" si="24"/>
        <v>3.4000000000000012</v>
      </c>
      <c r="AJ67" s="320">
        <f t="shared" si="24"/>
        <v>3.4000000000000012</v>
      </c>
      <c r="AK67" s="320">
        <f t="shared" si="24"/>
        <v>3.4000000000000012</v>
      </c>
      <c r="AL67" s="320">
        <f t="shared" si="24"/>
        <v>3.4000000000000012</v>
      </c>
      <c r="AM67" s="320">
        <f t="shared" si="24"/>
        <v>3.4000000000000012</v>
      </c>
      <c r="AN67" s="320">
        <f t="shared" si="24"/>
        <v>3.4000000000000012</v>
      </c>
      <c r="AO67" s="320">
        <f t="shared" si="24"/>
        <v>3.4000000000000012</v>
      </c>
    </row>
    <row r="68" spans="1:41" ht="15">
      <c r="A68" s="501"/>
      <c r="B68" s="341"/>
      <c r="C68" s="453"/>
      <c r="D68" s="444" t="s">
        <v>841</v>
      </c>
      <c r="E68" s="444" t="s">
        <v>935</v>
      </c>
      <c r="F68" s="465" t="s">
        <v>5</v>
      </c>
      <c r="G68" s="132" t="s">
        <v>93</v>
      </c>
      <c r="H68" s="348">
        <v>2</v>
      </c>
      <c r="I68" s="380">
        <f t="shared" ref="I68:I111" si="25">IFERROR(AVERAGE(J68:AO68),"")</f>
        <v>2</v>
      </c>
      <c r="J68" s="320">
        <f t="shared" si="22"/>
        <v>2</v>
      </c>
      <c r="L68" s="320">
        <f t="shared" si="22"/>
        <v>2</v>
      </c>
      <c r="M68" s="320">
        <f t="shared" si="22"/>
        <v>2</v>
      </c>
      <c r="N68" s="320">
        <f t="shared" si="22"/>
        <v>2</v>
      </c>
      <c r="O68" s="320">
        <f t="shared" si="22"/>
        <v>2</v>
      </c>
      <c r="P68" s="320">
        <f t="shared" si="22"/>
        <v>2</v>
      </c>
      <c r="Q68" s="320">
        <f t="shared" si="22"/>
        <v>2</v>
      </c>
      <c r="R68" s="320">
        <f t="shared" si="22"/>
        <v>2</v>
      </c>
      <c r="S68" s="320">
        <f t="shared" si="22"/>
        <v>2</v>
      </c>
      <c r="T68" s="320">
        <f t="shared" si="22"/>
        <v>2</v>
      </c>
      <c r="U68" s="320">
        <f t="shared" si="23"/>
        <v>2</v>
      </c>
      <c r="V68" s="320">
        <f t="shared" si="23"/>
        <v>2</v>
      </c>
      <c r="W68" s="320">
        <f t="shared" si="23"/>
        <v>2</v>
      </c>
      <c r="X68" s="320">
        <f t="shared" si="23"/>
        <v>2</v>
      </c>
      <c r="Y68" s="320">
        <f t="shared" si="23"/>
        <v>2</v>
      </c>
      <c r="Z68" s="320">
        <f t="shared" si="23"/>
        <v>2</v>
      </c>
      <c r="AA68" s="320">
        <f t="shared" si="23"/>
        <v>2</v>
      </c>
      <c r="AB68" s="320">
        <f t="shared" si="23"/>
        <v>2</v>
      </c>
      <c r="AC68" s="320">
        <f t="shared" si="23"/>
        <v>2</v>
      </c>
      <c r="AD68" s="320">
        <f t="shared" si="23"/>
        <v>2</v>
      </c>
      <c r="AE68" s="320">
        <f t="shared" si="24"/>
        <v>2</v>
      </c>
      <c r="AF68" s="320">
        <f t="shared" si="24"/>
        <v>2</v>
      </c>
      <c r="AG68" s="320">
        <f t="shared" si="24"/>
        <v>2</v>
      </c>
      <c r="AH68" s="320">
        <f t="shared" si="24"/>
        <v>2</v>
      </c>
      <c r="AI68" s="320">
        <f t="shared" si="24"/>
        <v>2</v>
      </c>
      <c r="AJ68" s="320">
        <f t="shared" si="24"/>
        <v>2</v>
      </c>
      <c r="AK68" s="320">
        <f t="shared" si="24"/>
        <v>2</v>
      </c>
      <c r="AL68" s="320">
        <f t="shared" si="24"/>
        <v>2</v>
      </c>
      <c r="AM68" s="320">
        <f t="shared" si="24"/>
        <v>2</v>
      </c>
      <c r="AN68" s="320">
        <f t="shared" si="24"/>
        <v>2</v>
      </c>
      <c r="AO68" s="320">
        <f t="shared" si="24"/>
        <v>2</v>
      </c>
    </row>
    <row r="69" spans="1:41" ht="15">
      <c r="A69" s="501"/>
      <c r="B69" s="341"/>
      <c r="C69" s="453"/>
      <c r="D69" s="444" t="s">
        <v>842</v>
      </c>
      <c r="E69" s="444" t="s">
        <v>936</v>
      </c>
      <c r="F69" s="465" t="s">
        <v>5</v>
      </c>
      <c r="G69" s="132" t="s">
        <v>20</v>
      </c>
      <c r="H69" s="348">
        <v>0.80000000000000038</v>
      </c>
      <c r="I69" s="380">
        <f t="shared" si="25"/>
        <v>0.8000000000000006</v>
      </c>
      <c r="J69" s="320">
        <f t="shared" si="22"/>
        <v>0.80000000000000038</v>
      </c>
      <c r="L69" s="320">
        <f t="shared" si="22"/>
        <v>0.80000000000000038</v>
      </c>
      <c r="M69" s="320">
        <f t="shared" si="22"/>
        <v>0.80000000000000038</v>
      </c>
      <c r="N69" s="320">
        <f t="shared" si="22"/>
        <v>0.80000000000000038</v>
      </c>
      <c r="O69" s="320">
        <f t="shared" si="22"/>
        <v>0.80000000000000038</v>
      </c>
      <c r="P69" s="320">
        <f t="shared" si="22"/>
        <v>0.80000000000000038</v>
      </c>
      <c r="Q69" s="320">
        <f t="shared" si="22"/>
        <v>0.80000000000000038</v>
      </c>
      <c r="R69" s="320">
        <f t="shared" si="22"/>
        <v>0.80000000000000038</v>
      </c>
      <c r="S69" s="320">
        <f t="shared" si="22"/>
        <v>0.80000000000000038</v>
      </c>
      <c r="T69" s="320">
        <f t="shared" si="22"/>
        <v>0.80000000000000038</v>
      </c>
      <c r="U69" s="320">
        <f t="shared" si="23"/>
        <v>0.80000000000000038</v>
      </c>
      <c r="V69" s="320">
        <f t="shared" si="23"/>
        <v>0.80000000000000038</v>
      </c>
      <c r="W69" s="320">
        <f t="shared" si="23"/>
        <v>0.80000000000000038</v>
      </c>
      <c r="X69" s="320">
        <f t="shared" si="23"/>
        <v>0.80000000000000038</v>
      </c>
      <c r="Y69" s="320">
        <f t="shared" si="23"/>
        <v>0.80000000000000038</v>
      </c>
      <c r="Z69" s="320">
        <f t="shared" si="23"/>
        <v>0.80000000000000038</v>
      </c>
      <c r="AA69" s="320">
        <f t="shared" si="23"/>
        <v>0.80000000000000038</v>
      </c>
      <c r="AB69" s="320">
        <f t="shared" si="23"/>
        <v>0.80000000000000038</v>
      </c>
      <c r="AC69" s="320">
        <f t="shared" si="23"/>
        <v>0.80000000000000038</v>
      </c>
      <c r="AD69" s="320">
        <f t="shared" si="23"/>
        <v>0.80000000000000038</v>
      </c>
      <c r="AE69" s="320">
        <f t="shared" si="24"/>
        <v>0.80000000000000038</v>
      </c>
      <c r="AF69" s="320">
        <f t="shared" si="24"/>
        <v>0.80000000000000038</v>
      </c>
      <c r="AG69" s="320">
        <f t="shared" si="24"/>
        <v>0.80000000000000038</v>
      </c>
      <c r="AH69" s="320">
        <f t="shared" si="24"/>
        <v>0.80000000000000038</v>
      </c>
      <c r="AI69" s="320">
        <f t="shared" si="24"/>
        <v>0.80000000000000038</v>
      </c>
      <c r="AJ69" s="320">
        <f t="shared" si="24"/>
        <v>0.80000000000000038</v>
      </c>
      <c r="AK69" s="320">
        <f t="shared" si="24"/>
        <v>0.80000000000000038</v>
      </c>
      <c r="AL69" s="320">
        <f t="shared" si="24"/>
        <v>0.80000000000000038</v>
      </c>
      <c r="AM69" s="320">
        <f t="shared" si="24"/>
        <v>0.80000000000000038</v>
      </c>
      <c r="AN69" s="320">
        <f t="shared" si="24"/>
        <v>0.80000000000000038</v>
      </c>
      <c r="AO69" s="320">
        <f t="shared" si="24"/>
        <v>0.80000000000000038</v>
      </c>
    </row>
    <row r="70" spans="1:41" ht="15">
      <c r="A70" s="501"/>
      <c r="B70" s="341"/>
      <c r="C70" s="453"/>
      <c r="D70" s="444" t="s">
        <v>843</v>
      </c>
      <c r="E70" s="444" t="s">
        <v>937</v>
      </c>
      <c r="F70" s="465" t="s">
        <v>5</v>
      </c>
      <c r="G70" s="132" t="s">
        <v>94</v>
      </c>
      <c r="H70" s="348">
        <v>0.10000000000000005</v>
      </c>
      <c r="I70" s="380">
        <f t="shared" si="25"/>
        <v>0.10000000000000007</v>
      </c>
      <c r="J70" s="320">
        <f t="shared" si="22"/>
        <v>0.10000000000000005</v>
      </c>
      <c r="L70" s="320">
        <f t="shared" si="22"/>
        <v>0.10000000000000005</v>
      </c>
      <c r="M70" s="320">
        <f t="shared" si="22"/>
        <v>0.10000000000000005</v>
      </c>
      <c r="N70" s="320">
        <f t="shared" si="22"/>
        <v>0.10000000000000005</v>
      </c>
      <c r="O70" s="320">
        <f t="shared" si="22"/>
        <v>0.10000000000000005</v>
      </c>
      <c r="P70" s="320">
        <f t="shared" si="22"/>
        <v>0.10000000000000005</v>
      </c>
      <c r="Q70" s="320">
        <f t="shared" si="22"/>
        <v>0.10000000000000005</v>
      </c>
      <c r="R70" s="320">
        <f t="shared" si="22"/>
        <v>0.10000000000000005</v>
      </c>
      <c r="S70" s="320">
        <f t="shared" si="22"/>
        <v>0.10000000000000005</v>
      </c>
      <c r="T70" s="320">
        <f t="shared" si="22"/>
        <v>0.10000000000000005</v>
      </c>
      <c r="U70" s="320">
        <f t="shared" si="23"/>
        <v>0.10000000000000005</v>
      </c>
      <c r="V70" s="320">
        <f t="shared" si="23"/>
        <v>0.10000000000000005</v>
      </c>
      <c r="W70" s="320">
        <f t="shared" si="23"/>
        <v>0.10000000000000005</v>
      </c>
      <c r="X70" s="320">
        <f t="shared" si="23"/>
        <v>0.10000000000000005</v>
      </c>
      <c r="Y70" s="320">
        <f t="shared" si="23"/>
        <v>0.10000000000000005</v>
      </c>
      <c r="Z70" s="320">
        <f t="shared" si="23"/>
        <v>0.10000000000000005</v>
      </c>
      <c r="AA70" s="320">
        <f t="shared" si="23"/>
        <v>0.10000000000000005</v>
      </c>
      <c r="AB70" s="320">
        <f t="shared" si="23"/>
        <v>0.10000000000000005</v>
      </c>
      <c r="AC70" s="320">
        <f t="shared" si="23"/>
        <v>0.10000000000000005</v>
      </c>
      <c r="AD70" s="320">
        <f t="shared" si="23"/>
        <v>0.10000000000000005</v>
      </c>
      <c r="AE70" s="320">
        <f t="shared" si="24"/>
        <v>0.10000000000000005</v>
      </c>
      <c r="AF70" s="320">
        <f t="shared" si="24"/>
        <v>0.10000000000000005</v>
      </c>
      <c r="AG70" s="320">
        <f t="shared" si="24"/>
        <v>0.10000000000000005</v>
      </c>
      <c r="AH70" s="320">
        <f t="shared" si="24"/>
        <v>0.10000000000000005</v>
      </c>
      <c r="AI70" s="320">
        <f t="shared" si="24"/>
        <v>0.10000000000000005</v>
      </c>
      <c r="AJ70" s="320">
        <f t="shared" si="24"/>
        <v>0.10000000000000005</v>
      </c>
      <c r="AK70" s="320">
        <f t="shared" si="24"/>
        <v>0.10000000000000005</v>
      </c>
      <c r="AL70" s="320">
        <f t="shared" si="24"/>
        <v>0.10000000000000005</v>
      </c>
      <c r="AM70" s="320">
        <f t="shared" si="24"/>
        <v>0.10000000000000005</v>
      </c>
      <c r="AN70" s="320">
        <f t="shared" si="24"/>
        <v>0.10000000000000005</v>
      </c>
      <c r="AO70" s="320">
        <f t="shared" si="24"/>
        <v>0.10000000000000005</v>
      </c>
    </row>
    <row r="71" spans="1:41" ht="15.75" thickBot="1">
      <c r="A71" s="76" t="s">
        <v>95</v>
      </c>
      <c r="B71" s="448" t="s">
        <v>632</v>
      </c>
      <c r="C71" s="449"/>
      <c r="D71" s="444" t="s">
        <v>632</v>
      </c>
      <c r="E71" s="444" t="s">
        <v>938</v>
      </c>
      <c r="F71" s="449"/>
      <c r="G71" s="450"/>
      <c r="H71" s="346">
        <v>7.2652511999999962</v>
      </c>
      <c r="I71" s="381">
        <f t="shared" si="25"/>
        <v>7.2652511999999954</v>
      </c>
      <c r="J71" s="325">
        <f>(2.01568*J61/100)+(28.0314*J62/100)+(28.01*J63/100)+(44.01*J64/100)+(16.04*J65/100)+(30.07*J66/100)+(44.097*J67/100)+(58.12*J68/100)+(72.15*J69/100)+(86.178*J70/100)</f>
        <v>7.2652512000000007</v>
      </c>
      <c r="K71" s="438"/>
      <c r="L71" s="325">
        <f t="shared" ref="L71:AO71" si="26">$H71</f>
        <v>7.2652511999999962</v>
      </c>
      <c r="M71" s="325">
        <f t="shared" si="26"/>
        <v>7.2652511999999962</v>
      </c>
      <c r="N71" s="325">
        <f t="shared" si="26"/>
        <v>7.2652511999999962</v>
      </c>
      <c r="O71" s="325">
        <f t="shared" si="26"/>
        <v>7.2652511999999962</v>
      </c>
      <c r="P71" s="325">
        <f t="shared" si="26"/>
        <v>7.2652511999999962</v>
      </c>
      <c r="Q71" s="325">
        <f t="shared" si="26"/>
        <v>7.2652511999999962</v>
      </c>
      <c r="R71" s="325">
        <f t="shared" si="26"/>
        <v>7.2652511999999962</v>
      </c>
      <c r="S71" s="325">
        <f t="shared" si="26"/>
        <v>7.2652511999999962</v>
      </c>
      <c r="T71" s="325">
        <f t="shared" si="26"/>
        <v>7.2652511999999962</v>
      </c>
      <c r="U71" s="325">
        <f t="shared" si="26"/>
        <v>7.2652511999999962</v>
      </c>
      <c r="V71" s="325">
        <f t="shared" si="26"/>
        <v>7.2652511999999962</v>
      </c>
      <c r="W71" s="325">
        <f t="shared" si="26"/>
        <v>7.2652511999999962</v>
      </c>
      <c r="X71" s="325">
        <f t="shared" si="26"/>
        <v>7.2652511999999962</v>
      </c>
      <c r="Y71" s="325">
        <f t="shared" si="26"/>
        <v>7.2652511999999962</v>
      </c>
      <c r="Z71" s="325">
        <f t="shared" si="26"/>
        <v>7.2652511999999962</v>
      </c>
      <c r="AA71" s="325">
        <f t="shared" si="26"/>
        <v>7.2652511999999962</v>
      </c>
      <c r="AB71" s="325">
        <f t="shared" si="26"/>
        <v>7.2652511999999962</v>
      </c>
      <c r="AC71" s="325">
        <f t="shared" si="26"/>
        <v>7.2652511999999962</v>
      </c>
      <c r="AD71" s="325">
        <f t="shared" si="26"/>
        <v>7.2652511999999962</v>
      </c>
      <c r="AE71" s="325">
        <f t="shared" si="26"/>
        <v>7.2652511999999962</v>
      </c>
      <c r="AF71" s="325">
        <f t="shared" si="26"/>
        <v>7.2652511999999962</v>
      </c>
      <c r="AG71" s="325">
        <f t="shared" si="26"/>
        <v>7.2652511999999962</v>
      </c>
      <c r="AH71" s="325">
        <f t="shared" si="26"/>
        <v>7.2652511999999962</v>
      </c>
      <c r="AI71" s="325">
        <f t="shared" si="26"/>
        <v>7.2652511999999962</v>
      </c>
      <c r="AJ71" s="325">
        <f t="shared" si="26"/>
        <v>7.2652511999999962</v>
      </c>
      <c r="AK71" s="325">
        <f t="shared" si="26"/>
        <v>7.2652511999999962</v>
      </c>
      <c r="AL71" s="325">
        <f t="shared" si="26"/>
        <v>7.2652511999999962</v>
      </c>
      <c r="AM71" s="325">
        <f t="shared" si="26"/>
        <v>7.2652511999999962</v>
      </c>
      <c r="AN71" s="325">
        <f t="shared" si="26"/>
        <v>7.2652511999999962</v>
      </c>
      <c r="AO71" s="325">
        <f t="shared" si="26"/>
        <v>7.2652511999999962</v>
      </c>
    </row>
    <row r="72" spans="1:41" ht="18.75">
      <c r="A72" s="489" t="s">
        <v>229</v>
      </c>
      <c r="B72" s="79"/>
      <c r="C72" s="462"/>
      <c r="D72" s="366" t="s">
        <v>589</v>
      </c>
      <c r="E72" s="366" t="s">
        <v>939</v>
      </c>
      <c r="F72" s="470" t="s">
        <v>5</v>
      </c>
      <c r="G72" s="283" t="s">
        <v>21</v>
      </c>
      <c r="H72" s="353">
        <v>88.913386456863194</v>
      </c>
      <c r="I72" s="385">
        <f t="shared" si="25"/>
        <v>88.898130569508751</v>
      </c>
      <c r="J72" s="328">
        <f>((J39/100*'Daily Report'!I$39)+(J61/100*'Daily Report'!I$40)+('Daily Report'!I$45*J33/100))/('Daily Report'!I$39+'Daily Report'!I$40+'Daily Report'!I$45)*100</f>
        <v>87.747675297635382</v>
      </c>
      <c r="K72" s="438"/>
      <c r="L72" s="328">
        <f>((L39/100*'Daily Report'!K$39)+(L61/100*'Daily Report'!K$40)+('Daily Report'!K$45*L33/100))/('Daily Report'!K$39+'Daily Report'!K$40+'Daily Report'!K$45)*100</f>
        <v>88.502612026929384</v>
      </c>
      <c r="M72" s="328">
        <f>((M39/100*'Daily Report'!L$39)+(M61/100*'Daily Report'!L$40)+('Daily Report'!L$45*M33/100))/('Daily Report'!L$39+'Daily Report'!L$40+'Daily Report'!L$45)*100</f>
        <v>88.483479080388619</v>
      </c>
      <c r="N72" s="328">
        <f>((N39/100*'Daily Report'!M$39)+(N61/100*'Daily Report'!M$40)+('Daily Report'!M$45*N33/100))/('Daily Report'!M$39+'Daily Report'!M$40+'Daily Report'!M$45)*100</f>
        <v>88.763022660913776</v>
      </c>
      <c r="O72" s="328">
        <f>((O39/100*'Daily Report'!N$39)+(O61/100*'Daily Report'!N$40)+('Daily Report'!N$45*O33/100))/('Daily Report'!N$39+'Daily Report'!N$40+'Daily Report'!N$45)*100</f>
        <v>88.592580422066703</v>
      </c>
      <c r="P72" s="328">
        <f>((P39/100*'Daily Report'!O$39)+(P61/100*'Daily Report'!O$40)+('Daily Report'!O$45*P33/100))/('Daily Report'!O$39+'Daily Report'!O$40+'Daily Report'!O$45)*100</f>
        <v>89.068762425546126</v>
      </c>
      <c r="Q72" s="328">
        <f>((Q39/100*'Daily Report'!P$39)+(Q61/100*'Daily Report'!P$40)+('Daily Report'!P$45*Q33/100))/('Daily Report'!P$39+'Daily Report'!P$40+'Daily Report'!P$45)*100</f>
        <v>89.26819821488175</v>
      </c>
      <c r="R72" s="328">
        <f>((R39/100*'Daily Report'!Q$39)+(R61/100*'Daily Report'!Q$40)+('Daily Report'!Q$45*R33/100))/('Daily Report'!Q$39+'Daily Report'!Q$40+'Daily Report'!Q$45)*100</f>
        <v>88.792087150784511</v>
      </c>
      <c r="S72" s="328">
        <f>((S39/100*'Daily Report'!R$39)+(S61/100*'Daily Report'!R$40)+('Daily Report'!R$45*S33/100))/('Daily Report'!R$39+'Daily Report'!R$40+'Daily Report'!R$45)*100</f>
        <v>88.372324033383563</v>
      </c>
      <c r="T72" s="328">
        <f>((T39/100*'Daily Report'!S$39)+(T61/100*'Daily Report'!S$40)+('Daily Report'!S$45*T33/100))/('Daily Report'!S$39+'Daily Report'!S$40+'Daily Report'!S$45)*100</f>
        <v>88.602596384157891</v>
      </c>
      <c r="U72" s="328">
        <f>((U39/100*'Daily Report'!T$39)+(U61/100*'Daily Report'!T$40)+('Daily Report'!T$45*U33/100))/('Daily Report'!T$39+'Daily Report'!T$40+'Daily Report'!T$45)*100</f>
        <v>88.057424390374678</v>
      </c>
      <c r="V72" s="328">
        <f>((V39/100*'Daily Report'!U$39)+(V61/100*'Daily Report'!U$40)+('Daily Report'!U$45*V33/100))/('Daily Report'!U$39+'Daily Report'!U$40+'Daily Report'!U$45)*100</f>
        <v>87.782837967968021</v>
      </c>
      <c r="W72" s="328">
        <f>((W39/100*'Daily Report'!V$39)+(W61/100*'Daily Report'!V$40)+('Daily Report'!V$45*W33/100))/('Daily Report'!V$39+'Daily Report'!V$40+'Daily Report'!V$45)*100</f>
        <v>87.917987026068516</v>
      </c>
      <c r="X72" s="328">
        <f>((X39/100*'Daily Report'!W$39)+(X61/100*'Daily Report'!W$40)+('Daily Report'!W$45*X33/100))/('Daily Report'!W$39+'Daily Report'!W$40+'Daily Report'!W$45)*100</f>
        <v>88.365758816715669</v>
      </c>
      <c r="Y72" s="328">
        <f>((Y39/100*'Daily Report'!X$39)+(Y61/100*'Daily Report'!X$40)+('Daily Report'!X$45*Y33/100))/('Daily Report'!X$39+'Daily Report'!X$40+'Daily Report'!X$45)*100</f>
        <v>87.672807711311663</v>
      </c>
      <c r="Z72" s="328">
        <f>((Z39/100*'Daily Report'!Y$39)+(Z61/100*'Daily Report'!Y$40)+('Daily Report'!Y$45*Z33/100))/('Daily Report'!Y$39+'Daily Report'!Y$40+'Daily Report'!Y$45)*100</f>
        <v>88.042866554201353</v>
      </c>
      <c r="AA72" s="328">
        <f>((AA39/100*'Daily Report'!Z$39)+(AA61/100*'Daily Report'!Z$40)+('Daily Report'!Z$45*AA33/100))/('Daily Report'!Z$39+'Daily Report'!Z$40+'Daily Report'!Z$45)*100</f>
        <v>90.598337894581718</v>
      </c>
      <c r="AB72" s="328">
        <f>((AB39/100*'Daily Report'!AA$39)+(AB61/100*'Daily Report'!AA$40)+('Daily Report'!AA$45*AB33/100))/('Daily Report'!AA$39+'Daily Report'!AA$40+'Daily Report'!AA$45)*100</f>
        <v>91.07125455803336</v>
      </c>
      <c r="AC72" s="328">
        <f>((AC39/100*'Daily Report'!AB$39)+(AC61/100*'Daily Report'!AB$40)+('Daily Report'!AB$45*AC33/100))/('Daily Report'!AB$39+'Daily Report'!AB$40+'Daily Report'!AB$45)*100</f>
        <v>90.725530987146854</v>
      </c>
      <c r="AD72" s="328">
        <f>((AD39/100*'Daily Report'!AC$39)+(AD61/100*'Daily Report'!AC$40)+('Daily Report'!AC$45*AD33/100))/('Daily Report'!AC$39+'Daily Report'!AC$40+'Daily Report'!AC$45)*100</f>
        <v>89.969993905001658</v>
      </c>
      <c r="AE72" s="328">
        <f>((AE39/100*'Daily Report'!AD$39)+(AE61/100*'Daily Report'!AD$40)+('Daily Report'!AD$45*AE33/100))/('Daily Report'!AD$39+'Daily Report'!AD$40+'Daily Report'!AD$45)*100</f>
        <v>89.340944620788065</v>
      </c>
      <c r="AF72" s="328">
        <f>((AF39/100*'Daily Report'!AE$39)+(AF61/100*'Daily Report'!AE$40)+('Daily Report'!AE$45*AF33/100))/('Daily Report'!AE$39+'Daily Report'!AE$40+'Daily Report'!AE$45)*100</f>
        <v>89.557442620962718</v>
      </c>
      <c r="AG72" s="328">
        <f>((AG39/100*'Daily Report'!AF$39)+(AG61/100*'Daily Report'!AF$40)+('Daily Report'!AF$45*AG33/100))/('Daily Report'!AF$39+'Daily Report'!AF$40+'Daily Report'!AF$45)*100</f>
        <v>89.601017752465594</v>
      </c>
      <c r="AH72" s="328">
        <f>((AH39/100*'Daily Report'!AG$39)+(AH61/100*'Daily Report'!AG$40)+('Daily Report'!AG$45*AH33/100))/('Daily Report'!AG$39+'Daily Report'!AG$40+'Daily Report'!AG$45)*100</f>
        <v>89.556263727309855</v>
      </c>
      <c r="AI72" s="328">
        <f>((AI39/100*'Daily Report'!AH$39)+(AI61/100*'Daily Report'!AH$40)+('Daily Report'!AH$45*AI33/100))/('Daily Report'!AH$39+'Daily Report'!AH$40+'Daily Report'!AH$45)*100</f>
        <v>89.53852947693693</v>
      </c>
      <c r="AJ72" s="328">
        <f>((AJ39/100*'Daily Report'!AI$39)+(AJ61/100*'Daily Report'!AI$40)+('Daily Report'!AI$45*AJ33/100))/('Daily Report'!AI$39+'Daily Report'!AI$40+'Daily Report'!AI$45)*100</f>
        <v>89.182493608957742</v>
      </c>
      <c r="AK72" s="328">
        <f>((AK39/100*'Daily Report'!AJ$39)+(AK61/100*'Daily Report'!AJ$40)+('Daily Report'!AJ$45*AK33/100))/('Daily Report'!AJ$39+'Daily Report'!AJ$40+'Daily Report'!AJ$45)*100</f>
        <v>88.722203425976929</v>
      </c>
      <c r="AL72" s="328">
        <f>((AL39/100*'Daily Report'!AK$39)+(AL61/100*'Daily Report'!AK$40)+('Daily Report'!AK$45*AL33/100))/('Daily Report'!AK$39+'Daily Report'!AK$40+'Daily Report'!AK$45)*100</f>
        <v>88.511898146248598</v>
      </c>
      <c r="AM72" s="328">
        <f>((AM39/100*'Daily Report'!AL$39)+(AM61/100*'Daily Report'!AL$40)+('Daily Report'!AL$45*AM33/100))/('Daily Report'!AL$39+'Daily Report'!AL$40+'Daily Report'!AL$45)*100</f>
        <v>88.52111859168032</v>
      </c>
      <c r="AN72" s="328">
        <f>((AN39/100*'Daily Report'!AM$39)+(AN61/100*'Daily Report'!AM$40)+('Daily Report'!AM$45*AN33/100))/('Daily Report'!AM$39+'Daily Report'!AM$40+'Daily Report'!AM$45)*100</f>
        <v>88.471544226476738</v>
      </c>
      <c r="AO72" s="328">
        <f>((AO39/100*'Daily Report'!AN$39)+(AO61/100*'Daily Report'!AN$40)+('Daily Report'!AN$45*AO33/100))/('Daily Report'!AN$39+'Daily Report'!AN$40+'Daily Report'!AN$45)*100</f>
        <v>88.440453948875913</v>
      </c>
    </row>
    <row r="73" spans="1:41" ht="18.75">
      <c r="A73" s="501"/>
      <c r="B73" s="341"/>
      <c r="C73" s="453"/>
      <c r="D73" s="444" t="s">
        <v>602</v>
      </c>
      <c r="E73" s="444" t="s">
        <v>940</v>
      </c>
      <c r="F73" s="465" t="s">
        <v>5</v>
      </c>
      <c r="G73" s="132" t="s">
        <v>70</v>
      </c>
      <c r="H73" s="348">
        <v>1.9710765987939558</v>
      </c>
      <c r="I73" s="380">
        <f t="shared" si="25"/>
        <v>1.9714723273932238</v>
      </c>
      <c r="J73" s="328">
        <f>((J40/100*'Daily Report'!I$39)+(J62/100*'Daily Report'!I$40)+('Daily Report'!I$45*J34/100))/('Daily Report'!I$39+'Daily Report'!I$40+'Daily Report'!I$45)*100</f>
        <v>1.7820917725003973</v>
      </c>
      <c r="K73" s="438"/>
      <c r="L73" s="328">
        <f>((L40/100*'Daily Report'!K$39)+(L62/100*'Daily Report'!K$40)+('Daily Report'!K$45*L34/100))/('Daily Report'!K$39+'Daily Report'!K$40+'Daily Report'!K$45)*100</f>
        <v>1.8293346827029475</v>
      </c>
      <c r="M73" s="328">
        <f>((M40/100*'Daily Report'!L$39)+(M62/100*'Daily Report'!L$40)+('Daily Report'!L$45*M34/100))/('Daily Report'!L$39+'Daily Report'!L$40+'Daily Report'!L$45)*100</f>
        <v>1.8761542426936733</v>
      </c>
      <c r="N73" s="328">
        <f>((N40/100*'Daily Report'!M$39)+(N62/100*'Daily Report'!M$40)+('Daily Report'!M$45*N34/100))/('Daily Report'!M$39+'Daily Report'!M$40+'Daily Report'!M$45)*100</f>
        <v>1.8328670861466536</v>
      </c>
      <c r="O73" s="328">
        <f>((O40/100*'Daily Report'!N$39)+(O62/100*'Daily Report'!N$40)+('Daily Report'!N$45*O34/100))/('Daily Report'!N$39+'Daily Report'!N$40+'Daily Report'!N$45)*100</f>
        <v>1.9148842574907381</v>
      </c>
      <c r="P73" s="328">
        <f>((P40/100*'Daily Report'!O$39)+(P62/100*'Daily Report'!O$40)+('Daily Report'!O$45*P34/100))/('Daily Report'!O$39+'Daily Report'!O$40+'Daily Report'!O$45)*100</f>
        <v>2.0153175719531276</v>
      </c>
      <c r="Q73" s="328">
        <f>((Q40/100*'Daily Report'!P$39)+(Q62/100*'Daily Report'!P$40)+('Daily Report'!P$45*Q34/100))/('Daily Report'!P$39+'Daily Report'!P$40+'Daily Report'!P$45)*100</f>
        <v>1.9609357866439563</v>
      </c>
      <c r="R73" s="328">
        <f>((R40/100*'Daily Report'!Q$39)+(R62/100*'Daily Report'!Q$40)+('Daily Report'!Q$45*R34/100))/('Daily Report'!Q$39+'Daily Report'!Q$40+'Daily Report'!Q$45)*100</f>
        <v>2.005815575942985</v>
      </c>
      <c r="S73" s="328">
        <f>((S40/100*'Daily Report'!R$39)+(S62/100*'Daily Report'!R$40)+('Daily Report'!R$45*S34/100))/('Daily Report'!R$39+'Daily Report'!R$40+'Daily Report'!R$45)*100</f>
        <v>1.9731467271349385</v>
      </c>
      <c r="T73" s="328">
        <f>((T40/100*'Daily Report'!S$39)+(T62/100*'Daily Report'!S$40)+('Daily Report'!S$45*T34/100))/('Daily Report'!S$39+'Daily Report'!S$40+'Daily Report'!S$45)*100</f>
        <v>1.8965114339792848</v>
      </c>
      <c r="U73" s="328">
        <f>((U40/100*'Daily Report'!T$39)+(U62/100*'Daily Report'!T$40)+('Daily Report'!T$45*U34/100))/('Daily Report'!T$39+'Daily Report'!T$40+'Daily Report'!T$45)*100</f>
        <v>1.8669759799812657</v>
      </c>
      <c r="V73" s="328">
        <f>((V40/100*'Daily Report'!U$39)+(V62/100*'Daily Report'!U$40)+('Daily Report'!U$45*V34/100))/('Daily Report'!U$39+'Daily Report'!U$40+'Daily Report'!U$45)*100</f>
        <v>1.7993360430533827</v>
      </c>
      <c r="W73" s="328">
        <f>((W40/100*'Daily Report'!V$39)+(W62/100*'Daily Report'!V$40)+('Daily Report'!V$45*W34/100))/('Daily Report'!V$39+'Daily Report'!V$40+'Daily Report'!V$45)*100</f>
        <v>1.9661505963101</v>
      </c>
      <c r="X73" s="328">
        <f>((X40/100*'Daily Report'!W$39)+(X62/100*'Daily Report'!W$40)+('Daily Report'!W$45*X34/100))/('Daily Report'!W$39+'Daily Report'!W$40+'Daily Report'!W$45)*100</f>
        <v>2.0314059050899709</v>
      </c>
      <c r="Y73" s="328">
        <f>((Y40/100*'Daily Report'!X$39)+(Y62/100*'Daily Report'!X$40)+('Daily Report'!X$45*Y34/100))/('Daily Report'!X$39+'Daily Report'!X$40+'Daily Report'!X$45)*100</f>
        <v>1.8207663234937856</v>
      </c>
      <c r="Z73" s="328">
        <f>((Z40/100*'Daily Report'!Y$39)+(Z62/100*'Daily Report'!Y$40)+('Daily Report'!Y$45*Z34/100))/('Daily Report'!Y$39+'Daily Report'!Y$40+'Daily Report'!Y$45)*100</f>
        <v>1.9175333877784733</v>
      </c>
      <c r="AA73" s="328">
        <f>((AA40/100*'Daily Report'!Z$39)+(AA62/100*'Daily Report'!Z$40)+('Daily Report'!Z$45*AA34/100))/('Daily Report'!Z$39+'Daily Report'!Z$40+'Daily Report'!Z$45)*100</f>
        <v>2.1970067219290632</v>
      </c>
      <c r="AB73" s="328">
        <f>((AB40/100*'Daily Report'!AA$39)+(AB62/100*'Daily Report'!AA$40)+('Daily Report'!AA$45*AB34/100))/('Daily Report'!AA$39+'Daily Report'!AA$40+'Daily Report'!AA$45)*100</f>
        <v>2.1997116618746468</v>
      </c>
      <c r="AC73" s="328">
        <f>((AC40/100*'Daily Report'!AB$39)+(AC62/100*'Daily Report'!AB$40)+('Daily Report'!AB$45*AC34/100))/('Daily Report'!AB$39+'Daily Report'!AB$40+'Daily Report'!AB$45)*100</f>
        <v>2.1239991797065896</v>
      </c>
      <c r="AD73" s="328">
        <f>((AD40/100*'Daily Report'!AC$39)+(AD62/100*'Daily Report'!AC$40)+('Daily Report'!AC$45*AD34/100))/('Daily Report'!AC$39+'Daily Report'!AC$40+'Daily Report'!AC$45)*100</f>
        <v>2.0518589245053116</v>
      </c>
      <c r="AE73" s="328">
        <f>((AE40/100*'Daily Report'!AD$39)+(AE62/100*'Daily Report'!AD$40)+('Daily Report'!AD$45*AE34/100))/('Daily Report'!AD$39+'Daily Report'!AD$40+'Daily Report'!AD$45)*100</f>
        <v>2.0771811470164878</v>
      </c>
      <c r="AF73" s="328">
        <f>((AF40/100*'Daily Report'!AE$39)+(AF62/100*'Daily Report'!AE$40)+('Daily Report'!AE$45*AF34/100))/('Daily Report'!AE$39+'Daily Report'!AE$40+'Daily Report'!AE$45)*100</f>
        <v>2.0924048690161632</v>
      </c>
      <c r="AG73" s="328">
        <f>((AG40/100*'Daily Report'!AF$39)+(AG62/100*'Daily Report'!AF$40)+('Daily Report'!AF$45*AG34/100))/('Daily Report'!AF$39+'Daily Report'!AF$40+'Daily Report'!AF$45)*100</f>
        <v>1.9948113129152976</v>
      </c>
      <c r="AH73" s="328">
        <f>((AH40/100*'Daily Report'!AG$39)+(AH62/100*'Daily Report'!AG$40)+('Daily Report'!AG$45*AH34/100))/('Daily Report'!AG$39+'Daily Report'!AG$40+'Daily Report'!AG$45)*100</f>
        <v>1.9295283884194734</v>
      </c>
      <c r="AI73" s="328">
        <f>((AI40/100*'Daily Report'!AH$39)+(AI62/100*'Daily Report'!AH$40)+('Daily Report'!AH$45*AI34/100))/('Daily Report'!AH$39+'Daily Report'!AH$40+'Daily Report'!AH$45)*100</f>
        <v>2.0427415688544137</v>
      </c>
      <c r="AJ73" s="328">
        <f>((AJ40/100*'Daily Report'!AI$39)+(AJ62/100*'Daily Report'!AI$40)+('Daily Report'!AI$45*AJ34/100))/('Daily Report'!AI$39+'Daily Report'!AI$40+'Daily Report'!AI$45)*100</f>
        <v>2.0653548484731106</v>
      </c>
      <c r="AK73" s="328">
        <f>((AK40/100*'Daily Report'!AJ$39)+(AK62/100*'Daily Report'!AJ$40)+('Daily Report'!AJ$45*AK34/100))/('Daily Report'!AJ$39+'Daily Report'!AJ$40+'Daily Report'!AJ$45)*100</f>
        <v>1.9157645190296582</v>
      </c>
      <c r="AL73" s="328">
        <f>((AL40/100*'Daily Report'!AK$39)+(AL62/100*'Daily Report'!AK$40)+('Daily Report'!AK$45*AL34/100))/('Daily Report'!AK$39+'Daily Report'!AK$40+'Daily Report'!AK$45)*100</f>
        <v>1.9789427762810521</v>
      </c>
      <c r="AM73" s="328">
        <f>((AM40/100*'Daily Report'!AL$39)+(AM62/100*'Daily Report'!AL$40)+('Daily Report'!AL$45*AM34/100))/('Daily Report'!AL$39+'Daily Report'!AL$40+'Daily Report'!AL$45)*100</f>
        <v>2.0054787730399211</v>
      </c>
      <c r="AN73" s="328">
        <f>((AN40/100*'Daily Report'!AM$39)+(AN62/100*'Daily Report'!AM$40)+('Daily Report'!AM$45*AN34/100))/('Daily Report'!AM$39+'Daily Report'!AM$40+'Daily Report'!AM$45)*100</f>
        <v>1.9682858998617869</v>
      </c>
      <c r="AO73" s="328">
        <f>((AO40/100*'Daily Report'!AN$39)+(AO62/100*'Daily Report'!AN$40)+('Daily Report'!AN$45*AO34/100))/('Daily Report'!AN$39+'Daily Report'!AN$40+'Daily Report'!AN$45)*100</f>
        <v>1.9833441853712874</v>
      </c>
    </row>
    <row r="74" spans="1:41" ht="15">
      <c r="A74" s="501"/>
      <c r="B74" s="341"/>
      <c r="C74" s="453"/>
      <c r="D74" s="444" t="s">
        <v>635</v>
      </c>
      <c r="E74" s="444" t="s">
        <v>941</v>
      </c>
      <c r="F74" s="465" t="s">
        <v>5</v>
      </c>
      <c r="G74" s="132" t="s">
        <v>71</v>
      </c>
      <c r="H74" s="348">
        <v>0</v>
      </c>
      <c r="I74" s="380">
        <f t="shared" si="25"/>
        <v>0</v>
      </c>
      <c r="J74" s="328">
        <f>((J41/100*'Daily Report'!I$39)+(J63/100*'Daily Report'!I$40)+('Daily Report'!I$45*J35/100))/('Daily Report'!I$39+'Daily Report'!I$40+'Daily Report'!I$45)*100</f>
        <v>0</v>
      </c>
      <c r="K74" s="438"/>
      <c r="L74" s="328">
        <f>((L41/100*'Daily Report'!K$39)+(L63/100*'Daily Report'!K$40)+('Daily Report'!K$45*L35/100))/('Daily Report'!K$39+'Daily Report'!K$40+'Daily Report'!K$45)*100</f>
        <v>0</v>
      </c>
      <c r="M74" s="328">
        <f>((M41/100*'Daily Report'!L$39)+(M63/100*'Daily Report'!L$40)+('Daily Report'!L$45*M35/100))/('Daily Report'!L$39+'Daily Report'!L$40+'Daily Report'!L$45)*100</f>
        <v>0</v>
      </c>
      <c r="N74" s="328">
        <f>((N41/100*'Daily Report'!M$39)+(N63/100*'Daily Report'!M$40)+('Daily Report'!M$45*N35/100))/('Daily Report'!M$39+'Daily Report'!M$40+'Daily Report'!M$45)*100</f>
        <v>0</v>
      </c>
      <c r="O74" s="328">
        <f>((O41/100*'Daily Report'!N$39)+(O63/100*'Daily Report'!N$40)+('Daily Report'!N$45*O35/100))/('Daily Report'!N$39+'Daily Report'!N$40+'Daily Report'!N$45)*100</f>
        <v>0</v>
      </c>
      <c r="P74" s="328">
        <f>((P41/100*'Daily Report'!O$39)+(P63/100*'Daily Report'!O$40)+('Daily Report'!O$45*P35/100))/('Daily Report'!O$39+'Daily Report'!O$40+'Daily Report'!O$45)*100</f>
        <v>0</v>
      </c>
      <c r="Q74" s="328">
        <f>((Q41/100*'Daily Report'!P$39)+(Q63/100*'Daily Report'!P$40)+('Daily Report'!P$45*Q35/100))/('Daily Report'!P$39+'Daily Report'!P$40+'Daily Report'!P$45)*100</f>
        <v>0</v>
      </c>
      <c r="R74" s="328">
        <f>((R41/100*'Daily Report'!Q$39)+(R63/100*'Daily Report'!Q$40)+('Daily Report'!Q$45*R35/100))/('Daily Report'!Q$39+'Daily Report'!Q$40+'Daily Report'!Q$45)*100</f>
        <v>0</v>
      </c>
      <c r="S74" s="328">
        <f>((S41/100*'Daily Report'!R$39)+(S63/100*'Daily Report'!R$40)+('Daily Report'!R$45*S35/100))/('Daily Report'!R$39+'Daily Report'!R$40+'Daily Report'!R$45)*100</f>
        <v>0</v>
      </c>
      <c r="T74" s="328">
        <f>((T41/100*'Daily Report'!S$39)+(T63/100*'Daily Report'!S$40)+('Daily Report'!S$45*T35/100))/('Daily Report'!S$39+'Daily Report'!S$40+'Daily Report'!S$45)*100</f>
        <v>0</v>
      </c>
      <c r="U74" s="328">
        <f>((U41/100*'Daily Report'!T$39)+(U63/100*'Daily Report'!T$40)+('Daily Report'!T$45*U35/100))/('Daily Report'!T$39+'Daily Report'!T$40+'Daily Report'!T$45)*100</f>
        <v>0</v>
      </c>
      <c r="V74" s="328">
        <f>((V41/100*'Daily Report'!U$39)+(V63/100*'Daily Report'!U$40)+('Daily Report'!U$45*V35/100))/('Daily Report'!U$39+'Daily Report'!U$40+'Daily Report'!U$45)*100</f>
        <v>0</v>
      </c>
      <c r="W74" s="328">
        <f>((W41/100*'Daily Report'!V$39)+(W63/100*'Daily Report'!V$40)+('Daily Report'!V$45*W35/100))/('Daily Report'!V$39+'Daily Report'!V$40+'Daily Report'!V$45)*100</f>
        <v>0</v>
      </c>
      <c r="X74" s="328">
        <f>((X41/100*'Daily Report'!W$39)+(X63/100*'Daily Report'!W$40)+('Daily Report'!W$45*X35/100))/('Daily Report'!W$39+'Daily Report'!W$40+'Daily Report'!W$45)*100</f>
        <v>0</v>
      </c>
      <c r="Y74" s="328">
        <f>((Y41/100*'Daily Report'!X$39)+(Y63/100*'Daily Report'!X$40)+('Daily Report'!X$45*Y35/100))/('Daily Report'!X$39+'Daily Report'!X$40+'Daily Report'!X$45)*100</f>
        <v>0</v>
      </c>
      <c r="Z74" s="328">
        <f>((Z41/100*'Daily Report'!Y$39)+(Z63/100*'Daily Report'!Y$40)+('Daily Report'!Y$45*Z35/100))/('Daily Report'!Y$39+'Daily Report'!Y$40+'Daily Report'!Y$45)*100</f>
        <v>0</v>
      </c>
      <c r="AA74" s="328">
        <f>((AA41/100*'Daily Report'!Z$39)+(AA63/100*'Daily Report'!Z$40)+('Daily Report'!Z$45*AA35/100))/('Daily Report'!Z$39+'Daily Report'!Z$40+'Daily Report'!Z$45)*100</f>
        <v>0</v>
      </c>
      <c r="AB74" s="328">
        <f>((AB41/100*'Daily Report'!AA$39)+(AB63/100*'Daily Report'!AA$40)+('Daily Report'!AA$45*AB35/100))/('Daily Report'!AA$39+'Daily Report'!AA$40+'Daily Report'!AA$45)*100</f>
        <v>0</v>
      </c>
      <c r="AC74" s="328">
        <f>((AC41/100*'Daily Report'!AB$39)+(AC63/100*'Daily Report'!AB$40)+('Daily Report'!AB$45*AC35/100))/('Daily Report'!AB$39+'Daily Report'!AB$40+'Daily Report'!AB$45)*100</f>
        <v>0</v>
      </c>
      <c r="AD74" s="328">
        <f>((AD41/100*'Daily Report'!AC$39)+(AD63/100*'Daily Report'!AC$40)+('Daily Report'!AC$45*AD35/100))/('Daily Report'!AC$39+'Daily Report'!AC$40+'Daily Report'!AC$45)*100</f>
        <v>0</v>
      </c>
      <c r="AE74" s="328">
        <f>((AE41/100*'Daily Report'!AD$39)+(AE63/100*'Daily Report'!AD$40)+('Daily Report'!AD$45*AE35/100))/('Daily Report'!AD$39+'Daily Report'!AD$40+'Daily Report'!AD$45)*100</f>
        <v>0</v>
      </c>
      <c r="AF74" s="328">
        <f>((AF41/100*'Daily Report'!AE$39)+(AF63/100*'Daily Report'!AE$40)+('Daily Report'!AE$45*AF35/100))/('Daily Report'!AE$39+'Daily Report'!AE$40+'Daily Report'!AE$45)*100</f>
        <v>0</v>
      </c>
      <c r="AG74" s="328">
        <f>((AG41/100*'Daily Report'!AF$39)+(AG63/100*'Daily Report'!AF$40)+('Daily Report'!AF$45*AG35/100))/('Daily Report'!AF$39+'Daily Report'!AF$40+'Daily Report'!AF$45)*100</f>
        <v>0</v>
      </c>
      <c r="AH74" s="328">
        <f>((AH41/100*'Daily Report'!AG$39)+(AH63/100*'Daily Report'!AG$40)+('Daily Report'!AG$45*AH35/100))/('Daily Report'!AG$39+'Daily Report'!AG$40+'Daily Report'!AG$45)*100</f>
        <v>0</v>
      </c>
      <c r="AI74" s="328">
        <f>((AI41/100*'Daily Report'!AH$39)+(AI63/100*'Daily Report'!AH$40)+('Daily Report'!AH$45*AI35/100))/('Daily Report'!AH$39+'Daily Report'!AH$40+'Daily Report'!AH$45)*100</f>
        <v>0</v>
      </c>
      <c r="AJ74" s="328">
        <f>((AJ41/100*'Daily Report'!AI$39)+(AJ63/100*'Daily Report'!AI$40)+('Daily Report'!AI$45*AJ35/100))/('Daily Report'!AI$39+'Daily Report'!AI$40+'Daily Report'!AI$45)*100</f>
        <v>0</v>
      </c>
      <c r="AK74" s="328">
        <f>((AK41/100*'Daily Report'!AJ$39)+(AK63/100*'Daily Report'!AJ$40)+('Daily Report'!AJ$45*AK35/100))/('Daily Report'!AJ$39+'Daily Report'!AJ$40+'Daily Report'!AJ$45)*100</f>
        <v>0</v>
      </c>
      <c r="AL74" s="328">
        <f>((AL41/100*'Daily Report'!AK$39)+(AL63/100*'Daily Report'!AK$40)+('Daily Report'!AK$45*AL35/100))/('Daily Report'!AK$39+'Daily Report'!AK$40+'Daily Report'!AK$45)*100</f>
        <v>0</v>
      </c>
      <c r="AM74" s="328">
        <f>((AM41/100*'Daily Report'!AL$39)+(AM63/100*'Daily Report'!AL$40)+('Daily Report'!AL$45*AM35/100))/('Daily Report'!AL$39+'Daily Report'!AL$40+'Daily Report'!AL$45)*100</f>
        <v>0</v>
      </c>
      <c r="AN74" s="328">
        <f>((AN41/100*'Daily Report'!AM$39)+(AN63/100*'Daily Report'!AM$40)+('Daily Report'!AM$45*AN35/100))/('Daily Report'!AM$39+'Daily Report'!AM$40+'Daily Report'!AM$45)*100</f>
        <v>0</v>
      </c>
      <c r="AO74" s="328">
        <f>((AO41/100*'Daily Report'!AN$39)+(AO63/100*'Daily Report'!AN$40)+('Daily Report'!AN$45*AO35/100))/('Daily Report'!AN$39+'Daily Report'!AN$40+'Daily Report'!AN$45)*100</f>
        <v>0</v>
      </c>
    </row>
    <row r="75" spans="1:41" ht="18.75">
      <c r="A75" s="501"/>
      <c r="B75" s="341"/>
      <c r="C75" s="453"/>
      <c r="D75" s="444" t="s">
        <v>636</v>
      </c>
      <c r="E75" s="444" t="s">
        <v>942</v>
      </c>
      <c r="F75" s="465" t="s">
        <v>5</v>
      </c>
      <c r="G75" s="132" t="s">
        <v>15</v>
      </c>
      <c r="H75" s="348">
        <v>8.9482746302443853E-3</v>
      </c>
      <c r="I75" s="380">
        <f t="shared" si="25"/>
        <v>8.9227002046349743E-3</v>
      </c>
      <c r="J75" s="328">
        <f>((J42/100*'Daily Report'!I$39)+(J64/100*'Daily Report'!I$40)+('Daily Report'!I$45*J36/100))/('Daily Report'!I$39+'Daily Report'!I$40+'Daily Report'!I$45)*100</f>
        <v>6.8521009602192217E-3</v>
      </c>
      <c r="K75" s="438"/>
      <c r="L75" s="328">
        <f>((L42/100*'Daily Report'!K$39)+(L64/100*'Daily Report'!K$40)+('Daily Report'!K$45*L36/100))/('Daily Report'!K$39+'Daily Report'!K$40+'Daily Report'!K$45)*100</f>
        <v>8.1609409472292206E-3</v>
      </c>
      <c r="M75" s="328">
        <f>((M42/100*'Daily Report'!L$39)+(M64/100*'Daily Report'!L$40)+('Daily Report'!L$45*M36/100))/('Daily Report'!L$39+'Daily Report'!L$40+'Daily Report'!L$45)*100</f>
        <v>8.1588763386810301E-3</v>
      </c>
      <c r="N75" s="328">
        <f>((N42/100*'Daily Report'!M$39)+(N64/100*'Daily Report'!M$40)+('Daily Report'!M$45*N36/100))/('Daily Report'!M$39+'Daily Report'!M$40+'Daily Report'!M$45)*100</f>
        <v>8.6041483774372506E-3</v>
      </c>
      <c r="O75" s="328">
        <f>((O42/100*'Daily Report'!N$39)+(O64/100*'Daily Report'!N$40)+('Daily Report'!N$45*O36/100))/('Daily Report'!N$39+'Daily Report'!N$40+'Daily Report'!N$45)*100</f>
        <v>8.3686934020504467E-3</v>
      </c>
      <c r="P75" s="328">
        <f>((P42/100*'Daily Report'!O$39)+(P64/100*'Daily Report'!O$40)+('Daily Report'!O$45*P36/100))/('Daily Report'!O$39+'Daily Report'!O$40+'Daily Report'!O$45)*100</f>
        <v>9.2400125456970437E-3</v>
      </c>
      <c r="Q75" s="328">
        <f>((Q42/100*'Daily Report'!P$39)+(Q64/100*'Daily Report'!P$40)+('Daily Report'!P$45*Q36/100))/('Daily Report'!P$39+'Daily Report'!P$40+'Daily Report'!P$45)*100</f>
        <v>9.5424612680173448E-3</v>
      </c>
      <c r="R75" s="328">
        <f>((R42/100*'Daily Report'!Q$39)+(R64/100*'Daily Report'!Q$40)+('Daily Report'!Q$45*R36/100))/('Daily Report'!Q$39+'Daily Report'!Q$40+'Daily Report'!Q$45)*100</f>
        <v>8.7653991119215433E-3</v>
      </c>
      <c r="S75" s="328">
        <f>((S42/100*'Daily Report'!R$39)+(S64/100*'Daily Report'!R$40)+('Daily Report'!R$45*S36/100))/('Daily Report'!R$39+'Daily Report'!R$40+'Daily Report'!R$45)*100</f>
        <v>8.033505886823453E-3</v>
      </c>
      <c r="T75" s="328">
        <f>((T42/100*'Daily Report'!S$39)+(T64/100*'Daily Report'!S$40)+('Daily Report'!S$45*T36/100))/('Daily Report'!S$39+'Daily Report'!S$40+'Daily Report'!S$45)*100</f>
        <v>8.3737498126214473E-3</v>
      </c>
      <c r="U75" s="328">
        <f>((U42/100*'Daily Report'!T$39)+(U64/100*'Daily Report'!T$40)+('Daily Report'!T$45*U36/100))/('Daily Report'!T$39+'Daily Report'!T$40+'Daily Report'!T$45)*100</f>
        <v>7.4315481156105E-3</v>
      </c>
      <c r="V75" s="328">
        <f>((V42/100*'Daily Report'!U$39)+(V64/100*'Daily Report'!U$40)+('Daily Report'!U$45*V36/100))/('Daily Report'!U$39+'Daily Report'!U$40+'Daily Report'!U$45)*100</f>
        <v>6.9228084836671496E-3</v>
      </c>
      <c r="W75" s="328">
        <f>((W42/100*'Daily Report'!V$39)+(W64/100*'Daily Report'!V$40)+('Daily Report'!V$45*W36/100))/('Daily Report'!V$39+'Daily Report'!V$40+'Daily Report'!V$45)*100</f>
        <v>7.2597045676608407E-3</v>
      </c>
      <c r="X75" s="328">
        <f>((X42/100*'Daily Report'!W$39)+(X64/100*'Daily Report'!W$40)+('Daily Report'!W$45*X36/100))/('Daily Report'!W$39+'Daily Report'!W$40+'Daily Report'!W$45)*100</f>
        <v>8.0601313861346155E-3</v>
      </c>
      <c r="Y75" s="328">
        <f>((Y42/100*'Daily Report'!X$39)+(Y64/100*'Daily Report'!X$40)+('Daily Report'!X$45*Y36/100))/('Daily Report'!X$39+'Daily Report'!X$40+'Daily Report'!X$45)*100</f>
        <v>6.7503917113452463E-3</v>
      </c>
      <c r="Z75" s="328">
        <f>((Z42/100*'Daily Report'!Y$39)+(Z64/100*'Daily Report'!Y$40)+('Daily Report'!Y$45*Z36/100))/('Daily Report'!Y$39+'Daily Report'!Y$40+'Daily Report'!Y$45)*100</f>
        <v>7.4396513956921321E-3</v>
      </c>
      <c r="AA75" s="328">
        <f>((AA42/100*'Daily Report'!Z$39)+(AA64/100*'Daily Report'!Z$40)+('Daily Report'!Z$45*AA36/100))/('Daily Report'!Z$39+'Daily Report'!Z$40+'Daily Report'!Z$45)*100</f>
        <v>1.1947543487069766E-2</v>
      </c>
      <c r="AB75" s="328">
        <f>((AB42/100*'Daily Report'!AA$39)+(AB64/100*'Daily Report'!AA$40)+('Daily Report'!AA$45*AB36/100))/('Daily Report'!AA$39+'Daily Report'!AA$40+'Daily Report'!AA$45)*100</f>
        <v>1.2750023370087198E-2</v>
      </c>
      <c r="AC75" s="328">
        <f>((AC42/100*'Daily Report'!AB$39)+(AC64/100*'Daily Report'!AB$40)+('Daily Report'!AB$45*AC36/100))/('Daily Report'!AB$39+'Daily Report'!AB$40+'Daily Report'!AB$45)*100</f>
        <v>1.2115606999837771E-2</v>
      </c>
      <c r="AD75" s="328">
        <f>((AD42/100*'Daily Report'!AC$39)+(AD64/100*'Daily Report'!AC$40)+('Daily Report'!AC$45*AD36/100))/('Daily Report'!AC$39+'Daily Report'!AC$40+'Daily Report'!AC$45)*100</f>
        <v>1.0789621492247136E-2</v>
      </c>
      <c r="AE75" s="328">
        <f>((AE42/100*'Daily Report'!AD$39)+(AE64/100*'Daily Report'!AD$40)+('Daily Report'!AD$45*AE36/100))/('Daily Report'!AD$39+'Daily Report'!AD$40+'Daily Report'!AD$45)*100</f>
        <v>9.7409393677761243E-3</v>
      </c>
      <c r="AF75" s="328">
        <f>((AF42/100*'Daily Report'!AE$39)+(AF64/100*'Daily Report'!AE$40)+('Daily Report'!AE$45*AF36/100))/('Daily Report'!AE$39+'Daily Report'!AE$40+'Daily Report'!AE$45)*100</f>
        <v>1.0117369193866688E-2</v>
      </c>
      <c r="AG75" s="328">
        <f>((AG42/100*'Daily Report'!AF$39)+(AG64/100*'Daily Report'!AF$40)+('Daily Report'!AF$45*AG36/100))/('Daily Report'!AF$39+'Daily Report'!AF$40+'Daily Report'!AF$45)*100</f>
        <v>1.0127926079237612E-2</v>
      </c>
      <c r="AH75" s="328">
        <f>((AH42/100*'Daily Report'!AG$39)+(AH64/100*'Daily Report'!AG$40)+('Daily Report'!AG$45*AH36/100))/('Daily Report'!AG$39+'Daily Report'!AG$40+'Daily Report'!AG$45)*100</f>
        <v>1.0009858329374141E-2</v>
      </c>
      <c r="AI75" s="328">
        <f>((AI42/100*'Daily Report'!AH$39)+(AI64/100*'Daily Report'!AH$40)+('Daily Report'!AH$45*AI36/100))/('Daily Report'!AH$39+'Daily Report'!AH$40+'Daily Report'!AH$45)*100</f>
        <v>1.0053173128347229E-2</v>
      </c>
      <c r="AJ75" s="328">
        <f>((AJ42/100*'Daily Report'!AI$39)+(AJ64/100*'Daily Report'!AI$40)+('Daily Report'!AI$45*AJ36/100))/('Daily Report'!AI$39+'Daily Report'!AI$40+'Daily Report'!AI$45)*100</f>
        <v>9.4649937921519166E-3</v>
      </c>
      <c r="AK75" s="328">
        <f>((AK42/100*'Daily Report'!AJ$39)+(AK64/100*'Daily Report'!AJ$40)+('Daily Report'!AJ$45*AK36/100))/('Daily Report'!AJ$39+'Daily Report'!AJ$40+'Daily Report'!AJ$45)*100</f>
        <v>8.5887372324006794E-3</v>
      </c>
      <c r="AL75" s="328">
        <f>((AL42/100*'Daily Report'!AK$39)+(AL64/100*'Daily Report'!AK$40)+('Daily Report'!AK$45*AL36/100))/('Daily Report'!AK$39+'Daily Report'!AK$40+'Daily Report'!AK$45)*100</f>
        <v>8.27358317100939E-3</v>
      </c>
      <c r="AM75" s="328">
        <f>((AM42/100*'Daily Report'!AL$39)+(AM64/100*'Daily Report'!AL$40)+('Daily Report'!AL$45*AM36/100))/('Daily Report'!AL$39+'Daily Report'!AL$40+'Daily Report'!AL$45)*100</f>
        <v>8.3063855132066312E-3</v>
      </c>
      <c r="AN75" s="328">
        <f>((AN42/100*'Daily Report'!AM$39)+(AN64/100*'Daily Report'!AM$40)+('Daily Report'!AM$45*AN36/100))/('Daily Report'!AM$39+'Daily Report'!AM$40+'Daily Report'!AM$45)*100</f>
        <v>8.1983534399108632E-3</v>
      </c>
      <c r="AO75" s="328">
        <f>((AO42/100*'Daily Report'!AN$39)+(AO64/100*'Daily Report'!AN$40)+('Daily Report'!AN$45*AO36/100))/('Daily Report'!AN$39+'Daily Report'!AN$40+'Daily Report'!AN$45)*100</f>
        <v>8.1554674363526168E-3</v>
      </c>
    </row>
    <row r="76" spans="1:41" ht="15">
      <c r="A76" s="501"/>
      <c r="B76" s="341"/>
      <c r="C76" s="453"/>
      <c r="D76" s="444" t="s">
        <v>637</v>
      </c>
      <c r="E76" s="444" t="s">
        <v>943</v>
      </c>
      <c r="F76" s="465" t="s">
        <v>5</v>
      </c>
      <c r="G76" s="132" t="s">
        <v>14</v>
      </c>
      <c r="H76" s="348">
        <v>3.3872850695829788</v>
      </c>
      <c r="I76" s="380">
        <f t="shared" si="25"/>
        <v>3.3906280969958935</v>
      </c>
      <c r="J76" s="328">
        <f>((J43/100*'Daily Report'!I$39)+(J65/100*'Daily Report'!I$40)+('Daily Report'!I$45*J37/100))/('Daily Report'!I$39+'Daily Report'!I$40+'Daily Report'!I$45)*100</f>
        <v>3.5900523104151731</v>
      </c>
      <c r="K76" s="438"/>
      <c r="L76" s="328">
        <f>((L43/100*'Daily Report'!K$39)+(L65/100*'Daily Report'!K$40)+('Daily Report'!K$45*L37/100))/('Daily Report'!K$39+'Daily Report'!K$40+'Daily Report'!K$45)*100</f>
        <v>3.4406798014180411</v>
      </c>
      <c r="M76" s="328">
        <f>((M43/100*'Daily Report'!L$39)+(M65/100*'Daily Report'!L$40)+('Daily Report'!L$45*M37/100))/('Daily Report'!L$39+'Daily Report'!L$40+'Daily Report'!L$45)*100</f>
        <v>3.4560030880203341</v>
      </c>
      <c r="N76" s="328">
        <f>((N43/100*'Daily Report'!M$39)+(N65/100*'Daily Report'!M$40)+('Daily Report'!M$45*N37/100))/('Daily Report'!M$39+'Daily Report'!M$40+'Daily Report'!M$45)*100</f>
        <v>3.3860877969537717</v>
      </c>
      <c r="O76" s="328">
        <f>((O43/100*'Daily Report'!N$39)+(O65/100*'Daily Report'!N$40)+('Daily Report'!N$45*O37/100))/('Daily Report'!N$39+'Daily Report'!N$40+'Daily Report'!N$45)*100</f>
        <v>3.4420818342044184</v>
      </c>
      <c r="P76" s="328">
        <f>((P43/100*'Daily Report'!O$39)+(P65/100*'Daily Report'!O$40)+('Daily Report'!O$45*P37/100))/('Daily Report'!O$39+'Daily Report'!O$40+'Daily Report'!O$45)*100</f>
        <v>3.3648362500129272</v>
      </c>
      <c r="Q76" s="328">
        <f>((Q43/100*'Daily Report'!P$39)+(Q65/100*'Daily Report'!P$40)+('Daily Report'!P$45*Q37/100))/('Daily Report'!P$39+'Daily Report'!P$40+'Daily Report'!P$45)*100</f>
        <v>3.309309862350398</v>
      </c>
      <c r="R76" s="328">
        <f>((R43/100*'Daily Report'!Q$39)+(R65/100*'Daily Report'!Q$40)+('Daily Report'!Q$45*R37/100))/('Daily Report'!Q$39+'Daily Report'!Q$40+'Daily Report'!Q$45)*100</f>
        <v>3.4214565665348271</v>
      </c>
      <c r="S76" s="328">
        <f>((S43/100*'Daily Report'!R$39)+(S65/100*'Daily Report'!R$40)+('Daily Report'!R$45*S37/100))/('Daily Report'!R$39+'Daily Report'!R$40+'Daily Report'!R$45)*100</f>
        <v>3.5029733372219636</v>
      </c>
      <c r="T76" s="328">
        <f>((T43/100*'Daily Report'!S$39)+(T65/100*'Daily Report'!S$40)+('Daily Report'!S$45*T37/100))/('Daily Report'!S$39+'Daily Report'!S$40+'Daily Report'!S$45)*100</f>
        <v>3.4355347892758932</v>
      </c>
      <c r="U76" s="328">
        <f>((U43/100*'Daily Report'!T$39)+(U65/100*'Daily Report'!T$40)+('Daily Report'!T$45*U37/100))/('Daily Report'!T$39+'Daily Report'!T$40+'Daily Report'!T$45)*100</f>
        <v>3.5445037000659063</v>
      </c>
      <c r="V76" s="328">
        <f>((V43/100*'Daily Report'!U$39)+(V65/100*'Daily Report'!U$40)+('Daily Report'!U$45*V37/100))/('Daily Report'!U$39+'Daily Report'!U$40+'Daily Report'!U$45)*100</f>
        <v>3.5867097645143335</v>
      </c>
      <c r="W76" s="328">
        <f>((W43/100*'Daily Report'!V$39)+(W65/100*'Daily Report'!V$40)+('Daily Report'!V$45*W37/100))/('Daily Report'!V$39+'Daily Report'!V$40+'Daily Report'!V$45)*100</f>
        <v>3.598019513174767</v>
      </c>
      <c r="X76" s="328">
        <f>((X43/100*'Daily Report'!W$39)+(X65/100*'Daily Report'!W$40)+('Daily Report'!W$45*X37/100))/('Daily Report'!W$39+'Daily Report'!W$40+'Daily Report'!W$45)*100</f>
        <v>3.5183697273462844</v>
      </c>
      <c r="Y76" s="328">
        <f>((Y43/100*'Daily Report'!X$39)+(Y65/100*'Daily Report'!X$40)+('Daily Report'!X$45*Y37/100))/('Daily Report'!X$39+'Daily Report'!X$40+'Daily Report'!X$45)*100</f>
        <v>3.6152842593323307</v>
      </c>
      <c r="Z76" s="328">
        <f>((Z43/100*'Daily Report'!Y$39)+(Z65/100*'Daily Report'!Y$40)+('Daily Report'!Y$45*Z37/100))/('Daily Report'!Y$39+'Daily Report'!Y$40+'Daily Report'!Y$45)*100</f>
        <v>3.5597510970964827</v>
      </c>
      <c r="AA76" s="328">
        <f>((AA43/100*'Daily Report'!Z$39)+(AA65/100*'Daily Report'!Z$40)+('Daily Report'!Z$45*AA37/100))/('Daily Report'!Z$39+'Daily Report'!Z$40+'Daily Report'!Z$45)*100</f>
        <v>3.082850172942146</v>
      </c>
      <c r="AB76" s="328">
        <f>((AB43/100*'Daily Report'!AA$39)+(AB65/100*'Daily Report'!AA$40)+('Daily Report'!AA$45*AB37/100))/('Daily Report'!AA$39+'Daily Report'!AA$40+'Daily Report'!AA$45)*100</f>
        <v>2.9828173352860978</v>
      </c>
      <c r="AC76" s="328">
        <f>((AC43/100*'Daily Report'!AB$39)+(AC65/100*'Daily Report'!AB$40)+('Daily Report'!AB$45*AC37/100))/('Daily Report'!AB$39+'Daily Report'!AB$40+'Daily Report'!AB$45)*100</f>
        <v>3.038228629839042</v>
      </c>
      <c r="AD76" s="328">
        <f>((AD43/100*'Daily Report'!AC$39)+(AD65/100*'Daily Report'!AC$40)+('Daily Report'!AC$45*AD37/100))/('Daily Report'!AC$39+'Daily Report'!AC$40+'Daily Report'!AC$45)*100</f>
        <v>3.1817465515548107</v>
      </c>
      <c r="AE76" s="328">
        <f>((AE43/100*'Daily Report'!AD$39)+(AE65/100*'Daily Report'!AD$40)+('Daily Report'!AD$45*AE37/100))/('Daily Report'!AD$39+'Daily Report'!AD$40+'Daily Report'!AD$45)*100</f>
        <v>3.3217540798397174</v>
      </c>
      <c r="AF76" s="328">
        <f>((AF43/100*'Daily Report'!AE$39)+(AF65/100*'Daily Report'!AE$40)+('Daily Report'!AE$45*AF37/100))/('Daily Report'!AE$39+'Daily Report'!AE$40+'Daily Report'!AE$45)*100</f>
        <v>3.2793201879155296</v>
      </c>
      <c r="AG76" s="328">
        <f>((AG43/100*'Daily Report'!AF$39)+(AG65/100*'Daily Report'!AF$40)+('Daily Report'!AF$45*AG37/100))/('Daily Report'!AF$39+'Daily Report'!AF$40+'Daily Report'!AF$45)*100</f>
        <v>3.2465931084529602</v>
      </c>
      <c r="AH76" s="328">
        <f>((AH43/100*'Daily Report'!AG$39)+(AH65/100*'Daily Report'!AG$40)+('Daily Report'!AG$45*AH37/100))/('Daily Report'!AG$39+'Daily Report'!AG$40+'Daily Report'!AG$45)*100</f>
        <v>3.2404347732936585</v>
      </c>
      <c r="AI76" s="328">
        <f>((AI43/100*'Daily Report'!AH$39)+(AI65/100*'Daily Report'!AH$40)+('Daily Report'!AH$45*AI37/100))/('Daily Report'!AH$39+'Daily Report'!AH$40+'Daily Report'!AH$45)*100</f>
        <v>3.2714135183627189</v>
      </c>
      <c r="AJ76" s="328">
        <f>((AJ43/100*'Daily Report'!AI$39)+(AJ65/100*'Daily Report'!AI$40)+('Daily Report'!AI$45*AJ37/100))/('Daily Report'!AI$39+'Daily Report'!AI$40+'Daily Report'!AI$45)*100</f>
        <v>3.352646253556423</v>
      </c>
      <c r="AK76" s="328">
        <f>((AK43/100*'Daily Report'!AJ$39)+(AK65/100*'Daily Report'!AJ$40)+('Daily Report'!AJ$45*AK37/100))/('Daily Report'!AJ$39+'Daily Report'!AJ$40+'Daily Report'!AJ$45)*100</f>
        <v>3.4146969289007281</v>
      </c>
      <c r="AL76" s="328">
        <f>((AL43/100*'Daily Report'!AK$39)+(AL65/100*'Daily Report'!AK$40)+('Daily Report'!AK$45*AL37/100))/('Daily Report'!AK$39+'Daily Report'!AK$40+'Daily Report'!AK$45)*100</f>
        <v>3.4746510440835072</v>
      </c>
      <c r="AM76" s="328">
        <f>((AM43/100*'Daily Report'!AL$39)+(AM65/100*'Daily Report'!AL$40)+('Daily Report'!AL$45*AM37/100))/('Daily Report'!AL$39+'Daily Report'!AL$40+'Daily Report'!AL$45)*100</f>
        <v>3.4790641746218212</v>
      </c>
      <c r="AN76" s="328">
        <f>((AN43/100*'Daily Report'!AM$39)+(AN65/100*'Daily Report'!AM$40)+('Daily Report'!AM$45*AN37/100))/('Daily Report'!AM$39+'Daily Report'!AM$40+'Daily Report'!AM$45)*100</f>
        <v>3.4806816309023936</v>
      </c>
      <c r="AO76" s="328">
        <f>((AO43/100*'Daily Report'!AN$39)+(AO65/100*'Daily Report'!AN$40)+('Daily Report'!AN$45*AO37/100))/('Daily Report'!AN$39+'Daily Report'!AN$40+'Daily Report'!AN$45)*100</f>
        <v>3.490918919383295</v>
      </c>
    </row>
    <row r="77" spans="1:41" ht="15">
      <c r="A77" s="501"/>
      <c r="B77" s="341"/>
      <c r="C77" s="453"/>
      <c r="D77" s="444" t="s">
        <v>638</v>
      </c>
      <c r="E77" s="444" t="s">
        <v>944</v>
      </c>
      <c r="F77" s="465" t="s">
        <v>5</v>
      </c>
      <c r="G77" s="132" t="s">
        <v>16</v>
      </c>
      <c r="H77" s="348">
        <v>3.6229305271711971</v>
      </c>
      <c r="I77" s="380">
        <f t="shared" si="25"/>
        <v>3.7664624414683647</v>
      </c>
      <c r="J77" s="328">
        <f>((J44/100*'Daily Report'!I$39)+(J66/100*'Daily Report'!I$40)+('Daily Report'!I$45*J38/100))/('Daily Report'!I$39+'Daily Report'!I$40+'Daily Report'!I$45)*100</f>
        <v>3.8967745061966763</v>
      </c>
      <c r="K77" s="438"/>
      <c r="L77" s="328">
        <f>((L44/100*'Daily Report'!K$39)+(L66/100*'Daily Report'!K$40)+('Daily Report'!K$45*L38/100))/('Daily Report'!K$39+'Daily Report'!K$40+'Daily Report'!K$45)*100</f>
        <v>3.8013416875576125</v>
      </c>
      <c r="M77" s="328">
        <f>((M44/100*'Daily Report'!L$39)+(M66/100*'Daily Report'!L$40)+('Daily Report'!L$45*M38/100))/('Daily Report'!L$39+'Daily Report'!L$40+'Daily Report'!L$45)*100</f>
        <v>3.8099446916156068</v>
      </c>
      <c r="N77" s="328">
        <f>((N44/100*'Daily Report'!M$39)+(N66/100*'Daily Report'!M$40)+('Daily Report'!M$45*N38/100))/('Daily Report'!M$39+'Daily Report'!M$40+'Daily Report'!M$45)*100</f>
        <v>3.7667788252486956</v>
      </c>
      <c r="O77" s="328">
        <f>((O44/100*'Daily Report'!N$39)+(O66/100*'Daily Report'!N$40)+('Daily Report'!N$45*O38/100))/('Daily Report'!N$39+'Daily Report'!N$40+'Daily Report'!N$45)*100</f>
        <v>3.8002619320743993</v>
      </c>
      <c r="P77" s="328">
        <f>((P44/100*'Daily Report'!O$39)+(P66/100*'Daily Report'!O$40)+('Daily Report'!O$45*P38/100))/('Daily Report'!O$39+'Daily Report'!O$40+'Daily Report'!O$45)*100</f>
        <v>3.7491643989322587</v>
      </c>
      <c r="Q77" s="328">
        <f>((Q44/100*'Daily Report'!P$39)+(Q66/100*'Daily Report'!P$40)+('Daily Report'!P$45*Q38/100))/('Daily Report'!P$39+'Daily Report'!P$40+'Daily Report'!P$45)*100</f>
        <v>3.7153418087136445</v>
      </c>
      <c r="R77" s="328">
        <f>((R44/100*'Daily Report'!Q$39)+(R66/100*'Daily Report'!Q$40)+('Daily Report'!Q$45*R38/100))/('Daily Report'!Q$39+'Daily Report'!Q$40+'Daily Report'!Q$45)*100</f>
        <v>3.7851455336701831</v>
      </c>
      <c r="S77" s="328">
        <f>((S44/100*'Daily Report'!R$39)+(S66/100*'Daily Report'!R$40)+('Daily Report'!R$45*S38/100))/('Daily Report'!R$39+'Daily Report'!R$40+'Daily Report'!R$45)*100</f>
        <v>3.837384116750858</v>
      </c>
      <c r="T77" s="328">
        <f>((T44/100*'Daily Report'!S$39)+(T66/100*'Daily Report'!S$40)+('Daily Report'!S$45*T38/100))/('Daily Report'!S$39+'Daily Report'!S$40+'Daily Report'!S$45)*100</f>
        <v>3.7965487259019048</v>
      </c>
      <c r="U77" s="328">
        <f>((U44/100*'Daily Report'!T$39)+(U66/100*'Daily Report'!T$40)+('Daily Report'!T$45*U38/100))/('Daily Report'!T$39+'Daily Report'!T$40+'Daily Report'!T$45)*100</f>
        <v>3.8660548032544892</v>
      </c>
      <c r="V77" s="328">
        <f>((V44/100*'Daily Report'!U$39)+(V66/100*'Daily Report'!U$40)+('Daily Report'!U$45*V38/100))/('Daily Report'!U$39+'Daily Report'!U$40+'Daily Report'!U$45)*100</f>
        <v>3.8942671186907964</v>
      </c>
      <c r="W77" s="328">
        <f>((W44/100*'Daily Report'!V$39)+(W66/100*'Daily Report'!V$40)+('Daily Report'!V$45*W38/100))/('Daily Report'!V$39+'Daily Report'!V$40+'Daily Report'!V$45)*100</f>
        <v>3.8975784450388113</v>
      </c>
      <c r="X77" s="328">
        <f>((X44/100*'Daily Report'!W$39)+(X66/100*'Daily Report'!W$40)+('Daily Report'!W$45*X38/100))/('Daily Report'!W$39+'Daily Report'!W$40+'Daily Report'!W$45)*100</f>
        <v>3.845770494528864</v>
      </c>
      <c r="Y77" s="328">
        <f>((Y44/100*'Daily Report'!X$39)+(Y66/100*'Daily Report'!X$40)+('Daily Report'!X$45*Y38/100))/('Daily Report'!X$39+'Daily Report'!X$40+'Daily Report'!X$45)*100</f>
        <v>3.911823189890721</v>
      </c>
      <c r="Z77" s="328">
        <f>((Z44/100*'Daily Report'!Y$39)+(Z66/100*'Daily Report'!Y$40)+('Daily Report'!Y$45*Z38/100))/('Daily Report'!Y$39+'Daily Report'!Y$40+'Daily Report'!Y$45)*100</f>
        <v>3.8745240045845577</v>
      </c>
      <c r="AA77" s="328">
        <f>((AA44/100*'Daily Report'!Z$39)+(AA66/100*'Daily Report'!Z$40)+('Daily Report'!Z$45*AA38/100))/('Daily Report'!Z$39+'Daily Report'!Z$40+'Daily Report'!Z$45)*100</f>
        <v>3.5668808326000425</v>
      </c>
      <c r="AB77" s="328">
        <f>((AB44/100*'Daily Report'!AA$39)+(AB66/100*'Daily Report'!AA$40)+('Daily Report'!AA$45*AB38/100))/('Daily Report'!AA$39+'Daily Report'!AA$40+'Daily Report'!AA$45)*100</f>
        <v>3.5036353814019412</v>
      </c>
      <c r="AC77" s="328">
        <f>((AC44/100*'Daily Report'!AB$39)+(AC66/100*'Daily Report'!AB$40)+('Daily Report'!AB$45*AC38/100))/('Daily Report'!AB$39+'Daily Report'!AB$40+'Daily Report'!AB$45)*100</f>
        <v>3.5403739087140957</v>
      </c>
      <c r="AD77" s="328">
        <f>((AD44/100*'Daily Report'!AC$39)+(AD66/100*'Daily Report'!AC$40)+('Daily Report'!AC$45*AD38/100))/('Daily Report'!AC$39+'Daily Report'!AC$40+'Daily Report'!AC$45)*100</f>
        <v>3.6326807819179199</v>
      </c>
      <c r="AE77" s="328">
        <f>((AE44/100*'Daily Report'!AD$39)+(AE66/100*'Daily Report'!AD$40)+('Daily Report'!AD$45*AE38/100))/('Daily Report'!AD$39+'Daily Report'!AD$40+'Daily Report'!AD$45)*100</f>
        <v>3.7205314119555535</v>
      </c>
      <c r="AF77" s="328">
        <f>((AF44/100*'Daily Report'!AE$39)+(AF66/100*'Daily Report'!AE$40)+('Daily Report'!AE$45*AF38/100))/('Daily Report'!AE$39+'Daily Report'!AE$40+'Daily Report'!AE$45)*100</f>
        <v>3.6933793433708679</v>
      </c>
      <c r="AG77" s="328">
        <f>((AG44/100*'Daily Report'!AF$39)+(AG66/100*'Daily Report'!AF$40)+('Daily Report'!AF$45*AG38/100))/('Daily Report'!AF$39+'Daily Report'!AF$40+'Daily Report'!AF$45)*100</f>
        <v>3.6749500786033047</v>
      </c>
      <c r="AH77" s="328">
        <f>((AH44/100*'Daily Report'!AG$39)+(AH66/100*'Daily Report'!AG$40)+('Daily Report'!AG$45*AH38/100))/('Daily Report'!AG$39+'Daily Report'!AG$40+'Daily Report'!AG$45)*100</f>
        <v>3.6725600490583652</v>
      </c>
      <c r="AI77" s="328">
        <f>((AI44/100*'Daily Report'!AH$39)+(AI66/100*'Daily Report'!AH$40)+('Daily Report'!AH$45*AI38/100))/('Daily Report'!AH$39+'Daily Report'!AH$40+'Daily Report'!AH$45)*100</f>
        <v>3.6895261939924815</v>
      </c>
      <c r="AJ77" s="328">
        <f>((AJ44/100*'Daily Report'!AI$39)+(AJ66/100*'Daily Report'!AI$40)+('Daily Report'!AI$45*AJ38/100))/('Daily Report'!AI$39+'Daily Report'!AI$40+'Daily Report'!AI$45)*100</f>
        <v>3.7403153862857366</v>
      </c>
      <c r="AK77" s="328">
        <f>((AK44/100*'Daily Report'!AJ$39)+(AK66/100*'Daily Report'!AJ$40)+('Daily Report'!AJ$45*AK38/100))/('Daily Report'!AJ$39+'Daily Report'!AJ$40+'Daily Report'!AJ$45)*100</f>
        <v>3.7829447000040712</v>
      </c>
      <c r="AL77" s="328">
        <f>((AL44/100*'Daily Report'!AK$39)+(AL66/100*'Daily Report'!AK$40)+('Daily Report'!AK$45*AL38/100))/('Daily Report'!AK$39+'Daily Report'!AK$40+'Daily Report'!AK$45)*100</f>
        <v>3.8193618769042654</v>
      </c>
      <c r="AM77" s="328">
        <f>((AM44/100*'Daily Report'!AL$39)+(AM66/100*'Daily Report'!AL$40)+('Daily Report'!AL$45*AM38/100))/('Daily Report'!AL$39+'Daily Report'!AL$40+'Daily Report'!AL$45)*100</f>
        <v>3.8215397167551077</v>
      </c>
      <c r="AN77" s="328">
        <f>((AN44/100*'Daily Report'!AM$39)+(AN66/100*'Daily Report'!AM$40)+('Daily Report'!AM$45*AN38/100))/('Daily Report'!AM$39+'Daily Report'!AM$40+'Daily Report'!AM$45)*100</f>
        <v>3.8234157690824389</v>
      </c>
      <c r="AO77" s="328">
        <f>((AO44/100*'Daily Report'!AN$39)+(AO66/100*'Daily Report'!AN$40)+('Daily Report'!AN$45*AO38/100))/('Daily Report'!AN$39+'Daily Report'!AN$40+'Daily Report'!AN$45)*100</f>
        <v>3.8295359722230313</v>
      </c>
    </row>
    <row r="78" spans="1:41" ht="15">
      <c r="A78" s="501"/>
      <c r="B78" s="341"/>
      <c r="C78" s="453"/>
      <c r="D78" s="444" t="s">
        <v>639</v>
      </c>
      <c r="E78" s="444" t="s">
        <v>945</v>
      </c>
      <c r="F78" s="465" t="s">
        <v>5</v>
      </c>
      <c r="G78" s="132" t="s">
        <v>17</v>
      </c>
      <c r="H78" s="348">
        <v>37.417471581537811</v>
      </c>
      <c r="I78" s="380">
        <f t="shared" si="25"/>
        <v>39.557560302586523</v>
      </c>
      <c r="J78" s="328">
        <f>((J45/100*'Daily Report'!I$39)+(J67/100*'Daily Report'!I$40)+('Daily Report'!I$45*J39/100))/('Daily Report'!I$39+'Daily Report'!I$40+'Daily Report'!I$45)*100</f>
        <v>31.469429583078341</v>
      </c>
      <c r="K78" s="438"/>
      <c r="L78" s="328">
        <f>((L45/100*'Daily Report'!K$39)+(L67/100*'Daily Report'!K$40)+('Daily Report'!K$45*L39/100))/('Daily Report'!K$39+'Daily Report'!K$40+'Daily Report'!K$45)*100</f>
        <v>35.973909597484592</v>
      </c>
      <c r="M78" s="328">
        <f>((M45/100*'Daily Report'!L$39)+(M67/100*'Daily Report'!L$40)+('Daily Report'!L$45*M39/100))/('Daily Report'!L$39+'Daily Report'!L$40+'Daily Report'!L$45)*100</f>
        <v>36.360306596924431</v>
      </c>
      <c r="N78" s="328">
        <f>((N45/100*'Daily Report'!M$39)+(N67/100*'Daily Report'!M$40)+('Daily Report'!M$45*N39/100))/('Daily Report'!M$39+'Daily Report'!M$40+'Daily Report'!M$45)*100</f>
        <v>37.394644304065153</v>
      </c>
      <c r="O78" s="328">
        <f>((O45/100*'Daily Report'!N$39)+(O67/100*'Daily Report'!N$40)+('Daily Report'!N$45*O39/100))/('Daily Report'!N$39+'Daily Report'!N$40+'Daily Report'!N$45)*100</f>
        <v>37.343853843031901</v>
      </c>
      <c r="P78" s="328">
        <f>((P45/100*'Daily Report'!O$39)+(P67/100*'Daily Report'!O$40)+('Daily Report'!O$45*P39/100))/('Daily Report'!O$39+'Daily Report'!O$40+'Daily Report'!O$45)*100</f>
        <v>40.921425959166193</v>
      </c>
      <c r="Q78" s="328">
        <f>((Q45/100*'Daily Report'!P$39)+(Q67/100*'Daily Report'!P$40)+('Daily Report'!P$45*Q39/100))/('Daily Report'!P$39+'Daily Report'!P$40+'Daily Report'!P$45)*100</f>
        <v>41.414386337411088</v>
      </c>
      <c r="R78" s="328">
        <f>((R45/100*'Daily Report'!Q$39)+(R67/100*'Daily Report'!Q$40)+('Daily Report'!Q$45*R39/100))/('Daily Report'!Q$39+'Daily Report'!Q$40+'Daily Report'!Q$45)*100</f>
        <v>39.352024697678772</v>
      </c>
      <c r="S78" s="328">
        <f>((S45/100*'Daily Report'!R$39)+(S67/100*'Daily Report'!R$40)+('Daily Report'!R$45*S39/100))/('Daily Report'!R$39+'Daily Report'!R$40+'Daily Report'!R$45)*100</f>
        <v>36.780700361166417</v>
      </c>
      <c r="T78" s="328">
        <f>((T45/100*'Daily Report'!S$39)+(T67/100*'Daily Report'!S$40)+('Daily Report'!S$45*T39/100))/('Daily Report'!S$39+'Daily Report'!S$40+'Daily Report'!S$45)*100</f>
        <v>37.205552423093195</v>
      </c>
      <c r="U78" s="328">
        <f>((U45/100*'Daily Report'!T$39)+(U67/100*'Daily Report'!T$40)+('Daily Report'!T$45*U39/100))/('Daily Report'!T$39+'Daily Report'!T$40+'Daily Report'!T$45)*100</f>
        <v>34.00042706966547</v>
      </c>
      <c r="V78" s="328">
        <f>((V45/100*'Daily Report'!U$39)+(V67/100*'Daily Report'!U$40)+('Daily Report'!U$45*V39/100))/('Daily Report'!U$39+'Daily Report'!U$40+'Daily Report'!U$45)*100</f>
        <v>31.836060901966697</v>
      </c>
      <c r="W78" s="328">
        <f>((W45/100*'Daily Report'!V$39)+(W67/100*'Daily Report'!V$40)+('Daily Report'!V$45*W39/100))/('Daily Report'!V$39+'Daily Report'!V$40+'Daily Report'!V$45)*100</f>
        <v>34.293266862055866</v>
      </c>
      <c r="X78" s="328">
        <f>((X45/100*'Daily Report'!W$39)+(X67/100*'Daily Report'!W$40)+('Daily Report'!W$45*X39/100))/('Daily Report'!W$39+'Daily Report'!W$40+'Daily Report'!W$45)*100</f>
        <v>37.353140193366158</v>
      </c>
      <c r="Y78" s="328">
        <f>((Y45/100*'Daily Report'!X$39)+(Y67/100*'Daily Report'!X$40)+('Daily Report'!X$45*Y39/100))/('Daily Report'!X$39+'Daily Report'!X$40+'Daily Report'!X$45)*100</f>
        <v>31.474725133752756</v>
      </c>
      <c r="Z78" s="328">
        <f>((Z45/100*'Daily Report'!Y$39)+(Z67/100*'Daily Report'!Y$40)+('Daily Report'!Y$45*Z39/100))/('Daily Report'!Y$39+'Daily Report'!Y$40+'Daily Report'!Y$45)*100</f>
        <v>34.450103395489549</v>
      </c>
      <c r="AA78" s="328">
        <f>((AA45/100*'Daily Report'!Z$39)+(AA67/100*'Daily Report'!Z$40)+('Daily Report'!Z$45*AA39/100))/('Daily Report'!Z$39+'Daily Report'!Z$40+'Daily Report'!Z$45)*100</f>
        <v>50.944150507124995</v>
      </c>
      <c r="AB78" s="328">
        <f>((AB45/100*'Daily Report'!AA$39)+(AB67/100*'Daily Report'!AA$40)+('Daily Report'!AA$45*AB39/100))/('Daily Report'!AA$39+'Daily Report'!AA$40+'Daily Report'!AA$45)*100</f>
        <v>53.485588601234809</v>
      </c>
      <c r="AC78" s="328">
        <f>((AC45/100*'Daily Report'!AB$39)+(AC67/100*'Daily Report'!AB$40)+('Daily Report'!AB$45*AC39/100))/('Daily Report'!AB$39+'Daily Report'!AB$40+'Daily Report'!AB$45)*100</f>
        <v>50.859022217463469</v>
      </c>
      <c r="AD78" s="328">
        <f>((AD45/100*'Daily Report'!AC$39)+(AD67/100*'Daily Report'!AC$40)+('Daily Report'!AC$45*AD39/100))/('Daily Report'!AC$39+'Daily Report'!AC$40+'Daily Report'!AC$45)*100</f>
        <v>46.091806432819347</v>
      </c>
      <c r="AE78" s="328">
        <f>((AE45/100*'Daily Report'!AD$39)+(AE67/100*'Daily Report'!AD$40)+('Daily Report'!AD$45*AE39/100))/('Daily Report'!AD$39+'Daily Report'!AD$40+'Daily Report'!AD$45)*100</f>
        <v>43.01279888408434</v>
      </c>
      <c r="AF78" s="328">
        <f>((AF45/100*'Daily Report'!AE$39)+(AF67/100*'Daily Report'!AE$40)+('Daily Report'!AE$45*AF39/100))/('Daily Report'!AE$39+'Daily Report'!AE$40+'Daily Report'!AE$45)*100</f>
        <v>44.322044427189347</v>
      </c>
      <c r="AG78" s="328">
        <f>((AG45/100*'Daily Report'!AF$39)+(AG67/100*'Daily Report'!AF$40)+('Daily Report'!AF$45*AG39/100))/('Daily Report'!AF$39+'Daily Report'!AF$40+'Daily Report'!AF$45)*100</f>
        <v>43.536242045774564</v>
      </c>
      <c r="AH78" s="328">
        <f>((AH45/100*'Daily Report'!AG$39)+(AH67/100*'Daily Report'!AG$40)+('Daily Report'!AG$45*AH39/100))/('Daily Report'!AG$39+'Daily Report'!AG$40+'Daily Report'!AG$45)*100</f>
        <v>42.617854424455508</v>
      </c>
      <c r="AI78" s="328">
        <f>((AI45/100*'Daily Report'!AH$39)+(AI67/100*'Daily Report'!AH$40)+('Daily Report'!AH$45*AI39/100))/('Daily Report'!AH$39+'Daily Report'!AH$40+'Daily Report'!AH$45)*100</f>
        <v>43.703812648882071</v>
      </c>
      <c r="AJ78" s="328">
        <f>((AJ45/100*'Daily Report'!AI$39)+(AJ67/100*'Daily Report'!AI$40)+('Daily Report'!AI$45*AJ39/100))/('Daily Report'!AI$39+'Daily Report'!AI$40+'Daily Report'!AI$45)*100</f>
        <v>42.047451635250283</v>
      </c>
      <c r="AK78" s="328">
        <f>((AK45/100*'Daily Report'!AJ$39)+(AK67/100*'Daily Report'!AJ$40)+('Daily Report'!AJ$45*AK39/100))/('Daily Report'!AJ$39+'Daily Report'!AJ$40+'Daily Report'!AJ$45)*100</f>
        <v>38.041890999118621</v>
      </c>
      <c r="AL78" s="328">
        <f>((AL45/100*'Daily Report'!AK$39)+(AL67/100*'Daily Report'!AK$40)+('Daily Report'!AK$45*AL39/100))/('Daily Report'!AK$39+'Daily Report'!AK$40+'Daily Report'!AK$45)*100</f>
        <v>37.582866301626531</v>
      </c>
      <c r="AM78" s="328">
        <f>((AM45/100*'Daily Report'!AL$39)+(AM67/100*'Daily Report'!AL$40)+('Daily Report'!AL$45*AM39/100))/('Daily Report'!AL$39+'Daily Report'!AL$40+'Daily Report'!AL$45)*100</f>
        <v>37.908494495438724</v>
      </c>
      <c r="AN78" s="328">
        <f>((AN45/100*'Daily Report'!AM$39)+(AN67/100*'Daily Report'!AM$40)+('Daily Report'!AM$45*AN39/100))/('Daily Report'!AM$39+'Daily Report'!AM$40+'Daily Report'!AM$45)*100</f>
        <v>37.257317978282146</v>
      </c>
      <c r="AO78" s="328">
        <f>((AO45/100*'Daily Report'!AN$39)+(AO67/100*'Daily Report'!AN$40)+('Daily Report'!AN$45*AO39/100))/('Daily Report'!AN$39+'Daily Report'!AN$40+'Daily Report'!AN$45)*100</f>
        <v>37.24907052204145</v>
      </c>
    </row>
    <row r="79" spans="1:41" ht="15">
      <c r="A79" s="501"/>
      <c r="B79" s="341"/>
      <c r="C79" s="453"/>
      <c r="D79" s="444" t="s">
        <v>640</v>
      </c>
      <c r="E79" s="444" t="s">
        <v>946</v>
      </c>
      <c r="F79" s="465" t="s">
        <v>5</v>
      </c>
      <c r="G79" s="132" t="s">
        <v>93</v>
      </c>
      <c r="H79" s="348">
        <v>6.6534590281175374</v>
      </c>
      <c r="I79" s="380">
        <f t="shared" si="25"/>
        <v>6.6591000742633311</v>
      </c>
      <c r="J79" s="328">
        <f>((J46/100*'Daily Report'!I$39)+(J68/100*'Daily Report'!I$40)+('Daily Report'!I$45*J40/100))/('Daily Report'!I$39+'Daily Report'!I$40+'Daily Report'!I$45)*100</f>
        <v>5.5743674583653817</v>
      </c>
      <c r="K79" s="438"/>
      <c r="L79" s="328">
        <f>((L46/100*'Daily Report'!K$39)+(L68/100*'Daily Report'!K$40)+('Daily Report'!K$45*L40/100))/('Daily Report'!K$39+'Daily Report'!K$40+'Daily Report'!K$45)*100</f>
        <v>6.2671549425279638</v>
      </c>
      <c r="M79" s="328">
        <f>((M46/100*'Daily Report'!L$39)+(M68/100*'Daily Report'!L$40)+('Daily Report'!L$45*M40/100))/('Daily Report'!L$39+'Daily Report'!L$40+'Daily Report'!L$45)*100</f>
        <v>6.2614542627443148</v>
      </c>
      <c r="N79" s="328">
        <f>((N46/100*'Daily Report'!M$39)+(N68/100*'Daily Report'!M$40)+('Daily Report'!M$45*N40/100))/('Daily Report'!M$39+'Daily Report'!M$40+'Daily Report'!M$45)*100</f>
        <v>6.5029757421523477</v>
      </c>
      <c r="O79" s="328">
        <f>((O46/100*'Daily Report'!N$39)+(O68/100*'Daily Report'!N$40)+('Daily Report'!N$45*O40/100))/('Daily Report'!N$39+'Daily Report'!N$40+'Daily Report'!N$45)*100</f>
        <v>6.3694519206487294</v>
      </c>
      <c r="P79" s="328">
        <f>((P46/100*'Daily Report'!O$39)+(P68/100*'Daily Report'!O$40)+('Daily Report'!O$45*P40/100))/('Daily Report'!O$39+'Daily Report'!O$40+'Daily Report'!O$45)*100</f>
        <v>6.8238751323886833</v>
      </c>
      <c r="Q79" s="328">
        <f>((Q46/100*'Daily Report'!P$39)+(Q68/100*'Daily Report'!P$40)+('Daily Report'!P$45*Q40/100))/('Daily Report'!P$39+'Daily Report'!P$40+'Daily Report'!P$45)*100</f>
        <v>6.9903818230761559</v>
      </c>
      <c r="R79" s="328">
        <f>((R46/100*'Daily Report'!Q$39)+(R68/100*'Daily Report'!Q$40)+('Daily Report'!Q$45*R40/100))/('Daily Report'!Q$39+'Daily Report'!Q$40+'Daily Report'!Q$45)*100</f>
        <v>6.5719058797502994</v>
      </c>
      <c r="S79" s="328">
        <f>((S46/100*'Daily Report'!R$39)+(S68/100*'Daily Report'!R$40)+('Daily Report'!R$45*S40/100))/('Daily Report'!R$39+'Daily Report'!R$40+'Daily Report'!R$45)*100</f>
        <v>6.1851186888872114</v>
      </c>
      <c r="T79" s="328">
        <f>((T46/100*'Daily Report'!S$39)+(T68/100*'Daily Report'!S$40)+('Daily Report'!S$45*T40/100))/('Daily Report'!S$39+'Daily Report'!S$40+'Daily Report'!S$45)*100</f>
        <v>6.3739516135970744</v>
      </c>
      <c r="U79" s="328">
        <f>((U46/100*'Daily Report'!T$39)+(U68/100*'Daily Report'!T$40)+('Daily Report'!T$45*U40/100))/('Daily Report'!T$39+'Daily Report'!T$40+'Daily Report'!T$45)*100</f>
        <v>5.874791377414847</v>
      </c>
      <c r="V79" s="328">
        <f>((V46/100*'Daily Report'!U$39)+(V68/100*'Daily Report'!U$40)+('Daily Report'!U$45*V40/100))/('Daily Report'!U$39+'Daily Report'!U$40+'Daily Report'!U$45)*100</f>
        <v>5.6103502937750944</v>
      </c>
      <c r="W79" s="328">
        <f>((W46/100*'Daily Report'!V$39)+(W68/100*'Daily Report'!V$40)+('Daily Report'!V$45*W40/100))/('Daily Report'!V$39+'Daily Report'!V$40+'Daily Report'!V$45)*100</f>
        <v>5.7734776909859518</v>
      </c>
      <c r="X79" s="328">
        <f>((X46/100*'Daily Report'!W$39)+(X68/100*'Daily Report'!W$40)+('Daily Report'!W$45*X40/100))/('Daily Report'!W$39+'Daily Report'!W$40+'Daily Report'!W$45)*100</f>
        <v>6.1935817781167506</v>
      </c>
      <c r="Y79" s="328">
        <f>((Y46/100*'Daily Report'!X$39)+(Y68/100*'Daily Report'!X$40)+('Daily Report'!X$45*Y40/100))/('Daily Report'!X$39+'Daily Report'!X$40+'Daily Report'!X$45)*100</f>
        <v>5.5163703845569163</v>
      </c>
      <c r="Z79" s="328">
        <f>((Z46/100*'Daily Report'!Y$39)+(Z68/100*'Daily Report'!Y$40)+('Daily Report'!Y$45*Z40/100))/('Daily Report'!Y$39+'Daily Report'!Y$40+'Daily Report'!Y$45)*100</f>
        <v>5.874141483432358</v>
      </c>
      <c r="AA79" s="328">
        <f>((AA46/100*'Daily Report'!Z$39)+(AA68/100*'Daily Report'!Z$40)+('Daily Report'!Z$45*AA40/100))/('Daily Report'!Z$39+'Daily Report'!Z$40+'Daily Report'!Z$45)*100</f>
        <v>8.2487594903160844</v>
      </c>
      <c r="AB79" s="328">
        <f>((AB46/100*'Daily Report'!AA$39)+(AB68/100*'Daily Report'!AA$40)+('Daily Report'!AA$45*AB40/100))/('Daily Report'!AA$39+'Daily Report'!AA$40+'Daily Report'!AA$45)*100</f>
        <v>8.6761038288381709</v>
      </c>
      <c r="AC79" s="328">
        <f>((AC46/100*'Daily Report'!AB$39)+(AC68/100*'Daily Report'!AB$40)+('Daily Report'!AB$45*AC40/100))/('Daily Report'!AB$39+'Daily Report'!AB$40+'Daily Report'!AB$45)*100</f>
        <v>8.3454877444554256</v>
      </c>
      <c r="AD79" s="328">
        <f>((AD46/100*'Daily Report'!AC$39)+(AD68/100*'Daily Report'!AC$40)+('Daily Report'!AC$45*AD40/100))/('Daily Report'!AC$39+'Daily Report'!AC$40+'Daily Report'!AC$45)*100</f>
        <v>7.6460105180565394</v>
      </c>
      <c r="AE79" s="328">
        <f>((AE46/100*'Daily Report'!AD$39)+(AE68/100*'Daily Report'!AD$40)+('Daily Report'!AD$45*AE40/100))/('Daily Report'!AD$39+'Daily Report'!AD$40+'Daily Report'!AD$45)*100</f>
        <v>7.0847206657101438</v>
      </c>
      <c r="AF79" s="328">
        <f>((AF46/100*'Daily Report'!AE$39)+(AF68/100*'Daily Report'!AE$40)+('Daily Report'!AE$45*AF40/100))/('Daily Report'!AE$39+'Daily Report'!AE$40+'Daily Report'!AE$45)*100</f>
        <v>7.2838094940093381</v>
      </c>
      <c r="AG79" s="328">
        <f>((AG46/100*'Daily Report'!AF$39)+(AG68/100*'Daily Report'!AF$40)+('Daily Report'!AF$45*AG40/100))/('Daily Report'!AF$39+'Daily Report'!AF$40+'Daily Report'!AF$45)*100</f>
        <v>7.2990244728144225</v>
      </c>
      <c r="AH79" s="328">
        <f>((AH46/100*'Daily Report'!AG$39)+(AH68/100*'Daily Report'!AG$40)+('Daily Report'!AG$45*AH40/100))/('Daily Report'!AG$39+'Daily Report'!AG$40+'Daily Report'!AG$45)*100</f>
        <v>7.2425255458832858</v>
      </c>
      <c r="AI79" s="328">
        <f>((AI46/100*'Daily Report'!AH$39)+(AI68/100*'Daily Report'!AH$40)+('Daily Report'!AH$45*AI40/100))/('Daily Report'!AH$39+'Daily Report'!AH$40+'Daily Report'!AH$45)*100</f>
        <v>7.2544818817733461</v>
      </c>
      <c r="AJ79" s="328">
        <f>((AJ46/100*'Daily Report'!AI$39)+(AJ68/100*'Daily Report'!AI$40)+('Daily Report'!AI$45*AJ40/100))/('Daily Report'!AI$39+'Daily Report'!AI$40+'Daily Report'!AI$45)*100</f>
        <v>6.9388421287089646</v>
      </c>
      <c r="AK79" s="328">
        <f>((AK46/100*'Daily Report'!AJ$39)+(AK68/100*'Daily Report'!AJ$40)+('Daily Report'!AJ$45*AK40/100))/('Daily Report'!AJ$39+'Daily Report'!AJ$40+'Daily Report'!AJ$45)*100</f>
        <v>6.4866181721673533</v>
      </c>
      <c r="AL79" s="328">
        <f>((AL46/100*'Daily Report'!AK$39)+(AL68/100*'Daily Report'!AK$40)+('Daily Report'!AK$45*AL40/100))/('Daily Report'!AK$39+'Daily Report'!AK$40+'Daily Report'!AK$45)*100</f>
        <v>6.3124769544722472</v>
      </c>
      <c r="AM79" s="328">
        <f>((AM46/100*'Daily Report'!AL$39)+(AM68/100*'Daily Report'!AL$40)+('Daily Report'!AL$45*AM40/100))/('Daily Report'!AL$39+'Daily Report'!AL$40+'Daily Report'!AL$45)*100</f>
        <v>6.3273485889429368</v>
      </c>
      <c r="AN79" s="328">
        <f>((AN46/100*'Daily Report'!AM$39)+(AN68/100*'Daily Report'!AM$40)+('Daily Report'!AM$45*AN40/100))/('Daily Report'!AM$39+'Daily Report'!AM$40+'Daily Report'!AM$45)*100</f>
        <v>6.2734371284857327</v>
      </c>
      <c r="AO79" s="328">
        <f>((AO46/100*'Daily Report'!AN$39)+(AO68/100*'Daily Report'!AN$40)+('Daily Report'!AN$45*AO40/100))/('Daily Report'!AN$39+'Daily Report'!AN$40+'Daily Report'!AN$45)*100</f>
        <v>6.2491052151091857</v>
      </c>
    </row>
    <row r="80" spans="1:41" ht="15">
      <c r="A80" s="501"/>
      <c r="B80" s="341"/>
      <c r="C80" s="453"/>
      <c r="D80" s="444" t="s">
        <v>641</v>
      </c>
      <c r="E80" s="444" t="s">
        <v>947</v>
      </c>
      <c r="F80" s="465" t="s">
        <v>5</v>
      </c>
      <c r="G80" s="132" t="s">
        <v>20</v>
      </c>
      <c r="H80" s="348">
        <v>0.42431495368591815</v>
      </c>
      <c r="I80" s="380">
        <f t="shared" si="25"/>
        <v>0.49238276435802192</v>
      </c>
      <c r="J80" s="328">
        <f>((J47/100*'Daily Report'!I$39)+(J69/100*'Daily Report'!I$40)+('Daily Report'!I$45*J41/100))/('Daily Report'!I$39+'Daily Report'!I$40+'Daily Report'!I$45)*100</f>
        <v>0.57066658163490902</v>
      </c>
      <c r="K80" s="438"/>
      <c r="L80" s="328">
        <f>((L47/100*'Daily Report'!K$39)+(L69/100*'Daily Report'!K$40)+('Daily Report'!K$45*L41/100))/('Daily Report'!K$39+'Daily Report'!K$40+'Daily Report'!K$45)*100</f>
        <v>0.50731981387032221</v>
      </c>
      <c r="M80" s="328">
        <f>((M47/100*'Daily Report'!L$39)+(M69/100*'Daily Report'!L$40)+('Daily Report'!L$45*M41/100))/('Daily Report'!L$39+'Daily Report'!L$40+'Daily Report'!L$45)*100</f>
        <v>0.51639078108912606</v>
      </c>
      <c r="N80" s="328">
        <f>((N47/100*'Daily Report'!M$39)+(N69/100*'Daily Report'!M$40)+('Daily Report'!M$45*N41/100))/('Daily Report'!M$39+'Daily Report'!M$40+'Daily Report'!M$45)*100</f>
        <v>0.48348428012804773</v>
      </c>
      <c r="O80" s="328">
        <f>((O47/100*'Daily Report'!N$39)+(O69/100*'Daily Report'!N$40)+('Daily Report'!N$45*O41/100))/('Daily Report'!N$39+'Daily Report'!N$40+'Daily Report'!N$45)*100</f>
        <v>0.51219620545874311</v>
      </c>
      <c r="P80" s="328">
        <f>((P47/100*'Daily Report'!O$39)+(P69/100*'Daily Report'!O$40)+('Daily Report'!O$45*P41/100))/('Daily Report'!O$39+'Daily Report'!O$40+'Daily Report'!O$45)*100</f>
        <v>0.48322179819422295</v>
      </c>
      <c r="Q80" s="328">
        <f>((Q47/100*'Daily Report'!P$39)+(Q69/100*'Daily Report'!P$40)+('Daily Report'!P$45*Q41/100))/('Daily Report'!P$39+'Daily Report'!P$40+'Daily Report'!P$45)*100</f>
        <v>0.45609159688327616</v>
      </c>
      <c r="R80" s="328">
        <f>((R47/100*'Daily Report'!Q$39)+(R69/100*'Daily Report'!Q$40)+('Daily Report'!Q$45*R41/100))/('Daily Report'!Q$39+'Daily Report'!Q$40+'Daily Report'!Q$45)*100</f>
        <v>0.50765221146891037</v>
      </c>
      <c r="S80" s="328">
        <f>((S47/100*'Daily Report'!R$39)+(S69/100*'Daily Report'!R$40)+('Daily Report'!R$45*S41/100))/('Daily Report'!R$39+'Daily Report'!R$40+'Daily Report'!R$45)*100</f>
        <v>0.54187939614583946</v>
      </c>
      <c r="T80" s="328">
        <f>((T47/100*'Daily Report'!S$39)+(T69/100*'Daily Report'!S$40)+('Daily Report'!S$45*T41/100))/('Daily Report'!S$39+'Daily Report'!S$40+'Daily Report'!S$45)*100</f>
        <v>0.50840176295019057</v>
      </c>
      <c r="U80" s="328">
        <f>((U47/100*'Daily Report'!T$39)+(U69/100*'Daily Report'!T$40)+('Daily Report'!T$45*U41/100))/('Daily Report'!T$39+'Daily Report'!T$40+'Daily Report'!T$45)*100</f>
        <v>0.55485935255917496</v>
      </c>
      <c r="V80" s="328">
        <f>((V47/100*'Daily Report'!U$39)+(V69/100*'Daily Report'!U$40)+('Daily Report'!U$45*V41/100))/('Daily Report'!U$39+'Daily Report'!U$40+'Daily Report'!U$45)*100</f>
        <v>0.57005505209609897</v>
      </c>
      <c r="W80" s="328">
        <f>((W47/100*'Daily Report'!V$39)+(W69/100*'Daily Report'!V$40)+('Daily Report'!V$45*W41/100))/('Daily Report'!V$39+'Daily Report'!V$40+'Daily Report'!V$45)*100</f>
        <v>0.58333558320434176</v>
      </c>
      <c r="X80" s="328">
        <f>((X47/100*'Daily Report'!W$39)+(X69/100*'Daily Report'!W$40)+('Daily Report'!W$45*X41/100))/('Daily Report'!W$39+'Daily Report'!W$40+'Daily Report'!W$45)*100</f>
        <v>0.55155212431446299</v>
      </c>
      <c r="Y80" s="328">
        <f>((Y47/100*'Daily Report'!X$39)+(Y69/100*'Daily Report'!X$40)+('Daily Report'!X$45*Y41/100))/('Daily Report'!X$39+'Daily Report'!X$40+'Daily Report'!X$45)*100</f>
        <v>0.58369015506702226</v>
      </c>
      <c r="Z80" s="328">
        <f>((Z47/100*'Daily Report'!Y$39)+(Z69/100*'Daily Report'!Y$40)+('Daily Report'!Y$45*Z41/100))/('Daily Report'!Y$39+'Daily Report'!Y$40+'Daily Report'!Y$45)*100</f>
        <v>0.56408305786543045</v>
      </c>
      <c r="AA80" s="328">
        <f>((AA47/100*'Daily Report'!Z$39)+(AA69/100*'Daily Report'!Z$40)+('Daily Report'!Z$45*AA41/100))/('Daily Report'!Z$39+'Daily Report'!Z$40+'Daily Report'!Z$45)*100</f>
        <v>0.36824148960587599</v>
      </c>
      <c r="AB80" s="328">
        <f>((AB47/100*'Daily Report'!AA$39)+(AB69/100*'Daily Report'!AA$40)+('Daily Report'!AA$45*AB41/100))/('Daily Report'!AA$39+'Daily Report'!AA$40+'Daily Report'!AA$45)*100</f>
        <v>0.32437832980424075</v>
      </c>
      <c r="AC80" s="328">
        <f>((AC47/100*'Daily Report'!AB$39)+(AC69/100*'Daily Report'!AB$40)+('Daily Report'!AB$45*AC41/100))/('Daily Report'!AB$39+'Daily Report'!AB$40+'Daily Report'!AB$45)*100</f>
        <v>0.34498018638762423</v>
      </c>
      <c r="AD80" s="328">
        <f>((AD47/100*'Daily Report'!AC$39)+(AD69/100*'Daily Report'!AC$40)+('Daily Report'!AC$45*AD41/100))/('Daily Report'!AC$39+'Daily Report'!AC$40+'Daily Report'!AC$45)*100</f>
        <v>0.40451220563847934</v>
      </c>
      <c r="AE80" s="328">
        <f>((AE47/100*'Daily Report'!AD$39)+(AE69/100*'Daily Report'!AD$40)+('Daily Report'!AD$45*AE41/100))/('Daily Report'!AD$39+'Daily Report'!AD$40+'Daily Report'!AD$45)*100</f>
        <v>0.46735313787223154</v>
      </c>
      <c r="AF80" s="328">
        <f>((AF47/100*'Daily Report'!AE$39)+(AF69/100*'Daily Report'!AE$40)+('Daily Report'!AE$45*AF41/100))/('Daily Report'!AE$39+'Daily Report'!AE$40+'Daily Report'!AE$45)*100</f>
        <v>0.44944729604663908</v>
      </c>
      <c r="AG80" s="328">
        <f>((AG47/100*'Daily Report'!AF$39)+(AG69/100*'Daily Report'!AF$40)+('Daily Report'!AF$45*AG41/100))/('Daily Report'!AF$39+'Daily Report'!AF$40+'Daily Report'!AF$45)*100</f>
        <v>0.43019338278422065</v>
      </c>
      <c r="AH80" s="328">
        <f>((AH47/100*'Daily Report'!AG$39)+(AH69/100*'Daily Report'!AG$40)+('Daily Report'!AG$45*AH41/100))/('Daily Report'!AG$39+'Daily Report'!AG$40+'Daily Report'!AG$45)*100</f>
        <v>0.42423413539486021</v>
      </c>
      <c r="AI80" s="328">
        <f>((AI47/100*'Daily Report'!AH$39)+(AI69/100*'Daily Report'!AH$40)+('Daily Report'!AH$45*AI41/100))/('Daily Report'!AH$39+'Daily Report'!AH$40+'Daily Report'!AH$45)*100</f>
        <v>0.44349681233485899</v>
      </c>
      <c r="AJ80" s="328">
        <f>((AJ47/100*'Daily Report'!AI$39)+(AJ69/100*'Daily Report'!AI$40)+('Daily Report'!AI$45*AJ41/100))/('Daily Report'!AI$39+'Daily Report'!AI$40+'Daily Report'!AI$45)*100</f>
        <v>0.48035170563758511</v>
      </c>
      <c r="AK80" s="328">
        <f>((AK47/100*'Daily Report'!AJ$39)+(AK69/100*'Daily Report'!AJ$40)+('Daily Report'!AJ$45*AK41/100))/('Daily Report'!AJ$39+'Daily Report'!AJ$40+'Daily Report'!AJ$45)*100</f>
        <v>0.5001952227876888</v>
      </c>
      <c r="AL80" s="328">
        <f>((AL47/100*'Daily Report'!AK$39)+(AL69/100*'Daily Report'!AK$40)+('Daily Report'!AK$45*AL41/100))/('Daily Report'!AK$39+'Daily Report'!AK$40+'Daily Report'!AK$45)*100</f>
        <v>0.52971088791794307</v>
      </c>
      <c r="AM80" s="328">
        <f>((AM47/100*'Daily Report'!AL$39)+(AM69/100*'Daily Report'!AL$40)+('Daily Report'!AL$45*AM41/100))/('Daily Report'!AL$39+'Daily Report'!AL$40+'Daily Report'!AL$45)*100</f>
        <v>0.53297322732942731</v>
      </c>
      <c r="AN80" s="328">
        <f>((AN47/100*'Daily Report'!AM$39)+(AN69/100*'Daily Report'!AM$40)+('Daily Report'!AM$45*AN41/100))/('Daily Report'!AM$39+'Daily Report'!AM$40+'Daily Report'!AM$45)*100</f>
        <v>0.53183271234022844</v>
      </c>
      <c r="AO80" s="328">
        <f>((AO47/100*'Daily Report'!AN$39)+(AO69/100*'Daily Report'!AN$40)+('Daily Report'!AN$45*AO41/100))/('Daily Report'!AN$39+'Daily Report'!AN$40+'Daily Report'!AN$45)*100</f>
        <v>0.53708521028665834</v>
      </c>
    </row>
    <row r="81" spans="1:41" ht="15">
      <c r="A81" s="501"/>
      <c r="B81" s="341"/>
      <c r="C81" s="453"/>
      <c r="D81" s="444" t="s">
        <v>642</v>
      </c>
      <c r="E81" s="444" t="s">
        <v>948</v>
      </c>
      <c r="F81" s="465" t="s">
        <v>5</v>
      </c>
      <c r="G81" s="132" t="s">
        <v>94</v>
      </c>
      <c r="H81" s="348">
        <v>5.3039369210739769E-2</v>
      </c>
      <c r="I81" s="380">
        <f t="shared" si="25"/>
        <v>0.1203606991476979</v>
      </c>
      <c r="J81" s="328">
        <f>((J48/100*'Daily Report'!I$39)+(J70/100*'Daily Report'!I$40)+('Daily Report'!I$45*J42/100))/('Daily Report'!I$39+'Daily Report'!I$40+'Daily Report'!I$45)*100</f>
        <v>0.12472894889284253</v>
      </c>
      <c r="K81" s="438"/>
      <c r="L81" s="328">
        <f>((L48/100*'Daily Report'!K$39)+(L70/100*'Daily Report'!K$40)+('Daily Report'!K$45*L42/100))/('Daily Report'!K$39+'Daily Report'!K$40+'Daily Report'!K$45)*100</f>
        <v>0.10369375440136433</v>
      </c>
      <c r="M81" s="328">
        <f>((M48/100*'Daily Report'!L$39)+(M70/100*'Daily Report'!L$40)+('Daily Report'!L$45*M42/100))/('Daily Report'!L$39+'Daily Report'!L$40+'Daily Report'!L$45)*100</f>
        <v>0.11555240032726048</v>
      </c>
      <c r="N81" s="328">
        <f>((N48/100*'Daily Report'!M$39)+(N70/100*'Daily Report'!M$40)+('Daily Report'!M$45*N42/100))/('Daily Report'!M$39+'Daily Report'!M$40+'Daily Report'!M$45)*100</f>
        <v>9.3427269091931456E-2</v>
      </c>
      <c r="O81" s="328">
        <f>((O48/100*'Daily Report'!N$39)+(O70/100*'Daily Report'!N$40)+('Daily Report'!N$45*O42/100))/('Daily Report'!N$39+'Daily Report'!N$40+'Daily Report'!N$45)*100</f>
        <v>0.12003718320256859</v>
      </c>
      <c r="P81" s="328">
        <f>((P48/100*'Daily Report'!O$39)+(P70/100*'Daily Report'!O$40)+('Daily Report'!O$45*P42/100))/('Daily Report'!O$39+'Daily Report'!O$40+'Daily Report'!O$45)*100</f>
        <v>0.12342933275519791</v>
      </c>
      <c r="Q81" s="328">
        <f>((Q48/100*'Daily Report'!P$39)+(Q70/100*'Daily Report'!P$40)+('Daily Report'!P$45*Q42/100))/('Daily Report'!P$39+'Daily Report'!P$40+'Daily Report'!P$45)*100</f>
        <v>0.1021018473196916</v>
      </c>
      <c r="R81" s="328">
        <f>((R48/100*'Daily Report'!Q$39)+(R70/100*'Daily Report'!Q$40)+('Daily Report'!Q$45*R42/100))/('Daily Report'!Q$39+'Daily Report'!Q$40+'Daily Report'!Q$45)*100</f>
        <v>0.13298105455072792</v>
      </c>
      <c r="S81" s="328">
        <f>((S48/100*'Daily Report'!R$39)+(S70/100*'Daily Report'!R$40)+('Daily Report'!R$45*S42/100))/('Daily Report'!R$39+'Daily Report'!R$40+'Daily Report'!R$45)*100</f>
        <v>0.14316743951790728</v>
      </c>
      <c r="T81" s="328">
        <f>((T48/100*'Daily Report'!S$39)+(T70/100*'Daily Report'!S$40)+('Daily Report'!S$45*T42/100))/('Daily Report'!S$39+'Daily Report'!S$40+'Daily Report'!S$45)*100</f>
        <v>0.11527674676400164</v>
      </c>
      <c r="U81" s="328">
        <f>((U48/100*'Daily Report'!T$39)+(U70/100*'Daily Report'!T$40)+('Daily Report'!T$45*U42/100))/('Daily Report'!T$39+'Daily Report'!T$40+'Daily Report'!T$45)*100</f>
        <v>0.13154757934577671</v>
      </c>
      <c r="V81" s="328">
        <f>((V48/100*'Daily Report'!U$39)+(V70/100*'Daily Report'!U$40)+('Daily Report'!U$45*V42/100))/('Daily Report'!U$39+'Daily Report'!U$40+'Daily Report'!U$45)*100</f>
        <v>0.12729751902897149</v>
      </c>
      <c r="W81" s="328">
        <f>((W48/100*'Daily Report'!V$39)+(W70/100*'Daily Report'!V$40)+('Daily Report'!V$45*W42/100))/('Daily Report'!V$39+'Daily Report'!V$40+'Daily Report'!V$45)*100</f>
        <v>0.16088280495317203</v>
      </c>
      <c r="X81" s="328">
        <f>((X48/100*'Daily Report'!W$39)+(X70/100*'Daily Report'!W$40)+('Daily Report'!W$45*X42/100))/('Daily Report'!W$39+'Daily Report'!W$40+'Daily Report'!W$45)*100</f>
        <v>0.1571886163891256</v>
      </c>
      <c r="Y81" s="328">
        <f>((Y48/100*'Daily Report'!X$39)+(Y70/100*'Daily Report'!X$40)+('Daily Report'!X$45*Y42/100))/('Daily Report'!X$39+'Daily Report'!X$40+'Daily Report'!X$45)*100</f>
        <v>0.1370420815389157</v>
      </c>
      <c r="Z81" s="328">
        <f>((Z48/100*'Daily Report'!Y$39)+(Z70/100*'Daily Report'!Y$40)+('Daily Report'!Y$45*Z42/100))/('Daily Report'!Y$39+'Daily Report'!Y$40+'Daily Report'!Y$45)*100</f>
        <v>0.14409284743519146</v>
      </c>
      <c r="AA81" s="328">
        <f>((AA48/100*'Daily Report'!Z$39)+(AA70/100*'Daily Report'!Z$40)+('Daily Report'!Z$45*AA42/100))/('Daily Report'!Z$39+'Daily Report'!Z$40+'Daily Report'!Z$45)*100</f>
        <v>0.10108744818152944</v>
      </c>
      <c r="AB81" s="328">
        <f>((AB48/100*'Daily Report'!AA$39)+(AB70/100*'Daily Report'!AA$40)+('Daily Report'!AA$45*AB42/100))/('Daily Report'!AA$39+'Daily Report'!AA$40+'Daily Report'!AA$45)*100</f>
        <v>8.1568004677933292E-2</v>
      </c>
      <c r="AC81" s="328">
        <f>((AC48/100*'Daily Report'!AB$39)+(AC70/100*'Daily Report'!AB$40)+('Daily Report'!AB$45*AC42/100))/('Daily Report'!AB$39+'Daily Report'!AB$40+'Daily Report'!AB$45)*100</f>
        <v>7.8446034321398045E-2</v>
      </c>
      <c r="AD81" s="328">
        <f>((AD48/100*'Daily Report'!AC$39)+(AD70/100*'Daily Report'!AC$40)+('Daily Report'!AC$45*AD42/100))/('Daily Report'!AC$39+'Daily Report'!AC$40+'Daily Report'!AC$45)*100</f>
        <v>9.3634387744335662E-2</v>
      </c>
      <c r="AE81" s="328">
        <f>((AE48/100*'Daily Report'!AD$39)+(AE70/100*'Daily Report'!AD$40)+('Daily Report'!AD$45*AE42/100))/('Daily Report'!AD$39+'Daily Report'!AD$40+'Daily Report'!AD$45)*100</f>
        <v>0.12641942429361985</v>
      </c>
      <c r="AF81" s="328">
        <f>((AF48/100*'Daily Report'!AE$39)+(AF70/100*'Daily Report'!AE$40)+('Daily Report'!AE$45*AF42/100))/('Daily Report'!AE$39+'Daily Report'!AE$40+'Daily Report'!AE$45)*100</f>
        <v>0.12078223813238849</v>
      </c>
      <c r="AG81" s="328">
        <f>((AG48/100*'Daily Report'!AF$39)+(AG70/100*'Daily Report'!AF$40)+('Daily Report'!AF$45*AG42/100))/('Daily Report'!AF$39+'Daily Report'!AF$40+'Daily Report'!AF$45)*100</f>
        <v>9.5905931088267518E-2</v>
      </c>
      <c r="AH81" s="328">
        <f>((AH48/100*'Daily Report'!AG$39)+(AH70/100*'Daily Report'!AG$40)+('Daily Report'!AG$45*AH42/100))/('Daily Report'!AG$39+'Daily Report'!AG$40+'Daily Report'!AG$45)*100</f>
        <v>8.2415507831535798E-2</v>
      </c>
      <c r="AI81" s="328">
        <f>((AI48/100*'Daily Report'!AH$39)+(AI70/100*'Daily Report'!AH$40)+('Daily Report'!AH$45*AI42/100))/('Daily Report'!AH$39+'Daily Report'!AH$40+'Daily Report'!AH$45)*100</f>
        <v>0.10987451556706776</v>
      </c>
      <c r="AJ81" s="328">
        <f>((AJ48/100*'Daily Report'!AI$39)+(AJ70/100*'Daily Report'!AI$40)+('Daily Report'!AI$45*AJ42/100))/('Daily Report'!AI$39+'Daily Report'!AI$40+'Daily Report'!AI$45)*100</f>
        <v>0.13038377023861242</v>
      </c>
      <c r="AK81" s="328">
        <f>((AK48/100*'Daily Report'!AJ$39)+(AK70/100*'Daily Report'!AJ$40)+('Daily Report'!AJ$45*AK42/100))/('Daily Report'!AJ$39+'Daily Report'!AJ$40+'Daily Report'!AJ$45)*100</f>
        <v>0.11471979794834899</v>
      </c>
      <c r="AL81" s="328">
        <f>((AL48/100*'Daily Report'!AK$39)+(AL70/100*'Daily Report'!AK$40)+('Daily Report'!AK$45*AL42/100))/('Daily Report'!AK$39+'Daily Report'!AK$40+'Daily Report'!AK$45)*100</f>
        <v>0.13858536723546383</v>
      </c>
      <c r="AM81" s="328">
        <f>((AM48/100*'Daily Report'!AL$39)+(AM70/100*'Daily Report'!AL$40)+('Daily Report'!AL$45*AM42/100))/('Daily Report'!AL$39+'Daily Report'!AL$40+'Daily Report'!AL$45)*100</f>
        <v>0.14445129006456117</v>
      </c>
      <c r="AN81" s="328">
        <f>((AN48/100*'Daily Report'!AM$39)+(AN70/100*'Daily Report'!AM$40)+('Daily Report'!AM$45*AN42/100))/('Daily Report'!AM$39+'Daily Report'!AM$40+'Daily Report'!AM$45)*100</f>
        <v>0.13779180771695551</v>
      </c>
      <c r="AO81" s="328">
        <f>((AO48/100*'Daily Report'!AN$39)+(AO70/100*'Daily Report'!AN$40)+('Daily Report'!AN$45*AO42/100))/('Daily Report'!AN$39+'Daily Report'!AN$40+'Daily Report'!AN$45)*100</f>
        <v>0.14266872302196976</v>
      </c>
    </row>
    <row r="82" spans="1:41" ht="15.75" thickBot="1">
      <c r="A82" s="386" t="s">
        <v>96</v>
      </c>
      <c r="B82" s="74" t="s">
        <v>588</v>
      </c>
      <c r="C82" s="457"/>
      <c r="D82" s="444" t="s">
        <v>588</v>
      </c>
      <c r="E82" s="444" t="s">
        <v>949</v>
      </c>
      <c r="F82" s="471"/>
      <c r="G82" s="74"/>
      <c r="H82" s="354">
        <v>24.700227921329752</v>
      </c>
      <c r="I82" s="383">
        <f t="shared" si="25"/>
        <v>25.79783695310137</v>
      </c>
      <c r="J82" s="324">
        <f>(2.01568*J72/100)+(28.0314*J73/100)+(28.01*J74/100)+(44.01*J75/100)+(16.04*J76/100)+(30.07*J77/100)+(44.097*J78/100)+(58.12*J79/100)+(72.15*J80/100)+(86.178*J81/100)</f>
        <v>21.654999291071057</v>
      </c>
      <c r="K82" s="438"/>
      <c r="L82" s="324">
        <f t="shared" ref="L82:AO82" si="27">(2.01568*L72/100)+(28.0314*L73/100)+(28.01*L74/100)+(44.01*L75/100)+(16.04*L76/100)+(30.07*L77/100)+(44.097*L78/100)+(58.12*L79/100)+(72.15*L80/100)+(86.178*L81/100)</f>
        <v>23.956535505233987</v>
      </c>
      <c r="M82" s="324">
        <f t="shared" si="27"/>
        <v>24.158158390740532</v>
      </c>
      <c r="N82" s="324">
        <f t="shared" si="27"/>
        <v>24.681335820815185</v>
      </c>
      <c r="O82" s="324">
        <f t="shared" si="27"/>
        <v>24.663483433374786</v>
      </c>
      <c r="P82" s="324">
        <f t="shared" si="27"/>
        <v>26.497593849042808</v>
      </c>
      <c r="Q82" s="324">
        <f t="shared" si="27"/>
        <v>26.743626468794769</v>
      </c>
      <c r="R82" s="324">
        <f t="shared" si="27"/>
        <v>25.696400589043606</v>
      </c>
      <c r="S82" s="324">
        <f t="shared" si="27"/>
        <v>24.382039026476157</v>
      </c>
      <c r="T82" s="324">
        <f t="shared" si="27"/>
        <v>24.591158986900624</v>
      </c>
      <c r="U82" s="324">
        <f t="shared" si="27"/>
        <v>22.953920263223186</v>
      </c>
      <c r="V82" s="324">
        <f t="shared" si="27"/>
        <v>21.84364183147575</v>
      </c>
      <c r="W82" s="324">
        <f t="shared" si="27"/>
        <v>23.112973312554047</v>
      </c>
      <c r="X82" s="324">
        <f t="shared" si="27"/>
        <v>24.679650222025206</v>
      </c>
      <c r="Y82" s="324">
        <f t="shared" si="27"/>
        <v>21.661493799113313</v>
      </c>
      <c r="Z82" s="324">
        <f t="shared" si="27"/>
        <v>23.188176926146078</v>
      </c>
      <c r="AA82" s="324">
        <f t="shared" si="27"/>
        <v>31.626155108258878</v>
      </c>
      <c r="AB82" s="324">
        <f t="shared" si="27"/>
        <v>32.922337574547093</v>
      </c>
      <c r="AC82" s="324">
        <f t="shared" si="27"/>
        <v>31.575584406527664</v>
      </c>
      <c r="AD82" s="324">
        <f t="shared" si="27"/>
        <v>29.137632720932249</v>
      </c>
      <c r="AE82" s="324">
        <f t="shared" si="27"/>
        <v>27.570085241242143</v>
      </c>
      <c r="AF82" s="324">
        <f t="shared" si="27"/>
        <v>28.239182569002409</v>
      </c>
      <c r="AG82" s="324">
        <f t="shared" si="27"/>
        <v>27.828915673997795</v>
      </c>
      <c r="AH82" s="324">
        <f t="shared" si="27"/>
        <v>27.354211478254932</v>
      </c>
      <c r="AI82" s="324">
        <f t="shared" si="27"/>
        <v>27.919064691054466</v>
      </c>
      <c r="AJ82" s="324">
        <f t="shared" si="27"/>
        <v>27.076680079602145</v>
      </c>
      <c r="AK82" s="324">
        <f t="shared" si="27"/>
        <v>25.019509323609146</v>
      </c>
      <c r="AL82" s="324">
        <f t="shared" si="27"/>
        <v>24.791644004130916</v>
      </c>
      <c r="AM82" s="324">
        <f t="shared" si="27"/>
        <v>24.960290020533925</v>
      </c>
      <c r="AN82" s="324">
        <f t="shared" si="27"/>
        <v>24.62459656107362</v>
      </c>
      <c r="AO82" s="324">
        <f t="shared" si="27"/>
        <v>24.621868377343926</v>
      </c>
    </row>
    <row r="83" spans="1:41" ht="18.75">
      <c r="A83" s="500" t="s">
        <v>226</v>
      </c>
      <c r="B83" s="72"/>
      <c r="C83" s="455"/>
      <c r="D83" s="444" t="s">
        <v>844</v>
      </c>
      <c r="E83" s="444" t="s">
        <v>950</v>
      </c>
      <c r="F83" s="464" t="s">
        <v>5</v>
      </c>
      <c r="G83" s="131" t="s">
        <v>21</v>
      </c>
      <c r="H83" s="350">
        <v>98</v>
      </c>
      <c r="I83" s="379">
        <f t="shared" si="25"/>
        <v>98</v>
      </c>
      <c r="J83" s="321">
        <f t="shared" ref="J83:T88" si="28">$H83</f>
        <v>98</v>
      </c>
      <c r="L83" s="321">
        <f t="shared" si="28"/>
        <v>98</v>
      </c>
      <c r="M83" s="321">
        <f t="shared" si="28"/>
        <v>98</v>
      </c>
      <c r="N83" s="321">
        <f t="shared" si="28"/>
        <v>98</v>
      </c>
      <c r="O83" s="321">
        <f t="shared" si="28"/>
        <v>98</v>
      </c>
      <c r="P83" s="321">
        <f t="shared" si="28"/>
        <v>98</v>
      </c>
      <c r="Q83" s="321">
        <f t="shared" si="28"/>
        <v>98</v>
      </c>
      <c r="R83" s="321">
        <f t="shared" si="28"/>
        <v>98</v>
      </c>
      <c r="S83" s="321">
        <f t="shared" si="28"/>
        <v>98</v>
      </c>
      <c r="T83" s="321">
        <f t="shared" si="28"/>
        <v>98</v>
      </c>
      <c r="U83" s="321">
        <f t="shared" ref="U83:AD88" si="29">$H83</f>
        <v>98</v>
      </c>
      <c r="V83" s="321">
        <f t="shared" si="29"/>
        <v>98</v>
      </c>
      <c r="W83" s="321">
        <f t="shared" si="29"/>
        <v>98</v>
      </c>
      <c r="X83" s="321">
        <f t="shared" si="29"/>
        <v>98</v>
      </c>
      <c r="Y83" s="321">
        <f t="shared" si="29"/>
        <v>98</v>
      </c>
      <c r="Z83" s="321">
        <f t="shared" si="29"/>
        <v>98</v>
      </c>
      <c r="AA83" s="321">
        <f t="shared" si="29"/>
        <v>98</v>
      </c>
      <c r="AB83" s="321">
        <f t="shared" si="29"/>
        <v>98</v>
      </c>
      <c r="AC83" s="321">
        <f t="shared" si="29"/>
        <v>98</v>
      </c>
      <c r="AD83" s="321">
        <f t="shared" si="29"/>
        <v>98</v>
      </c>
      <c r="AE83" s="321">
        <f t="shared" ref="AE83:AO88" si="30">$H83</f>
        <v>98</v>
      </c>
      <c r="AF83" s="321">
        <f t="shared" si="30"/>
        <v>98</v>
      </c>
      <c r="AG83" s="321">
        <f t="shared" si="30"/>
        <v>98</v>
      </c>
      <c r="AH83" s="321">
        <f t="shared" si="30"/>
        <v>98</v>
      </c>
      <c r="AI83" s="321">
        <f t="shared" si="30"/>
        <v>98</v>
      </c>
      <c r="AJ83" s="321">
        <f t="shared" si="30"/>
        <v>98</v>
      </c>
      <c r="AK83" s="321">
        <f t="shared" si="30"/>
        <v>98</v>
      </c>
      <c r="AL83" s="321">
        <f t="shared" si="30"/>
        <v>98</v>
      </c>
      <c r="AM83" s="321">
        <f t="shared" si="30"/>
        <v>98</v>
      </c>
      <c r="AN83" s="321">
        <f t="shared" si="30"/>
        <v>98</v>
      </c>
      <c r="AO83" s="321">
        <f t="shared" si="30"/>
        <v>98</v>
      </c>
    </row>
    <row r="84" spans="1:41" ht="18.75">
      <c r="A84" s="499"/>
      <c r="B84" s="341"/>
      <c r="C84" s="453"/>
      <c r="D84" s="444" t="s">
        <v>845</v>
      </c>
      <c r="E84" s="444" t="s">
        <v>951</v>
      </c>
      <c r="F84" s="465" t="s">
        <v>5</v>
      </c>
      <c r="G84" s="132" t="s">
        <v>70</v>
      </c>
      <c r="H84" s="348">
        <v>1</v>
      </c>
      <c r="I84" s="380">
        <f t="shared" si="25"/>
        <v>1</v>
      </c>
      <c r="J84" s="320">
        <f t="shared" si="28"/>
        <v>1</v>
      </c>
      <c r="L84" s="320">
        <f t="shared" si="28"/>
        <v>1</v>
      </c>
      <c r="M84" s="320">
        <f t="shared" si="28"/>
        <v>1</v>
      </c>
      <c r="N84" s="320">
        <f t="shared" si="28"/>
        <v>1</v>
      </c>
      <c r="O84" s="320">
        <f t="shared" si="28"/>
        <v>1</v>
      </c>
      <c r="P84" s="320">
        <f t="shared" si="28"/>
        <v>1</v>
      </c>
      <c r="Q84" s="320">
        <f t="shared" si="28"/>
        <v>1</v>
      </c>
      <c r="R84" s="320">
        <f t="shared" si="28"/>
        <v>1</v>
      </c>
      <c r="S84" s="320">
        <f t="shared" si="28"/>
        <v>1</v>
      </c>
      <c r="T84" s="320">
        <f t="shared" si="28"/>
        <v>1</v>
      </c>
      <c r="U84" s="320">
        <f t="shared" si="29"/>
        <v>1</v>
      </c>
      <c r="V84" s="320">
        <f t="shared" si="29"/>
        <v>1</v>
      </c>
      <c r="W84" s="320">
        <f t="shared" si="29"/>
        <v>1</v>
      </c>
      <c r="X84" s="320">
        <f t="shared" si="29"/>
        <v>1</v>
      </c>
      <c r="Y84" s="320">
        <f t="shared" si="29"/>
        <v>1</v>
      </c>
      <c r="Z84" s="320">
        <f t="shared" si="29"/>
        <v>1</v>
      </c>
      <c r="AA84" s="320">
        <f t="shared" si="29"/>
        <v>1</v>
      </c>
      <c r="AB84" s="320">
        <f t="shared" si="29"/>
        <v>1</v>
      </c>
      <c r="AC84" s="320">
        <f t="shared" si="29"/>
        <v>1</v>
      </c>
      <c r="AD84" s="320">
        <f t="shared" si="29"/>
        <v>1</v>
      </c>
      <c r="AE84" s="320">
        <f t="shared" si="30"/>
        <v>1</v>
      </c>
      <c r="AF84" s="320">
        <f t="shared" si="30"/>
        <v>1</v>
      </c>
      <c r="AG84" s="320">
        <f t="shared" si="30"/>
        <v>1</v>
      </c>
      <c r="AH84" s="320">
        <f t="shared" si="30"/>
        <v>1</v>
      </c>
      <c r="AI84" s="320">
        <f t="shared" si="30"/>
        <v>1</v>
      </c>
      <c r="AJ84" s="320">
        <f t="shared" si="30"/>
        <v>1</v>
      </c>
      <c r="AK84" s="320">
        <f t="shared" si="30"/>
        <v>1</v>
      </c>
      <c r="AL84" s="320">
        <f t="shared" si="30"/>
        <v>1</v>
      </c>
      <c r="AM84" s="320">
        <f t="shared" si="30"/>
        <v>1</v>
      </c>
      <c r="AN84" s="320">
        <f t="shared" si="30"/>
        <v>1</v>
      </c>
      <c r="AO84" s="320">
        <f t="shared" si="30"/>
        <v>1</v>
      </c>
    </row>
    <row r="85" spans="1:41" ht="15">
      <c r="A85" s="499"/>
      <c r="B85" s="341"/>
      <c r="C85" s="453"/>
      <c r="D85" s="444" t="s">
        <v>846</v>
      </c>
      <c r="E85" s="444" t="s">
        <v>952</v>
      </c>
      <c r="F85" s="465" t="s">
        <v>5</v>
      </c>
      <c r="G85" s="132" t="s">
        <v>71</v>
      </c>
      <c r="H85" s="348">
        <v>0</v>
      </c>
      <c r="I85" s="380">
        <f t="shared" si="25"/>
        <v>0</v>
      </c>
      <c r="J85" s="320">
        <f t="shared" si="28"/>
        <v>0</v>
      </c>
      <c r="L85" s="320">
        <f t="shared" si="28"/>
        <v>0</v>
      </c>
      <c r="M85" s="320">
        <f t="shared" si="28"/>
        <v>0</v>
      </c>
      <c r="N85" s="320">
        <f t="shared" si="28"/>
        <v>0</v>
      </c>
      <c r="O85" s="320">
        <f t="shared" si="28"/>
        <v>0</v>
      </c>
      <c r="P85" s="320">
        <f t="shared" si="28"/>
        <v>0</v>
      </c>
      <c r="Q85" s="320">
        <f t="shared" si="28"/>
        <v>0</v>
      </c>
      <c r="R85" s="320">
        <f t="shared" si="28"/>
        <v>0</v>
      </c>
      <c r="S85" s="320">
        <f t="shared" si="28"/>
        <v>0</v>
      </c>
      <c r="T85" s="320">
        <f t="shared" si="28"/>
        <v>0</v>
      </c>
      <c r="U85" s="320">
        <f t="shared" si="29"/>
        <v>0</v>
      </c>
      <c r="V85" s="320">
        <f t="shared" si="29"/>
        <v>0</v>
      </c>
      <c r="W85" s="320">
        <f t="shared" si="29"/>
        <v>0</v>
      </c>
      <c r="X85" s="320">
        <f t="shared" si="29"/>
        <v>0</v>
      </c>
      <c r="Y85" s="320">
        <f t="shared" si="29"/>
        <v>0</v>
      </c>
      <c r="Z85" s="320">
        <f t="shared" si="29"/>
        <v>0</v>
      </c>
      <c r="AA85" s="320">
        <f t="shared" si="29"/>
        <v>0</v>
      </c>
      <c r="AB85" s="320">
        <f t="shared" si="29"/>
        <v>0</v>
      </c>
      <c r="AC85" s="320">
        <f t="shared" si="29"/>
        <v>0</v>
      </c>
      <c r="AD85" s="320">
        <f t="shared" si="29"/>
        <v>0</v>
      </c>
      <c r="AE85" s="320">
        <f t="shared" si="30"/>
        <v>0</v>
      </c>
      <c r="AF85" s="320">
        <f t="shared" si="30"/>
        <v>0</v>
      </c>
      <c r="AG85" s="320">
        <f t="shared" si="30"/>
        <v>0</v>
      </c>
      <c r="AH85" s="320">
        <f t="shared" si="30"/>
        <v>0</v>
      </c>
      <c r="AI85" s="320">
        <f t="shared" si="30"/>
        <v>0</v>
      </c>
      <c r="AJ85" s="320">
        <f t="shared" si="30"/>
        <v>0</v>
      </c>
      <c r="AK85" s="320">
        <f t="shared" si="30"/>
        <v>0</v>
      </c>
      <c r="AL85" s="320">
        <f t="shared" si="30"/>
        <v>0</v>
      </c>
      <c r="AM85" s="320">
        <f t="shared" si="30"/>
        <v>0</v>
      </c>
      <c r="AN85" s="320">
        <f t="shared" si="30"/>
        <v>0</v>
      </c>
      <c r="AO85" s="320">
        <f t="shared" si="30"/>
        <v>0</v>
      </c>
    </row>
    <row r="86" spans="1:41" ht="18.75">
      <c r="A86" s="499"/>
      <c r="B86" s="341"/>
      <c r="C86" s="453"/>
      <c r="D86" s="444" t="s">
        <v>847</v>
      </c>
      <c r="E86" s="444" t="s">
        <v>953</v>
      </c>
      <c r="F86" s="465" t="s">
        <v>5</v>
      </c>
      <c r="G86" s="132" t="s">
        <v>15</v>
      </c>
      <c r="H86" s="348">
        <v>0</v>
      </c>
      <c r="I86" s="380">
        <f t="shared" si="25"/>
        <v>0</v>
      </c>
      <c r="J86" s="320">
        <f t="shared" si="28"/>
        <v>0</v>
      </c>
      <c r="L86" s="320">
        <f t="shared" si="28"/>
        <v>0</v>
      </c>
      <c r="M86" s="320">
        <f t="shared" si="28"/>
        <v>0</v>
      </c>
      <c r="N86" s="320">
        <f t="shared" si="28"/>
        <v>0</v>
      </c>
      <c r="O86" s="320">
        <f t="shared" si="28"/>
        <v>0</v>
      </c>
      <c r="P86" s="320">
        <f t="shared" si="28"/>
        <v>0</v>
      </c>
      <c r="Q86" s="320">
        <f t="shared" si="28"/>
        <v>0</v>
      </c>
      <c r="R86" s="320">
        <f t="shared" si="28"/>
        <v>0</v>
      </c>
      <c r="S86" s="320">
        <f t="shared" si="28"/>
        <v>0</v>
      </c>
      <c r="T86" s="320">
        <f t="shared" si="28"/>
        <v>0</v>
      </c>
      <c r="U86" s="320">
        <f t="shared" si="29"/>
        <v>0</v>
      </c>
      <c r="V86" s="320">
        <f t="shared" si="29"/>
        <v>0</v>
      </c>
      <c r="W86" s="320">
        <f t="shared" si="29"/>
        <v>0</v>
      </c>
      <c r="X86" s="320">
        <f t="shared" si="29"/>
        <v>0</v>
      </c>
      <c r="Y86" s="320">
        <f t="shared" si="29"/>
        <v>0</v>
      </c>
      <c r="Z86" s="320">
        <f t="shared" si="29"/>
        <v>0</v>
      </c>
      <c r="AA86" s="320">
        <f t="shared" si="29"/>
        <v>0</v>
      </c>
      <c r="AB86" s="320">
        <f t="shared" si="29"/>
        <v>0</v>
      </c>
      <c r="AC86" s="320">
        <f t="shared" si="29"/>
        <v>0</v>
      </c>
      <c r="AD86" s="320">
        <f t="shared" si="29"/>
        <v>0</v>
      </c>
      <c r="AE86" s="320">
        <f t="shared" si="30"/>
        <v>0</v>
      </c>
      <c r="AF86" s="320">
        <f t="shared" si="30"/>
        <v>0</v>
      </c>
      <c r="AG86" s="320">
        <f t="shared" si="30"/>
        <v>0</v>
      </c>
      <c r="AH86" s="320">
        <f t="shared" si="30"/>
        <v>0</v>
      </c>
      <c r="AI86" s="320">
        <f t="shared" si="30"/>
        <v>0</v>
      </c>
      <c r="AJ86" s="320">
        <f t="shared" si="30"/>
        <v>0</v>
      </c>
      <c r="AK86" s="320">
        <f t="shared" si="30"/>
        <v>0</v>
      </c>
      <c r="AL86" s="320">
        <f t="shared" si="30"/>
        <v>0</v>
      </c>
      <c r="AM86" s="320">
        <f t="shared" si="30"/>
        <v>0</v>
      </c>
      <c r="AN86" s="320">
        <f t="shared" si="30"/>
        <v>0</v>
      </c>
      <c r="AO86" s="320">
        <f t="shared" si="30"/>
        <v>0</v>
      </c>
    </row>
    <row r="87" spans="1:41" ht="15">
      <c r="A87" s="499"/>
      <c r="B87" s="341"/>
      <c r="C87" s="453"/>
      <c r="D87" s="444" t="s">
        <v>848</v>
      </c>
      <c r="E87" s="444" t="s">
        <v>954</v>
      </c>
      <c r="F87" s="465" t="s">
        <v>5</v>
      </c>
      <c r="G87" s="132" t="s">
        <v>14</v>
      </c>
      <c r="H87" s="348">
        <v>1</v>
      </c>
      <c r="I87" s="380">
        <f t="shared" si="25"/>
        <v>1</v>
      </c>
      <c r="J87" s="320">
        <f t="shared" si="28"/>
        <v>1</v>
      </c>
      <c r="L87" s="320">
        <f t="shared" si="28"/>
        <v>1</v>
      </c>
      <c r="M87" s="320">
        <f t="shared" si="28"/>
        <v>1</v>
      </c>
      <c r="N87" s="320">
        <f t="shared" si="28"/>
        <v>1</v>
      </c>
      <c r="O87" s="320">
        <f t="shared" si="28"/>
        <v>1</v>
      </c>
      <c r="P87" s="320">
        <f t="shared" si="28"/>
        <v>1</v>
      </c>
      <c r="Q87" s="320">
        <f t="shared" si="28"/>
        <v>1</v>
      </c>
      <c r="R87" s="320">
        <f t="shared" si="28"/>
        <v>1</v>
      </c>
      <c r="S87" s="320">
        <f t="shared" si="28"/>
        <v>1</v>
      </c>
      <c r="T87" s="320">
        <f t="shared" si="28"/>
        <v>1</v>
      </c>
      <c r="U87" s="320">
        <f t="shared" si="29"/>
        <v>1</v>
      </c>
      <c r="V87" s="320">
        <f t="shared" si="29"/>
        <v>1</v>
      </c>
      <c r="W87" s="320">
        <f t="shared" si="29"/>
        <v>1</v>
      </c>
      <c r="X87" s="320">
        <f t="shared" si="29"/>
        <v>1</v>
      </c>
      <c r="Y87" s="320">
        <f t="shared" si="29"/>
        <v>1</v>
      </c>
      <c r="Z87" s="320">
        <f t="shared" si="29"/>
        <v>1</v>
      </c>
      <c r="AA87" s="320">
        <f t="shared" si="29"/>
        <v>1</v>
      </c>
      <c r="AB87" s="320">
        <f t="shared" si="29"/>
        <v>1</v>
      </c>
      <c r="AC87" s="320">
        <f t="shared" si="29"/>
        <v>1</v>
      </c>
      <c r="AD87" s="320">
        <f t="shared" si="29"/>
        <v>1</v>
      </c>
      <c r="AE87" s="320">
        <f t="shared" si="30"/>
        <v>1</v>
      </c>
      <c r="AF87" s="320">
        <f t="shared" si="30"/>
        <v>1</v>
      </c>
      <c r="AG87" s="320">
        <f t="shared" si="30"/>
        <v>1</v>
      </c>
      <c r="AH87" s="320">
        <f t="shared" si="30"/>
        <v>1</v>
      </c>
      <c r="AI87" s="320">
        <f t="shared" si="30"/>
        <v>1</v>
      </c>
      <c r="AJ87" s="320">
        <f t="shared" si="30"/>
        <v>1</v>
      </c>
      <c r="AK87" s="320">
        <f t="shared" si="30"/>
        <v>1</v>
      </c>
      <c r="AL87" s="320">
        <f t="shared" si="30"/>
        <v>1</v>
      </c>
      <c r="AM87" s="320">
        <f t="shared" si="30"/>
        <v>1</v>
      </c>
      <c r="AN87" s="320">
        <f t="shared" si="30"/>
        <v>1</v>
      </c>
      <c r="AO87" s="320">
        <f t="shared" si="30"/>
        <v>1</v>
      </c>
    </row>
    <row r="88" spans="1:41" ht="15">
      <c r="A88" s="499"/>
      <c r="B88" s="341"/>
      <c r="C88" s="453"/>
      <c r="D88" s="444" t="s">
        <v>849</v>
      </c>
      <c r="E88" s="444" t="s">
        <v>955</v>
      </c>
      <c r="F88" s="465" t="s">
        <v>5</v>
      </c>
      <c r="G88" s="132" t="s">
        <v>16</v>
      </c>
      <c r="H88" s="348">
        <v>0</v>
      </c>
      <c r="I88" s="380">
        <f t="shared" si="25"/>
        <v>0</v>
      </c>
      <c r="J88" s="320">
        <f t="shared" si="28"/>
        <v>0</v>
      </c>
      <c r="L88" s="320">
        <f t="shared" si="28"/>
        <v>0</v>
      </c>
      <c r="M88" s="320">
        <f t="shared" si="28"/>
        <v>0</v>
      </c>
      <c r="N88" s="320">
        <f t="shared" si="28"/>
        <v>0</v>
      </c>
      <c r="O88" s="320">
        <f t="shared" si="28"/>
        <v>0</v>
      </c>
      <c r="P88" s="320">
        <f t="shared" si="28"/>
        <v>0</v>
      </c>
      <c r="Q88" s="320">
        <f t="shared" si="28"/>
        <v>0</v>
      </c>
      <c r="R88" s="320">
        <f t="shared" si="28"/>
        <v>0</v>
      </c>
      <c r="S88" s="320">
        <f t="shared" si="28"/>
        <v>0</v>
      </c>
      <c r="T88" s="320">
        <f t="shared" si="28"/>
        <v>0</v>
      </c>
      <c r="U88" s="320">
        <f t="shared" si="29"/>
        <v>0</v>
      </c>
      <c r="V88" s="320">
        <f t="shared" si="29"/>
        <v>0</v>
      </c>
      <c r="W88" s="320">
        <f t="shared" si="29"/>
        <v>0</v>
      </c>
      <c r="X88" s="320">
        <f t="shared" si="29"/>
        <v>0</v>
      </c>
      <c r="Y88" s="320">
        <f t="shared" si="29"/>
        <v>0</v>
      </c>
      <c r="Z88" s="320">
        <f t="shared" si="29"/>
        <v>0</v>
      </c>
      <c r="AA88" s="320">
        <f t="shared" si="29"/>
        <v>0</v>
      </c>
      <c r="AB88" s="320">
        <f t="shared" si="29"/>
        <v>0</v>
      </c>
      <c r="AC88" s="320">
        <f t="shared" si="29"/>
        <v>0</v>
      </c>
      <c r="AD88" s="320">
        <f t="shared" si="29"/>
        <v>0</v>
      </c>
      <c r="AE88" s="320">
        <f t="shared" si="30"/>
        <v>0</v>
      </c>
      <c r="AF88" s="320">
        <f t="shared" si="30"/>
        <v>0</v>
      </c>
      <c r="AG88" s="320">
        <f t="shared" si="30"/>
        <v>0</v>
      </c>
      <c r="AH88" s="320">
        <f t="shared" si="30"/>
        <v>0</v>
      </c>
      <c r="AI88" s="320">
        <f t="shared" si="30"/>
        <v>0</v>
      </c>
      <c r="AJ88" s="320">
        <f t="shared" si="30"/>
        <v>0</v>
      </c>
      <c r="AK88" s="320">
        <f t="shared" si="30"/>
        <v>0</v>
      </c>
      <c r="AL88" s="320">
        <f t="shared" si="30"/>
        <v>0</v>
      </c>
      <c r="AM88" s="320">
        <f t="shared" si="30"/>
        <v>0</v>
      </c>
      <c r="AN88" s="320">
        <f t="shared" si="30"/>
        <v>0</v>
      </c>
      <c r="AO88" s="320">
        <f t="shared" si="30"/>
        <v>0</v>
      </c>
    </row>
    <row r="89" spans="1:41" ht="15.75" thickBot="1">
      <c r="A89" s="76" t="s">
        <v>97</v>
      </c>
      <c r="B89" s="263"/>
      <c r="C89" s="448"/>
      <c r="D89" s="444" t="s">
        <v>634</v>
      </c>
      <c r="E89" s="444" t="s">
        <v>956</v>
      </c>
      <c r="F89" s="466"/>
      <c r="G89" s="137"/>
      <c r="H89" s="351">
        <v>2.4160803999999989</v>
      </c>
      <c r="I89" s="381">
        <f t="shared" si="25"/>
        <v>2.4160803999999989</v>
      </c>
      <c r="J89" s="325">
        <f>(2.01568*J83/100)+(28.0314*J84/100)+(28.01*J85/100)+(44.01*J86/100)+(16.04*J87/100)+(30.07*J88/100)</f>
        <v>2.4160804000000002</v>
      </c>
      <c r="K89" s="438"/>
      <c r="L89" s="325">
        <f t="shared" ref="L89:AO89" si="31">(2.01568*L83/100)+(28.0314*L84/100)+(28.01*L85/100)+(44.01*L86/100)+(16.04*L87/100)+(30.07*L88/100)</f>
        <v>2.4160804000000002</v>
      </c>
      <c r="M89" s="325">
        <f t="shared" si="31"/>
        <v>2.4160804000000002</v>
      </c>
      <c r="N89" s="325">
        <f t="shared" si="31"/>
        <v>2.4160804000000002</v>
      </c>
      <c r="O89" s="325">
        <f t="shared" si="31"/>
        <v>2.4160804000000002</v>
      </c>
      <c r="P89" s="325">
        <f t="shared" si="31"/>
        <v>2.4160804000000002</v>
      </c>
      <c r="Q89" s="325">
        <f t="shared" si="31"/>
        <v>2.4160804000000002</v>
      </c>
      <c r="R89" s="325">
        <f t="shared" si="31"/>
        <v>2.4160804000000002</v>
      </c>
      <c r="S89" s="325">
        <f t="shared" si="31"/>
        <v>2.4160804000000002</v>
      </c>
      <c r="T89" s="325">
        <f t="shared" si="31"/>
        <v>2.4160804000000002</v>
      </c>
      <c r="U89" s="325">
        <f t="shared" si="31"/>
        <v>2.4160804000000002</v>
      </c>
      <c r="V89" s="325">
        <f t="shared" si="31"/>
        <v>2.4160804000000002</v>
      </c>
      <c r="W89" s="325">
        <f t="shared" si="31"/>
        <v>2.4160804000000002</v>
      </c>
      <c r="X89" s="325">
        <f t="shared" si="31"/>
        <v>2.4160804000000002</v>
      </c>
      <c r="Y89" s="325">
        <f t="shared" si="31"/>
        <v>2.4160804000000002</v>
      </c>
      <c r="Z89" s="325">
        <f t="shared" si="31"/>
        <v>2.4160804000000002</v>
      </c>
      <c r="AA89" s="325">
        <f t="shared" si="31"/>
        <v>2.4160804000000002</v>
      </c>
      <c r="AB89" s="325">
        <f t="shared" si="31"/>
        <v>2.4160804000000002</v>
      </c>
      <c r="AC89" s="325">
        <f t="shared" si="31"/>
        <v>2.4160804000000002</v>
      </c>
      <c r="AD89" s="325">
        <f t="shared" si="31"/>
        <v>2.4160804000000002</v>
      </c>
      <c r="AE89" s="325">
        <f t="shared" si="31"/>
        <v>2.4160804000000002</v>
      </c>
      <c r="AF89" s="325">
        <f t="shared" si="31"/>
        <v>2.4160804000000002</v>
      </c>
      <c r="AG89" s="325">
        <f t="shared" si="31"/>
        <v>2.4160804000000002</v>
      </c>
      <c r="AH89" s="325">
        <f t="shared" si="31"/>
        <v>2.4160804000000002</v>
      </c>
      <c r="AI89" s="325">
        <f t="shared" si="31"/>
        <v>2.4160804000000002</v>
      </c>
      <c r="AJ89" s="325">
        <f t="shared" si="31"/>
        <v>2.4160804000000002</v>
      </c>
      <c r="AK89" s="325">
        <f t="shared" si="31"/>
        <v>2.4160804000000002</v>
      </c>
      <c r="AL89" s="325">
        <f t="shared" si="31"/>
        <v>2.4160804000000002</v>
      </c>
      <c r="AM89" s="325">
        <f t="shared" si="31"/>
        <v>2.4160804000000002</v>
      </c>
      <c r="AN89" s="325">
        <f t="shared" si="31"/>
        <v>2.4160804000000002</v>
      </c>
      <c r="AO89" s="325">
        <f t="shared" si="31"/>
        <v>2.4160804000000002</v>
      </c>
    </row>
    <row r="90" spans="1:41" ht="18.75">
      <c r="A90" s="499" t="s">
        <v>100</v>
      </c>
      <c r="B90" s="67"/>
      <c r="C90" s="456"/>
      <c r="D90" s="444" t="s">
        <v>587</v>
      </c>
      <c r="E90" s="444" t="s">
        <v>957</v>
      </c>
      <c r="F90" s="467" t="s">
        <v>5</v>
      </c>
      <c r="G90" s="138" t="s">
        <v>21</v>
      </c>
      <c r="H90" s="347">
        <v>45.599999999999994</v>
      </c>
      <c r="I90" s="382">
        <f t="shared" si="25"/>
        <v>45.59999999999998</v>
      </c>
      <c r="J90" s="319">
        <f t="shared" ref="J90:T99" si="32">$H90</f>
        <v>45.599999999999994</v>
      </c>
      <c r="L90" s="319">
        <f t="shared" si="32"/>
        <v>45.599999999999994</v>
      </c>
      <c r="M90" s="319">
        <f t="shared" si="32"/>
        <v>45.599999999999994</v>
      </c>
      <c r="N90" s="319">
        <f t="shared" si="32"/>
        <v>45.599999999999994</v>
      </c>
      <c r="O90" s="319">
        <f t="shared" si="32"/>
        <v>45.599999999999994</v>
      </c>
      <c r="P90" s="319">
        <f t="shared" si="32"/>
        <v>45.599999999999994</v>
      </c>
      <c r="Q90" s="319">
        <f t="shared" si="32"/>
        <v>45.599999999999994</v>
      </c>
      <c r="R90" s="319">
        <f t="shared" si="32"/>
        <v>45.599999999999994</v>
      </c>
      <c r="S90" s="319">
        <f t="shared" si="32"/>
        <v>45.599999999999994</v>
      </c>
      <c r="T90" s="319">
        <f t="shared" si="32"/>
        <v>45.599999999999994</v>
      </c>
      <c r="U90" s="319">
        <f t="shared" ref="U90:AD99" si="33">$H90</f>
        <v>45.599999999999994</v>
      </c>
      <c r="V90" s="319">
        <f t="shared" si="33"/>
        <v>45.599999999999994</v>
      </c>
      <c r="W90" s="319">
        <f t="shared" si="33"/>
        <v>45.599999999999994</v>
      </c>
      <c r="X90" s="319">
        <f t="shared" si="33"/>
        <v>45.599999999999994</v>
      </c>
      <c r="Y90" s="319">
        <f t="shared" si="33"/>
        <v>45.599999999999994</v>
      </c>
      <c r="Z90" s="319">
        <f t="shared" si="33"/>
        <v>45.599999999999994</v>
      </c>
      <c r="AA90" s="319">
        <f t="shared" si="33"/>
        <v>45.599999999999994</v>
      </c>
      <c r="AB90" s="319">
        <f t="shared" si="33"/>
        <v>45.599999999999994</v>
      </c>
      <c r="AC90" s="319">
        <f t="shared" si="33"/>
        <v>45.599999999999994</v>
      </c>
      <c r="AD90" s="319">
        <f t="shared" si="33"/>
        <v>45.599999999999994</v>
      </c>
      <c r="AE90" s="319">
        <f t="shared" ref="AE90:AO99" si="34">$H90</f>
        <v>45.599999999999994</v>
      </c>
      <c r="AF90" s="319">
        <f t="shared" si="34"/>
        <v>45.599999999999994</v>
      </c>
      <c r="AG90" s="319">
        <f t="shared" si="34"/>
        <v>45.599999999999994</v>
      </c>
      <c r="AH90" s="319">
        <f t="shared" si="34"/>
        <v>45.599999999999994</v>
      </c>
      <c r="AI90" s="319">
        <f t="shared" si="34"/>
        <v>45.599999999999994</v>
      </c>
      <c r="AJ90" s="319">
        <f t="shared" si="34"/>
        <v>45.599999999999994</v>
      </c>
      <c r="AK90" s="319">
        <f t="shared" si="34"/>
        <v>45.599999999999994</v>
      </c>
      <c r="AL90" s="319">
        <f t="shared" si="34"/>
        <v>45.599999999999994</v>
      </c>
      <c r="AM90" s="319">
        <f t="shared" si="34"/>
        <v>45.599999999999994</v>
      </c>
      <c r="AN90" s="319">
        <f t="shared" si="34"/>
        <v>45.599999999999994</v>
      </c>
      <c r="AO90" s="319">
        <f t="shared" si="34"/>
        <v>45.599999999999994</v>
      </c>
    </row>
    <row r="91" spans="1:41" ht="18.75">
      <c r="A91" s="499"/>
      <c r="B91" s="341"/>
      <c r="C91" s="453"/>
      <c r="D91" s="444" t="s">
        <v>850</v>
      </c>
      <c r="E91" s="444" t="s">
        <v>958</v>
      </c>
      <c r="F91" s="465" t="s">
        <v>5</v>
      </c>
      <c r="G91" s="132" t="s">
        <v>70</v>
      </c>
      <c r="H91" s="348">
        <v>26.899999999999984</v>
      </c>
      <c r="I91" s="380">
        <f t="shared" si="25"/>
        <v>26.899999999999981</v>
      </c>
      <c r="J91" s="320">
        <f t="shared" si="32"/>
        <v>26.899999999999984</v>
      </c>
      <c r="L91" s="320">
        <f t="shared" si="32"/>
        <v>26.899999999999984</v>
      </c>
      <c r="M91" s="320">
        <f t="shared" si="32"/>
        <v>26.899999999999984</v>
      </c>
      <c r="N91" s="320">
        <f t="shared" si="32"/>
        <v>26.899999999999984</v>
      </c>
      <c r="O91" s="320">
        <f t="shared" si="32"/>
        <v>26.899999999999984</v>
      </c>
      <c r="P91" s="320">
        <f t="shared" si="32"/>
        <v>26.899999999999984</v>
      </c>
      <c r="Q91" s="320">
        <f t="shared" si="32"/>
        <v>26.899999999999984</v>
      </c>
      <c r="R91" s="320">
        <f t="shared" si="32"/>
        <v>26.899999999999984</v>
      </c>
      <c r="S91" s="320">
        <f t="shared" si="32"/>
        <v>26.899999999999984</v>
      </c>
      <c r="T91" s="320">
        <f t="shared" si="32"/>
        <v>26.899999999999984</v>
      </c>
      <c r="U91" s="320">
        <f t="shared" si="33"/>
        <v>26.899999999999984</v>
      </c>
      <c r="V91" s="320">
        <f t="shared" si="33"/>
        <v>26.899999999999984</v>
      </c>
      <c r="W91" s="320">
        <f t="shared" si="33"/>
        <v>26.899999999999984</v>
      </c>
      <c r="X91" s="320">
        <f t="shared" si="33"/>
        <v>26.899999999999984</v>
      </c>
      <c r="Y91" s="320">
        <f t="shared" si="33"/>
        <v>26.899999999999984</v>
      </c>
      <c r="Z91" s="320">
        <f t="shared" si="33"/>
        <v>26.899999999999984</v>
      </c>
      <c r="AA91" s="320">
        <f t="shared" si="33"/>
        <v>26.899999999999984</v>
      </c>
      <c r="AB91" s="320">
        <f t="shared" si="33"/>
        <v>26.899999999999984</v>
      </c>
      <c r="AC91" s="320">
        <f t="shared" si="33"/>
        <v>26.899999999999984</v>
      </c>
      <c r="AD91" s="320">
        <f t="shared" si="33"/>
        <v>26.899999999999984</v>
      </c>
      <c r="AE91" s="320">
        <f t="shared" si="34"/>
        <v>26.899999999999984</v>
      </c>
      <c r="AF91" s="320">
        <f t="shared" si="34"/>
        <v>26.899999999999984</v>
      </c>
      <c r="AG91" s="320">
        <f t="shared" si="34"/>
        <v>26.899999999999984</v>
      </c>
      <c r="AH91" s="320">
        <f t="shared" si="34"/>
        <v>26.899999999999984</v>
      </c>
      <c r="AI91" s="320">
        <f t="shared" si="34"/>
        <v>26.899999999999984</v>
      </c>
      <c r="AJ91" s="320">
        <f t="shared" si="34"/>
        <v>26.899999999999984</v>
      </c>
      <c r="AK91" s="320">
        <f t="shared" si="34"/>
        <v>26.899999999999984</v>
      </c>
      <c r="AL91" s="320">
        <f t="shared" si="34"/>
        <v>26.899999999999984</v>
      </c>
      <c r="AM91" s="320">
        <f t="shared" si="34"/>
        <v>26.899999999999984</v>
      </c>
      <c r="AN91" s="320">
        <f t="shared" si="34"/>
        <v>26.899999999999984</v>
      </c>
      <c r="AO91" s="320">
        <f t="shared" si="34"/>
        <v>26.899999999999984</v>
      </c>
    </row>
    <row r="92" spans="1:41" ht="15">
      <c r="A92" s="499"/>
      <c r="B92" s="341"/>
      <c r="C92" s="453"/>
      <c r="D92" s="444" t="s">
        <v>851</v>
      </c>
      <c r="E92" s="444" t="s">
        <v>959</v>
      </c>
      <c r="F92" s="465" t="s">
        <v>5</v>
      </c>
      <c r="G92" s="132" t="s">
        <v>71</v>
      </c>
      <c r="H92" s="348">
        <v>0</v>
      </c>
      <c r="I92" s="380">
        <f t="shared" si="25"/>
        <v>0</v>
      </c>
      <c r="J92" s="320">
        <f t="shared" si="32"/>
        <v>0</v>
      </c>
      <c r="L92" s="320">
        <f t="shared" si="32"/>
        <v>0</v>
      </c>
      <c r="M92" s="320">
        <f t="shared" si="32"/>
        <v>0</v>
      </c>
      <c r="N92" s="320">
        <f t="shared" si="32"/>
        <v>0</v>
      </c>
      <c r="O92" s="320">
        <f t="shared" si="32"/>
        <v>0</v>
      </c>
      <c r="P92" s="320">
        <f t="shared" si="32"/>
        <v>0</v>
      </c>
      <c r="Q92" s="320">
        <f t="shared" si="32"/>
        <v>0</v>
      </c>
      <c r="R92" s="320">
        <f t="shared" si="32"/>
        <v>0</v>
      </c>
      <c r="S92" s="320">
        <f t="shared" si="32"/>
        <v>0</v>
      </c>
      <c r="T92" s="320">
        <f t="shared" si="32"/>
        <v>0</v>
      </c>
      <c r="U92" s="320">
        <f t="shared" si="33"/>
        <v>0</v>
      </c>
      <c r="V92" s="320">
        <f t="shared" si="33"/>
        <v>0</v>
      </c>
      <c r="W92" s="320">
        <f t="shared" si="33"/>
        <v>0</v>
      </c>
      <c r="X92" s="320">
        <f t="shared" si="33"/>
        <v>0</v>
      </c>
      <c r="Y92" s="320">
        <f t="shared" si="33"/>
        <v>0</v>
      </c>
      <c r="Z92" s="320">
        <f t="shared" si="33"/>
        <v>0</v>
      </c>
      <c r="AA92" s="320">
        <f t="shared" si="33"/>
        <v>0</v>
      </c>
      <c r="AB92" s="320">
        <f t="shared" si="33"/>
        <v>0</v>
      </c>
      <c r="AC92" s="320">
        <f t="shared" si="33"/>
        <v>0</v>
      </c>
      <c r="AD92" s="320">
        <f t="shared" si="33"/>
        <v>0</v>
      </c>
      <c r="AE92" s="320">
        <f t="shared" si="34"/>
        <v>0</v>
      </c>
      <c r="AF92" s="320">
        <f t="shared" si="34"/>
        <v>0</v>
      </c>
      <c r="AG92" s="320">
        <f t="shared" si="34"/>
        <v>0</v>
      </c>
      <c r="AH92" s="320">
        <f t="shared" si="34"/>
        <v>0</v>
      </c>
      <c r="AI92" s="320">
        <f t="shared" si="34"/>
        <v>0</v>
      </c>
      <c r="AJ92" s="320">
        <f t="shared" si="34"/>
        <v>0</v>
      </c>
      <c r="AK92" s="320">
        <f t="shared" si="34"/>
        <v>0</v>
      </c>
      <c r="AL92" s="320">
        <f t="shared" si="34"/>
        <v>0</v>
      </c>
      <c r="AM92" s="320">
        <f t="shared" si="34"/>
        <v>0</v>
      </c>
      <c r="AN92" s="320">
        <f t="shared" si="34"/>
        <v>0</v>
      </c>
      <c r="AO92" s="320">
        <f t="shared" si="34"/>
        <v>0</v>
      </c>
    </row>
    <row r="93" spans="1:41" ht="18.75">
      <c r="A93" s="499"/>
      <c r="B93" s="341"/>
      <c r="C93" s="453"/>
      <c r="D93" s="444" t="s">
        <v>852</v>
      </c>
      <c r="E93" s="444" t="s">
        <v>960</v>
      </c>
      <c r="F93" s="465" t="s">
        <v>5</v>
      </c>
      <c r="G93" s="132" t="s">
        <v>15</v>
      </c>
      <c r="H93" s="348">
        <v>0</v>
      </c>
      <c r="I93" s="380">
        <f t="shared" si="25"/>
        <v>0</v>
      </c>
      <c r="J93" s="320">
        <f t="shared" si="32"/>
        <v>0</v>
      </c>
      <c r="L93" s="320">
        <f t="shared" si="32"/>
        <v>0</v>
      </c>
      <c r="M93" s="320">
        <f t="shared" si="32"/>
        <v>0</v>
      </c>
      <c r="N93" s="320">
        <f t="shared" si="32"/>
        <v>0</v>
      </c>
      <c r="O93" s="320">
        <f t="shared" si="32"/>
        <v>0</v>
      </c>
      <c r="P93" s="320">
        <f t="shared" si="32"/>
        <v>0</v>
      </c>
      <c r="Q93" s="320">
        <f t="shared" si="32"/>
        <v>0</v>
      </c>
      <c r="R93" s="320">
        <f t="shared" si="32"/>
        <v>0</v>
      </c>
      <c r="S93" s="320">
        <f t="shared" si="32"/>
        <v>0</v>
      </c>
      <c r="T93" s="320">
        <f t="shared" si="32"/>
        <v>0</v>
      </c>
      <c r="U93" s="320">
        <f t="shared" si="33"/>
        <v>0</v>
      </c>
      <c r="V93" s="320">
        <f t="shared" si="33"/>
        <v>0</v>
      </c>
      <c r="W93" s="320">
        <f t="shared" si="33"/>
        <v>0</v>
      </c>
      <c r="X93" s="320">
        <f t="shared" si="33"/>
        <v>0</v>
      </c>
      <c r="Y93" s="320">
        <f t="shared" si="33"/>
        <v>0</v>
      </c>
      <c r="Z93" s="320">
        <f t="shared" si="33"/>
        <v>0</v>
      </c>
      <c r="AA93" s="320">
        <f t="shared" si="33"/>
        <v>0</v>
      </c>
      <c r="AB93" s="320">
        <f t="shared" si="33"/>
        <v>0</v>
      </c>
      <c r="AC93" s="320">
        <f t="shared" si="33"/>
        <v>0</v>
      </c>
      <c r="AD93" s="320">
        <f t="shared" si="33"/>
        <v>0</v>
      </c>
      <c r="AE93" s="320">
        <f t="shared" si="34"/>
        <v>0</v>
      </c>
      <c r="AF93" s="320">
        <f t="shared" si="34"/>
        <v>0</v>
      </c>
      <c r="AG93" s="320">
        <f t="shared" si="34"/>
        <v>0</v>
      </c>
      <c r="AH93" s="320">
        <f t="shared" si="34"/>
        <v>0</v>
      </c>
      <c r="AI93" s="320">
        <f t="shared" si="34"/>
        <v>0</v>
      </c>
      <c r="AJ93" s="320">
        <f t="shared" si="34"/>
        <v>0</v>
      </c>
      <c r="AK93" s="320">
        <f t="shared" si="34"/>
        <v>0</v>
      </c>
      <c r="AL93" s="320">
        <f t="shared" si="34"/>
        <v>0</v>
      </c>
      <c r="AM93" s="320">
        <f t="shared" si="34"/>
        <v>0</v>
      </c>
      <c r="AN93" s="320">
        <f t="shared" si="34"/>
        <v>0</v>
      </c>
      <c r="AO93" s="320">
        <f t="shared" si="34"/>
        <v>0</v>
      </c>
    </row>
    <row r="94" spans="1:41" ht="15">
      <c r="A94" s="499"/>
      <c r="B94" s="341"/>
      <c r="C94" s="453"/>
      <c r="D94" s="444" t="s">
        <v>853</v>
      </c>
      <c r="E94" s="444" t="s">
        <v>961</v>
      </c>
      <c r="F94" s="465" t="s">
        <v>5</v>
      </c>
      <c r="G94" s="132" t="s">
        <v>14</v>
      </c>
      <c r="H94" s="348">
        <v>16.800000000000008</v>
      </c>
      <c r="I94" s="380">
        <f t="shared" si="25"/>
        <v>16.800000000000008</v>
      </c>
      <c r="J94" s="320">
        <f t="shared" si="32"/>
        <v>16.800000000000008</v>
      </c>
      <c r="L94" s="320">
        <f t="shared" si="32"/>
        <v>16.800000000000008</v>
      </c>
      <c r="M94" s="320">
        <f t="shared" si="32"/>
        <v>16.800000000000008</v>
      </c>
      <c r="N94" s="320">
        <f t="shared" si="32"/>
        <v>16.800000000000008</v>
      </c>
      <c r="O94" s="320">
        <f t="shared" si="32"/>
        <v>16.800000000000008</v>
      </c>
      <c r="P94" s="320">
        <f t="shared" si="32"/>
        <v>16.800000000000008</v>
      </c>
      <c r="Q94" s="320">
        <f t="shared" si="32"/>
        <v>16.800000000000008</v>
      </c>
      <c r="R94" s="320">
        <f t="shared" si="32"/>
        <v>16.800000000000008</v>
      </c>
      <c r="S94" s="320">
        <f t="shared" si="32"/>
        <v>16.800000000000008</v>
      </c>
      <c r="T94" s="320">
        <f t="shared" si="32"/>
        <v>16.800000000000008</v>
      </c>
      <c r="U94" s="320">
        <f t="shared" si="33"/>
        <v>16.800000000000008</v>
      </c>
      <c r="V94" s="320">
        <f t="shared" si="33"/>
        <v>16.800000000000008</v>
      </c>
      <c r="W94" s="320">
        <f t="shared" si="33"/>
        <v>16.800000000000008</v>
      </c>
      <c r="X94" s="320">
        <f t="shared" si="33"/>
        <v>16.800000000000008</v>
      </c>
      <c r="Y94" s="320">
        <f t="shared" si="33"/>
        <v>16.800000000000008</v>
      </c>
      <c r="Z94" s="320">
        <f t="shared" si="33"/>
        <v>16.800000000000008</v>
      </c>
      <c r="AA94" s="320">
        <f t="shared" si="33"/>
        <v>16.800000000000008</v>
      </c>
      <c r="AB94" s="320">
        <f t="shared" si="33"/>
        <v>16.800000000000008</v>
      </c>
      <c r="AC94" s="320">
        <f t="shared" si="33"/>
        <v>16.800000000000008</v>
      </c>
      <c r="AD94" s="320">
        <f t="shared" si="33"/>
        <v>16.800000000000008</v>
      </c>
      <c r="AE94" s="320">
        <f t="shared" si="34"/>
        <v>16.800000000000008</v>
      </c>
      <c r="AF94" s="320">
        <f t="shared" si="34"/>
        <v>16.800000000000008</v>
      </c>
      <c r="AG94" s="320">
        <f t="shared" si="34"/>
        <v>16.800000000000008</v>
      </c>
      <c r="AH94" s="320">
        <f t="shared" si="34"/>
        <v>16.800000000000008</v>
      </c>
      <c r="AI94" s="320">
        <f t="shared" si="34"/>
        <v>16.800000000000008</v>
      </c>
      <c r="AJ94" s="320">
        <f t="shared" si="34"/>
        <v>16.800000000000008</v>
      </c>
      <c r="AK94" s="320">
        <f t="shared" si="34"/>
        <v>16.800000000000008</v>
      </c>
      <c r="AL94" s="320">
        <f t="shared" si="34"/>
        <v>16.800000000000008</v>
      </c>
      <c r="AM94" s="320">
        <f t="shared" si="34"/>
        <v>16.800000000000008</v>
      </c>
      <c r="AN94" s="320">
        <f t="shared" si="34"/>
        <v>16.800000000000008</v>
      </c>
      <c r="AO94" s="320">
        <f t="shared" si="34"/>
        <v>16.800000000000008</v>
      </c>
    </row>
    <row r="95" spans="1:41" ht="15">
      <c r="A95" s="499"/>
      <c r="B95" s="341"/>
      <c r="C95" s="453"/>
      <c r="D95" s="444" t="s">
        <v>854</v>
      </c>
      <c r="E95" s="444" t="s">
        <v>962</v>
      </c>
      <c r="F95" s="465" t="s">
        <v>5</v>
      </c>
      <c r="G95" s="132" t="s">
        <v>16</v>
      </c>
      <c r="H95" s="348">
        <v>2.5999999999999996</v>
      </c>
      <c r="I95" s="380">
        <f t="shared" si="25"/>
        <v>2.5999999999999992</v>
      </c>
      <c r="J95" s="320">
        <f t="shared" si="32"/>
        <v>2.5999999999999996</v>
      </c>
      <c r="L95" s="320">
        <f t="shared" si="32"/>
        <v>2.5999999999999996</v>
      </c>
      <c r="M95" s="320">
        <f t="shared" si="32"/>
        <v>2.5999999999999996</v>
      </c>
      <c r="N95" s="320">
        <f t="shared" si="32"/>
        <v>2.5999999999999996</v>
      </c>
      <c r="O95" s="320">
        <f t="shared" si="32"/>
        <v>2.5999999999999996</v>
      </c>
      <c r="P95" s="320">
        <f t="shared" si="32"/>
        <v>2.5999999999999996</v>
      </c>
      <c r="Q95" s="320">
        <f t="shared" si="32"/>
        <v>2.5999999999999996</v>
      </c>
      <c r="R95" s="320">
        <f t="shared" si="32"/>
        <v>2.5999999999999996</v>
      </c>
      <c r="S95" s="320">
        <f t="shared" si="32"/>
        <v>2.5999999999999996</v>
      </c>
      <c r="T95" s="320">
        <f t="shared" si="32"/>
        <v>2.5999999999999996</v>
      </c>
      <c r="U95" s="320">
        <f t="shared" si="33"/>
        <v>2.5999999999999996</v>
      </c>
      <c r="V95" s="320">
        <f t="shared" si="33"/>
        <v>2.5999999999999996</v>
      </c>
      <c r="W95" s="320">
        <f t="shared" si="33"/>
        <v>2.5999999999999996</v>
      </c>
      <c r="X95" s="320">
        <f t="shared" si="33"/>
        <v>2.5999999999999996</v>
      </c>
      <c r="Y95" s="320">
        <f t="shared" si="33"/>
        <v>2.5999999999999996</v>
      </c>
      <c r="Z95" s="320">
        <f t="shared" si="33"/>
        <v>2.5999999999999996</v>
      </c>
      <c r="AA95" s="320">
        <f t="shared" si="33"/>
        <v>2.5999999999999996</v>
      </c>
      <c r="AB95" s="320">
        <f t="shared" si="33"/>
        <v>2.5999999999999996</v>
      </c>
      <c r="AC95" s="320">
        <f t="shared" si="33"/>
        <v>2.5999999999999996</v>
      </c>
      <c r="AD95" s="320">
        <f t="shared" si="33"/>
        <v>2.5999999999999996</v>
      </c>
      <c r="AE95" s="320">
        <f t="shared" si="34"/>
        <v>2.5999999999999996</v>
      </c>
      <c r="AF95" s="320">
        <f t="shared" si="34"/>
        <v>2.5999999999999996</v>
      </c>
      <c r="AG95" s="320">
        <f t="shared" si="34"/>
        <v>2.5999999999999996</v>
      </c>
      <c r="AH95" s="320">
        <f t="shared" si="34"/>
        <v>2.5999999999999996</v>
      </c>
      <c r="AI95" s="320">
        <f t="shared" si="34"/>
        <v>2.5999999999999996</v>
      </c>
      <c r="AJ95" s="320">
        <f t="shared" si="34"/>
        <v>2.5999999999999996</v>
      </c>
      <c r="AK95" s="320">
        <f t="shared" si="34"/>
        <v>2.5999999999999996</v>
      </c>
      <c r="AL95" s="320">
        <f t="shared" si="34"/>
        <v>2.5999999999999996</v>
      </c>
      <c r="AM95" s="320">
        <f t="shared" si="34"/>
        <v>2.5999999999999996</v>
      </c>
      <c r="AN95" s="320">
        <f t="shared" si="34"/>
        <v>2.5999999999999996</v>
      </c>
      <c r="AO95" s="320">
        <f t="shared" si="34"/>
        <v>2.5999999999999996</v>
      </c>
    </row>
    <row r="96" spans="1:41" ht="15">
      <c r="A96" s="499"/>
      <c r="B96" s="341"/>
      <c r="C96" s="453"/>
      <c r="D96" s="444" t="s">
        <v>855</v>
      </c>
      <c r="E96" s="444" t="s">
        <v>963</v>
      </c>
      <c r="F96" s="465" t="s">
        <v>5</v>
      </c>
      <c r="G96" s="132" t="s">
        <v>17</v>
      </c>
      <c r="H96" s="348">
        <v>5</v>
      </c>
      <c r="I96" s="380">
        <f t="shared" si="25"/>
        <v>5</v>
      </c>
      <c r="J96" s="320">
        <f t="shared" si="32"/>
        <v>5</v>
      </c>
      <c r="L96" s="320">
        <f t="shared" si="32"/>
        <v>5</v>
      </c>
      <c r="M96" s="320">
        <f t="shared" si="32"/>
        <v>5</v>
      </c>
      <c r="N96" s="320">
        <f t="shared" si="32"/>
        <v>5</v>
      </c>
      <c r="O96" s="320">
        <f t="shared" si="32"/>
        <v>5</v>
      </c>
      <c r="P96" s="320">
        <f t="shared" si="32"/>
        <v>5</v>
      </c>
      <c r="Q96" s="320">
        <f t="shared" si="32"/>
        <v>5</v>
      </c>
      <c r="R96" s="320">
        <f t="shared" si="32"/>
        <v>5</v>
      </c>
      <c r="S96" s="320">
        <f t="shared" si="32"/>
        <v>5</v>
      </c>
      <c r="T96" s="320">
        <f t="shared" si="32"/>
        <v>5</v>
      </c>
      <c r="U96" s="320">
        <f t="shared" si="33"/>
        <v>5</v>
      </c>
      <c r="V96" s="320">
        <f t="shared" si="33"/>
        <v>5</v>
      </c>
      <c r="W96" s="320">
        <f t="shared" si="33"/>
        <v>5</v>
      </c>
      <c r="X96" s="320">
        <f t="shared" si="33"/>
        <v>5</v>
      </c>
      <c r="Y96" s="320">
        <f t="shared" si="33"/>
        <v>5</v>
      </c>
      <c r="Z96" s="320">
        <f t="shared" si="33"/>
        <v>5</v>
      </c>
      <c r="AA96" s="320">
        <f t="shared" si="33"/>
        <v>5</v>
      </c>
      <c r="AB96" s="320">
        <f t="shared" si="33"/>
        <v>5</v>
      </c>
      <c r="AC96" s="320">
        <f t="shared" si="33"/>
        <v>5</v>
      </c>
      <c r="AD96" s="320">
        <f t="shared" si="33"/>
        <v>5</v>
      </c>
      <c r="AE96" s="320">
        <f t="shared" si="34"/>
        <v>5</v>
      </c>
      <c r="AF96" s="320">
        <f t="shared" si="34"/>
        <v>5</v>
      </c>
      <c r="AG96" s="320">
        <f t="shared" si="34"/>
        <v>5</v>
      </c>
      <c r="AH96" s="320">
        <f t="shared" si="34"/>
        <v>5</v>
      </c>
      <c r="AI96" s="320">
        <f t="shared" si="34"/>
        <v>5</v>
      </c>
      <c r="AJ96" s="320">
        <f t="shared" si="34"/>
        <v>5</v>
      </c>
      <c r="AK96" s="320">
        <f t="shared" si="34"/>
        <v>5</v>
      </c>
      <c r="AL96" s="320">
        <f t="shared" si="34"/>
        <v>5</v>
      </c>
      <c r="AM96" s="320">
        <f t="shared" si="34"/>
        <v>5</v>
      </c>
      <c r="AN96" s="320">
        <f t="shared" si="34"/>
        <v>5</v>
      </c>
      <c r="AO96" s="320">
        <f t="shared" si="34"/>
        <v>5</v>
      </c>
    </row>
    <row r="97" spans="1:41" ht="15">
      <c r="A97" s="499"/>
      <c r="B97" s="341"/>
      <c r="C97" s="453"/>
      <c r="D97" s="444" t="s">
        <v>856</v>
      </c>
      <c r="E97" s="444" t="s">
        <v>964</v>
      </c>
      <c r="F97" s="465" t="s">
        <v>5</v>
      </c>
      <c r="G97" s="132" t="s">
        <v>93</v>
      </c>
      <c r="H97" s="348">
        <v>2.2999999999999985</v>
      </c>
      <c r="I97" s="380">
        <f t="shared" si="25"/>
        <v>2.2999999999999976</v>
      </c>
      <c r="J97" s="320">
        <f t="shared" si="32"/>
        <v>2.2999999999999985</v>
      </c>
      <c r="L97" s="320">
        <f t="shared" si="32"/>
        <v>2.2999999999999985</v>
      </c>
      <c r="M97" s="320">
        <f t="shared" si="32"/>
        <v>2.2999999999999985</v>
      </c>
      <c r="N97" s="320">
        <f t="shared" si="32"/>
        <v>2.2999999999999985</v>
      </c>
      <c r="O97" s="320">
        <f t="shared" si="32"/>
        <v>2.2999999999999985</v>
      </c>
      <c r="P97" s="320">
        <f t="shared" si="32"/>
        <v>2.2999999999999985</v>
      </c>
      <c r="Q97" s="320">
        <f t="shared" si="32"/>
        <v>2.2999999999999985</v>
      </c>
      <c r="R97" s="320">
        <f t="shared" si="32"/>
        <v>2.2999999999999985</v>
      </c>
      <c r="S97" s="320">
        <f t="shared" si="32"/>
        <v>2.2999999999999985</v>
      </c>
      <c r="T97" s="320">
        <f t="shared" si="32"/>
        <v>2.2999999999999985</v>
      </c>
      <c r="U97" s="320">
        <f t="shared" si="33"/>
        <v>2.2999999999999985</v>
      </c>
      <c r="V97" s="320">
        <f t="shared" si="33"/>
        <v>2.2999999999999985</v>
      </c>
      <c r="W97" s="320">
        <f t="shared" si="33"/>
        <v>2.2999999999999985</v>
      </c>
      <c r="X97" s="320">
        <f t="shared" si="33"/>
        <v>2.2999999999999985</v>
      </c>
      <c r="Y97" s="320">
        <f t="shared" si="33"/>
        <v>2.2999999999999985</v>
      </c>
      <c r="Z97" s="320">
        <f t="shared" si="33"/>
        <v>2.2999999999999985</v>
      </c>
      <c r="AA97" s="320">
        <f t="shared" si="33"/>
        <v>2.2999999999999985</v>
      </c>
      <c r="AB97" s="320">
        <f t="shared" si="33"/>
        <v>2.2999999999999985</v>
      </c>
      <c r="AC97" s="320">
        <f t="shared" si="33"/>
        <v>2.2999999999999985</v>
      </c>
      <c r="AD97" s="320">
        <f t="shared" si="33"/>
        <v>2.2999999999999985</v>
      </c>
      <c r="AE97" s="320">
        <f t="shared" si="34"/>
        <v>2.2999999999999985</v>
      </c>
      <c r="AF97" s="320">
        <f t="shared" si="34"/>
        <v>2.2999999999999985</v>
      </c>
      <c r="AG97" s="320">
        <f t="shared" si="34"/>
        <v>2.2999999999999985</v>
      </c>
      <c r="AH97" s="320">
        <f t="shared" si="34"/>
        <v>2.2999999999999985</v>
      </c>
      <c r="AI97" s="320">
        <f t="shared" si="34"/>
        <v>2.2999999999999985</v>
      </c>
      <c r="AJ97" s="320">
        <f t="shared" si="34"/>
        <v>2.2999999999999985</v>
      </c>
      <c r="AK97" s="320">
        <f t="shared" si="34"/>
        <v>2.2999999999999985</v>
      </c>
      <c r="AL97" s="320">
        <f t="shared" si="34"/>
        <v>2.2999999999999985</v>
      </c>
      <c r="AM97" s="320">
        <f t="shared" si="34"/>
        <v>2.2999999999999985</v>
      </c>
      <c r="AN97" s="320">
        <f t="shared" si="34"/>
        <v>2.2999999999999985</v>
      </c>
      <c r="AO97" s="320">
        <f t="shared" si="34"/>
        <v>2.2999999999999985</v>
      </c>
    </row>
    <row r="98" spans="1:41" ht="15">
      <c r="A98" s="499"/>
      <c r="B98" s="341"/>
      <c r="C98" s="453"/>
      <c r="D98" s="444" t="s">
        <v>857</v>
      </c>
      <c r="E98" s="444" t="s">
        <v>965</v>
      </c>
      <c r="F98" s="465" t="s">
        <v>5</v>
      </c>
      <c r="G98" s="132" t="s">
        <v>20</v>
      </c>
      <c r="H98" s="348">
        <v>0.6</v>
      </c>
      <c r="I98" s="380">
        <f t="shared" si="25"/>
        <v>0.60000000000000009</v>
      </c>
      <c r="J98" s="320">
        <f t="shared" si="32"/>
        <v>0.6</v>
      </c>
      <c r="L98" s="320">
        <f t="shared" si="32"/>
        <v>0.6</v>
      </c>
      <c r="M98" s="320">
        <f t="shared" si="32"/>
        <v>0.6</v>
      </c>
      <c r="N98" s="320">
        <f t="shared" si="32"/>
        <v>0.6</v>
      </c>
      <c r="O98" s="320">
        <f t="shared" si="32"/>
        <v>0.6</v>
      </c>
      <c r="P98" s="320">
        <f t="shared" si="32"/>
        <v>0.6</v>
      </c>
      <c r="Q98" s="320">
        <f t="shared" si="32"/>
        <v>0.6</v>
      </c>
      <c r="R98" s="320">
        <f t="shared" si="32"/>
        <v>0.6</v>
      </c>
      <c r="S98" s="320">
        <f t="shared" si="32"/>
        <v>0.6</v>
      </c>
      <c r="T98" s="320">
        <f t="shared" si="32"/>
        <v>0.6</v>
      </c>
      <c r="U98" s="320">
        <f t="shared" si="33"/>
        <v>0.6</v>
      </c>
      <c r="V98" s="320">
        <f t="shared" si="33"/>
        <v>0.6</v>
      </c>
      <c r="W98" s="320">
        <f t="shared" si="33"/>
        <v>0.6</v>
      </c>
      <c r="X98" s="320">
        <f t="shared" si="33"/>
        <v>0.6</v>
      </c>
      <c r="Y98" s="320">
        <f t="shared" si="33"/>
        <v>0.6</v>
      </c>
      <c r="Z98" s="320">
        <f t="shared" si="33"/>
        <v>0.6</v>
      </c>
      <c r="AA98" s="320">
        <f t="shared" si="33"/>
        <v>0.6</v>
      </c>
      <c r="AB98" s="320">
        <f t="shared" si="33"/>
        <v>0.6</v>
      </c>
      <c r="AC98" s="320">
        <f t="shared" si="33"/>
        <v>0.6</v>
      </c>
      <c r="AD98" s="320">
        <f t="shared" si="33"/>
        <v>0.6</v>
      </c>
      <c r="AE98" s="320">
        <f t="shared" si="34"/>
        <v>0.6</v>
      </c>
      <c r="AF98" s="320">
        <f t="shared" si="34"/>
        <v>0.6</v>
      </c>
      <c r="AG98" s="320">
        <f t="shared" si="34"/>
        <v>0.6</v>
      </c>
      <c r="AH98" s="320">
        <f t="shared" si="34"/>
        <v>0.6</v>
      </c>
      <c r="AI98" s="320">
        <f t="shared" si="34"/>
        <v>0.6</v>
      </c>
      <c r="AJ98" s="320">
        <f t="shared" si="34"/>
        <v>0.6</v>
      </c>
      <c r="AK98" s="320">
        <f t="shared" si="34"/>
        <v>0.6</v>
      </c>
      <c r="AL98" s="320">
        <f t="shared" si="34"/>
        <v>0.6</v>
      </c>
      <c r="AM98" s="320">
        <f t="shared" si="34"/>
        <v>0.6</v>
      </c>
      <c r="AN98" s="320">
        <f t="shared" si="34"/>
        <v>0.6</v>
      </c>
      <c r="AO98" s="320">
        <f t="shared" si="34"/>
        <v>0.6</v>
      </c>
    </row>
    <row r="99" spans="1:41" ht="15.75" thickBot="1">
      <c r="A99" s="499"/>
      <c r="B99" s="74"/>
      <c r="C99" s="457"/>
      <c r="D99" s="444" t="s">
        <v>858</v>
      </c>
      <c r="E99" s="444" t="s">
        <v>966</v>
      </c>
      <c r="F99" s="468" t="s">
        <v>5</v>
      </c>
      <c r="G99" s="136" t="s">
        <v>94</v>
      </c>
      <c r="H99" s="349">
        <v>0.20000000000000009</v>
      </c>
      <c r="I99" s="383">
        <f t="shared" si="25"/>
        <v>0.20000000000000015</v>
      </c>
      <c r="J99" s="323">
        <f t="shared" si="32"/>
        <v>0.20000000000000009</v>
      </c>
      <c r="L99" s="323">
        <f t="shared" si="32"/>
        <v>0.20000000000000009</v>
      </c>
      <c r="M99" s="323">
        <f t="shared" si="32"/>
        <v>0.20000000000000009</v>
      </c>
      <c r="N99" s="323">
        <f t="shared" si="32"/>
        <v>0.20000000000000009</v>
      </c>
      <c r="O99" s="323">
        <f t="shared" si="32"/>
        <v>0.20000000000000009</v>
      </c>
      <c r="P99" s="323">
        <f t="shared" si="32"/>
        <v>0.20000000000000009</v>
      </c>
      <c r="Q99" s="323">
        <f t="shared" si="32"/>
        <v>0.20000000000000009</v>
      </c>
      <c r="R99" s="323">
        <f t="shared" si="32"/>
        <v>0.20000000000000009</v>
      </c>
      <c r="S99" s="323">
        <f t="shared" si="32"/>
        <v>0.20000000000000009</v>
      </c>
      <c r="T99" s="323">
        <f t="shared" si="32"/>
        <v>0.20000000000000009</v>
      </c>
      <c r="U99" s="323">
        <f t="shared" si="33"/>
        <v>0.20000000000000009</v>
      </c>
      <c r="V99" s="323">
        <f t="shared" si="33"/>
        <v>0.20000000000000009</v>
      </c>
      <c r="W99" s="323">
        <f t="shared" si="33"/>
        <v>0.20000000000000009</v>
      </c>
      <c r="X99" s="323">
        <f t="shared" si="33"/>
        <v>0.20000000000000009</v>
      </c>
      <c r="Y99" s="323">
        <f t="shared" si="33"/>
        <v>0.20000000000000009</v>
      </c>
      <c r="Z99" s="323">
        <f t="shared" si="33"/>
        <v>0.20000000000000009</v>
      </c>
      <c r="AA99" s="323">
        <f t="shared" si="33"/>
        <v>0.20000000000000009</v>
      </c>
      <c r="AB99" s="323">
        <f t="shared" si="33"/>
        <v>0.20000000000000009</v>
      </c>
      <c r="AC99" s="323">
        <f t="shared" si="33"/>
        <v>0.20000000000000009</v>
      </c>
      <c r="AD99" s="323">
        <f t="shared" si="33"/>
        <v>0.20000000000000009</v>
      </c>
      <c r="AE99" s="323">
        <f t="shared" si="34"/>
        <v>0.20000000000000009</v>
      </c>
      <c r="AF99" s="323">
        <f t="shared" si="34"/>
        <v>0.20000000000000009</v>
      </c>
      <c r="AG99" s="323">
        <f t="shared" si="34"/>
        <v>0.20000000000000009</v>
      </c>
      <c r="AH99" s="323">
        <f t="shared" si="34"/>
        <v>0.20000000000000009</v>
      </c>
      <c r="AI99" s="323">
        <f t="shared" si="34"/>
        <v>0.20000000000000009</v>
      </c>
      <c r="AJ99" s="323">
        <f t="shared" si="34"/>
        <v>0.20000000000000009</v>
      </c>
      <c r="AK99" s="323">
        <f t="shared" si="34"/>
        <v>0.20000000000000009</v>
      </c>
      <c r="AL99" s="323">
        <f t="shared" si="34"/>
        <v>0.20000000000000009</v>
      </c>
      <c r="AM99" s="323">
        <f t="shared" si="34"/>
        <v>0.20000000000000009</v>
      </c>
      <c r="AN99" s="323">
        <f t="shared" si="34"/>
        <v>0.20000000000000009</v>
      </c>
      <c r="AO99" s="323">
        <f t="shared" si="34"/>
        <v>0.20000000000000009</v>
      </c>
    </row>
    <row r="100" spans="1:41" ht="15.75" thickBot="1">
      <c r="A100" s="332" t="s">
        <v>103</v>
      </c>
      <c r="B100" s="451" t="s">
        <v>633</v>
      </c>
      <c r="C100" s="463"/>
      <c r="D100" s="444" t="s">
        <v>633</v>
      </c>
      <c r="E100" s="444" t="s">
        <v>967</v>
      </c>
      <c r="F100" s="472"/>
      <c r="G100" s="451"/>
      <c r="H100" s="387">
        <v>16.083002679999996</v>
      </c>
      <c r="I100" s="384">
        <f t="shared" si="25"/>
        <v>16.083002679999996</v>
      </c>
      <c r="J100" s="331">
        <f>(2.01568*J90/100)+(28.0314*J91/100)+(28.01*J92/100)+(44.01*J93/100)+(16.04*J94/100)+(30.07*J95/100)+(44.097*J96/100)+(58.12*J97/100)+(72.15*J98/100)+(86.178*J99/100)</f>
        <v>16.083002679999996</v>
      </c>
      <c r="K100" s="438"/>
      <c r="L100" s="331">
        <f t="shared" ref="L100:AO100" si="35">(2.01568*L90/100)+(28.0314*L91/100)+(28.01*L92/100)+(44.01*L93/100)+(16.04*L94/100)+(30.07*L95/100)+(44.097*L96/100)+(58.12*L97/100)+(72.15*L98/100)+(86.178*L99/100)</f>
        <v>16.083002679999996</v>
      </c>
      <c r="M100" s="331">
        <f t="shared" si="35"/>
        <v>16.083002679999996</v>
      </c>
      <c r="N100" s="331">
        <f t="shared" si="35"/>
        <v>16.083002679999996</v>
      </c>
      <c r="O100" s="331">
        <f t="shared" si="35"/>
        <v>16.083002679999996</v>
      </c>
      <c r="P100" s="331">
        <f t="shared" si="35"/>
        <v>16.083002679999996</v>
      </c>
      <c r="Q100" s="331">
        <f t="shared" si="35"/>
        <v>16.083002679999996</v>
      </c>
      <c r="R100" s="331">
        <f t="shared" si="35"/>
        <v>16.083002679999996</v>
      </c>
      <c r="S100" s="331">
        <f t="shared" si="35"/>
        <v>16.083002679999996</v>
      </c>
      <c r="T100" s="331">
        <f t="shared" si="35"/>
        <v>16.083002679999996</v>
      </c>
      <c r="U100" s="331">
        <f t="shared" si="35"/>
        <v>16.083002679999996</v>
      </c>
      <c r="V100" s="331">
        <f t="shared" si="35"/>
        <v>16.083002679999996</v>
      </c>
      <c r="W100" s="331">
        <f t="shared" si="35"/>
        <v>16.083002679999996</v>
      </c>
      <c r="X100" s="331">
        <f t="shared" si="35"/>
        <v>16.083002679999996</v>
      </c>
      <c r="Y100" s="331">
        <f t="shared" si="35"/>
        <v>16.083002679999996</v>
      </c>
      <c r="Z100" s="331">
        <f t="shared" si="35"/>
        <v>16.083002679999996</v>
      </c>
      <c r="AA100" s="331">
        <f t="shared" si="35"/>
        <v>16.083002679999996</v>
      </c>
      <c r="AB100" s="331">
        <f t="shared" si="35"/>
        <v>16.083002679999996</v>
      </c>
      <c r="AC100" s="331">
        <f t="shared" si="35"/>
        <v>16.083002679999996</v>
      </c>
      <c r="AD100" s="331">
        <f t="shared" si="35"/>
        <v>16.083002679999996</v>
      </c>
      <c r="AE100" s="331">
        <f t="shared" si="35"/>
        <v>16.083002679999996</v>
      </c>
      <c r="AF100" s="331">
        <f t="shared" si="35"/>
        <v>16.083002679999996</v>
      </c>
      <c r="AG100" s="331">
        <f t="shared" si="35"/>
        <v>16.083002679999996</v>
      </c>
      <c r="AH100" s="331">
        <f t="shared" si="35"/>
        <v>16.083002679999996</v>
      </c>
      <c r="AI100" s="331">
        <f t="shared" si="35"/>
        <v>16.083002679999996</v>
      </c>
      <c r="AJ100" s="331">
        <f t="shared" si="35"/>
        <v>16.083002679999996</v>
      </c>
      <c r="AK100" s="331">
        <f t="shared" si="35"/>
        <v>16.083002679999996</v>
      </c>
      <c r="AL100" s="331">
        <f t="shared" si="35"/>
        <v>16.083002679999996</v>
      </c>
      <c r="AM100" s="331">
        <f t="shared" si="35"/>
        <v>16.083002679999996</v>
      </c>
      <c r="AN100" s="331">
        <f t="shared" si="35"/>
        <v>16.083002679999996</v>
      </c>
      <c r="AO100" s="331">
        <f t="shared" si="35"/>
        <v>16.083002679999996</v>
      </c>
    </row>
    <row r="101" spans="1:41" ht="28.5">
      <c r="A101" s="502" t="s">
        <v>238</v>
      </c>
      <c r="B101" s="72"/>
      <c r="C101" s="455"/>
      <c r="D101" s="444" t="s">
        <v>861</v>
      </c>
      <c r="E101" s="444" t="s">
        <v>968</v>
      </c>
      <c r="F101" s="464" t="s">
        <v>5</v>
      </c>
      <c r="G101" s="131" t="s">
        <v>227</v>
      </c>
      <c r="H101" s="350">
        <v>1</v>
      </c>
      <c r="I101" s="379">
        <f t="shared" si="25"/>
        <v>1</v>
      </c>
      <c r="J101" s="321">
        <f t="shared" ref="J101:T111" si="36">$H101</f>
        <v>1</v>
      </c>
      <c r="L101" s="321">
        <f t="shared" si="36"/>
        <v>1</v>
      </c>
      <c r="M101" s="321">
        <f t="shared" si="36"/>
        <v>1</v>
      </c>
      <c r="N101" s="321">
        <f t="shared" si="36"/>
        <v>1</v>
      </c>
      <c r="O101" s="321">
        <f t="shared" si="36"/>
        <v>1</v>
      </c>
      <c r="P101" s="321">
        <f t="shared" si="36"/>
        <v>1</v>
      </c>
      <c r="Q101" s="321">
        <f t="shared" si="36"/>
        <v>1</v>
      </c>
      <c r="R101" s="321">
        <f t="shared" si="36"/>
        <v>1</v>
      </c>
      <c r="S101" s="321">
        <f t="shared" si="36"/>
        <v>1</v>
      </c>
      <c r="T101" s="321">
        <f t="shared" si="36"/>
        <v>1</v>
      </c>
      <c r="U101" s="321">
        <f t="shared" ref="U101:AD111" si="37">$H101</f>
        <v>1</v>
      </c>
      <c r="V101" s="321">
        <f t="shared" si="37"/>
        <v>1</v>
      </c>
      <c r="W101" s="321">
        <f t="shared" si="37"/>
        <v>1</v>
      </c>
      <c r="X101" s="321">
        <f t="shared" si="37"/>
        <v>1</v>
      </c>
      <c r="Y101" s="321">
        <f t="shared" si="37"/>
        <v>1</v>
      </c>
      <c r="Z101" s="321">
        <f t="shared" si="37"/>
        <v>1</v>
      </c>
      <c r="AA101" s="321">
        <f t="shared" si="37"/>
        <v>1</v>
      </c>
      <c r="AB101" s="321">
        <f t="shared" si="37"/>
        <v>1</v>
      </c>
      <c r="AC101" s="321">
        <f t="shared" si="37"/>
        <v>1</v>
      </c>
      <c r="AD101" s="321">
        <f t="shared" si="37"/>
        <v>1</v>
      </c>
      <c r="AE101" s="321">
        <f t="shared" ref="AE101:AO111" si="38">$H101</f>
        <v>1</v>
      </c>
      <c r="AF101" s="321">
        <f t="shared" si="38"/>
        <v>1</v>
      </c>
      <c r="AG101" s="321">
        <f t="shared" si="38"/>
        <v>1</v>
      </c>
      <c r="AH101" s="321">
        <f t="shared" si="38"/>
        <v>1</v>
      </c>
      <c r="AI101" s="321">
        <f t="shared" si="38"/>
        <v>1</v>
      </c>
      <c r="AJ101" s="321">
        <f t="shared" si="38"/>
        <v>1</v>
      </c>
      <c r="AK101" s="321">
        <f t="shared" si="38"/>
        <v>1</v>
      </c>
      <c r="AL101" s="321">
        <f t="shared" si="38"/>
        <v>1</v>
      </c>
      <c r="AM101" s="321">
        <f t="shared" si="38"/>
        <v>1</v>
      </c>
      <c r="AN101" s="321">
        <f t="shared" si="38"/>
        <v>1</v>
      </c>
      <c r="AO101" s="321">
        <f t="shared" si="38"/>
        <v>1</v>
      </c>
    </row>
    <row r="102" spans="1:41" ht="28.5">
      <c r="A102" s="503"/>
      <c r="B102" s="341"/>
      <c r="C102" s="453"/>
      <c r="D102" s="444" t="s">
        <v>862</v>
      </c>
      <c r="E102" s="444" t="s">
        <v>969</v>
      </c>
      <c r="F102" s="465" t="s">
        <v>5</v>
      </c>
      <c r="G102" s="132" t="s">
        <v>228</v>
      </c>
      <c r="H102" s="348">
        <v>95.960000000000022</v>
      </c>
      <c r="I102" s="380">
        <f t="shared" si="25"/>
        <v>95.960000000000022</v>
      </c>
      <c r="J102" s="320">
        <f t="shared" si="36"/>
        <v>95.960000000000022</v>
      </c>
      <c r="L102" s="320">
        <f t="shared" si="36"/>
        <v>95.960000000000022</v>
      </c>
      <c r="M102" s="320">
        <f t="shared" si="36"/>
        <v>95.960000000000022</v>
      </c>
      <c r="N102" s="320">
        <f t="shared" si="36"/>
        <v>95.960000000000022</v>
      </c>
      <c r="O102" s="320">
        <f t="shared" si="36"/>
        <v>95.960000000000022</v>
      </c>
      <c r="P102" s="320">
        <f t="shared" si="36"/>
        <v>95.960000000000022</v>
      </c>
      <c r="Q102" s="320">
        <f t="shared" si="36"/>
        <v>95.960000000000022</v>
      </c>
      <c r="R102" s="320">
        <f t="shared" si="36"/>
        <v>95.960000000000022</v>
      </c>
      <c r="S102" s="320">
        <f t="shared" si="36"/>
        <v>95.960000000000022</v>
      </c>
      <c r="T102" s="320">
        <f t="shared" si="36"/>
        <v>95.960000000000022</v>
      </c>
      <c r="U102" s="320">
        <f t="shared" si="37"/>
        <v>95.960000000000022</v>
      </c>
      <c r="V102" s="320">
        <f t="shared" si="37"/>
        <v>95.960000000000022</v>
      </c>
      <c r="W102" s="320">
        <f t="shared" si="37"/>
        <v>95.960000000000022</v>
      </c>
      <c r="X102" s="320">
        <f t="shared" si="37"/>
        <v>95.960000000000022</v>
      </c>
      <c r="Y102" s="320">
        <f t="shared" si="37"/>
        <v>95.960000000000022</v>
      </c>
      <c r="Z102" s="320">
        <f t="shared" si="37"/>
        <v>95.960000000000022</v>
      </c>
      <c r="AA102" s="320">
        <f t="shared" si="37"/>
        <v>95.960000000000022</v>
      </c>
      <c r="AB102" s="320">
        <f t="shared" si="37"/>
        <v>95.960000000000022</v>
      </c>
      <c r="AC102" s="320">
        <f t="shared" si="37"/>
        <v>95.960000000000022</v>
      </c>
      <c r="AD102" s="320">
        <f t="shared" si="37"/>
        <v>95.960000000000022</v>
      </c>
      <c r="AE102" s="320">
        <f t="shared" si="38"/>
        <v>95.960000000000022</v>
      </c>
      <c r="AF102" s="320">
        <f t="shared" si="38"/>
        <v>95.960000000000022</v>
      </c>
      <c r="AG102" s="320">
        <f t="shared" si="38"/>
        <v>95.960000000000022</v>
      </c>
      <c r="AH102" s="320">
        <f t="shared" si="38"/>
        <v>95.960000000000022</v>
      </c>
      <c r="AI102" s="320">
        <f t="shared" si="38"/>
        <v>95.960000000000022</v>
      </c>
      <c r="AJ102" s="320">
        <f t="shared" si="38"/>
        <v>95.960000000000022</v>
      </c>
      <c r="AK102" s="320">
        <f t="shared" si="38"/>
        <v>95.960000000000022</v>
      </c>
      <c r="AL102" s="320">
        <f t="shared" si="38"/>
        <v>95.960000000000022</v>
      </c>
      <c r="AM102" s="320">
        <f t="shared" si="38"/>
        <v>95.960000000000022</v>
      </c>
      <c r="AN102" s="320">
        <f t="shared" si="38"/>
        <v>95.960000000000022</v>
      </c>
      <c r="AO102" s="320">
        <f t="shared" si="38"/>
        <v>95.960000000000022</v>
      </c>
    </row>
    <row r="103" spans="1:41" ht="18.75">
      <c r="A103" s="503"/>
      <c r="B103" s="341"/>
      <c r="C103" s="453"/>
      <c r="D103" s="444" t="s">
        <v>859</v>
      </c>
      <c r="E103" s="444" t="s">
        <v>970</v>
      </c>
      <c r="F103" s="465" t="s">
        <v>5</v>
      </c>
      <c r="G103" s="132" t="s">
        <v>21</v>
      </c>
      <c r="H103" s="348">
        <v>3.0600000000000014</v>
      </c>
      <c r="I103" s="380">
        <f t="shared" si="25"/>
        <v>3.0600000000000018</v>
      </c>
      <c r="J103" s="320">
        <f t="shared" si="36"/>
        <v>3.0600000000000014</v>
      </c>
      <c r="L103" s="320">
        <f t="shared" si="36"/>
        <v>3.0600000000000014</v>
      </c>
      <c r="M103" s="320">
        <f t="shared" si="36"/>
        <v>3.0600000000000014</v>
      </c>
      <c r="N103" s="320">
        <f t="shared" si="36"/>
        <v>3.0600000000000014</v>
      </c>
      <c r="O103" s="320">
        <f t="shared" si="36"/>
        <v>3.0600000000000014</v>
      </c>
      <c r="P103" s="320">
        <f t="shared" si="36"/>
        <v>3.0600000000000014</v>
      </c>
      <c r="Q103" s="320">
        <f t="shared" si="36"/>
        <v>3.0600000000000014</v>
      </c>
      <c r="R103" s="320">
        <f t="shared" si="36"/>
        <v>3.0600000000000014</v>
      </c>
      <c r="S103" s="320">
        <f t="shared" si="36"/>
        <v>3.0600000000000014</v>
      </c>
      <c r="T103" s="320">
        <f t="shared" si="36"/>
        <v>3.0600000000000014</v>
      </c>
      <c r="U103" s="320">
        <f t="shared" si="37"/>
        <v>3.0600000000000014</v>
      </c>
      <c r="V103" s="320">
        <f t="shared" si="37"/>
        <v>3.0600000000000014</v>
      </c>
      <c r="W103" s="320">
        <f t="shared" si="37"/>
        <v>3.0600000000000014</v>
      </c>
      <c r="X103" s="320">
        <f t="shared" si="37"/>
        <v>3.0600000000000014</v>
      </c>
      <c r="Y103" s="320">
        <f t="shared" si="37"/>
        <v>3.0600000000000014</v>
      </c>
      <c r="Z103" s="320">
        <f t="shared" si="37"/>
        <v>3.0600000000000014</v>
      </c>
      <c r="AA103" s="320">
        <f t="shared" si="37"/>
        <v>3.0600000000000014</v>
      </c>
      <c r="AB103" s="320">
        <f t="shared" si="37"/>
        <v>3.0600000000000014</v>
      </c>
      <c r="AC103" s="320">
        <f t="shared" si="37"/>
        <v>3.0600000000000014</v>
      </c>
      <c r="AD103" s="320">
        <f t="shared" si="37"/>
        <v>3.0600000000000014</v>
      </c>
      <c r="AE103" s="320">
        <f t="shared" si="38"/>
        <v>3.0600000000000014</v>
      </c>
      <c r="AF103" s="320">
        <f t="shared" si="38"/>
        <v>3.0600000000000014</v>
      </c>
      <c r="AG103" s="320">
        <f t="shared" si="38"/>
        <v>3.0600000000000014</v>
      </c>
      <c r="AH103" s="320">
        <f t="shared" si="38"/>
        <v>3.0600000000000014</v>
      </c>
      <c r="AI103" s="320">
        <f t="shared" si="38"/>
        <v>3.0600000000000014</v>
      </c>
      <c r="AJ103" s="320">
        <f t="shared" si="38"/>
        <v>3.0600000000000014</v>
      </c>
      <c r="AK103" s="320">
        <f t="shared" si="38"/>
        <v>3.0600000000000014</v>
      </c>
      <c r="AL103" s="320">
        <f t="shared" si="38"/>
        <v>3.0600000000000014</v>
      </c>
      <c r="AM103" s="320">
        <f t="shared" si="38"/>
        <v>3.0600000000000014</v>
      </c>
      <c r="AN103" s="320">
        <f t="shared" si="38"/>
        <v>3.0600000000000014</v>
      </c>
      <c r="AO103" s="320">
        <f t="shared" si="38"/>
        <v>3.0600000000000014</v>
      </c>
    </row>
    <row r="104" spans="1:41" ht="18.75">
      <c r="A104" s="503"/>
      <c r="B104" s="341"/>
      <c r="C104" s="453"/>
      <c r="D104" s="444" t="s">
        <v>860</v>
      </c>
      <c r="E104" s="444" t="s">
        <v>971</v>
      </c>
      <c r="F104" s="465" t="s">
        <v>5</v>
      </c>
      <c r="G104" s="132" t="s">
        <v>70</v>
      </c>
      <c r="H104" s="348">
        <v>0.69999999999999962</v>
      </c>
      <c r="I104" s="380">
        <f t="shared" si="25"/>
        <v>0.6999999999999994</v>
      </c>
      <c r="J104" s="320">
        <f t="shared" si="36"/>
        <v>0.69999999999999962</v>
      </c>
      <c r="L104" s="320">
        <f t="shared" si="36"/>
        <v>0.69999999999999962</v>
      </c>
      <c r="M104" s="320">
        <f t="shared" si="36"/>
        <v>0.69999999999999962</v>
      </c>
      <c r="N104" s="320">
        <f t="shared" si="36"/>
        <v>0.69999999999999962</v>
      </c>
      <c r="O104" s="320">
        <f t="shared" si="36"/>
        <v>0.69999999999999962</v>
      </c>
      <c r="P104" s="320">
        <f t="shared" si="36"/>
        <v>0.69999999999999962</v>
      </c>
      <c r="Q104" s="320">
        <f t="shared" si="36"/>
        <v>0.69999999999999962</v>
      </c>
      <c r="R104" s="320">
        <f t="shared" si="36"/>
        <v>0.69999999999999962</v>
      </c>
      <c r="S104" s="320">
        <f t="shared" si="36"/>
        <v>0.69999999999999962</v>
      </c>
      <c r="T104" s="320">
        <f t="shared" si="36"/>
        <v>0.69999999999999962</v>
      </c>
      <c r="U104" s="320">
        <f t="shared" si="37"/>
        <v>0.69999999999999962</v>
      </c>
      <c r="V104" s="320">
        <f t="shared" si="37"/>
        <v>0.69999999999999962</v>
      </c>
      <c r="W104" s="320">
        <f t="shared" si="37"/>
        <v>0.69999999999999962</v>
      </c>
      <c r="X104" s="320">
        <f t="shared" si="37"/>
        <v>0.69999999999999962</v>
      </c>
      <c r="Y104" s="320">
        <f t="shared" si="37"/>
        <v>0.69999999999999962</v>
      </c>
      <c r="Z104" s="320">
        <f t="shared" si="37"/>
        <v>0.69999999999999962</v>
      </c>
      <c r="AA104" s="320">
        <f t="shared" si="37"/>
        <v>0.69999999999999962</v>
      </c>
      <c r="AB104" s="320">
        <f t="shared" si="37"/>
        <v>0.69999999999999962</v>
      </c>
      <c r="AC104" s="320">
        <f t="shared" si="37"/>
        <v>0.69999999999999962</v>
      </c>
      <c r="AD104" s="320">
        <f t="shared" si="37"/>
        <v>0.69999999999999962</v>
      </c>
      <c r="AE104" s="320">
        <f t="shared" si="38"/>
        <v>0.69999999999999962</v>
      </c>
      <c r="AF104" s="320">
        <f t="shared" si="38"/>
        <v>0.69999999999999962</v>
      </c>
      <c r="AG104" s="320">
        <f t="shared" si="38"/>
        <v>0.69999999999999962</v>
      </c>
      <c r="AH104" s="320">
        <f t="shared" si="38"/>
        <v>0.69999999999999962</v>
      </c>
      <c r="AI104" s="320">
        <f t="shared" si="38"/>
        <v>0.69999999999999962</v>
      </c>
      <c r="AJ104" s="320">
        <f t="shared" si="38"/>
        <v>0.69999999999999962</v>
      </c>
      <c r="AK104" s="320">
        <f t="shared" si="38"/>
        <v>0.69999999999999962</v>
      </c>
      <c r="AL104" s="320">
        <f t="shared" si="38"/>
        <v>0.69999999999999962</v>
      </c>
      <c r="AM104" s="320">
        <f t="shared" si="38"/>
        <v>0.69999999999999962</v>
      </c>
      <c r="AN104" s="320">
        <f t="shared" si="38"/>
        <v>0.69999999999999962</v>
      </c>
      <c r="AO104" s="320">
        <f t="shared" si="38"/>
        <v>0.69999999999999962</v>
      </c>
    </row>
    <row r="105" spans="1:41" ht="19.5" thickBot="1">
      <c r="A105" s="504"/>
      <c r="B105" s="263"/>
      <c r="C105" s="448"/>
      <c r="D105" s="444" t="s">
        <v>863</v>
      </c>
      <c r="E105" s="444" t="s">
        <v>972</v>
      </c>
      <c r="F105" s="466" t="s">
        <v>5</v>
      </c>
      <c r="G105" s="137" t="s">
        <v>78</v>
      </c>
      <c r="H105" s="351">
        <v>0.10000000000000005</v>
      </c>
      <c r="I105" s="381">
        <f t="shared" si="25"/>
        <v>0.10000000000000007</v>
      </c>
      <c r="J105" s="322">
        <f t="shared" si="36"/>
        <v>0.10000000000000005</v>
      </c>
      <c r="L105" s="322">
        <f t="shared" si="36"/>
        <v>0.10000000000000005</v>
      </c>
      <c r="M105" s="322">
        <f t="shared" si="36"/>
        <v>0.10000000000000005</v>
      </c>
      <c r="N105" s="322">
        <f t="shared" si="36"/>
        <v>0.10000000000000005</v>
      </c>
      <c r="O105" s="322">
        <f t="shared" si="36"/>
        <v>0.10000000000000005</v>
      </c>
      <c r="P105" s="322">
        <f t="shared" si="36"/>
        <v>0.10000000000000005</v>
      </c>
      <c r="Q105" s="322">
        <f t="shared" si="36"/>
        <v>0.10000000000000005</v>
      </c>
      <c r="R105" s="322">
        <f t="shared" si="36"/>
        <v>0.10000000000000005</v>
      </c>
      <c r="S105" s="322">
        <f t="shared" si="36"/>
        <v>0.10000000000000005</v>
      </c>
      <c r="T105" s="322">
        <f t="shared" si="36"/>
        <v>0.10000000000000005</v>
      </c>
      <c r="U105" s="322">
        <f t="shared" si="37"/>
        <v>0.10000000000000005</v>
      </c>
      <c r="V105" s="322">
        <f t="shared" si="37"/>
        <v>0.10000000000000005</v>
      </c>
      <c r="W105" s="322">
        <f t="shared" si="37"/>
        <v>0.10000000000000005</v>
      </c>
      <c r="X105" s="322">
        <f t="shared" si="37"/>
        <v>0.10000000000000005</v>
      </c>
      <c r="Y105" s="322">
        <f t="shared" si="37"/>
        <v>0.10000000000000005</v>
      </c>
      <c r="Z105" s="322">
        <f t="shared" si="37"/>
        <v>0.10000000000000005</v>
      </c>
      <c r="AA105" s="322">
        <f t="shared" si="37"/>
        <v>0.10000000000000005</v>
      </c>
      <c r="AB105" s="322">
        <f t="shared" si="37"/>
        <v>0.10000000000000005</v>
      </c>
      <c r="AC105" s="322">
        <f t="shared" si="37"/>
        <v>0.10000000000000005</v>
      </c>
      <c r="AD105" s="322">
        <f t="shared" si="37"/>
        <v>0.10000000000000005</v>
      </c>
      <c r="AE105" s="322">
        <f t="shared" si="38"/>
        <v>0.10000000000000005</v>
      </c>
      <c r="AF105" s="322">
        <f t="shared" si="38"/>
        <v>0.10000000000000005</v>
      </c>
      <c r="AG105" s="322">
        <f t="shared" si="38"/>
        <v>0.10000000000000005</v>
      </c>
      <c r="AH105" s="322">
        <f t="shared" si="38"/>
        <v>0.10000000000000005</v>
      </c>
      <c r="AI105" s="322">
        <f t="shared" si="38"/>
        <v>0.10000000000000005</v>
      </c>
      <c r="AJ105" s="322">
        <f t="shared" si="38"/>
        <v>0.10000000000000005</v>
      </c>
      <c r="AK105" s="322">
        <f t="shared" si="38"/>
        <v>0.10000000000000005</v>
      </c>
      <c r="AL105" s="322">
        <f t="shared" si="38"/>
        <v>0.10000000000000005</v>
      </c>
      <c r="AM105" s="322">
        <f t="shared" si="38"/>
        <v>0.10000000000000005</v>
      </c>
      <c r="AN105" s="322">
        <f t="shared" si="38"/>
        <v>0.10000000000000005</v>
      </c>
      <c r="AO105" s="322">
        <f t="shared" si="38"/>
        <v>0.10000000000000005</v>
      </c>
    </row>
    <row r="106" spans="1:41" ht="15">
      <c r="A106" s="496" t="s">
        <v>109</v>
      </c>
      <c r="B106" s="72"/>
      <c r="C106" s="455"/>
      <c r="D106" s="444" t="s">
        <v>864</v>
      </c>
      <c r="E106" s="444" t="s">
        <v>973</v>
      </c>
      <c r="F106" s="464" t="s">
        <v>5</v>
      </c>
      <c r="G106" s="131" t="s">
        <v>110</v>
      </c>
      <c r="H106" s="350">
        <v>41.299999999999976</v>
      </c>
      <c r="I106" s="379">
        <f t="shared" si="25"/>
        <v>41.299999999999962</v>
      </c>
      <c r="J106" s="321">
        <f t="shared" si="36"/>
        <v>41.299999999999976</v>
      </c>
      <c r="L106" s="321">
        <f t="shared" si="36"/>
        <v>41.299999999999976</v>
      </c>
      <c r="M106" s="321">
        <f t="shared" si="36"/>
        <v>41.299999999999976</v>
      </c>
      <c r="N106" s="321">
        <f t="shared" si="36"/>
        <v>41.299999999999976</v>
      </c>
      <c r="O106" s="321">
        <f t="shared" si="36"/>
        <v>41.299999999999976</v>
      </c>
      <c r="P106" s="321">
        <f t="shared" si="36"/>
        <v>41.299999999999976</v>
      </c>
      <c r="Q106" s="321">
        <f t="shared" si="36"/>
        <v>41.299999999999976</v>
      </c>
      <c r="R106" s="321">
        <f t="shared" si="36"/>
        <v>41.299999999999976</v>
      </c>
      <c r="S106" s="321">
        <f t="shared" si="36"/>
        <v>41.299999999999976</v>
      </c>
      <c r="T106" s="321">
        <f t="shared" si="36"/>
        <v>41.299999999999976</v>
      </c>
      <c r="U106" s="321">
        <f t="shared" si="37"/>
        <v>41.299999999999976</v>
      </c>
      <c r="V106" s="321">
        <f t="shared" si="37"/>
        <v>41.299999999999976</v>
      </c>
      <c r="W106" s="321">
        <f t="shared" si="37"/>
        <v>41.299999999999976</v>
      </c>
      <c r="X106" s="321">
        <f t="shared" si="37"/>
        <v>41.299999999999976</v>
      </c>
      <c r="Y106" s="321">
        <f t="shared" si="37"/>
        <v>41.299999999999976</v>
      </c>
      <c r="Z106" s="321">
        <f t="shared" si="37"/>
        <v>41.299999999999976</v>
      </c>
      <c r="AA106" s="321">
        <f t="shared" si="37"/>
        <v>41.299999999999976</v>
      </c>
      <c r="AB106" s="321">
        <f t="shared" si="37"/>
        <v>41.299999999999976</v>
      </c>
      <c r="AC106" s="321">
        <f t="shared" si="37"/>
        <v>41.299999999999976</v>
      </c>
      <c r="AD106" s="321">
        <f t="shared" si="37"/>
        <v>41.299999999999976</v>
      </c>
      <c r="AE106" s="321">
        <f t="shared" si="38"/>
        <v>41.299999999999976</v>
      </c>
      <c r="AF106" s="321">
        <f t="shared" si="38"/>
        <v>41.299999999999976</v>
      </c>
      <c r="AG106" s="321">
        <f t="shared" si="38"/>
        <v>41.299999999999976</v>
      </c>
      <c r="AH106" s="321">
        <f t="shared" si="38"/>
        <v>41.299999999999976</v>
      </c>
      <c r="AI106" s="321">
        <f t="shared" si="38"/>
        <v>41.299999999999976</v>
      </c>
      <c r="AJ106" s="321">
        <f t="shared" si="38"/>
        <v>41.299999999999976</v>
      </c>
      <c r="AK106" s="321">
        <f t="shared" si="38"/>
        <v>41.299999999999976</v>
      </c>
      <c r="AL106" s="321">
        <f t="shared" si="38"/>
        <v>41.299999999999976</v>
      </c>
      <c r="AM106" s="321">
        <f t="shared" si="38"/>
        <v>41.299999999999976</v>
      </c>
      <c r="AN106" s="321">
        <f t="shared" si="38"/>
        <v>41.299999999999976</v>
      </c>
      <c r="AO106" s="321">
        <f t="shared" si="38"/>
        <v>41.299999999999976</v>
      </c>
    </row>
    <row r="107" spans="1:41" ht="15">
      <c r="A107" s="497"/>
      <c r="B107" s="341"/>
      <c r="C107" s="453"/>
      <c r="D107" s="444" t="s">
        <v>865</v>
      </c>
      <c r="E107" s="444" t="s">
        <v>974</v>
      </c>
      <c r="F107" s="465" t="s">
        <v>112</v>
      </c>
      <c r="G107" s="132" t="s">
        <v>111</v>
      </c>
      <c r="H107" s="348">
        <v>73.299999999999983</v>
      </c>
      <c r="I107" s="380">
        <f t="shared" si="25"/>
        <v>73.3</v>
      </c>
      <c r="J107" s="320">
        <f t="shared" si="36"/>
        <v>73.299999999999983</v>
      </c>
      <c r="L107" s="320">
        <f t="shared" si="36"/>
        <v>73.299999999999983</v>
      </c>
      <c r="M107" s="320">
        <f t="shared" si="36"/>
        <v>73.299999999999983</v>
      </c>
      <c r="N107" s="320">
        <f t="shared" si="36"/>
        <v>73.299999999999983</v>
      </c>
      <c r="O107" s="320">
        <f t="shared" si="36"/>
        <v>73.299999999999983</v>
      </c>
      <c r="P107" s="320">
        <f t="shared" si="36"/>
        <v>73.299999999999983</v>
      </c>
      <c r="Q107" s="320">
        <f t="shared" si="36"/>
        <v>73.299999999999983</v>
      </c>
      <c r="R107" s="320">
        <f t="shared" si="36"/>
        <v>73.299999999999983</v>
      </c>
      <c r="S107" s="320">
        <f t="shared" si="36"/>
        <v>73.299999999999983</v>
      </c>
      <c r="T107" s="320">
        <f t="shared" si="36"/>
        <v>73.299999999999983</v>
      </c>
      <c r="U107" s="320">
        <f t="shared" si="37"/>
        <v>73.299999999999983</v>
      </c>
      <c r="V107" s="320">
        <f t="shared" si="37"/>
        <v>73.299999999999983</v>
      </c>
      <c r="W107" s="320">
        <f t="shared" si="37"/>
        <v>73.299999999999983</v>
      </c>
      <c r="X107" s="320">
        <f t="shared" si="37"/>
        <v>73.299999999999983</v>
      </c>
      <c r="Y107" s="320">
        <f t="shared" si="37"/>
        <v>73.299999999999983</v>
      </c>
      <c r="Z107" s="320">
        <f t="shared" si="37"/>
        <v>73.299999999999983</v>
      </c>
      <c r="AA107" s="320">
        <f t="shared" si="37"/>
        <v>73.299999999999983</v>
      </c>
      <c r="AB107" s="320">
        <f t="shared" si="37"/>
        <v>73.299999999999983</v>
      </c>
      <c r="AC107" s="320">
        <f t="shared" si="37"/>
        <v>73.299999999999983</v>
      </c>
      <c r="AD107" s="320">
        <f t="shared" si="37"/>
        <v>73.299999999999983</v>
      </c>
      <c r="AE107" s="320">
        <f t="shared" si="38"/>
        <v>73.299999999999983</v>
      </c>
      <c r="AF107" s="320">
        <f t="shared" si="38"/>
        <v>73.299999999999983</v>
      </c>
      <c r="AG107" s="320">
        <f t="shared" si="38"/>
        <v>73.299999999999983</v>
      </c>
      <c r="AH107" s="320">
        <f t="shared" si="38"/>
        <v>73.299999999999983</v>
      </c>
      <c r="AI107" s="320">
        <f t="shared" si="38"/>
        <v>73.299999999999983</v>
      </c>
      <c r="AJ107" s="320">
        <f t="shared" si="38"/>
        <v>73.299999999999983</v>
      </c>
      <c r="AK107" s="320">
        <f t="shared" si="38"/>
        <v>73.299999999999983</v>
      </c>
      <c r="AL107" s="320">
        <f t="shared" si="38"/>
        <v>73.299999999999983</v>
      </c>
      <c r="AM107" s="320">
        <f t="shared" si="38"/>
        <v>73.299999999999983</v>
      </c>
      <c r="AN107" s="320">
        <f t="shared" si="38"/>
        <v>73.299999999999983</v>
      </c>
      <c r="AO107" s="320">
        <f t="shared" si="38"/>
        <v>73.299999999999983</v>
      </c>
    </row>
    <row r="108" spans="1:41" ht="15">
      <c r="A108" s="497"/>
      <c r="B108" s="341"/>
      <c r="C108" s="453"/>
      <c r="D108" s="444" t="s">
        <v>866</v>
      </c>
      <c r="E108" s="444" t="s">
        <v>975</v>
      </c>
      <c r="F108" s="465" t="s">
        <v>5</v>
      </c>
      <c r="G108" s="132" t="s">
        <v>113</v>
      </c>
      <c r="H108" s="348">
        <v>48</v>
      </c>
      <c r="I108" s="380">
        <f t="shared" si="25"/>
        <v>48</v>
      </c>
      <c r="J108" s="320">
        <f t="shared" si="36"/>
        <v>48</v>
      </c>
      <c r="L108" s="320">
        <f t="shared" si="36"/>
        <v>48</v>
      </c>
      <c r="M108" s="320">
        <f t="shared" si="36"/>
        <v>48</v>
      </c>
      <c r="N108" s="320">
        <f t="shared" si="36"/>
        <v>48</v>
      </c>
      <c r="O108" s="320">
        <f t="shared" si="36"/>
        <v>48</v>
      </c>
      <c r="P108" s="320">
        <f t="shared" si="36"/>
        <v>48</v>
      </c>
      <c r="Q108" s="320">
        <f t="shared" si="36"/>
        <v>48</v>
      </c>
      <c r="R108" s="320">
        <f t="shared" si="36"/>
        <v>48</v>
      </c>
      <c r="S108" s="320">
        <f t="shared" si="36"/>
        <v>48</v>
      </c>
      <c r="T108" s="320">
        <f t="shared" si="36"/>
        <v>48</v>
      </c>
      <c r="U108" s="320">
        <f t="shared" si="37"/>
        <v>48</v>
      </c>
      <c r="V108" s="320">
        <f t="shared" si="37"/>
        <v>48</v>
      </c>
      <c r="W108" s="320">
        <f t="shared" si="37"/>
        <v>48</v>
      </c>
      <c r="X108" s="320">
        <f t="shared" si="37"/>
        <v>48</v>
      </c>
      <c r="Y108" s="320">
        <f t="shared" si="37"/>
        <v>48</v>
      </c>
      <c r="Z108" s="320">
        <f t="shared" si="37"/>
        <v>48</v>
      </c>
      <c r="AA108" s="320">
        <f t="shared" si="37"/>
        <v>48</v>
      </c>
      <c r="AB108" s="320">
        <f t="shared" si="37"/>
        <v>48</v>
      </c>
      <c r="AC108" s="320">
        <f t="shared" si="37"/>
        <v>48</v>
      </c>
      <c r="AD108" s="320">
        <f t="shared" si="37"/>
        <v>48</v>
      </c>
      <c r="AE108" s="320">
        <f t="shared" si="38"/>
        <v>48</v>
      </c>
      <c r="AF108" s="320">
        <f t="shared" si="38"/>
        <v>48</v>
      </c>
      <c r="AG108" s="320">
        <f t="shared" si="38"/>
        <v>48</v>
      </c>
      <c r="AH108" s="320">
        <f t="shared" si="38"/>
        <v>48</v>
      </c>
      <c r="AI108" s="320">
        <f t="shared" si="38"/>
        <v>48</v>
      </c>
      <c r="AJ108" s="320">
        <f t="shared" si="38"/>
        <v>48</v>
      </c>
      <c r="AK108" s="320">
        <f t="shared" si="38"/>
        <v>48</v>
      </c>
      <c r="AL108" s="320">
        <f t="shared" si="38"/>
        <v>48</v>
      </c>
      <c r="AM108" s="320">
        <f t="shared" si="38"/>
        <v>48</v>
      </c>
      <c r="AN108" s="320">
        <f t="shared" si="38"/>
        <v>48</v>
      </c>
      <c r="AO108" s="320">
        <f t="shared" si="38"/>
        <v>48</v>
      </c>
    </row>
    <row r="109" spans="1:41" ht="15">
      <c r="A109" s="497"/>
      <c r="B109" s="341"/>
      <c r="C109" s="453"/>
      <c r="D109" s="444" t="s">
        <v>867</v>
      </c>
      <c r="E109" s="444" t="s">
        <v>976</v>
      </c>
      <c r="F109" s="465" t="s">
        <v>5</v>
      </c>
      <c r="G109" s="132" t="s">
        <v>114</v>
      </c>
      <c r="H109" s="348">
        <v>6.6999999999999975</v>
      </c>
      <c r="I109" s="380">
        <f t="shared" si="25"/>
        <v>6.6999999999999957</v>
      </c>
      <c r="J109" s="320">
        <f t="shared" si="36"/>
        <v>6.6999999999999975</v>
      </c>
      <c r="L109" s="320">
        <f t="shared" si="36"/>
        <v>6.6999999999999975</v>
      </c>
      <c r="M109" s="320">
        <f t="shared" si="36"/>
        <v>6.6999999999999975</v>
      </c>
      <c r="N109" s="320">
        <f t="shared" si="36"/>
        <v>6.6999999999999975</v>
      </c>
      <c r="O109" s="320">
        <f t="shared" si="36"/>
        <v>6.6999999999999975</v>
      </c>
      <c r="P109" s="320">
        <f t="shared" si="36"/>
        <v>6.6999999999999975</v>
      </c>
      <c r="Q109" s="320">
        <f t="shared" si="36"/>
        <v>6.6999999999999975</v>
      </c>
      <c r="R109" s="320">
        <f t="shared" si="36"/>
        <v>6.6999999999999975</v>
      </c>
      <c r="S109" s="320">
        <f t="shared" si="36"/>
        <v>6.6999999999999975</v>
      </c>
      <c r="T109" s="320">
        <f t="shared" si="36"/>
        <v>6.6999999999999975</v>
      </c>
      <c r="U109" s="320">
        <f t="shared" si="37"/>
        <v>6.6999999999999975</v>
      </c>
      <c r="V109" s="320">
        <f t="shared" si="37"/>
        <v>6.6999999999999975</v>
      </c>
      <c r="W109" s="320">
        <f t="shared" si="37"/>
        <v>6.6999999999999975</v>
      </c>
      <c r="X109" s="320">
        <f t="shared" si="37"/>
        <v>6.6999999999999975</v>
      </c>
      <c r="Y109" s="320">
        <f t="shared" si="37"/>
        <v>6.6999999999999975</v>
      </c>
      <c r="Z109" s="320">
        <f t="shared" si="37"/>
        <v>6.6999999999999975</v>
      </c>
      <c r="AA109" s="320">
        <f t="shared" si="37"/>
        <v>6.6999999999999975</v>
      </c>
      <c r="AB109" s="320">
        <f t="shared" si="37"/>
        <v>6.6999999999999975</v>
      </c>
      <c r="AC109" s="320">
        <f t="shared" si="37"/>
        <v>6.6999999999999975</v>
      </c>
      <c r="AD109" s="320">
        <f t="shared" si="37"/>
        <v>6.6999999999999975</v>
      </c>
      <c r="AE109" s="320">
        <f t="shared" si="38"/>
        <v>6.6999999999999975</v>
      </c>
      <c r="AF109" s="320">
        <f t="shared" si="38"/>
        <v>6.6999999999999975</v>
      </c>
      <c r="AG109" s="320">
        <f t="shared" si="38"/>
        <v>6.6999999999999975</v>
      </c>
      <c r="AH109" s="320">
        <f t="shared" si="38"/>
        <v>6.6999999999999975</v>
      </c>
      <c r="AI109" s="320">
        <f t="shared" si="38"/>
        <v>6.6999999999999975</v>
      </c>
      <c r="AJ109" s="320">
        <f t="shared" si="38"/>
        <v>6.6999999999999975</v>
      </c>
      <c r="AK109" s="320">
        <f t="shared" si="38"/>
        <v>6.6999999999999975</v>
      </c>
      <c r="AL109" s="320">
        <f t="shared" si="38"/>
        <v>6.6999999999999975</v>
      </c>
      <c r="AM109" s="320">
        <f t="shared" si="38"/>
        <v>6.6999999999999975</v>
      </c>
      <c r="AN109" s="320">
        <f t="shared" si="38"/>
        <v>6.6999999999999975</v>
      </c>
      <c r="AO109" s="320">
        <f t="shared" si="38"/>
        <v>6.6999999999999975</v>
      </c>
    </row>
    <row r="110" spans="1:41" ht="15">
      <c r="A110" s="497"/>
      <c r="B110" s="341"/>
      <c r="C110" s="453"/>
      <c r="D110" s="444" t="s">
        <v>868</v>
      </c>
      <c r="E110" s="444" t="s">
        <v>977</v>
      </c>
      <c r="F110" s="465" t="s">
        <v>5</v>
      </c>
      <c r="G110" s="132" t="s">
        <v>115</v>
      </c>
      <c r="H110" s="348">
        <v>41.5</v>
      </c>
      <c r="I110" s="380">
        <f t="shared" si="25"/>
        <v>41.5</v>
      </c>
      <c r="J110" s="320">
        <f t="shared" si="36"/>
        <v>41.5</v>
      </c>
      <c r="L110" s="320">
        <f t="shared" si="36"/>
        <v>41.5</v>
      </c>
      <c r="M110" s="320">
        <f t="shared" si="36"/>
        <v>41.5</v>
      </c>
      <c r="N110" s="320">
        <f t="shared" si="36"/>
        <v>41.5</v>
      </c>
      <c r="O110" s="320">
        <f t="shared" si="36"/>
        <v>41.5</v>
      </c>
      <c r="P110" s="320">
        <f t="shared" si="36"/>
        <v>41.5</v>
      </c>
      <c r="Q110" s="320">
        <f t="shared" si="36"/>
        <v>41.5</v>
      </c>
      <c r="R110" s="320">
        <f t="shared" si="36"/>
        <v>41.5</v>
      </c>
      <c r="S110" s="320">
        <f t="shared" si="36"/>
        <v>41.5</v>
      </c>
      <c r="T110" s="320">
        <f t="shared" si="36"/>
        <v>41.5</v>
      </c>
      <c r="U110" s="320">
        <f t="shared" si="37"/>
        <v>41.5</v>
      </c>
      <c r="V110" s="320">
        <f t="shared" si="37"/>
        <v>41.5</v>
      </c>
      <c r="W110" s="320">
        <f t="shared" si="37"/>
        <v>41.5</v>
      </c>
      <c r="X110" s="320">
        <f t="shared" si="37"/>
        <v>41.5</v>
      </c>
      <c r="Y110" s="320">
        <f t="shared" si="37"/>
        <v>41.5</v>
      </c>
      <c r="Z110" s="320">
        <f t="shared" si="37"/>
        <v>41.5</v>
      </c>
      <c r="AA110" s="320">
        <f t="shared" si="37"/>
        <v>41.5</v>
      </c>
      <c r="AB110" s="320">
        <f t="shared" si="37"/>
        <v>41.5</v>
      </c>
      <c r="AC110" s="320">
        <f t="shared" si="37"/>
        <v>41.5</v>
      </c>
      <c r="AD110" s="320">
        <f t="shared" si="37"/>
        <v>41.5</v>
      </c>
      <c r="AE110" s="320">
        <f t="shared" si="38"/>
        <v>41.5</v>
      </c>
      <c r="AF110" s="320">
        <f t="shared" si="38"/>
        <v>41.5</v>
      </c>
      <c r="AG110" s="320">
        <f t="shared" si="38"/>
        <v>41.5</v>
      </c>
      <c r="AH110" s="320">
        <f t="shared" si="38"/>
        <v>41.5</v>
      </c>
      <c r="AI110" s="320">
        <f t="shared" si="38"/>
        <v>41.5</v>
      </c>
      <c r="AJ110" s="320">
        <f t="shared" si="38"/>
        <v>41.5</v>
      </c>
      <c r="AK110" s="320">
        <f t="shared" si="38"/>
        <v>41.5</v>
      </c>
      <c r="AL110" s="320">
        <f t="shared" si="38"/>
        <v>41.5</v>
      </c>
      <c r="AM110" s="320">
        <f t="shared" si="38"/>
        <v>41.5</v>
      </c>
      <c r="AN110" s="320">
        <f t="shared" si="38"/>
        <v>41.5</v>
      </c>
      <c r="AO110" s="320">
        <f t="shared" si="38"/>
        <v>41.5</v>
      </c>
    </row>
    <row r="111" spans="1:41" ht="15.75" thickBot="1">
      <c r="A111" s="498"/>
      <c r="B111" s="263"/>
      <c r="C111" s="448"/>
      <c r="D111" s="444" t="s">
        <v>869</v>
      </c>
      <c r="E111" s="444" t="s">
        <v>978</v>
      </c>
      <c r="F111" s="466" t="s">
        <v>5</v>
      </c>
      <c r="G111" s="137" t="s">
        <v>116</v>
      </c>
      <c r="H111" s="351">
        <v>0.20000000000000009</v>
      </c>
      <c r="I111" s="381">
        <f t="shared" si="25"/>
        <v>0.20000000000000015</v>
      </c>
      <c r="J111" s="322">
        <f t="shared" si="36"/>
        <v>0.20000000000000009</v>
      </c>
      <c r="L111" s="322">
        <f t="shared" si="36"/>
        <v>0.20000000000000009</v>
      </c>
      <c r="M111" s="322">
        <f t="shared" si="36"/>
        <v>0.20000000000000009</v>
      </c>
      <c r="N111" s="322">
        <f t="shared" si="36"/>
        <v>0.20000000000000009</v>
      </c>
      <c r="O111" s="322">
        <f t="shared" si="36"/>
        <v>0.20000000000000009</v>
      </c>
      <c r="P111" s="322">
        <f t="shared" si="36"/>
        <v>0.20000000000000009</v>
      </c>
      <c r="Q111" s="322">
        <f t="shared" si="36"/>
        <v>0.20000000000000009</v>
      </c>
      <c r="R111" s="322">
        <f t="shared" si="36"/>
        <v>0.20000000000000009</v>
      </c>
      <c r="S111" s="322">
        <f t="shared" si="36"/>
        <v>0.20000000000000009</v>
      </c>
      <c r="T111" s="322">
        <f t="shared" si="36"/>
        <v>0.20000000000000009</v>
      </c>
      <c r="U111" s="322">
        <f t="shared" si="37"/>
        <v>0.20000000000000009</v>
      </c>
      <c r="V111" s="322">
        <f t="shared" si="37"/>
        <v>0.20000000000000009</v>
      </c>
      <c r="W111" s="322">
        <f t="shared" si="37"/>
        <v>0.20000000000000009</v>
      </c>
      <c r="X111" s="322">
        <f t="shared" si="37"/>
        <v>0.20000000000000009</v>
      </c>
      <c r="Y111" s="322">
        <f t="shared" si="37"/>
        <v>0.20000000000000009</v>
      </c>
      <c r="Z111" s="322">
        <f t="shared" si="37"/>
        <v>0.20000000000000009</v>
      </c>
      <c r="AA111" s="322">
        <f t="shared" si="37"/>
        <v>0.20000000000000009</v>
      </c>
      <c r="AB111" s="322">
        <f t="shared" si="37"/>
        <v>0.20000000000000009</v>
      </c>
      <c r="AC111" s="322">
        <f t="shared" si="37"/>
        <v>0.20000000000000009</v>
      </c>
      <c r="AD111" s="322">
        <f t="shared" si="37"/>
        <v>0.20000000000000009</v>
      </c>
      <c r="AE111" s="322">
        <f t="shared" si="38"/>
        <v>0.20000000000000009</v>
      </c>
      <c r="AF111" s="322">
        <f t="shared" si="38"/>
        <v>0.20000000000000009</v>
      </c>
      <c r="AG111" s="322">
        <f t="shared" si="38"/>
        <v>0.20000000000000009</v>
      </c>
      <c r="AH111" s="322">
        <f t="shared" si="38"/>
        <v>0.20000000000000009</v>
      </c>
      <c r="AI111" s="322">
        <f t="shared" si="38"/>
        <v>0.20000000000000009</v>
      </c>
      <c r="AJ111" s="322">
        <f t="shared" si="38"/>
        <v>0.20000000000000009</v>
      </c>
      <c r="AK111" s="322">
        <f t="shared" si="38"/>
        <v>0.20000000000000009</v>
      </c>
      <c r="AL111" s="322">
        <f t="shared" si="38"/>
        <v>0.20000000000000009</v>
      </c>
      <c r="AM111" s="322">
        <f t="shared" si="38"/>
        <v>0.20000000000000009</v>
      </c>
      <c r="AN111" s="322">
        <f t="shared" si="38"/>
        <v>0.20000000000000009</v>
      </c>
      <c r="AO111" s="322">
        <f t="shared" si="38"/>
        <v>0.20000000000000009</v>
      </c>
    </row>
  </sheetData>
  <mergeCells count="17">
    <mergeCell ref="A106:A111"/>
    <mergeCell ref="A23:A27"/>
    <mergeCell ref="A28:A32"/>
    <mergeCell ref="A33:A37"/>
    <mergeCell ref="A39:A43"/>
    <mergeCell ref="A45:A49"/>
    <mergeCell ref="A55:A59"/>
    <mergeCell ref="A61:A70"/>
    <mergeCell ref="A72:A81"/>
    <mergeCell ref="A83:A88"/>
    <mergeCell ref="A90:A99"/>
    <mergeCell ref="A101:A105"/>
    <mergeCell ref="I1:I2"/>
    <mergeCell ref="A18:A22"/>
    <mergeCell ref="A1:G1"/>
    <mergeCell ref="A3:A12"/>
    <mergeCell ref="A13:A17"/>
  </mergeCells>
  <phoneticPr fontId="15" type="noConversion"/>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E168"/>
  <sheetViews>
    <sheetView zoomScale="115" zoomScaleNormal="115" workbookViewId="0">
      <selection activeCell="E18" sqref="E18"/>
    </sheetView>
  </sheetViews>
  <sheetFormatPr defaultRowHeight="14.25"/>
  <cols>
    <col min="1" max="1" width="45.125" style="27" customWidth="1"/>
    <col min="2" max="2" width="27.375" customWidth="1"/>
    <col min="3" max="3" width="15.875" customWidth="1"/>
    <col min="4" max="4" width="12.125" style="15" hidden="1" customWidth="1"/>
    <col min="5" max="5" width="15.875" style="1" customWidth="1"/>
    <col min="10" max="10" width="9.125" customWidth="1"/>
    <col min="11" max="11" width="7" customWidth="1"/>
    <col min="13" max="13" width="6.375" customWidth="1"/>
  </cols>
  <sheetData>
    <row r="1" spans="1:5" ht="64.5" customHeight="1" thickBot="1">
      <c r="A1" s="483" t="s">
        <v>235</v>
      </c>
      <c r="B1" s="509"/>
      <c r="C1" s="509"/>
      <c r="D1" s="510"/>
      <c r="E1" s="398" t="s">
        <v>240</v>
      </c>
    </row>
    <row r="2" spans="1:5" ht="18.75" thickBot="1">
      <c r="A2" s="91" t="s">
        <v>3</v>
      </c>
      <c r="B2" s="57" t="s">
        <v>0</v>
      </c>
      <c r="C2" s="57" t="s">
        <v>1</v>
      </c>
      <c r="D2" s="58" t="s">
        <v>2</v>
      </c>
      <c r="E2" s="399"/>
    </row>
    <row r="3" spans="1:5">
      <c r="A3" s="251" t="s">
        <v>4</v>
      </c>
      <c r="B3" s="63" t="s">
        <v>404</v>
      </c>
      <c r="C3" s="63" t="s">
        <v>5</v>
      </c>
      <c r="D3" s="73"/>
      <c r="E3" s="368" t="str">
        <f>VLOOKUP(A3,'Daily Report'!$A$3:$H$162,5,0)</f>
        <v>%</v>
      </c>
    </row>
    <row r="4" spans="1:5">
      <c r="A4" s="252" t="s">
        <v>6</v>
      </c>
      <c r="B4" s="59"/>
      <c r="C4" s="59" t="s">
        <v>7</v>
      </c>
      <c r="D4" s="60">
        <v>24</v>
      </c>
      <c r="E4" s="369" t="str">
        <f>VLOOKUP(A4,'Daily Report'!$A$3:$H$162,5,0)</f>
        <v>Hrs</v>
      </c>
    </row>
    <row r="5" spans="1:5" hidden="1">
      <c r="A5" s="252" t="s">
        <v>8</v>
      </c>
      <c r="B5" s="61" t="s">
        <v>344</v>
      </c>
      <c r="C5" s="59" t="s">
        <v>9</v>
      </c>
      <c r="D5" s="60">
        <v>1059.5</v>
      </c>
      <c r="E5" s="369" t="str">
        <f>VLOOKUP(A5,'Daily Report'!$A$3:$H$162,5,0)</f>
        <v>T/Day</v>
      </c>
    </row>
    <row r="6" spans="1:5" hidden="1">
      <c r="A6" s="252" t="s">
        <v>10</v>
      </c>
      <c r="B6" s="61" t="s">
        <v>343</v>
      </c>
      <c r="C6" s="59" t="s">
        <v>9</v>
      </c>
      <c r="D6" s="60">
        <v>651.6</v>
      </c>
      <c r="E6" s="369" t="str">
        <f>VLOOKUP(A6,'Daily Report'!$A$3:$H$162,5,0)</f>
        <v>T/Day</v>
      </c>
    </row>
    <row r="7" spans="1:5" hidden="1">
      <c r="A7" s="252" t="s">
        <v>11</v>
      </c>
      <c r="B7" s="61" t="s">
        <v>345</v>
      </c>
      <c r="C7" s="59" t="s">
        <v>9</v>
      </c>
      <c r="D7" s="60">
        <f>D6+D57</f>
        <v>655.1</v>
      </c>
      <c r="E7" s="369" t="str">
        <f>VLOOKUP(A7,'Daily Report'!$A$3:$H$162,5,0)</f>
        <v>T/Day</v>
      </c>
    </row>
    <row r="8" spans="1:5" hidden="1">
      <c r="A8" s="252" t="s">
        <v>12</v>
      </c>
      <c r="B8" s="61" t="s">
        <v>346</v>
      </c>
      <c r="C8" s="59" t="s">
        <v>9</v>
      </c>
      <c r="D8" s="60">
        <v>407.9</v>
      </c>
      <c r="E8" s="369" t="str">
        <f>VLOOKUP(A8,'Daily Report'!$A$3:$H$162,5,0)</f>
        <v>T/Day</v>
      </c>
    </row>
    <row r="9" spans="1:5" hidden="1">
      <c r="A9" s="252" t="s">
        <v>12</v>
      </c>
      <c r="B9" s="61" t="s">
        <v>347</v>
      </c>
      <c r="C9" s="59" t="s">
        <v>9</v>
      </c>
      <c r="D9" s="60">
        <v>407.9</v>
      </c>
      <c r="E9" s="369" t="str">
        <f>VLOOKUP(A9,'Daily Report'!$A$3:$H$162,5,0)</f>
        <v>T/Day</v>
      </c>
    </row>
    <row r="10" spans="1:5">
      <c r="A10" s="259" t="str">
        <f>'Daily Report'!A10</f>
        <v>Sales Gas Average M.Wt</v>
      </c>
      <c r="B10" s="341"/>
      <c r="C10" s="59" t="s">
        <v>25</v>
      </c>
      <c r="D10" s="358">
        <v>17.440000000000001</v>
      </c>
      <c r="E10" s="369" t="str">
        <f>VLOOKUP(A10,'Daily Report'!$A$3:$H$162,5,0)</f>
        <v>T/Tmole</v>
      </c>
    </row>
    <row r="11" spans="1:5" ht="14.25" hidden="1" customHeight="1">
      <c r="A11" s="259" t="s">
        <v>22</v>
      </c>
      <c r="B11" s="397" t="s">
        <v>348</v>
      </c>
      <c r="C11" s="59" t="s">
        <v>23</v>
      </c>
      <c r="D11" s="358">
        <v>939.07</v>
      </c>
      <c r="E11" s="369" t="str">
        <f>VLOOKUP(A11,'Daily Report'!$A$3:$H$162,5,0)</f>
        <v>btu/scf</v>
      </c>
    </row>
    <row r="12" spans="1:5" ht="14.25" hidden="1" customHeight="1">
      <c r="A12" s="259"/>
      <c r="B12" s="397"/>
      <c r="C12" s="59" t="s">
        <v>24</v>
      </c>
      <c r="D12" s="358">
        <f>D11*38.0440529671749</f>
        <v>35726.028819884938</v>
      </c>
      <c r="E12" s="369" t="e">
        <f>VLOOKUP(A12,'Daily Report'!$A$3:$H$162,5,0)</f>
        <v>#N/A</v>
      </c>
    </row>
    <row r="13" spans="1:5" ht="14.25" hidden="1" customHeight="1">
      <c r="A13" s="254" t="s">
        <v>27</v>
      </c>
      <c r="B13" s="255"/>
      <c r="C13" s="59" t="s">
        <v>24</v>
      </c>
      <c r="D13" s="60"/>
      <c r="E13" s="369" t="str">
        <f>VLOOKUP(A13,'Daily Report'!$A$3:$H$162,5,0)</f>
        <v>btu/nm3</v>
      </c>
    </row>
    <row r="14" spans="1:5" ht="14.25" hidden="1" customHeight="1">
      <c r="A14" s="254" t="s">
        <v>27</v>
      </c>
      <c r="B14" s="255"/>
      <c r="C14" s="59" t="s">
        <v>408</v>
      </c>
      <c r="D14" s="60"/>
      <c r="E14" s="369" t="str">
        <f>VLOOKUP(A14,'Daily Report'!$A$3:$H$162,5,0)</f>
        <v>btu/nm3</v>
      </c>
    </row>
    <row r="15" spans="1:5">
      <c r="A15" s="254" t="s">
        <v>28</v>
      </c>
      <c r="B15" s="255"/>
      <c r="C15" s="59" t="s">
        <v>24</v>
      </c>
      <c r="D15" s="60"/>
      <c r="E15" s="369" t="str">
        <f>VLOOKUP(A15,'Daily Report'!$A$3:$H$162,5,0)</f>
        <v>btu/nm3</v>
      </c>
    </row>
    <row r="16" spans="1:5" hidden="1">
      <c r="A16" s="511" t="s">
        <v>29</v>
      </c>
      <c r="B16" s="512"/>
      <c r="C16" s="59" t="s">
        <v>30</v>
      </c>
      <c r="D16" s="60"/>
      <c r="E16" s="369" t="str">
        <f>VLOOKUP(A16,'Daily Report'!$A$3:$H$162,5,0)</f>
        <v>MMBTU/Day</v>
      </c>
    </row>
    <row r="17" spans="1:5" hidden="1">
      <c r="A17" s="511" t="s">
        <v>31</v>
      </c>
      <c r="B17" s="512"/>
      <c r="C17" s="59" t="s">
        <v>30</v>
      </c>
      <c r="D17" s="60"/>
      <c r="E17" s="369" t="str">
        <f>VLOOKUP(A17,'Daily Report'!$A$3:$H$162,5,0)</f>
        <v>MMBTU/Day</v>
      </c>
    </row>
    <row r="18" spans="1:5" ht="15">
      <c r="A18" s="118" t="s">
        <v>417</v>
      </c>
      <c r="B18" s="59"/>
      <c r="C18" s="59" t="s">
        <v>164</v>
      </c>
      <c r="D18" s="60"/>
      <c r="E18" s="369" t="str">
        <f>VLOOKUP(A18,'Daily Report'!$A$3:$H$162,5,0)</f>
        <v>MMBTU/Day</v>
      </c>
    </row>
    <row r="19" spans="1:5" hidden="1">
      <c r="A19" s="252" t="s">
        <v>32</v>
      </c>
      <c r="B19" s="61" t="s">
        <v>349</v>
      </c>
      <c r="C19" s="59" t="s">
        <v>9</v>
      </c>
      <c r="D19" s="60">
        <v>413.17</v>
      </c>
      <c r="E19" s="369" t="str">
        <f>VLOOKUP(A19,'Daily Report'!$A$3:$H$162,5,0)</f>
        <v>T/Day</v>
      </c>
    </row>
    <row r="20" spans="1:5" ht="15">
      <c r="A20" s="118" t="s">
        <v>416</v>
      </c>
      <c r="B20" s="61" t="s">
        <v>350</v>
      </c>
      <c r="C20" s="59" t="s">
        <v>444</v>
      </c>
      <c r="D20" s="60">
        <v>0</v>
      </c>
      <c r="E20" s="369" t="str">
        <f>VLOOKUP(A20,'Daily Report'!$A$3:$H$162,5,0)</f>
        <v>T/Day</v>
      </c>
    </row>
    <row r="21" spans="1:5" hidden="1">
      <c r="A21" s="252" t="s">
        <v>33</v>
      </c>
      <c r="B21" s="61" t="s">
        <v>351</v>
      </c>
      <c r="C21" s="59" t="s">
        <v>444</v>
      </c>
      <c r="D21" s="60">
        <v>0</v>
      </c>
      <c r="E21" s="369" t="str">
        <f>VLOOKUP(A21,'Daily Report'!$A$3:$H$162,5,0)</f>
        <v>T/Day</v>
      </c>
    </row>
    <row r="22" spans="1:5" hidden="1">
      <c r="A22" s="252" t="s">
        <v>34</v>
      </c>
      <c r="B22" s="61" t="s">
        <v>352</v>
      </c>
      <c r="C22" s="59" t="s">
        <v>444</v>
      </c>
      <c r="D22" s="60">
        <v>0</v>
      </c>
      <c r="E22" s="369" t="str">
        <f>VLOOKUP(A22,'Daily Report'!$A$3:$H$162,5,0)</f>
        <v>T/Day</v>
      </c>
    </row>
    <row r="23" spans="1:5" hidden="1">
      <c r="A23" s="261" t="s">
        <v>35</v>
      </c>
      <c r="B23" s="61" t="s">
        <v>353</v>
      </c>
      <c r="C23" s="59" t="s">
        <v>444</v>
      </c>
      <c r="D23" s="109">
        <v>432.1</v>
      </c>
      <c r="E23" s="369" t="str">
        <f>VLOOKUP(A23,'Daily Report'!$A$3:$H$162,5,0)</f>
        <v>T/Day</v>
      </c>
    </row>
    <row r="24" spans="1:5" hidden="1">
      <c r="A24" s="514" t="s">
        <v>36</v>
      </c>
      <c r="B24" s="61" t="s">
        <v>37</v>
      </c>
      <c r="C24" s="59" t="s">
        <v>444</v>
      </c>
      <c r="D24" s="60"/>
      <c r="E24" s="369" t="str">
        <f>VLOOKUP(A24,'Daily Report'!$A$3:$H$162,5,0)</f>
        <v>T/Day</v>
      </c>
    </row>
    <row r="25" spans="1:5" hidden="1">
      <c r="A25" s="514"/>
      <c r="B25" s="61" t="s">
        <v>38</v>
      </c>
      <c r="C25" s="59" t="s">
        <v>444</v>
      </c>
      <c r="D25" s="60"/>
      <c r="E25" s="369" t="e">
        <f>VLOOKUP(A25,'Daily Report'!$A$3:$H$162,5,0)</f>
        <v>#N/A</v>
      </c>
    </row>
    <row r="26" spans="1:5" hidden="1">
      <c r="A26" s="124" t="s">
        <v>325</v>
      </c>
      <c r="B26" s="61" t="s">
        <v>354</v>
      </c>
      <c r="C26" s="59" t="s">
        <v>444</v>
      </c>
      <c r="D26" s="60"/>
      <c r="E26" s="369" t="str">
        <f>VLOOKUP(A26,'Daily Report'!$A$3:$H$162,5,0)</f>
        <v>T/Day</v>
      </c>
    </row>
    <row r="27" spans="1:5" hidden="1">
      <c r="A27" s="261"/>
      <c r="B27" s="360" t="s">
        <v>39</v>
      </c>
      <c r="C27" s="59" t="s">
        <v>444</v>
      </c>
      <c r="D27" s="60"/>
      <c r="E27" s="369" t="e">
        <f>VLOOKUP(A27,'Daily Report'!$A$3:$H$162,5,0)</f>
        <v>#N/A</v>
      </c>
    </row>
    <row r="28" spans="1:5" ht="18.75" hidden="1">
      <c r="A28" s="261" t="s">
        <v>40</v>
      </c>
      <c r="B28" s="61" t="s">
        <v>355</v>
      </c>
      <c r="C28" s="59" t="s">
        <v>444</v>
      </c>
      <c r="D28" s="60">
        <v>220</v>
      </c>
      <c r="E28" s="369" t="str">
        <f>VLOOKUP(A28,'Daily Report'!$A$3:$H$162,5,0)</f>
        <v>T/Day</v>
      </c>
    </row>
    <row r="29" spans="1:5" ht="18.75" hidden="1">
      <c r="A29" s="261" t="s">
        <v>236</v>
      </c>
      <c r="B29" s="61" t="s">
        <v>356</v>
      </c>
      <c r="C29" s="59" t="s">
        <v>444</v>
      </c>
      <c r="D29" s="60"/>
      <c r="E29" s="369" t="str">
        <f>VLOOKUP(A29,'Daily Report'!$A$3:$H$162,5,0)</f>
        <v>bar g</v>
      </c>
    </row>
    <row r="30" spans="1:5" ht="18.75" hidden="1">
      <c r="A30" s="261" t="s">
        <v>237</v>
      </c>
      <c r="B30" s="61" t="s">
        <v>357</v>
      </c>
      <c r="C30" s="59" t="s">
        <v>444</v>
      </c>
      <c r="D30" s="60"/>
      <c r="E30" s="369" t="str">
        <f>VLOOKUP(A30,'Daily Report'!$A$3:$H$162,5,0)</f>
        <v>0C</v>
      </c>
    </row>
    <row r="31" spans="1:5" hidden="1">
      <c r="A31" s="261"/>
      <c r="B31" s="104" t="s">
        <v>43</v>
      </c>
      <c r="C31" s="59" t="s">
        <v>444</v>
      </c>
      <c r="D31" s="60"/>
      <c r="E31" s="369" t="e">
        <f>VLOOKUP(A31,'Daily Report'!$A$3:$H$162,5,0)</f>
        <v>#N/A</v>
      </c>
    </row>
    <row r="32" spans="1:5" hidden="1">
      <c r="A32" s="507" t="s">
        <v>44</v>
      </c>
      <c r="B32" s="61" t="s">
        <v>360</v>
      </c>
      <c r="C32" s="59" t="s">
        <v>444</v>
      </c>
      <c r="D32" s="361">
        <v>100683.34</v>
      </c>
      <c r="E32" s="369" t="str">
        <f>VLOOKUP(A32,'Daily Report'!$A$3:$H$162,5,0)</f>
        <v>Nm3/hr</v>
      </c>
    </row>
    <row r="33" spans="1:5" hidden="1">
      <c r="A33" s="507"/>
      <c r="B33" s="104"/>
      <c r="C33" s="59" t="s">
        <v>444</v>
      </c>
      <c r="D33" s="60">
        <v>220</v>
      </c>
      <c r="E33" s="369" t="e">
        <f>VLOOKUP(A33,'Daily Report'!$A$3:$H$162,5,0)</f>
        <v>#N/A</v>
      </c>
    </row>
    <row r="34" spans="1:5" hidden="1">
      <c r="A34" s="507"/>
      <c r="B34" s="61" t="s">
        <v>362</v>
      </c>
      <c r="C34" s="59" t="s">
        <v>444</v>
      </c>
      <c r="D34" s="60">
        <v>50</v>
      </c>
      <c r="E34" s="369" t="e">
        <f>VLOOKUP(A34,'Daily Report'!$A$3:$H$162,5,0)</f>
        <v>#N/A</v>
      </c>
    </row>
    <row r="35" spans="1:5" hidden="1">
      <c r="A35" s="507"/>
      <c r="B35" s="61" t="s">
        <v>361</v>
      </c>
      <c r="C35" s="59" t="s">
        <v>444</v>
      </c>
      <c r="D35" s="60">
        <v>14.1</v>
      </c>
      <c r="E35" s="369" t="e">
        <f>VLOOKUP(A35,'Daily Report'!$A$3:$H$162,5,0)</f>
        <v>#N/A</v>
      </c>
    </row>
    <row r="36" spans="1:5" hidden="1">
      <c r="A36" s="252" t="s">
        <v>47</v>
      </c>
      <c r="B36" s="104" t="s">
        <v>358</v>
      </c>
      <c r="C36" s="59" t="s">
        <v>444</v>
      </c>
      <c r="D36" s="60">
        <v>50</v>
      </c>
      <c r="E36" s="369" t="str">
        <f>VLOOKUP(A36,'Daily Report'!$A$3:$H$162,5,0)</f>
        <v>T/Day</v>
      </c>
    </row>
    <row r="37" spans="1:5" hidden="1">
      <c r="A37" s="252"/>
      <c r="B37" s="104" t="s">
        <v>359</v>
      </c>
      <c r="C37" s="59" t="s">
        <v>444</v>
      </c>
      <c r="D37" s="60">
        <v>50</v>
      </c>
      <c r="E37" s="369" t="e">
        <f>VLOOKUP(A37,'Daily Report'!$A$3:$H$162,5,0)</f>
        <v>#N/A</v>
      </c>
    </row>
    <row r="38" spans="1:5" hidden="1">
      <c r="A38" s="507" t="s">
        <v>48</v>
      </c>
      <c r="B38" s="61" t="s">
        <v>363</v>
      </c>
      <c r="C38" s="59" t="s">
        <v>444</v>
      </c>
      <c r="D38" s="60">
        <v>197</v>
      </c>
      <c r="E38" s="369" t="str">
        <f>VLOOKUP(A38,'Daily Report'!$A$3:$H$162,5,0)</f>
        <v>T/Day</v>
      </c>
    </row>
    <row r="39" spans="1:5" hidden="1">
      <c r="A39" s="507"/>
      <c r="B39" s="104"/>
      <c r="C39" s="59" t="s">
        <v>444</v>
      </c>
      <c r="D39" s="362"/>
      <c r="E39" s="369" t="e">
        <f>VLOOKUP(A39,'Daily Report'!$A$3:$H$162,5,0)</f>
        <v>#N/A</v>
      </c>
    </row>
    <row r="40" spans="1:5" ht="18.75" hidden="1">
      <c r="A40" s="252" t="s">
        <v>49</v>
      </c>
      <c r="B40" s="66"/>
      <c r="C40" s="59" t="s">
        <v>444</v>
      </c>
      <c r="D40" s="60"/>
      <c r="E40" s="369" t="str">
        <f>VLOOKUP(A40,'Daily Report'!$A$3:$H$162,5,0)</f>
        <v>Nm3/hr</v>
      </c>
    </row>
    <row r="41" spans="1:5" ht="15">
      <c r="A41" s="118" t="s">
        <v>406</v>
      </c>
      <c r="B41" s="61" t="s">
        <v>364</v>
      </c>
      <c r="C41" s="59" t="s">
        <v>444</v>
      </c>
      <c r="D41" s="60">
        <v>150</v>
      </c>
      <c r="E41" s="369" t="str">
        <f>VLOOKUP(A41,'Daily Report'!$A$3:$H$162,5,0)</f>
        <v>T/Day</v>
      </c>
    </row>
    <row r="42" spans="1:5" ht="15">
      <c r="A42" s="119" t="s">
        <v>50</v>
      </c>
      <c r="B42" s="59"/>
      <c r="C42" s="59" t="s">
        <v>444</v>
      </c>
      <c r="D42" s="60"/>
      <c r="E42" s="369" t="str">
        <f>VLOOKUP(A42,'Daily Report'!$A$3:$H$162,5,0)</f>
        <v>T/Day</v>
      </c>
    </row>
    <row r="43" spans="1:5" ht="15">
      <c r="A43" s="119" t="s">
        <v>51</v>
      </c>
      <c r="B43" s="59"/>
      <c r="C43" s="59" t="s">
        <v>444</v>
      </c>
      <c r="D43" s="60"/>
      <c r="E43" s="369" t="str">
        <f>VLOOKUP(A43,'Daily Report'!$A$3:$H$162,5,0)</f>
        <v>T/Day</v>
      </c>
    </row>
    <row r="44" spans="1:5" hidden="1">
      <c r="A44" s="507" t="s">
        <v>52</v>
      </c>
      <c r="B44" s="508" t="s">
        <v>365</v>
      </c>
      <c r="C44" s="59" t="s">
        <v>444</v>
      </c>
      <c r="D44" s="60">
        <v>80</v>
      </c>
      <c r="E44" s="369" t="str">
        <f>VLOOKUP(A44,'Daily Report'!$A$3:$H$162,5,0)</f>
        <v>T/Day</v>
      </c>
    </row>
    <row r="45" spans="1:5" hidden="1">
      <c r="A45" s="507"/>
      <c r="B45" s="508"/>
      <c r="C45" s="59" t="s">
        <v>444</v>
      </c>
      <c r="D45" s="60"/>
      <c r="E45" s="369" t="e">
        <f>VLOOKUP(A45,'Daily Report'!$A$3:$H$162,5,0)</f>
        <v>#N/A</v>
      </c>
    </row>
    <row r="46" spans="1:5" hidden="1">
      <c r="A46" s="252" t="s">
        <v>54</v>
      </c>
      <c r="B46" s="61" t="s">
        <v>366</v>
      </c>
      <c r="C46" s="59" t="s">
        <v>444</v>
      </c>
      <c r="D46" s="109">
        <v>46726</v>
      </c>
      <c r="E46" s="369" t="str">
        <f>VLOOKUP(A46,'Daily Report'!$A$3:$H$162,5,0)</f>
        <v>Nm3/hr</v>
      </c>
    </row>
    <row r="47" spans="1:5" hidden="1">
      <c r="A47" s="252" t="s">
        <v>55</v>
      </c>
      <c r="B47" s="61" t="s">
        <v>367</v>
      </c>
      <c r="C47" s="59" t="s">
        <v>444</v>
      </c>
      <c r="D47" s="60">
        <v>10653</v>
      </c>
      <c r="E47" s="369" t="str">
        <f>VLOOKUP(A47,'Daily Report'!$A$3:$H$162,5,0)</f>
        <v>Nm3/hr</v>
      </c>
    </row>
    <row r="48" spans="1:5" hidden="1">
      <c r="A48" s="370"/>
      <c r="B48" s="61" t="s">
        <v>368</v>
      </c>
      <c r="C48" s="59" t="s">
        <v>444</v>
      </c>
      <c r="D48" s="60">
        <v>10653</v>
      </c>
      <c r="E48" s="369" t="e">
        <f>VLOOKUP(A48,'Daily Report'!$A$3:$H$162,5,0)</f>
        <v>#N/A</v>
      </c>
    </row>
    <row r="49" spans="1:5" hidden="1">
      <c r="A49" s="252" t="s">
        <v>56</v>
      </c>
      <c r="B49" s="61" t="s">
        <v>369</v>
      </c>
      <c r="C49" s="59" t="s">
        <v>444</v>
      </c>
      <c r="D49" s="60">
        <f>AVERAGE(D47:D48)</f>
        <v>10653</v>
      </c>
      <c r="E49" s="369" t="str">
        <f>VLOOKUP(A49,'Daily Report'!$A$3:$H$162,5,0)</f>
        <v>Nm3/hr</v>
      </c>
    </row>
    <row r="50" spans="1:5" hidden="1">
      <c r="A50" s="252" t="s">
        <v>57</v>
      </c>
      <c r="B50" s="61" t="s">
        <v>370</v>
      </c>
      <c r="C50" s="59" t="s">
        <v>444</v>
      </c>
      <c r="D50" s="60"/>
      <c r="E50" s="369" t="str">
        <f>VLOOKUP(A50,'Daily Report'!$A$3:$H$162,5,0)</f>
        <v>barg</v>
      </c>
    </row>
    <row r="51" spans="1:5" hidden="1">
      <c r="A51" s="252" t="s">
        <v>58</v>
      </c>
      <c r="B51" s="61" t="s">
        <v>371</v>
      </c>
      <c r="C51" s="59" t="s">
        <v>444</v>
      </c>
      <c r="D51" s="60">
        <v>38</v>
      </c>
      <c r="E51" s="369" t="str">
        <f>VLOOKUP(A51,'Daily Report'!$A$3:$H$162,5,0)</f>
        <v>barg</v>
      </c>
    </row>
    <row r="52" spans="1:5" ht="15">
      <c r="A52" s="119" t="s">
        <v>59</v>
      </c>
      <c r="B52" s="59"/>
      <c r="C52" s="59" t="s">
        <v>444</v>
      </c>
      <c r="D52" s="60"/>
      <c r="E52" s="369" t="str">
        <f>VLOOKUP(A52,'Daily Report'!$A$3:$H$162,5,0)</f>
        <v>T/Day</v>
      </c>
    </row>
    <row r="53" spans="1:5" ht="15">
      <c r="A53" s="119" t="s">
        <v>60</v>
      </c>
      <c r="B53" s="59"/>
      <c r="C53" s="59" t="s">
        <v>444</v>
      </c>
      <c r="D53" s="60"/>
      <c r="E53" s="369" t="str">
        <f>VLOOKUP(A53,'Daily Report'!$A$3:$H$162,5,0)</f>
        <v>T/Day</v>
      </c>
    </row>
    <row r="54" spans="1:5" ht="15">
      <c r="A54" s="118" t="s">
        <v>61</v>
      </c>
      <c r="B54" s="59"/>
      <c r="C54" s="59" t="s">
        <v>444</v>
      </c>
      <c r="D54" s="60"/>
      <c r="E54" s="369" t="str">
        <f>VLOOKUP(A54,'Daily Report'!$A$3:$H$162,5,0)</f>
        <v>T/Day</v>
      </c>
    </row>
    <row r="55" spans="1:5" ht="15">
      <c r="A55" s="118" t="s">
        <v>62</v>
      </c>
      <c r="B55" s="59"/>
      <c r="C55" s="59" t="s">
        <v>444</v>
      </c>
      <c r="D55" s="60"/>
      <c r="E55" s="369" t="str">
        <f>VLOOKUP(A55,'Daily Report'!$A$3:$H$162,5,0)</f>
        <v>T/Day</v>
      </c>
    </row>
    <row r="56" spans="1:5" ht="15">
      <c r="A56" s="118" t="s">
        <v>63</v>
      </c>
      <c r="B56" s="59"/>
      <c r="C56" s="59" t="s">
        <v>444</v>
      </c>
      <c r="D56" s="60"/>
      <c r="E56" s="369" t="str">
        <f>VLOOKUP(A56,'Daily Report'!$A$3:$H$162,5,0)</f>
        <v>T/Day</v>
      </c>
    </row>
    <row r="57" spans="1:5" hidden="1">
      <c r="A57" s="252" t="s">
        <v>64</v>
      </c>
      <c r="B57" s="61" t="s">
        <v>372</v>
      </c>
      <c r="C57" s="59" t="s">
        <v>444</v>
      </c>
      <c r="D57" s="60">
        <v>3.5</v>
      </c>
      <c r="E57" s="369" t="str">
        <f>VLOOKUP(A57,'Daily Report'!$A$3:$H$162,5,0)</f>
        <v>T/Day</v>
      </c>
    </row>
    <row r="58" spans="1:5" ht="18.75" hidden="1">
      <c r="A58" s="371" t="s">
        <v>65</v>
      </c>
      <c r="B58" s="363"/>
      <c r="C58" s="59" t="s">
        <v>444</v>
      </c>
      <c r="D58" s="60"/>
      <c r="E58" s="369" t="str">
        <f>VLOOKUP(A58,'Daily Report'!$A$3:$H$162,5,0)</f>
        <v>%</v>
      </c>
    </row>
    <row r="59" spans="1:5" ht="15">
      <c r="A59" s="118" t="s">
        <v>66</v>
      </c>
      <c r="B59" s="364"/>
      <c r="C59" s="59" t="s">
        <v>444</v>
      </c>
      <c r="D59" s="60"/>
      <c r="E59" s="369" t="str">
        <f>VLOOKUP(A59,'Daily Report'!$A$3:$H$162,5,0)</f>
        <v>T/Day</v>
      </c>
    </row>
    <row r="60" spans="1:5" ht="15">
      <c r="A60" s="118" t="s">
        <v>418</v>
      </c>
      <c r="B60" s="364"/>
      <c r="C60" s="59" t="s">
        <v>444</v>
      </c>
      <c r="D60" s="60"/>
      <c r="E60" s="369" t="str">
        <f>VLOOKUP(A60,'Daily Report'!$A$3:$H$162,5,0)</f>
        <v>T/Day</v>
      </c>
    </row>
    <row r="61" spans="1:5" hidden="1">
      <c r="A61" s="252" t="s">
        <v>67</v>
      </c>
      <c r="B61" s="59"/>
      <c r="C61" s="59"/>
      <c r="D61" s="60"/>
      <c r="E61" s="369">
        <f>VLOOKUP(A61,'Daily Report'!$A$3:$H$162,5,0)</f>
        <v>0</v>
      </c>
    </row>
    <row r="62" spans="1:5" ht="42.75">
      <c r="A62" s="118" t="s">
        <v>405</v>
      </c>
      <c r="B62" s="363"/>
      <c r="C62" s="59"/>
      <c r="D62" s="60" t="s">
        <v>68</v>
      </c>
      <c r="E62" s="369">
        <f>VLOOKUP(A62,'Daily Report'!$A$3:$H$162,5,0)</f>
        <v>0</v>
      </c>
    </row>
    <row r="63" spans="1:5" hidden="1">
      <c r="A63" s="252" t="s">
        <v>69</v>
      </c>
      <c r="B63" s="61" t="s">
        <v>373</v>
      </c>
      <c r="C63" s="59" t="s">
        <v>9</v>
      </c>
      <c r="D63" s="60"/>
      <c r="E63" s="369" t="str">
        <f>VLOOKUP(A63,'Daily Report'!$A$3:$H$162,5,0)</f>
        <v>T/Day</v>
      </c>
    </row>
    <row r="64" spans="1:5" ht="16.5" hidden="1">
      <c r="A64" s="252" t="s">
        <v>72</v>
      </c>
      <c r="B64" s="61" t="s">
        <v>73</v>
      </c>
      <c r="C64" s="59" t="s">
        <v>42</v>
      </c>
      <c r="D64" s="60">
        <v>470</v>
      </c>
      <c r="E64" s="369" t="str">
        <f>VLOOKUP(A64,'Daily Report'!$A$3:$H$162,5,0)</f>
        <v>0C</v>
      </c>
    </row>
    <row r="65" spans="1:5" ht="16.5" hidden="1">
      <c r="A65" s="252" t="s">
        <v>74</v>
      </c>
      <c r="B65" s="116" t="s">
        <v>75</v>
      </c>
      <c r="C65" s="59" t="s">
        <v>42</v>
      </c>
      <c r="D65" s="60">
        <v>835</v>
      </c>
      <c r="E65" s="369" t="str">
        <f>VLOOKUP(A65,'Daily Report'!$A$3:$H$162,5,0)</f>
        <v>0C</v>
      </c>
    </row>
    <row r="66" spans="1:5" hidden="1">
      <c r="A66" s="252" t="s">
        <v>76</v>
      </c>
      <c r="B66" s="61" t="s">
        <v>374</v>
      </c>
      <c r="C66" s="59" t="s">
        <v>9</v>
      </c>
      <c r="D66" s="60">
        <v>7360.4</v>
      </c>
      <c r="E66" s="369" t="str">
        <f>VLOOKUP(A66,'Daily Report'!$A$3:$H$162,5,0)</f>
        <v>T/Day</v>
      </c>
    </row>
    <row r="67" spans="1:5" ht="16.5" hidden="1">
      <c r="A67" s="252" t="s">
        <v>77</v>
      </c>
      <c r="B67" s="61" t="s">
        <v>375</v>
      </c>
      <c r="C67" s="59" t="s">
        <v>42</v>
      </c>
      <c r="D67" s="60">
        <v>340</v>
      </c>
      <c r="E67" s="369" t="str">
        <f>VLOOKUP(A67,'Daily Report'!$A$3:$H$162,5,0)</f>
        <v>0C</v>
      </c>
    </row>
    <row r="68" spans="1:5" ht="16.5" hidden="1">
      <c r="A68" s="252"/>
      <c r="B68" s="61" t="s">
        <v>376</v>
      </c>
      <c r="C68" s="59" t="s">
        <v>42</v>
      </c>
      <c r="D68" s="60">
        <v>384</v>
      </c>
      <c r="E68" s="369" t="e">
        <f>VLOOKUP(A68,'Daily Report'!$A$3:$H$162,5,0)</f>
        <v>#N/A</v>
      </c>
    </row>
    <row r="69" spans="1:5" ht="16.5" hidden="1">
      <c r="A69" s="252"/>
      <c r="B69" s="61" t="s">
        <v>377</v>
      </c>
      <c r="C69" s="59" t="s">
        <v>42</v>
      </c>
      <c r="D69" s="60"/>
      <c r="E69" s="369" t="e">
        <f>VLOOKUP(A69,'Daily Report'!$A$3:$H$162,5,0)</f>
        <v>#N/A</v>
      </c>
    </row>
    <row r="70" spans="1:5" ht="16.5" hidden="1">
      <c r="A70" s="252"/>
      <c r="B70" s="61" t="s">
        <v>378</v>
      </c>
      <c r="C70" s="59" t="s">
        <v>42</v>
      </c>
      <c r="D70" s="60">
        <v>207</v>
      </c>
      <c r="E70" s="369" t="e">
        <f>VLOOKUP(A70,'Daily Report'!$A$3:$H$162,5,0)</f>
        <v>#N/A</v>
      </c>
    </row>
    <row r="71" spans="1:5" ht="16.5" hidden="1">
      <c r="A71" s="252" t="s">
        <v>79</v>
      </c>
      <c r="B71" s="61" t="s">
        <v>379</v>
      </c>
      <c r="C71" s="59" t="s">
        <v>42</v>
      </c>
      <c r="D71" s="60">
        <v>320</v>
      </c>
      <c r="E71" s="369" t="str">
        <f>VLOOKUP(A71,'Daily Report'!$A$3:$H$162,5,0)</f>
        <v>0C</v>
      </c>
    </row>
    <row r="72" spans="1:5" ht="16.5" hidden="1">
      <c r="A72" s="252" t="s">
        <v>81</v>
      </c>
      <c r="B72" s="61" t="s">
        <v>380</v>
      </c>
      <c r="C72" s="59" t="s">
        <v>42</v>
      </c>
      <c r="D72" s="60">
        <v>343</v>
      </c>
      <c r="E72" s="369" t="str">
        <f>VLOOKUP(A72,'Daily Report'!$A$3:$H$162,5,0)</f>
        <v>0C</v>
      </c>
    </row>
    <row r="73" spans="1:5" ht="16.5" hidden="1">
      <c r="A73" s="252" t="s">
        <v>83</v>
      </c>
      <c r="B73" s="365" t="s">
        <v>381</v>
      </c>
      <c r="C73" s="59" t="s">
        <v>42</v>
      </c>
      <c r="D73" s="60">
        <v>45</v>
      </c>
      <c r="E73" s="369" t="str">
        <f>VLOOKUP(A73,'Daily Report'!$A$3:$H$162,5,0)</f>
        <v>0C</v>
      </c>
    </row>
    <row r="74" spans="1:5" hidden="1">
      <c r="A74" s="252" t="s">
        <v>84</v>
      </c>
      <c r="B74" s="61" t="s">
        <v>382</v>
      </c>
      <c r="C74" s="66" t="s">
        <v>46</v>
      </c>
      <c r="D74" s="60">
        <v>45</v>
      </c>
      <c r="E74" s="369" t="str">
        <f>VLOOKUP(A74,'Daily Report'!$A$3:$H$162,5,0)</f>
        <v>barg</v>
      </c>
    </row>
    <row r="75" spans="1:5" ht="16.5" hidden="1">
      <c r="A75" s="372" t="s">
        <v>98</v>
      </c>
      <c r="B75" s="61" t="s">
        <v>383</v>
      </c>
      <c r="C75" s="59" t="s">
        <v>42</v>
      </c>
      <c r="D75" s="60">
        <v>60</v>
      </c>
      <c r="E75" s="369" t="str">
        <f>VLOOKUP(A75,'Daily Report'!$A$3:$H$162,5,0)</f>
        <v>0C</v>
      </c>
    </row>
    <row r="76" spans="1:5" hidden="1">
      <c r="A76" s="252" t="s">
        <v>99</v>
      </c>
      <c r="B76" s="61" t="s">
        <v>384</v>
      </c>
      <c r="C76" s="66" t="s">
        <v>46</v>
      </c>
      <c r="D76" s="60">
        <v>14</v>
      </c>
      <c r="E76" s="369" t="str">
        <f>VLOOKUP(A76,'Daily Report'!$A$3:$H$162,5,0)</f>
        <v>barg</v>
      </c>
    </row>
    <row r="77" spans="1:5" ht="15">
      <c r="A77" s="118" t="s">
        <v>419</v>
      </c>
      <c r="B77" s="341"/>
      <c r="C77" s="59" t="s">
        <v>24</v>
      </c>
      <c r="D77" s="60"/>
      <c r="E77" s="369" t="str">
        <f>VLOOKUP(A77,'Daily Report'!$A$3:$H$162,5,0)</f>
        <v>btu/nm3</v>
      </c>
    </row>
    <row r="78" spans="1:5" hidden="1">
      <c r="A78" s="252" t="s">
        <v>26</v>
      </c>
      <c r="B78" s="341"/>
      <c r="C78" s="59" t="s">
        <v>24</v>
      </c>
      <c r="D78" s="60"/>
      <c r="E78" s="369" t="str">
        <f>VLOOKUP(A78,'Daily Report'!$A$3:$H$162,5,0)</f>
        <v>btu/nm3</v>
      </c>
    </row>
    <row r="79" spans="1:5" hidden="1">
      <c r="A79" s="252" t="s">
        <v>28</v>
      </c>
      <c r="B79" s="341"/>
      <c r="C79" s="59" t="s">
        <v>24</v>
      </c>
      <c r="D79" s="60"/>
      <c r="E79" s="369" t="str">
        <f>VLOOKUP(A79,'Daily Report'!$A$3:$H$162,5,0)</f>
        <v>btu/nm3</v>
      </c>
    </row>
    <row r="80" spans="1:5" ht="16.5" hidden="1">
      <c r="A80" s="252" t="s">
        <v>101</v>
      </c>
      <c r="B80" s="61" t="s">
        <v>385</v>
      </c>
      <c r="C80" s="59" t="s">
        <v>42</v>
      </c>
      <c r="D80" s="60">
        <v>90</v>
      </c>
      <c r="E80" s="369" t="str">
        <f>VLOOKUP(A80,'Daily Report'!$A$3:$H$162,5,0)</f>
        <v>0C</v>
      </c>
    </row>
    <row r="81" spans="1:5" hidden="1">
      <c r="A81" s="252" t="s">
        <v>102</v>
      </c>
      <c r="B81" s="61" t="s">
        <v>386</v>
      </c>
      <c r="C81" s="66" t="s">
        <v>46</v>
      </c>
      <c r="D81" s="60">
        <v>36.1</v>
      </c>
      <c r="E81" s="369" t="str">
        <f>VLOOKUP(A81,'Daily Report'!$A$3:$H$162,5,0)</f>
        <v>barg</v>
      </c>
    </row>
    <row r="82" spans="1:5" ht="18.75" hidden="1">
      <c r="A82" s="252" t="s">
        <v>104</v>
      </c>
      <c r="B82" s="61" t="s">
        <v>387</v>
      </c>
      <c r="C82" s="59" t="s">
        <v>9</v>
      </c>
      <c r="D82" s="60">
        <v>1400</v>
      </c>
      <c r="E82" s="369" t="str">
        <f>VLOOKUP(A82,'Daily Report'!$A$3:$H$162,5,0)</f>
        <v>T/Day</v>
      </c>
    </row>
    <row r="83" spans="1:5" hidden="1">
      <c r="A83" s="370" t="s">
        <v>105</v>
      </c>
      <c r="B83" s="61" t="s">
        <v>388</v>
      </c>
      <c r="C83" s="59" t="s">
        <v>9</v>
      </c>
      <c r="D83" s="60">
        <v>1400</v>
      </c>
      <c r="E83" s="369" t="str">
        <f>VLOOKUP(A83,'Daily Report'!$A$3:$H$162,5,0)</f>
        <v>T/Day</v>
      </c>
    </row>
    <row r="84" spans="1:5" hidden="1">
      <c r="A84" s="370" t="s">
        <v>105</v>
      </c>
      <c r="B84" s="61" t="s">
        <v>389</v>
      </c>
      <c r="C84" s="59" t="s">
        <v>9</v>
      </c>
      <c r="D84" s="60">
        <v>1400</v>
      </c>
      <c r="E84" s="369" t="str">
        <f>VLOOKUP(A84,'Daily Report'!$A$3:$H$162,5,0)</f>
        <v>T/Day</v>
      </c>
    </row>
    <row r="85" spans="1:5" hidden="1">
      <c r="A85" s="370" t="s">
        <v>106</v>
      </c>
      <c r="B85" s="61" t="s">
        <v>390</v>
      </c>
      <c r="C85" s="66" t="s">
        <v>107</v>
      </c>
      <c r="D85" s="60"/>
      <c r="E85" s="369" t="str">
        <f>VLOOKUP(A85,'Daily Report'!$A$3:$H$162,5,0)</f>
        <v>Barg</v>
      </c>
    </row>
    <row r="86" spans="1:5" hidden="1">
      <c r="A86" s="370" t="s">
        <v>108</v>
      </c>
      <c r="B86" s="59"/>
      <c r="C86" s="66"/>
      <c r="D86" s="60"/>
      <c r="E86" s="369" t="e">
        <f>VLOOKUP(A86,'Daily Report'!$A$3:$H$162,5,0)</f>
        <v>#N/A</v>
      </c>
    </row>
    <row r="87" spans="1:5" ht="15">
      <c r="A87" s="118" t="s">
        <v>117</v>
      </c>
      <c r="B87" s="61" t="s">
        <v>391</v>
      </c>
      <c r="C87" s="59" t="s">
        <v>444</v>
      </c>
      <c r="D87" s="60">
        <v>725.5</v>
      </c>
      <c r="E87" s="369" t="str">
        <f>VLOOKUP(A87,'Daily Report'!$A$3:$H$162,5,0)</f>
        <v>T/Day</v>
      </c>
    </row>
    <row r="88" spans="1:5" hidden="1">
      <c r="A88" s="373"/>
      <c r="B88" s="61" t="s">
        <v>392</v>
      </c>
      <c r="C88" s="59" t="s">
        <v>118</v>
      </c>
      <c r="D88" s="60">
        <v>40</v>
      </c>
      <c r="E88" s="369" t="e">
        <f>VLOOKUP(A88,'Daily Report'!$A$3:$H$162,5,0)</f>
        <v>#N/A</v>
      </c>
    </row>
    <row r="89" spans="1:5" ht="16.5" hidden="1">
      <c r="A89" s="373"/>
      <c r="B89" s="61" t="s">
        <v>393</v>
      </c>
      <c r="C89" s="59" t="s">
        <v>42</v>
      </c>
      <c r="D89" s="60">
        <v>460</v>
      </c>
      <c r="E89" s="369" t="e">
        <f>VLOOKUP(A89,'Daily Report'!$A$3:$H$162,5,0)</f>
        <v>#N/A</v>
      </c>
    </row>
    <row r="90" spans="1:5" ht="15" hidden="1">
      <c r="A90" s="118" t="s">
        <v>119</v>
      </c>
      <c r="B90" s="366"/>
      <c r="C90" s="59" t="s">
        <v>120</v>
      </c>
      <c r="D90" s="60"/>
      <c r="E90" s="369" t="e">
        <f>VLOOKUP(A90,'Daily Report'!$A$3:$H$162,5,0)</f>
        <v>#N/A</v>
      </c>
    </row>
    <row r="91" spans="1:5" hidden="1">
      <c r="A91" s="252" t="s">
        <v>121</v>
      </c>
      <c r="B91" s="61" t="s">
        <v>394</v>
      </c>
      <c r="C91" s="59" t="s">
        <v>9</v>
      </c>
      <c r="D91" s="60">
        <v>3736</v>
      </c>
      <c r="E91" s="369" t="str">
        <f>VLOOKUP(A91,'Daily Report'!$A$3:$H$162,5,0)</f>
        <v>T/Day</v>
      </c>
    </row>
    <row r="92" spans="1:5" hidden="1">
      <c r="A92" s="252" t="s">
        <v>122</v>
      </c>
      <c r="B92" s="61" t="s">
        <v>395</v>
      </c>
      <c r="C92" s="59" t="s">
        <v>9</v>
      </c>
      <c r="D92" s="60">
        <v>4289</v>
      </c>
      <c r="E92" s="369" t="str">
        <f>VLOOKUP(A92,'Daily Report'!$A$3:$H$162,5,0)</f>
        <v>T/Day</v>
      </c>
    </row>
    <row r="93" spans="1:5" hidden="1">
      <c r="A93" s="507" t="s">
        <v>123</v>
      </c>
      <c r="B93" s="61" t="s">
        <v>415</v>
      </c>
      <c r="C93" s="59" t="s">
        <v>5</v>
      </c>
      <c r="D93" s="60">
        <v>0</v>
      </c>
      <c r="E93" s="369" t="e">
        <f>VLOOKUP(A93,'Daily Report'!$A$3:$H$162,5,0)</f>
        <v>#N/A</v>
      </c>
    </row>
    <row r="94" spans="1:5" hidden="1">
      <c r="A94" s="507"/>
      <c r="B94" s="105"/>
      <c r="C94" s="59"/>
      <c r="D94" s="60"/>
      <c r="E94" s="369" t="e">
        <f>VLOOKUP(A94,'Daily Report'!$A$3:$H$162,5,0)</f>
        <v>#N/A</v>
      </c>
    </row>
    <row r="95" spans="1:5" ht="15">
      <c r="A95" s="118" t="s">
        <v>283</v>
      </c>
      <c r="B95" s="341"/>
      <c r="C95" s="59"/>
      <c r="D95" s="60"/>
      <c r="E95" s="400" t="str">
        <f>VLOOKUP(A95,'Daily Report'!$A$3:$H$162,5,0)</f>
        <v>T/Day</v>
      </c>
    </row>
    <row r="96" spans="1:5" hidden="1">
      <c r="A96" s="252" t="s">
        <v>125</v>
      </c>
      <c r="B96" s="61" t="s">
        <v>396</v>
      </c>
      <c r="C96" s="59" t="s">
        <v>9</v>
      </c>
      <c r="D96" s="60">
        <v>301.10000000000002</v>
      </c>
      <c r="E96" s="369" t="str">
        <f>VLOOKUP(A96,'Daily Report'!$A$3:$H$162,5,0)</f>
        <v>T/Day</v>
      </c>
    </row>
    <row r="97" spans="1:5" hidden="1">
      <c r="A97" s="252" t="s">
        <v>126</v>
      </c>
      <c r="B97" s="61" t="s">
        <v>397</v>
      </c>
      <c r="C97" s="59" t="s">
        <v>9</v>
      </c>
      <c r="D97" s="60">
        <v>15</v>
      </c>
      <c r="E97" s="369" t="str">
        <f>VLOOKUP(A97,'Daily Report'!$A$3:$H$162,5,0)</f>
        <v>T/Day</v>
      </c>
    </row>
    <row r="98" spans="1:5" hidden="1">
      <c r="A98" s="252"/>
      <c r="B98" s="59" t="s">
        <v>127</v>
      </c>
      <c r="C98" s="59" t="s">
        <v>9</v>
      </c>
      <c r="D98" s="60">
        <f>D96+D97</f>
        <v>316.10000000000002</v>
      </c>
      <c r="E98" s="369" t="e">
        <f>VLOOKUP(A98,'Daily Report'!$A$3:$H$162,5,0)</f>
        <v>#N/A</v>
      </c>
    </row>
    <row r="99" spans="1:5" hidden="1">
      <c r="A99" s="252" t="s">
        <v>128</v>
      </c>
      <c r="B99" s="61" t="s">
        <v>124</v>
      </c>
      <c r="C99" s="59" t="s">
        <v>9</v>
      </c>
      <c r="D99" s="60"/>
      <c r="E99" s="369" t="str">
        <f>VLOOKUP(A99,'Daily Report'!$A$3:$H$162,5,0)</f>
        <v>T/Day</v>
      </c>
    </row>
    <row r="100" spans="1:5" hidden="1">
      <c r="A100" s="252" t="s">
        <v>129</v>
      </c>
      <c r="B100" s="61" t="s">
        <v>398</v>
      </c>
      <c r="C100" s="59" t="s">
        <v>9</v>
      </c>
      <c r="D100" s="60">
        <v>4417.6000000000004</v>
      </c>
      <c r="E100" s="369" t="str">
        <f>VLOOKUP(A100,'Daily Report'!$A$3:$H$162,5,0)</f>
        <v>T/Day</v>
      </c>
    </row>
    <row r="101" spans="1:5" hidden="1">
      <c r="A101" s="252" t="s">
        <v>130</v>
      </c>
      <c r="B101" s="61" t="s">
        <v>399</v>
      </c>
      <c r="C101" s="59" t="s">
        <v>9</v>
      </c>
      <c r="D101" s="60">
        <v>0</v>
      </c>
      <c r="E101" s="369" t="str">
        <f>VLOOKUP(A101,'Daily Report'!$A$3:$H$162,5,0)</f>
        <v>T/Day</v>
      </c>
    </row>
    <row r="102" spans="1:5" hidden="1">
      <c r="A102" s="252" t="s">
        <v>131</v>
      </c>
      <c r="B102" s="61" t="s">
        <v>400</v>
      </c>
      <c r="C102" s="59" t="s">
        <v>9</v>
      </c>
      <c r="D102" s="60">
        <v>150</v>
      </c>
      <c r="E102" s="369" t="str">
        <f>VLOOKUP(A102,'Daily Report'!$A$3:$H$162,5,0)</f>
        <v>T/Day</v>
      </c>
    </row>
    <row r="103" spans="1:5" hidden="1">
      <c r="A103" s="252" t="s">
        <v>132</v>
      </c>
      <c r="B103" s="61" t="s">
        <v>401</v>
      </c>
      <c r="C103" s="59" t="s">
        <v>9</v>
      </c>
      <c r="D103" s="60">
        <v>22.5</v>
      </c>
      <c r="E103" s="369" t="str">
        <f>VLOOKUP(A103,'Daily Report'!$A$3:$H$162,5,0)</f>
        <v>T/Day</v>
      </c>
    </row>
    <row r="104" spans="1:5" hidden="1">
      <c r="A104" s="252" t="s">
        <v>411</v>
      </c>
      <c r="B104" s="61" t="s">
        <v>409</v>
      </c>
      <c r="C104" s="59" t="s">
        <v>5</v>
      </c>
      <c r="D104" s="60"/>
      <c r="E104" s="369" t="str">
        <f>VLOOKUP(A104,'Daily Report'!$A$3:$H$162,5,0)</f>
        <v>%</v>
      </c>
    </row>
    <row r="105" spans="1:5" hidden="1">
      <c r="A105" s="252" t="s">
        <v>414</v>
      </c>
      <c r="B105" s="105"/>
      <c r="C105" s="59"/>
      <c r="D105" s="60"/>
      <c r="E105" s="369">
        <f>VLOOKUP(A105,'Daily Report'!$A$3:$H$162,5,0)</f>
        <v>0</v>
      </c>
    </row>
    <row r="106" spans="1:5" hidden="1">
      <c r="A106" s="252" t="s">
        <v>410</v>
      </c>
      <c r="B106" s="61" t="s">
        <v>412</v>
      </c>
      <c r="C106" s="59" t="s">
        <v>5</v>
      </c>
      <c r="D106" s="60"/>
      <c r="E106" s="369" t="str">
        <f>VLOOKUP(A106,'Daily Report'!$A$3:$H$162,5,0)</f>
        <v>%</v>
      </c>
    </row>
    <row r="107" spans="1:5" hidden="1">
      <c r="A107" s="252" t="s">
        <v>413</v>
      </c>
      <c r="B107" s="105"/>
      <c r="C107" s="59"/>
      <c r="D107" s="60"/>
      <c r="E107" s="369">
        <f>VLOOKUP(A107,'Daily Report'!$A$3:$H$162,5,0)</f>
        <v>0</v>
      </c>
    </row>
    <row r="108" spans="1:5">
      <c r="A108" s="252" t="s">
        <v>133</v>
      </c>
      <c r="B108" s="341"/>
      <c r="C108" s="59" t="s">
        <v>444</v>
      </c>
      <c r="D108" s="60">
        <f>D100+D101+D102+D103</f>
        <v>4590.1000000000004</v>
      </c>
      <c r="E108" s="369" t="str">
        <f>VLOOKUP(A108,'Daily Report'!$A$3:$H$162,5,0)</f>
        <v>T/Day</v>
      </c>
    </row>
    <row r="109" spans="1:5" hidden="1">
      <c r="A109" s="252" t="s">
        <v>134</v>
      </c>
      <c r="B109" s="61" t="s">
        <v>402</v>
      </c>
      <c r="C109" s="59" t="s">
        <v>9</v>
      </c>
      <c r="D109" s="60">
        <v>2730</v>
      </c>
      <c r="E109" s="369" t="str">
        <f>VLOOKUP(A109,'Daily Report'!$A$3:$H$162,5,0)</f>
        <v>T/Day</v>
      </c>
    </row>
    <row r="110" spans="1:5" hidden="1">
      <c r="A110" s="252" t="s">
        <v>135</v>
      </c>
      <c r="B110" s="59" t="s">
        <v>124</v>
      </c>
      <c r="C110" s="59"/>
      <c r="D110" s="60"/>
      <c r="E110" s="369">
        <f>VLOOKUP(A110,'Daily Report'!$A$3:$H$162,5,0)</f>
        <v>0</v>
      </c>
    </row>
    <row r="111" spans="1:5" hidden="1">
      <c r="A111" s="252" t="s">
        <v>136</v>
      </c>
      <c r="B111" s="59" t="s">
        <v>124</v>
      </c>
      <c r="C111" s="59" t="s">
        <v>9</v>
      </c>
      <c r="D111" s="60">
        <v>622</v>
      </c>
      <c r="E111" s="369" t="str">
        <f>VLOOKUP(A111,'Daily Report'!$A$3:$H$162,5,0)</f>
        <v>T/Day</v>
      </c>
    </row>
    <row r="112" spans="1:5" ht="15" hidden="1">
      <c r="A112" s="252" t="s">
        <v>137</v>
      </c>
      <c r="B112" s="59"/>
      <c r="C112" s="59"/>
      <c r="D112" s="367"/>
      <c r="E112" s="369">
        <f>VLOOKUP(A112,'Daily Report'!$A$3:$H$162,5,0)</f>
        <v>0</v>
      </c>
    </row>
    <row r="113" spans="1:5" hidden="1">
      <c r="A113" s="252" t="s">
        <v>138</v>
      </c>
      <c r="B113" s="59" t="s">
        <v>124</v>
      </c>
      <c r="C113" s="59" t="s">
        <v>9</v>
      </c>
      <c r="D113" s="60"/>
      <c r="E113" s="369" t="str">
        <f>VLOOKUP(A113,'Daily Report'!$A$3:$H$162,5,0)</f>
        <v>T/Day</v>
      </c>
    </row>
    <row r="114" spans="1:5" hidden="1">
      <c r="A114" s="252" t="s">
        <v>139</v>
      </c>
      <c r="B114" s="59" t="s">
        <v>124</v>
      </c>
      <c r="C114" s="59" t="s">
        <v>9</v>
      </c>
      <c r="D114" s="60"/>
      <c r="E114" s="369" t="str">
        <f>VLOOKUP(A114,'Daily Report'!$A$3:$H$162,5,0)</f>
        <v>T/Day</v>
      </c>
    </row>
    <row r="115" spans="1:5" hidden="1">
      <c r="A115" s="252" t="s">
        <v>140</v>
      </c>
      <c r="B115" s="59" t="s">
        <v>124</v>
      </c>
      <c r="C115" s="59" t="s">
        <v>9</v>
      </c>
      <c r="D115" s="60"/>
      <c r="E115" s="369" t="str">
        <f>VLOOKUP(A115,'Daily Report'!$A$3:$H$162,5,0)</f>
        <v>T/Day</v>
      </c>
    </row>
    <row r="116" spans="1:5" hidden="1">
      <c r="A116" s="252" t="s">
        <v>141</v>
      </c>
      <c r="B116" s="341"/>
      <c r="C116" s="59" t="s">
        <v>9</v>
      </c>
      <c r="D116" s="60">
        <v>10.68</v>
      </c>
      <c r="E116" s="369" t="str">
        <f>VLOOKUP(A116,'Daily Report'!$A$3:$H$162,5,0)</f>
        <v>T/Day</v>
      </c>
    </row>
    <row r="117" spans="1:5" hidden="1">
      <c r="A117" s="252" t="s">
        <v>142</v>
      </c>
      <c r="B117" s="61" t="s">
        <v>403</v>
      </c>
      <c r="C117" s="59" t="s">
        <v>9</v>
      </c>
      <c r="D117" s="109">
        <v>207.36</v>
      </c>
      <c r="E117" s="369" t="str">
        <f>VLOOKUP(A117,'Daily Report'!$A$3:$H$162,5,0)</f>
        <v>T/Day</v>
      </c>
    </row>
    <row r="118" spans="1:5" hidden="1">
      <c r="A118" s="252" t="s">
        <v>143</v>
      </c>
      <c r="B118" s="59" t="s">
        <v>124</v>
      </c>
      <c r="C118" s="59" t="s">
        <v>9</v>
      </c>
      <c r="D118" s="60">
        <v>17.52</v>
      </c>
      <c r="E118" s="369" t="str">
        <f>VLOOKUP(A118,'Daily Report'!$A$3:$H$162,5,0)</f>
        <v>T/Day</v>
      </c>
    </row>
    <row r="119" spans="1:5" hidden="1">
      <c r="A119" s="252" t="s">
        <v>144</v>
      </c>
      <c r="B119" s="59" t="s">
        <v>124</v>
      </c>
      <c r="C119" s="59"/>
      <c r="D119" s="60"/>
      <c r="E119" s="369">
        <f>VLOOKUP(A119,'Daily Report'!$A$3:$H$162,5,0)</f>
        <v>0</v>
      </c>
    </row>
    <row r="120" spans="1:5" hidden="1">
      <c r="A120" s="252" t="s">
        <v>145</v>
      </c>
      <c r="B120" s="59" t="s">
        <v>124</v>
      </c>
      <c r="C120" s="59"/>
      <c r="D120" s="60"/>
      <c r="E120" s="369">
        <f>VLOOKUP(A120,'Daily Report'!$A$3:$H$162,5,0)</f>
        <v>0</v>
      </c>
    </row>
    <row r="121" spans="1:5" hidden="1">
      <c r="A121" s="252" t="s">
        <v>146</v>
      </c>
      <c r="B121" s="59"/>
      <c r="C121" s="59"/>
      <c r="D121" s="60">
        <v>10.944000000000001</v>
      </c>
      <c r="E121" s="369">
        <f>VLOOKUP(A121,'Daily Report'!$A$3:$H$162,5,0)</f>
        <v>0</v>
      </c>
    </row>
    <row r="122" spans="1:5" hidden="1">
      <c r="A122" s="513" t="s">
        <v>147</v>
      </c>
      <c r="B122" s="341" t="s">
        <v>148</v>
      </c>
      <c r="C122" s="59" t="s">
        <v>149</v>
      </c>
      <c r="D122" s="109">
        <v>1860</v>
      </c>
      <c r="E122" s="369" t="str">
        <f>VLOOKUP(A122,'Daily Report'!$A$3:$H$162,5,0)</f>
        <v>kW</v>
      </c>
    </row>
    <row r="123" spans="1:5" hidden="1">
      <c r="A123" s="513"/>
      <c r="B123" s="341" t="s">
        <v>150</v>
      </c>
      <c r="C123" s="59" t="s">
        <v>149</v>
      </c>
      <c r="D123" s="109">
        <v>355</v>
      </c>
      <c r="E123" s="369" t="e">
        <f>VLOOKUP(A123,'Daily Report'!$A$3:$H$162,5,0)</f>
        <v>#N/A</v>
      </c>
    </row>
    <row r="124" spans="1:5" hidden="1">
      <c r="A124" s="513"/>
      <c r="B124" s="341" t="s">
        <v>151</v>
      </c>
      <c r="C124" s="59" t="s">
        <v>149</v>
      </c>
      <c r="D124" s="109">
        <v>600</v>
      </c>
      <c r="E124" s="369" t="e">
        <f>VLOOKUP(A124,'Daily Report'!$A$3:$H$162,5,0)</f>
        <v>#N/A</v>
      </c>
    </row>
    <row r="125" spans="1:5" hidden="1">
      <c r="A125" s="513"/>
      <c r="B125" s="341" t="s">
        <v>152</v>
      </c>
      <c r="C125" s="59" t="s">
        <v>149</v>
      </c>
      <c r="D125" s="109">
        <v>7000</v>
      </c>
      <c r="E125" s="369" t="e">
        <f>VLOOKUP(A125,'Daily Report'!$A$3:$H$162,5,0)</f>
        <v>#N/A</v>
      </c>
    </row>
    <row r="126" spans="1:5" hidden="1">
      <c r="A126" s="513"/>
      <c r="B126" s="341" t="s">
        <v>153</v>
      </c>
      <c r="C126" s="59" t="s">
        <v>149</v>
      </c>
      <c r="D126" s="109">
        <v>1600</v>
      </c>
      <c r="E126" s="369" t="e">
        <f>VLOOKUP(A126,'Daily Report'!$A$3:$H$162,5,0)</f>
        <v>#N/A</v>
      </c>
    </row>
    <row r="127" spans="1:5" hidden="1">
      <c r="A127" s="513"/>
      <c r="B127" s="341" t="s">
        <v>154</v>
      </c>
      <c r="C127" s="59" t="s">
        <v>149</v>
      </c>
      <c r="D127" s="109">
        <v>1600</v>
      </c>
      <c r="E127" s="369" t="e">
        <f>VLOOKUP(A127,'Daily Report'!$A$3:$H$162,5,0)</f>
        <v>#N/A</v>
      </c>
    </row>
    <row r="128" spans="1:5" hidden="1">
      <c r="A128" s="513"/>
      <c r="B128" s="341" t="s">
        <v>155</v>
      </c>
      <c r="C128" s="59" t="s">
        <v>149</v>
      </c>
      <c r="D128" s="109">
        <v>7000</v>
      </c>
      <c r="E128" s="369" t="e">
        <f>VLOOKUP(A128,'Daily Report'!$A$3:$H$162,5,0)</f>
        <v>#N/A</v>
      </c>
    </row>
    <row r="129" spans="1:5" hidden="1">
      <c r="A129" s="513"/>
      <c r="B129" s="341" t="s">
        <v>156</v>
      </c>
      <c r="C129" s="59" t="s">
        <v>149</v>
      </c>
      <c r="D129" s="109">
        <v>1158.1500000000001</v>
      </c>
      <c r="E129" s="369" t="e">
        <f>VLOOKUP(A129,'Daily Report'!$A$3:$H$162,5,0)</f>
        <v>#N/A</v>
      </c>
    </row>
    <row r="130" spans="1:5" ht="15" hidden="1">
      <c r="A130" s="374" t="s">
        <v>157</v>
      </c>
      <c r="B130" s="341"/>
      <c r="C130" s="59" t="s">
        <v>158</v>
      </c>
      <c r="D130" s="60">
        <f>SUM(D122:D124,D126:D128,D129)/1000</f>
        <v>14.17315</v>
      </c>
      <c r="E130" s="369" t="str">
        <f>VLOOKUP(A130,'Daily Report'!$A$3:$H$162,5,0)</f>
        <v>MW</v>
      </c>
    </row>
    <row r="131" spans="1:5" ht="15">
      <c r="A131" s="118" t="s">
        <v>407</v>
      </c>
      <c r="B131" s="341"/>
      <c r="C131" s="59" t="s">
        <v>158</v>
      </c>
      <c r="D131" s="60">
        <f>SUM(D122:D129)/1000</f>
        <v>21.17315</v>
      </c>
      <c r="E131" s="369" t="str">
        <f>VLOOKUP(A131,'Daily Report'!$A$3:$H$162,5,0)</f>
        <v>MW</v>
      </c>
    </row>
    <row r="132" spans="1:5" ht="15">
      <c r="A132" s="118" t="s">
        <v>159</v>
      </c>
      <c r="B132" s="341"/>
      <c r="C132" s="59" t="s">
        <v>160</v>
      </c>
      <c r="D132" s="60"/>
      <c r="E132" s="375" t="str">
        <f>VLOOKUP(A132,'Daily Report'!$A$3:$H$162,5,0)</f>
        <v>YES/NO</v>
      </c>
    </row>
    <row r="133" spans="1:5" ht="30">
      <c r="A133" s="374" t="s">
        <v>161</v>
      </c>
      <c r="B133" s="341"/>
      <c r="C133" s="59" t="s">
        <v>162</v>
      </c>
      <c r="D133" s="60"/>
      <c r="E133" s="369" t="str">
        <f>VLOOKUP(A133,'Daily Report'!$A$3:$H$162,5,0)</f>
        <v>Hours</v>
      </c>
    </row>
    <row r="134" spans="1:5" ht="15">
      <c r="A134" s="374" t="s">
        <v>163</v>
      </c>
      <c r="B134" s="59"/>
      <c r="C134" s="59" t="s">
        <v>164</v>
      </c>
      <c r="D134" s="60"/>
      <c r="E134" s="369" t="str">
        <f>E18</f>
        <v>MMBTU/Day</v>
      </c>
    </row>
    <row r="135" spans="1:5" ht="15">
      <c r="A135" s="374" t="s">
        <v>165</v>
      </c>
      <c r="B135" s="59"/>
      <c r="C135" s="59" t="s">
        <v>164</v>
      </c>
      <c r="D135" s="60"/>
      <c r="E135" s="369" t="str">
        <f>VLOOKUP(A135,'Daily Report'!$A$3:$H$162,5,0)</f>
        <v>MMBTU</v>
      </c>
    </row>
    <row r="136" spans="1:5" ht="15.75" thickBot="1">
      <c r="A136" s="376" t="s">
        <v>166</v>
      </c>
      <c r="B136" s="265"/>
      <c r="C136" s="265" t="s">
        <v>158</v>
      </c>
      <c r="D136" s="65"/>
      <c r="E136" s="377" t="str">
        <f>VLOOKUP(A136,'Daily Report'!$A$3:$H$162,5,0)</f>
        <v>MW</v>
      </c>
    </row>
    <row r="137" spans="1:5" ht="23.25" hidden="1">
      <c r="A137" s="505" t="s">
        <v>167</v>
      </c>
      <c r="B137" s="506"/>
      <c r="C137" s="506"/>
      <c r="D137" s="506"/>
      <c r="E137" s="357"/>
    </row>
    <row r="138" spans="1:5" ht="15" hidden="1">
      <c r="A138" s="83" t="s">
        <v>168</v>
      </c>
      <c r="B138" s="3" t="s">
        <v>3</v>
      </c>
      <c r="C138" s="3" t="s">
        <v>169</v>
      </c>
      <c r="D138" s="20" t="s">
        <v>170</v>
      </c>
      <c r="E138" s="334"/>
    </row>
    <row r="139" spans="1:5" ht="15" hidden="1">
      <c r="A139" s="26" t="s">
        <v>171</v>
      </c>
      <c r="B139" s="6" t="s">
        <v>172</v>
      </c>
      <c r="C139" s="5" t="s">
        <v>5</v>
      </c>
      <c r="D139" s="11" t="s">
        <v>173</v>
      </c>
      <c r="E139" s="333" t="e">
        <f>AVERAGE(#REF!)</f>
        <v>#REF!</v>
      </c>
    </row>
    <row r="140" spans="1:5" ht="15.75" hidden="1">
      <c r="A140" s="26"/>
      <c r="B140" s="17" t="s">
        <v>174</v>
      </c>
      <c r="C140" s="5" t="s">
        <v>175</v>
      </c>
      <c r="D140" s="11">
        <v>254</v>
      </c>
      <c r="E140" s="333" t="e">
        <f>SUM(#REF!)</f>
        <v>#REF!</v>
      </c>
    </row>
    <row r="141" spans="1:5" ht="15" hidden="1">
      <c r="A141" s="26"/>
      <c r="B141" s="6" t="s">
        <v>176</v>
      </c>
      <c r="C141" s="5" t="s">
        <v>177</v>
      </c>
      <c r="D141" s="21"/>
      <c r="E141" s="333" t="e">
        <f>AVERAGE(#REF!)</f>
        <v>#REF!</v>
      </c>
    </row>
    <row r="142" spans="1:5" ht="15" hidden="1">
      <c r="A142" s="26"/>
      <c r="B142" s="6" t="s">
        <v>178</v>
      </c>
      <c r="C142" s="7" t="s">
        <v>179</v>
      </c>
      <c r="D142" s="21" t="s">
        <v>180</v>
      </c>
      <c r="E142" s="333" t="e">
        <f>AVERAGE(#REF!)</f>
        <v>#REF!</v>
      </c>
    </row>
    <row r="143" spans="1:5" ht="18.75" hidden="1">
      <c r="A143" s="26"/>
      <c r="B143" s="6" t="s">
        <v>181</v>
      </c>
      <c r="C143" s="7" t="s">
        <v>182</v>
      </c>
      <c r="D143" s="21" t="s">
        <v>180</v>
      </c>
      <c r="E143" s="333" t="e">
        <f>AVERAGE(#REF!)</f>
        <v>#REF!</v>
      </c>
    </row>
    <row r="144" spans="1:5" ht="15" hidden="1">
      <c r="A144" s="26" t="s">
        <v>183</v>
      </c>
      <c r="B144" s="6" t="s">
        <v>184</v>
      </c>
      <c r="C144" s="7" t="s">
        <v>182</v>
      </c>
      <c r="D144" s="22"/>
      <c r="E144" s="333" t="e">
        <f>AVERAGE(#REF!)</f>
        <v>#REF!</v>
      </c>
    </row>
    <row r="145" spans="1:5" ht="15" hidden="1">
      <c r="A145" s="26" t="s">
        <v>185</v>
      </c>
      <c r="B145" s="6" t="s">
        <v>186</v>
      </c>
      <c r="C145" s="7" t="s">
        <v>182</v>
      </c>
      <c r="D145" s="22"/>
      <c r="E145" s="333" t="e">
        <f>AVERAGE(#REF!)</f>
        <v>#REF!</v>
      </c>
    </row>
    <row r="146" spans="1:5" ht="15" hidden="1">
      <c r="A146" s="26"/>
      <c r="B146" s="6" t="s">
        <v>187</v>
      </c>
      <c r="C146" s="7" t="s">
        <v>5</v>
      </c>
      <c r="D146" s="22"/>
      <c r="E146" s="333" t="e">
        <f>AVERAGE(#REF!)</f>
        <v>#REF!</v>
      </c>
    </row>
    <row r="147" spans="1:5" ht="18.75" hidden="1">
      <c r="A147" s="26" t="s">
        <v>188</v>
      </c>
      <c r="B147" s="6" t="s">
        <v>189</v>
      </c>
      <c r="C147" s="7" t="s">
        <v>182</v>
      </c>
      <c r="D147" s="21"/>
      <c r="E147" s="333" t="e">
        <f>AVERAGE(#REF!)</f>
        <v>#REF!</v>
      </c>
    </row>
    <row r="148" spans="1:5" ht="18.75" hidden="1">
      <c r="A148" s="26" t="s">
        <v>190</v>
      </c>
      <c r="B148" s="6" t="s">
        <v>191</v>
      </c>
      <c r="C148" s="7" t="s">
        <v>182</v>
      </c>
      <c r="D148" s="19"/>
      <c r="E148" s="333" t="e">
        <f>AVERAGE(#REF!)</f>
        <v>#REF!</v>
      </c>
    </row>
    <row r="149" spans="1:5" ht="18.75" hidden="1">
      <c r="A149" s="26" t="s">
        <v>192</v>
      </c>
      <c r="B149" s="6" t="s">
        <v>193</v>
      </c>
      <c r="C149" s="1" t="s">
        <v>179</v>
      </c>
      <c r="D149" s="19">
        <v>99.9</v>
      </c>
      <c r="E149" s="333" t="e">
        <f>AVERAGE(#REF!)</f>
        <v>#REF!</v>
      </c>
    </row>
    <row r="150" spans="1:5" ht="18.75" hidden="1">
      <c r="A150" s="26"/>
      <c r="B150" s="6" t="s">
        <v>194</v>
      </c>
      <c r="C150" s="1" t="s">
        <v>5</v>
      </c>
      <c r="D150" s="19" t="s">
        <v>195</v>
      </c>
      <c r="E150" s="333" t="e">
        <f>AVERAGE(#REF!)</f>
        <v>#REF!</v>
      </c>
    </row>
    <row r="151" spans="1:5" ht="18.75" hidden="1">
      <c r="A151" s="26"/>
      <c r="B151" s="6" t="s">
        <v>196</v>
      </c>
      <c r="C151" s="1" t="s">
        <v>80</v>
      </c>
      <c r="D151" s="19" t="s">
        <v>197</v>
      </c>
      <c r="E151" s="333" t="e">
        <f>AVERAGE(#REF!)</f>
        <v>#REF!</v>
      </c>
    </row>
    <row r="152" spans="1:5" ht="18.75" hidden="1">
      <c r="A152" s="26" t="s">
        <v>198</v>
      </c>
      <c r="B152" s="6" t="s">
        <v>199</v>
      </c>
      <c r="C152" s="5" t="s">
        <v>200</v>
      </c>
      <c r="D152" s="19">
        <v>96</v>
      </c>
      <c r="E152" s="333" t="e">
        <f>AVERAGE(#REF!)</f>
        <v>#REF!</v>
      </c>
    </row>
    <row r="153" spans="1:5" ht="28.5" hidden="1">
      <c r="A153" s="26"/>
      <c r="B153" s="6" t="s">
        <v>201</v>
      </c>
      <c r="C153" s="1" t="s">
        <v>5</v>
      </c>
      <c r="D153" s="12" t="s">
        <v>202</v>
      </c>
      <c r="E153" s="333" t="e">
        <f>AVERAGE(#REF!)</f>
        <v>#REF!</v>
      </c>
    </row>
    <row r="154" spans="1:5" ht="15" hidden="1">
      <c r="A154" s="26"/>
      <c r="B154" s="6" t="s">
        <v>203</v>
      </c>
      <c r="C154" s="5" t="s">
        <v>80</v>
      </c>
      <c r="D154" s="19"/>
      <c r="E154" s="333" t="e">
        <f>AVERAGE(#REF!)</f>
        <v>#REF!</v>
      </c>
    </row>
    <row r="155" spans="1:5" ht="23.25" hidden="1">
      <c r="A155" s="505" t="s">
        <v>204</v>
      </c>
      <c r="B155" s="506"/>
      <c r="C155" s="506"/>
      <c r="D155" s="506"/>
      <c r="E155" s="334"/>
    </row>
    <row r="156" spans="1:5" ht="15" hidden="1">
      <c r="A156" s="84" t="s">
        <v>205</v>
      </c>
      <c r="B156" s="18" t="s">
        <v>206</v>
      </c>
      <c r="C156" s="9" t="s">
        <v>207</v>
      </c>
      <c r="D156" s="23">
        <v>127.14</v>
      </c>
      <c r="E156" s="333" t="e">
        <f>AVERAGE(#REF!)</f>
        <v>#REF!</v>
      </c>
    </row>
    <row r="157" spans="1:5" hidden="1">
      <c r="A157" s="84"/>
      <c r="B157" s="8" t="s">
        <v>208</v>
      </c>
      <c r="C157" s="9" t="s">
        <v>209</v>
      </c>
      <c r="D157" s="24">
        <v>78.06</v>
      </c>
      <c r="E157" s="333" t="e">
        <f>AVERAGE(#REF!)</f>
        <v>#REF!</v>
      </c>
    </row>
    <row r="158" spans="1:5" ht="29.25" hidden="1">
      <c r="A158" s="84"/>
      <c r="B158" s="29" t="s">
        <v>210</v>
      </c>
      <c r="C158" s="30" t="s">
        <v>239</v>
      </c>
      <c r="D158" s="12" t="s">
        <v>202</v>
      </c>
      <c r="E158" s="333" t="e">
        <f>AVERAGE(#REF!)</f>
        <v>#REF!</v>
      </c>
    </row>
    <row r="159" spans="1:5" hidden="1">
      <c r="A159" s="84" t="s">
        <v>211</v>
      </c>
      <c r="B159" s="8" t="s">
        <v>212</v>
      </c>
      <c r="C159" s="9" t="s">
        <v>213</v>
      </c>
      <c r="D159" s="25">
        <v>1.58</v>
      </c>
      <c r="E159" s="333" t="e">
        <f>AVERAGE(#REF!)</f>
        <v>#REF!</v>
      </c>
    </row>
    <row r="160" spans="1:5" hidden="1">
      <c r="A160" s="84"/>
      <c r="B160" s="8" t="s">
        <v>214</v>
      </c>
      <c r="C160" s="9" t="s">
        <v>215</v>
      </c>
      <c r="D160" s="25"/>
      <c r="E160" s="333" t="e">
        <f>AVERAGE(#REF!)</f>
        <v>#REF!</v>
      </c>
    </row>
    <row r="161" spans="1:5" ht="15.75" hidden="1">
      <c r="A161" s="85" t="s">
        <v>216</v>
      </c>
      <c r="B161" s="4"/>
      <c r="C161" s="4"/>
      <c r="D161" s="13"/>
    </row>
    <row r="162" spans="1:5" ht="15.75" hidden="1">
      <c r="A162" s="86" t="s">
        <v>217</v>
      </c>
      <c r="B162" s="4" t="s">
        <v>218</v>
      </c>
      <c r="C162" s="2" t="s">
        <v>219</v>
      </c>
      <c r="D162" s="14" t="s">
        <v>220</v>
      </c>
    </row>
    <row r="163" spans="1:5" ht="15.75" hidden="1">
      <c r="A163" s="86" t="s">
        <v>221</v>
      </c>
      <c r="B163" s="4" t="s">
        <v>221</v>
      </c>
      <c r="C163" s="2" t="s">
        <v>221</v>
      </c>
      <c r="D163" s="14" t="s">
        <v>222</v>
      </c>
    </row>
    <row r="164" spans="1:5" ht="16.5" hidden="1" thickBot="1">
      <c r="A164" s="87"/>
      <c r="B164" s="28"/>
      <c r="C164" s="28"/>
      <c r="D164" s="35"/>
      <c r="E164" s="335"/>
    </row>
    <row r="165" spans="1:5" ht="15.75" hidden="1">
      <c r="A165" s="88"/>
      <c r="B165" s="31"/>
      <c r="C165" s="31"/>
      <c r="D165" s="34"/>
    </row>
    <row r="166" spans="1:5" ht="15.75">
      <c r="A166" s="89"/>
      <c r="B166" s="33"/>
      <c r="C166" s="33"/>
      <c r="D166" s="32"/>
    </row>
    <row r="167" spans="1:5" ht="15.75">
      <c r="A167" s="89"/>
      <c r="B167" s="33"/>
      <c r="C167" s="33"/>
      <c r="D167" s="32"/>
    </row>
    <row r="168" spans="1:5" ht="15.75">
      <c r="A168" s="90"/>
      <c r="B168" s="10"/>
      <c r="C168" s="16"/>
      <c r="D168" s="14"/>
    </row>
  </sheetData>
  <mergeCells count="12">
    <mergeCell ref="A1:D1"/>
    <mergeCell ref="A16:B16"/>
    <mergeCell ref="A17:B17"/>
    <mergeCell ref="A122:A129"/>
    <mergeCell ref="A24:A25"/>
    <mergeCell ref="A137:D137"/>
    <mergeCell ref="A155:D155"/>
    <mergeCell ref="A93:A94"/>
    <mergeCell ref="A32:A35"/>
    <mergeCell ref="A38:A39"/>
    <mergeCell ref="A44:A45"/>
    <mergeCell ref="B44:B4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rgb="FFFFC000"/>
  </sheetPr>
  <dimension ref="A1:N76"/>
  <sheetViews>
    <sheetView topLeftCell="A2" zoomScale="115" zoomScaleNormal="115" workbookViewId="0">
      <selection activeCell="J13" sqref="J13"/>
    </sheetView>
  </sheetViews>
  <sheetFormatPr defaultRowHeight="14.25"/>
  <cols>
    <col min="1" max="1" width="16.875" bestFit="1" customWidth="1"/>
    <col min="2" max="2" width="19.375" style="1" customWidth="1"/>
    <col min="3" max="3" width="11.375" customWidth="1"/>
    <col min="4" max="4" width="18" style="102" bestFit="1" customWidth="1"/>
    <col min="5" max="5" width="7.875" customWidth="1"/>
    <col min="6" max="6" width="28.125" customWidth="1"/>
    <col min="11" max="11" width="12.375" customWidth="1"/>
    <col min="14" max="14" width="61.875" customWidth="1"/>
  </cols>
  <sheetData>
    <row r="1" spans="1:14">
      <c r="A1" s="36" t="s">
        <v>241</v>
      </c>
      <c r="B1" s="37"/>
      <c r="C1" s="38"/>
      <c r="D1" s="388"/>
      <c r="E1" s="38"/>
      <c r="F1" s="38"/>
      <c r="H1" s="39"/>
    </row>
    <row r="2" spans="1:14">
      <c r="A2" s="36" t="s">
        <v>242</v>
      </c>
      <c r="B2" s="37"/>
      <c r="C2" s="38"/>
      <c r="D2" s="388"/>
      <c r="E2" s="38"/>
      <c r="F2" s="38"/>
    </row>
    <row r="3" spans="1:14" ht="15" thickBot="1"/>
    <row r="4" spans="1:14" ht="18.75" thickBot="1">
      <c r="A4" s="40"/>
      <c r="D4" s="41">
        <v>45931</v>
      </c>
    </row>
    <row r="5" spans="1:14">
      <c r="D5" s="389"/>
      <c r="F5" s="38"/>
    </row>
    <row r="6" spans="1:14">
      <c r="A6" t="s">
        <v>168</v>
      </c>
      <c r="B6" s="1" t="s">
        <v>243</v>
      </c>
      <c r="D6" s="389"/>
      <c r="E6" t="s">
        <v>1</v>
      </c>
    </row>
    <row r="7" spans="1:14">
      <c r="D7" s="389"/>
    </row>
    <row r="8" spans="1:14" ht="15" thickBot="1">
      <c r="D8" s="389"/>
      <c r="F8" s="42" t="s">
        <v>244</v>
      </c>
    </row>
    <row r="9" spans="1:14" ht="15" thickBot="1">
      <c r="A9" t="s">
        <v>245</v>
      </c>
      <c r="B9" s="43" t="s">
        <v>246</v>
      </c>
      <c r="C9" s="40"/>
      <c r="D9" s="390">
        <v>9.7899999999999991</v>
      </c>
      <c r="E9" s="44" t="s">
        <v>247</v>
      </c>
      <c r="F9" t="s">
        <v>248</v>
      </c>
    </row>
    <row r="10" spans="1:14" ht="15" thickBot="1">
      <c r="B10" s="43"/>
      <c r="C10" s="40"/>
      <c r="D10" s="391">
        <v>10.33</v>
      </c>
      <c r="E10" s="44" t="s">
        <v>247</v>
      </c>
      <c r="F10" t="s">
        <v>249</v>
      </c>
    </row>
    <row r="11" spans="1:14">
      <c r="C11" s="40"/>
      <c r="D11" s="392"/>
      <c r="F11" t="s">
        <v>250</v>
      </c>
    </row>
    <row r="12" spans="1:14" ht="15" thickBot="1">
      <c r="A12" s="42" t="s">
        <v>251</v>
      </c>
      <c r="C12" s="40"/>
      <c r="D12" s="392"/>
    </row>
    <row r="13" spans="1:14" ht="15" thickBot="1">
      <c r="A13" t="s">
        <v>252</v>
      </c>
      <c r="B13" s="45" t="s">
        <v>253</v>
      </c>
      <c r="C13" s="40"/>
      <c r="D13" s="393" t="str">
        <f>'Finance Sheet'!E60</f>
        <v>T/Day</v>
      </c>
      <c r="E13" s="46" t="s">
        <v>120</v>
      </c>
      <c r="F13" s="47" t="s">
        <v>254</v>
      </c>
      <c r="N13" s="48"/>
    </row>
    <row r="14" spans="1:14" ht="15" thickBot="1">
      <c r="A14" t="s">
        <v>255</v>
      </c>
      <c r="B14" s="45" t="s">
        <v>256</v>
      </c>
      <c r="C14" s="40"/>
      <c r="D14" s="393" t="str">
        <f>'Finance Sheet'!E20</f>
        <v>T/Day</v>
      </c>
      <c r="E14" s="46" t="s">
        <v>120</v>
      </c>
      <c r="F14" s="47" t="s">
        <v>257</v>
      </c>
      <c r="N14" s="39"/>
    </row>
    <row r="15" spans="1:14" ht="15" thickBot="1">
      <c r="A15" t="s">
        <v>255</v>
      </c>
      <c r="B15" s="45" t="s">
        <v>258</v>
      </c>
      <c r="C15" s="40"/>
      <c r="D15" s="393" t="e">
        <f>D13+D14</f>
        <v>#VALUE!</v>
      </c>
      <c r="E15" s="46" t="s">
        <v>120</v>
      </c>
      <c r="F15" s="47" t="s">
        <v>259</v>
      </c>
      <c r="N15" s="49"/>
    </row>
    <row r="16" spans="1:14" ht="15" thickBot="1">
      <c r="A16" t="s">
        <v>260</v>
      </c>
      <c r="B16" s="43"/>
      <c r="C16" s="40"/>
      <c r="D16" s="393" t="e">
        <f>D15</f>
        <v>#VALUE!</v>
      </c>
      <c r="E16" s="46" t="s">
        <v>120</v>
      </c>
      <c r="F16" s="47" t="s">
        <v>261</v>
      </c>
      <c r="H16" s="50"/>
      <c r="N16" s="51"/>
    </row>
    <row r="17" spans="1:14">
      <c r="B17" s="43"/>
      <c r="C17" s="40"/>
      <c r="D17" s="392"/>
      <c r="E17" s="46"/>
      <c r="N17" s="51"/>
    </row>
    <row r="18" spans="1:14" ht="15" thickBot="1">
      <c r="A18" s="42" t="s">
        <v>262</v>
      </c>
      <c r="C18" s="40"/>
      <c r="D18" s="392"/>
    </row>
    <row r="19" spans="1:14" ht="15" thickBot="1">
      <c r="A19" t="s">
        <v>263</v>
      </c>
      <c r="B19" s="43" t="s">
        <v>119</v>
      </c>
      <c r="C19" s="40"/>
      <c r="D19" s="393" t="str">
        <f>'Finance Sheet'!E87</f>
        <v>T/Day</v>
      </c>
      <c r="E19" s="46" t="s">
        <v>120</v>
      </c>
      <c r="F19" t="s">
        <v>264</v>
      </c>
    </row>
    <row r="20" spans="1:14">
      <c r="B20" s="43"/>
      <c r="C20" s="40"/>
      <c r="D20" s="392"/>
      <c r="E20" s="46"/>
    </row>
    <row r="21" spans="1:14">
      <c r="B21" s="43"/>
      <c r="C21" s="40"/>
      <c r="D21" s="392"/>
      <c r="E21" s="46"/>
    </row>
    <row r="22" spans="1:14" ht="15" thickBot="1">
      <c r="A22" s="42" t="s">
        <v>265</v>
      </c>
      <c r="C22" s="40"/>
      <c r="D22" s="392"/>
    </row>
    <row r="23" spans="1:14" ht="15" thickBot="1">
      <c r="A23" t="s">
        <v>266</v>
      </c>
      <c r="C23" s="40"/>
      <c r="D23" s="393" t="e">
        <f>'Finance Sheet'!E20*1000*22.414/Analysis!I38</f>
        <v>#VALUE!</v>
      </c>
      <c r="E23" s="46" t="s">
        <v>267</v>
      </c>
      <c r="F23" t="s">
        <v>268</v>
      </c>
    </row>
    <row r="24" spans="1:14">
      <c r="C24" s="40"/>
      <c r="D24" s="392"/>
      <c r="J24" s="39"/>
    </row>
    <row r="25" spans="1:14">
      <c r="A25" s="42" t="s">
        <v>269</v>
      </c>
      <c r="C25" s="40"/>
      <c r="D25" s="392"/>
    </row>
    <row r="26" spans="1:14" ht="15" thickBot="1">
      <c r="A26" t="s">
        <v>270</v>
      </c>
      <c r="C26" s="40"/>
      <c r="D26" s="392"/>
    </row>
    <row r="27" spans="1:14" ht="15" thickBot="1">
      <c r="B27" s="43" t="s">
        <v>271</v>
      </c>
      <c r="C27" s="40"/>
      <c r="D27" s="393" t="str">
        <f>'Finance Sheet'!E18</f>
        <v>MMBTU/Day</v>
      </c>
      <c r="E27" t="s">
        <v>164</v>
      </c>
      <c r="F27" t="s">
        <v>272</v>
      </c>
    </row>
    <row r="28" spans="1:14" ht="15" thickBot="1">
      <c r="B28" s="43"/>
      <c r="D28" s="393">
        <f>'Daily Report'!H6+'Daily Report'!H8</f>
        <v>27207.935819573846</v>
      </c>
      <c r="E28" t="s">
        <v>120</v>
      </c>
      <c r="F28" s="52" t="s">
        <v>273</v>
      </c>
    </row>
    <row r="29" spans="1:14">
      <c r="B29" s="43"/>
      <c r="C29" s="40"/>
      <c r="D29" s="392"/>
      <c r="F29" t="s">
        <v>274</v>
      </c>
    </row>
    <row r="30" spans="1:14" ht="15" thickBot="1">
      <c r="A30" t="s">
        <v>275</v>
      </c>
      <c r="B30" s="43"/>
      <c r="C30" s="40"/>
      <c r="D30" s="392"/>
      <c r="F30" t="s">
        <v>276</v>
      </c>
    </row>
    <row r="31" spans="1:14" ht="15" thickBot="1">
      <c r="B31" s="43" t="s">
        <v>277</v>
      </c>
      <c r="C31" s="40"/>
      <c r="D31" s="393" t="str">
        <f>'Finance Sheet'!E15</f>
        <v>btu/nm3</v>
      </c>
      <c r="F31" s="40" t="s">
        <v>278</v>
      </c>
    </row>
    <row r="32" spans="1:14" ht="15" thickBot="1">
      <c r="B32" s="43" t="s">
        <v>279</v>
      </c>
      <c r="D32" s="393" t="str">
        <f>'Finance Sheet'!E10</f>
        <v>T/Tmole</v>
      </c>
      <c r="F32" s="53"/>
    </row>
    <row r="33" spans="1:14">
      <c r="B33" s="43"/>
      <c r="C33" s="40"/>
      <c r="D33" s="392"/>
    </row>
    <row r="34" spans="1:14">
      <c r="C34" s="40"/>
      <c r="D34" s="394"/>
    </row>
    <row r="35" spans="1:14" ht="15" thickBot="1">
      <c r="A35" s="54" t="s">
        <v>280</v>
      </c>
      <c r="C35" s="40"/>
      <c r="D35" s="394"/>
    </row>
    <row r="36" spans="1:14" ht="15" thickBot="1">
      <c r="A36" t="s">
        <v>260</v>
      </c>
      <c r="C36" s="40"/>
      <c r="D36" s="395" t="str">
        <f>'Finance Sheet'!E108</f>
        <v>T/Day</v>
      </c>
      <c r="E36" t="s">
        <v>281</v>
      </c>
      <c r="F36" s="47" t="s">
        <v>282</v>
      </c>
      <c r="H36" s="39"/>
    </row>
    <row r="37" spans="1:14" ht="15" thickBot="1">
      <c r="C37" s="40"/>
      <c r="D37" s="401"/>
      <c r="E37" t="s">
        <v>281</v>
      </c>
      <c r="F37" s="47" t="s">
        <v>283</v>
      </c>
    </row>
    <row r="38" spans="1:14">
      <c r="C38" s="40"/>
      <c r="D38" s="394"/>
      <c r="G38" s="39"/>
    </row>
    <row r="39" spans="1:14" ht="15" thickBot="1">
      <c r="A39" s="42" t="s">
        <v>284</v>
      </c>
      <c r="C39" s="40"/>
      <c r="D39" s="394"/>
      <c r="J39" s="39"/>
    </row>
    <row r="40" spans="1:14" ht="15" thickBot="1">
      <c r="A40" t="s">
        <v>255</v>
      </c>
      <c r="B40" s="43" t="s">
        <v>285</v>
      </c>
      <c r="C40" s="40"/>
      <c r="D40" s="395" t="str">
        <f>'Finance Sheet'!E131</f>
        <v>MW</v>
      </c>
      <c r="E40" t="s">
        <v>286</v>
      </c>
      <c r="F40" s="515" t="s">
        <v>287</v>
      </c>
      <c r="G40" s="515"/>
      <c r="H40" s="515"/>
      <c r="I40" s="515"/>
      <c r="J40" s="515"/>
      <c r="K40" s="515"/>
      <c r="L40" s="515"/>
      <c r="M40" s="515"/>
      <c r="N40" s="515"/>
    </row>
    <row r="41" spans="1:14">
      <c r="C41" s="40"/>
      <c r="D41" s="394"/>
    </row>
    <row r="42" spans="1:14" ht="15" thickBot="1">
      <c r="A42" s="42" t="s">
        <v>288</v>
      </c>
      <c r="C42" s="40"/>
      <c r="D42" s="394"/>
    </row>
    <row r="43" spans="1:14" ht="15" thickBot="1">
      <c r="A43" t="s">
        <v>289</v>
      </c>
      <c r="B43" s="43" t="s">
        <v>290</v>
      </c>
      <c r="C43" s="40"/>
      <c r="D43" s="395">
        <f>'Finance Sheet'!E62</f>
        <v>0</v>
      </c>
      <c r="F43" s="47" t="s">
        <v>291</v>
      </c>
    </row>
    <row r="44" spans="1:14" ht="15" thickBot="1">
      <c r="B44" s="43" t="s">
        <v>292</v>
      </c>
      <c r="C44" s="40"/>
      <c r="D44" s="395" t="str">
        <f>'Finance Sheet'!E41</f>
        <v>T/Day</v>
      </c>
      <c r="E44" t="s">
        <v>120</v>
      </c>
      <c r="F44" s="47" t="s">
        <v>293</v>
      </c>
    </row>
    <row r="45" spans="1:14" ht="15" thickBot="1">
      <c r="B45" s="43" t="s">
        <v>294</v>
      </c>
      <c r="C45" s="40"/>
      <c r="D45" s="395" t="str">
        <f>'Finance Sheet'!E42</f>
        <v>T/Day</v>
      </c>
      <c r="E45" t="s">
        <v>120</v>
      </c>
      <c r="F45" s="47" t="s">
        <v>295</v>
      </c>
    </row>
    <row r="46" spans="1:14">
      <c r="C46" s="40"/>
      <c r="D46" s="394"/>
    </row>
    <row r="47" spans="1:14" ht="15" thickBot="1">
      <c r="A47" s="42" t="s">
        <v>296</v>
      </c>
      <c r="C47" s="40"/>
      <c r="D47" s="394"/>
    </row>
    <row r="48" spans="1:14" ht="15" thickBot="1">
      <c r="A48" t="s">
        <v>289</v>
      </c>
      <c r="B48" s="43" t="s">
        <v>63</v>
      </c>
      <c r="C48" s="40"/>
      <c r="D48" s="395" t="str">
        <f>'Finance Sheet'!E56</f>
        <v>T/Day</v>
      </c>
      <c r="E48" t="s">
        <v>120</v>
      </c>
      <c r="F48" t="s">
        <v>297</v>
      </c>
    </row>
    <row r="49" spans="1:6">
      <c r="C49" s="40"/>
      <c r="D49" s="394"/>
      <c r="F49" s="52" t="s">
        <v>298</v>
      </c>
    </row>
    <row r="50" spans="1:6">
      <c r="C50" s="40"/>
      <c r="D50" s="394"/>
      <c r="F50" s="52" t="s">
        <v>299</v>
      </c>
    </row>
    <row r="51" spans="1:6">
      <c r="C51" s="40"/>
      <c r="D51" s="394"/>
      <c r="F51" t="s">
        <v>300</v>
      </c>
    </row>
    <row r="52" spans="1:6">
      <c r="C52" s="40"/>
      <c r="D52" s="394"/>
      <c r="F52" t="s">
        <v>301</v>
      </c>
    </row>
    <row r="53" spans="1:6" ht="15" thickBot="1">
      <c r="C53" s="40"/>
      <c r="D53" s="394"/>
    </row>
    <row r="54" spans="1:6" ht="15" thickBot="1">
      <c r="C54" s="40"/>
      <c r="D54" s="395" t="str">
        <f>'Finance Sheet'!E77</f>
        <v>btu/nm3</v>
      </c>
      <c r="E54" t="s">
        <v>120</v>
      </c>
      <c r="F54" t="s">
        <v>302</v>
      </c>
    </row>
    <row r="55" spans="1:6">
      <c r="C55" s="40"/>
      <c r="D55" s="394"/>
      <c r="F55" s="40" t="s">
        <v>303</v>
      </c>
    </row>
    <row r="56" spans="1:6" ht="15" thickBot="1">
      <c r="A56" s="42" t="s">
        <v>304</v>
      </c>
      <c r="C56" s="40"/>
      <c r="D56" s="394"/>
    </row>
    <row r="57" spans="1:6" ht="15" thickBot="1">
      <c r="A57" t="s">
        <v>305</v>
      </c>
      <c r="B57" s="43" t="s">
        <v>306</v>
      </c>
      <c r="C57" s="40"/>
      <c r="D57" s="395">
        <v>0</v>
      </c>
      <c r="E57" s="46" t="s">
        <v>120</v>
      </c>
      <c r="F57" t="s">
        <v>307</v>
      </c>
    </row>
    <row r="58" spans="1:6">
      <c r="C58" s="40"/>
      <c r="D58" s="396"/>
      <c r="F58" s="40"/>
    </row>
    <row r="59" spans="1:6">
      <c r="C59" s="40"/>
    </row>
    <row r="60" spans="1:6">
      <c r="A60" s="42" t="s">
        <v>308</v>
      </c>
      <c r="C60" s="40"/>
      <c r="D60" s="396"/>
    </row>
    <row r="61" spans="1:6" ht="15" thickBot="1">
      <c r="A61" t="s">
        <v>309</v>
      </c>
      <c r="C61" s="40"/>
      <c r="D61" s="396"/>
    </row>
    <row r="62" spans="1:6" ht="15" thickBot="1">
      <c r="A62" t="s">
        <v>310</v>
      </c>
      <c r="C62" s="40"/>
      <c r="D62" s="395" t="s">
        <v>311</v>
      </c>
      <c r="F62" t="s">
        <v>312</v>
      </c>
    </row>
    <row r="63" spans="1:6" ht="15" thickBot="1">
      <c r="C63" s="40"/>
      <c r="D63" s="396"/>
      <c r="F63" s="40"/>
    </row>
    <row r="64" spans="1:6" ht="15" thickBot="1">
      <c r="C64" s="40"/>
      <c r="D64" s="395">
        <v>0</v>
      </c>
      <c r="E64" t="s">
        <v>120</v>
      </c>
      <c r="F64" s="55" t="s">
        <v>313</v>
      </c>
    </row>
    <row r="65" spans="1:6" ht="15" thickBot="1">
      <c r="C65" s="40"/>
      <c r="D65" s="395">
        <v>0</v>
      </c>
      <c r="E65" t="s">
        <v>120</v>
      </c>
      <c r="F65" s="55" t="s">
        <v>314</v>
      </c>
    </row>
    <row r="66" spans="1:6">
      <c r="C66" s="40"/>
      <c r="D66" s="396"/>
      <c r="F66" s="40"/>
    </row>
    <row r="67" spans="1:6">
      <c r="A67" s="42" t="s">
        <v>315</v>
      </c>
      <c r="C67" s="40"/>
      <c r="D67" s="396"/>
    </row>
    <row r="68" spans="1:6" ht="15" thickBot="1">
      <c r="A68" t="s">
        <v>316</v>
      </c>
      <c r="B68" t="s">
        <v>317</v>
      </c>
      <c r="C68" s="40"/>
      <c r="D68" s="396"/>
      <c r="F68" s="52"/>
    </row>
    <row r="69" spans="1:6" ht="15" thickBot="1">
      <c r="B69"/>
      <c r="C69" s="40"/>
      <c r="D69" s="395" t="s">
        <v>311</v>
      </c>
      <c r="F69" s="52" t="s">
        <v>318</v>
      </c>
    </row>
    <row r="70" spans="1:6">
      <c r="C70" s="40"/>
      <c r="D70" s="396"/>
      <c r="F70" s="40" t="s">
        <v>319</v>
      </c>
    </row>
    <row r="71" spans="1:6">
      <c r="C71" s="40"/>
    </row>
    <row r="72" spans="1:6">
      <c r="A72" s="42" t="s">
        <v>320</v>
      </c>
      <c r="C72" s="40"/>
      <c r="D72" s="396"/>
    </row>
    <row r="73" spans="1:6" ht="15" thickBot="1">
      <c r="A73" t="s">
        <v>321</v>
      </c>
      <c r="B73" t="s">
        <v>322</v>
      </c>
      <c r="C73" s="40"/>
      <c r="D73" s="396"/>
      <c r="F73" s="52"/>
    </row>
    <row r="74" spans="1:6" ht="15" thickBot="1">
      <c r="B74"/>
      <c r="C74" s="40"/>
      <c r="D74" s="395" t="s">
        <v>311</v>
      </c>
      <c r="F74" s="52" t="s">
        <v>323</v>
      </c>
    </row>
    <row r="75" spans="1:6">
      <c r="F75" s="40" t="s">
        <v>324</v>
      </c>
    </row>
    <row r="76" spans="1:6">
      <c r="F76" s="40"/>
    </row>
  </sheetData>
  <mergeCells count="1">
    <mergeCell ref="F40:N40"/>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2:AE14"/>
  <sheetViews>
    <sheetView zoomScale="117" zoomScaleNormal="117" zoomScaleSheetLayoutView="106" workbookViewId="0">
      <selection activeCell="H17" sqref="H17"/>
    </sheetView>
  </sheetViews>
  <sheetFormatPr defaultRowHeight="14.25"/>
  <cols>
    <col min="4" max="4" width="10.875" customWidth="1"/>
    <col min="5" max="5" width="9.875" customWidth="1"/>
    <col min="6" max="7" width="10.375" customWidth="1"/>
    <col min="9" max="10" width="10.75" customWidth="1"/>
    <col min="11" max="13" width="10.875" customWidth="1"/>
    <col min="14" max="14" width="9.75" customWidth="1"/>
  </cols>
  <sheetData>
    <row r="2" spans="1:31" ht="45.95" customHeight="1">
      <c r="B2" s="519" t="s">
        <v>462</v>
      </c>
      <c r="C2" s="520"/>
      <c r="D2" s="520"/>
      <c r="E2" s="520"/>
      <c r="F2" s="520"/>
      <c r="G2" s="520"/>
      <c r="H2" s="520"/>
      <c r="I2" s="520"/>
      <c r="J2" s="520"/>
      <c r="K2" s="520"/>
      <c r="L2" s="520"/>
      <c r="M2" s="402"/>
      <c r="N2" s="47"/>
    </row>
    <row r="3" spans="1:31" ht="42.6" customHeight="1">
      <c r="A3" s="521" t="s">
        <v>445</v>
      </c>
      <c r="B3" s="403" t="s">
        <v>446</v>
      </c>
      <c r="C3" s="403" t="s">
        <v>447</v>
      </c>
      <c r="D3" s="403" t="s">
        <v>448</v>
      </c>
      <c r="E3" s="403" t="s">
        <v>449</v>
      </c>
      <c r="F3" s="403" t="s">
        <v>450</v>
      </c>
      <c r="G3" s="403" t="s">
        <v>450</v>
      </c>
      <c r="H3" s="403" t="s">
        <v>451</v>
      </c>
      <c r="I3" s="404" t="s">
        <v>452</v>
      </c>
      <c r="J3" s="405" t="s">
        <v>463</v>
      </c>
      <c r="K3" s="406" t="s">
        <v>453</v>
      </c>
      <c r="L3" s="404" t="s">
        <v>454</v>
      </c>
      <c r="M3" s="522" t="s">
        <v>455</v>
      </c>
      <c r="O3" s="516" t="s">
        <v>456</v>
      </c>
      <c r="P3" s="516"/>
      <c r="Q3" s="516"/>
      <c r="R3" s="516"/>
      <c r="S3" s="516"/>
      <c r="T3" s="516"/>
      <c r="U3" s="516"/>
      <c r="W3" s="517" t="s">
        <v>457</v>
      </c>
      <c r="X3" s="518"/>
      <c r="Y3" s="518"/>
      <c r="Z3" s="518"/>
      <c r="AA3" s="518"/>
      <c r="AB3" s="518"/>
      <c r="AC3" s="518"/>
      <c r="AD3" s="518"/>
      <c r="AE3" s="518"/>
    </row>
    <row r="4" spans="1:31" ht="15">
      <c r="A4" s="521"/>
      <c r="B4" s="407"/>
      <c r="C4" s="407"/>
      <c r="D4" s="407"/>
      <c r="E4" s="407"/>
      <c r="F4" s="408" t="s">
        <v>458</v>
      </c>
      <c r="G4" s="408" t="s">
        <v>459</v>
      </c>
      <c r="H4" s="408"/>
      <c r="I4" s="408" t="s">
        <v>460</v>
      </c>
      <c r="J4" s="408" t="s">
        <v>460</v>
      </c>
      <c r="K4" s="408" t="s">
        <v>460</v>
      </c>
      <c r="L4" s="409"/>
      <c r="M4" s="523"/>
      <c r="O4" s="410">
        <v>1</v>
      </c>
      <c r="P4" s="411" t="s">
        <v>464</v>
      </c>
      <c r="Q4" s="411"/>
      <c r="R4" s="411"/>
      <c r="S4" s="411"/>
      <c r="T4" s="411"/>
      <c r="U4" s="411"/>
    </row>
    <row r="5" spans="1:31" ht="15">
      <c r="A5" s="521"/>
      <c r="B5" s="412">
        <v>1</v>
      </c>
      <c r="C5" s="413"/>
      <c r="D5" s="413"/>
      <c r="E5" s="413"/>
      <c r="F5" s="414">
        <v>0</v>
      </c>
      <c r="G5" s="415">
        <f>F5/60</f>
        <v>0</v>
      </c>
      <c r="H5" s="414">
        <v>1</v>
      </c>
      <c r="I5" s="414">
        <v>10.33</v>
      </c>
      <c r="J5" s="414">
        <v>9.7899999999999991</v>
      </c>
      <c r="K5" s="415">
        <f>(I5-J5)*G5</f>
        <v>0</v>
      </c>
      <c r="L5" s="414">
        <v>1</v>
      </c>
      <c r="M5" s="415">
        <f t="shared" ref="M5:M13" si="0">(K5/I5)*100</f>
        <v>0</v>
      </c>
      <c r="O5" s="410">
        <v>2</v>
      </c>
      <c r="P5" s="411" t="s">
        <v>461</v>
      </c>
      <c r="Q5" s="411"/>
      <c r="R5" s="411"/>
      <c r="S5" s="411"/>
      <c r="T5" s="411"/>
      <c r="U5" s="411"/>
    </row>
    <row r="6" spans="1:31" ht="15">
      <c r="A6" s="521"/>
      <c r="B6" s="412">
        <v>2</v>
      </c>
      <c r="C6" s="413"/>
      <c r="D6" s="413"/>
      <c r="E6" s="413"/>
      <c r="F6" s="414">
        <v>0</v>
      </c>
      <c r="G6" s="415">
        <f t="shared" ref="G6:G13" si="1">F6/60</f>
        <v>0</v>
      </c>
      <c r="H6" s="414">
        <v>2</v>
      </c>
      <c r="I6" s="414">
        <v>10.33</v>
      </c>
      <c r="J6" s="414">
        <v>9.7899999999999991</v>
      </c>
      <c r="K6" s="415">
        <f t="shared" ref="K6:K14" si="2">(I6-J6)*G6</f>
        <v>0</v>
      </c>
      <c r="L6" s="414">
        <v>1</v>
      </c>
      <c r="M6" s="415">
        <f t="shared" si="0"/>
        <v>0</v>
      </c>
      <c r="O6" s="410"/>
      <c r="P6" s="411"/>
      <c r="Q6" s="411"/>
      <c r="R6" s="411"/>
      <c r="S6" s="411"/>
      <c r="T6" s="411"/>
      <c r="U6" s="411"/>
    </row>
    <row r="7" spans="1:31" ht="15" customHeight="1">
      <c r="A7" s="521"/>
      <c r="B7" s="412">
        <v>3</v>
      </c>
      <c r="C7" s="413"/>
      <c r="D7" s="413"/>
      <c r="E7" s="413"/>
      <c r="F7" s="414">
        <v>0</v>
      </c>
      <c r="G7" s="415">
        <f t="shared" si="1"/>
        <v>0</v>
      </c>
      <c r="H7" s="414">
        <v>2</v>
      </c>
      <c r="I7" s="414">
        <v>10.33</v>
      </c>
      <c r="J7" s="414">
        <v>9.7899999999999991</v>
      </c>
      <c r="K7" s="415">
        <f t="shared" si="2"/>
        <v>0</v>
      </c>
      <c r="L7" s="414">
        <v>1</v>
      </c>
      <c r="M7" s="415">
        <f t="shared" si="0"/>
        <v>0</v>
      </c>
      <c r="O7" s="411"/>
      <c r="P7" s="411"/>
      <c r="Q7" s="411"/>
      <c r="R7" s="411"/>
      <c r="S7" s="411"/>
      <c r="T7" s="411"/>
      <c r="U7" s="411"/>
    </row>
    <row r="8" spans="1:31">
      <c r="A8" s="521"/>
      <c r="B8" s="412">
        <v>4</v>
      </c>
      <c r="C8" s="413"/>
      <c r="D8" s="413"/>
      <c r="E8" s="413"/>
      <c r="F8" s="414">
        <v>0</v>
      </c>
      <c r="G8" s="415">
        <f t="shared" si="1"/>
        <v>0</v>
      </c>
      <c r="H8" s="414">
        <v>1</v>
      </c>
      <c r="I8" s="414">
        <v>10.33</v>
      </c>
      <c r="J8" s="414">
        <v>9.7899999999999991</v>
      </c>
      <c r="K8" s="415">
        <f t="shared" si="2"/>
        <v>0</v>
      </c>
      <c r="L8" s="414">
        <v>1</v>
      </c>
      <c r="M8" s="415">
        <f t="shared" si="0"/>
        <v>0</v>
      </c>
    </row>
    <row r="9" spans="1:31">
      <c r="A9" s="521"/>
      <c r="B9" s="412">
        <v>5</v>
      </c>
      <c r="C9" s="413"/>
      <c r="D9" s="413"/>
      <c r="E9" s="413"/>
      <c r="F9" s="414">
        <v>0</v>
      </c>
      <c r="G9" s="415">
        <f t="shared" si="1"/>
        <v>0</v>
      </c>
      <c r="H9" s="414">
        <v>2</v>
      </c>
      <c r="I9" s="414">
        <v>10.33</v>
      </c>
      <c r="J9" s="414">
        <v>9.7899999999999991</v>
      </c>
      <c r="K9" s="415">
        <f t="shared" si="2"/>
        <v>0</v>
      </c>
      <c r="L9" s="414">
        <v>1</v>
      </c>
      <c r="M9" s="415">
        <f t="shared" si="0"/>
        <v>0</v>
      </c>
    </row>
    <row r="10" spans="1:31">
      <c r="A10" s="521"/>
      <c r="B10" s="412">
        <v>6</v>
      </c>
      <c r="C10" s="413"/>
      <c r="D10" s="413"/>
      <c r="E10" s="413"/>
      <c r="F10" s="414">
        <v>0</v>
      </c>
      <c r="G10" s="415">
        <f t="shared" si="1"/>
        <v>0</v>
      </c>
      <c r="H10" s="414">
        <v>1</v>
      </c>
      <c r="I10" s="414">
        <v>10.33</v>
      </c>
      <c r="J10" s="414">
        <v>9.7899999999999991</v>
      </c>
      <c r="K10" s="415">
        <f t="shared" si="2"/>
        <v>0</v>
      </c>
      <c r="L10" s="414">
        <v>1</v>
      </c>
      <c r="M10" s="415">
        <f t="shared" si="0"/>
        <v>0</v>
      </c>
    </row>
    <row r="11" spans="1:31">
      <c r="A11" s="521"/>
      <c r="B11" s="412">
        <v>7</v>
      </c>
      <c r="C11" s="413"/>
      <c r="D11" s="413"/>
      <c r="E11" s="413"/>
      <c r="F11" s="414">
        <v>0</v>
      </c>
      <c r="G11" s="415">
        <f t="shared" si="1"/>
        <v>0</v>
      </c>
      <c r="H11" s="414">
        <v>2</v>
      </c>
      <c r="I11" s="414">
        <v>10.33</v>
      </c>
      <c r="J11" s="414">
        <v>9.7899999999999991</v>
      </c>
      <c r="K11" s="415">
        <f t="shared" si="2"/>
        <v>0</v>
      </c>
      <c r="L11" s="414">
        <v>1</v>
      </c>
      <c r="M11" s="415">
        <f t="shared" si="0"/>
        <v>0</v>
      </c>
    </row>
    <row r="12" spans="1:31" ht="15" customHeight="1">
      <c r="A12" s="521"/>
      <c r="B12" s="412">
        <v>8</v>
      </c>
      <c r="C12" s="413"/>
      <c r="D12" s="413"/>
      <c r="E12" s="413"/>
      <c r="F12" s="414">
        <v>0</v>
      </c>
      <c r="G12" s="415">
        <f t="shared" si="1"/>
        <v>0</v>
      </c>
      <c r="H12" s="414">
        <v>1</v>
      </c>
      <c r="I12" s="414">
        <v>10.33</v>
      </c>
      <c r="J12" s="414">
        <v>9.7899999999999991</v>
      </c>
      <c r="K12" s="415">
        <f t="shared" si="2"/>
        <v>0</v>
      </c>
      <c r="L12" s="414">
        <v>1</v>
      </c>
      <c r="M12" s="415">
        <f t="shared" si="0"/>
        <v>0</v>
      </c>
    </row>
    <row r="13" spans="1:31" ht="18" customHeight="1">
      <c r="A13" s="521"/>
      <c r="B13" s="412">
        <v>9</v>
      </c>
      <c r="C13" s="413"/>
      <c r="D13" s="413"/>
      <c r="E13" s="413"/>
      <c r="F13" s="414"/>
      <c r="G13" s="415">
        <f t="shared" si="1"/>
        <v>0</v>
      </c>
      <c r="H13" s="414"/>
      <c r="I13" s="414"/>
      <c r="J13" s="414"/>
      <c r="K13" s="415">
        <f t="shared" si="2"/>
        <v>0</v>
      </c>
      <c r="L13" s="414"/>
      <c r="M13" s="415" t="e">
        <f t="shared" si="0"/>
        <v>#DIV/0!</v>
      </c>
    </row>
    <row r="14" spans="1:31">
      <c r="A14" s="521"/>
      <c r="B14" s="412">
        <v>10</v>
      </c>
      <c r="C14" s="413"/>
      <c r="D14" s="413"/>
      <c r="E14" s="413"/>
      <c r="F14" s="414"/>
      <c r="G14" s="415">
        <f>F14/60</f>
        <v>0</v>
      </c>
      <c r="H14" s="414"/>
      <c r="I14" s="414"/>
      <c r="J14" s="414"/>
      <c r="K14" s="415">
        <f t="shared" si="2"/>
        <v>0</v>
      </c>
      <c r="L14" s="414"/>
      <c r="M14" s="415" t="e">
        <f>(K14/I14)*100</f>
        <v>#DIV/0!</v>
      </c>
    </row>
  </sheetData>
  <mergeCells count="5">
    <mergeCell ref="O3:U3"/>
    <mergeCell ref="W3:AE3"/>
    <mergeCell ref="B2:L2"/>
    <mergeCell ref="A3:A14"/>
    <mergeCell ref="M3:M4"/>
  </mergeCells>
  <pageMargins left="0.7" right="0.7" top="0.75" bottom="0.75" header="0.3" footer="0.3"/>
  <pageSetup paperSize="9" orientation="portrait" r:id="rId1"/>
  <headerFooter>
    <oddFooter>&amp;CAir Products Internal Use Only</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Sheet1</vt:lpstr>
      <vt:lpstr>DCS Data</vt:lpstr>
      <vt:lpstr>Daily Report</vt:lpstr>
      <vt:lpstr>Analysis</vt:lpstr>
      <vt:lpstr>Finance Sheet</vt:lpstr>
      <vt:lpstr>Monthly Totalizer</vt:lpstr>
      <vt:lpstr>Short fall</vt:lpstr>
    </vt:vector>
  </TitlesOfParts>
  <Company>Air Products and Chemicals,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Alnaser,Salman</dc:creator>
  <cp:lastModifiedBy>CsiHO</cp:lastModifiedBy>
  <dcterms:created xsi:type="dcterms:W3CDTF">2025-09-30T08:19:53Z</dcterms:created>
  <dcterms:modified xsi:type="dcterms:W3CDTF">2026-01-15T10:26:47Z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5a190c94-aa39-49c6-b993-09ba902a09e1</vt:lpwstr>
  </property>
  <property fmtid="{D5CDD505-2E9C-101B-9397-08002B2CF9AE}" pid="3" name="Classification">
    <vt:lpwstr>GeneralUse</vt:lpwstr>
  </property>
</Properties>
</file>